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Desktop_offline\특성화\3차년도 예산\SSSU-third\"/>
    </mc:Choice>
  </mc:AlternateContent>
  <xr:revisionPtr revIDLastSave="0" documentId="13_ncr:1_{ACED26DF-6639-413B-AF74-01A2F79C6A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3차년도 전체요약" sheetId="7" r:id="rId1"/>
    <sheet name="RCMS기준사용현황" sheetId="9" r:id="rId2"/>
    <sheet name="예산" sheetId="1" r:id="rId3"/>
    <sheet name="소진일정" sheetId="3" r:id="rId4"/>
    <sheet name="재정투자 계획 총괄표, 대응자금" sheetId="5" r:id="rId5"/>
    <sheet name="3차년도 사업비 편성 총괄표" sheetId="6" r:id="rId6"/>
    <sheet name="3차년도 사업비 소진현황 (지출)" sheetId="2" r:id="rId7"/>
    <sheet name="이월금일정" sheetId="4" r:id="rId8"/>
    <sheet name="RCMS.260102" sheetId="12" r:id="rId9"/>
    <sheet name="RCMS.260112" sheetId="13" r:id="rId10"/>
  </sheets>
  <definedNames>
    <definedName name="_xlnm._FilterDatabase" localSheetId="8" hidden="1">'RCMS.260102'!$A$1:$BI$567</definedName>
    <definedName name="_xlnm._FilterDatabase" localSheetId="9" hidden="1">'RCMS.260112'!$A$1:$BI$569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6" i="1" l="1"/>
  <c r="G107" i="1"/>
  <c r="G262" i="1"/>
  <c r="G264" i="1"/>
  <c r="G261" i="1"/>
  <c r="G260" i="1"/>
  <c r="J10" i="7"/>
  <c r="E9" i="1"/>
  <c r="E10" i="1" l="1"/>
  <c r="G10" i="1" s="1"/>
  <c r="L19" i="7"/>
  <c r="C12" i="6" l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35" i="1"/>
  <c r="G211" i="1"/>
  <c r="I18" i="7" l="1"/>
  <c r="E8" i="9" l="1"/>
  <c r="F172" i="1" l="1"/>
  <c r="E12" i="7"/>
  <c r="E13" i="7" s="1"/>
  <c r="F152" i="1"/>
  <c r="G238" i="1"/>
  <c r="G237" i="1"/>
  <c r="R30" i="1"/>
  <c r="G73" i="1"/>
  <c r="F18" i="9"/>
  <c r="F17" i="9"/>
  <c r="F16" i="9"/>
  <c r="H152" i="3"/>
  <c r="H191" i="3"/>
  <c r="E194" i="3"/>
  <c r="H194" i="3" s="1"/>
  <c r="E192" i="3"/>
  <c r="H192" i="3" s="1"/>
  <c r="E189" i="3"/>
  <c r="H189" i="3" s="1"/>
  <c r="E187" i="3"/>
  <c r="H177" i="2"/>
  <c r="H76" i="2"/>
  <c r="H51" i="2"/>
  <c r="F223" i="1"/>
  <c r="G196" i="1"/>
  <c r="F222" i="1"/>
  <c r="E160" i="1"/>
  <c r="G160" i="1" s="1"/>
  <c r="E125" i="3" s="1"/>
  <c r="H125" i="3" s="1"/>
  <c r="H127" i="3" s="1"/>
  <c r="G186" i="1"/>
  <c r="E153" i="3" s="1"/>
  <c r="H153" i="3" s="1"/>
  <c r="G195" i="1"/>
  <c r="G254" i="1"/>
  <c r="G255" i="1"/>
  <c r="E190" i="3" s="1"/>
  <c r="H190" i="3" s="1"/>
  <c r="G258" i="1"/>
  <c r="E193" i="3" s="1"/>
  <c r="H193" i="3" s="1"/>
  <c r="G253" i="1"/>
  <c r="E188" i="3" s="1"/>
  <c r="H188" i="3" s="1"/>
  <c r="G259" i="1"/>
  <c r="G257" i="1"/>
  <c r="G252" i="1"/>
  <c r="F151" i="1"/>
  <c r="F150" i="1"/>
  <c r="G191" i="1" l="1"/>
  <c r="H10" i="9"/>
  <c r="G222" i="1"/>
  <c r="H140" i="3"/>
  <c r="H141" i="3"/>
  <c r="H30" i="3"/>
  <c r="H29" i="3"/>
  <c r="H26" i="3"/>
  <c r="H27" i="3"/>
  <c r="H28" i="3"/>
  <c r="H25" i="3"/>
  <c r="H187" i="3"/>
  <c r="F178" i="1" l="1"/>
  <c r="G181" i="1"/>
  <c r="C10" i="7" l="1"/>
  <c r="G151" i="1"/>
  <c r="G152" i="1"/>
  <c r="C5" i="7"/>
  <c r="F108" i="1"/>
  <c r="G108" i="1" s="1"/>
  <c r="G116" i="1"/>
  <c r="G111" i="1"/>
  <c r="H56" i="3" s="1"/>
  <c r="G112" i="1"/>
  <c r="H57" i="3" s="1"/>
  <c r="G113" i="1"/>
  <c r="H58" i="3" s="1"/>
  <c r="G114" i="1"/>
  <c r="H59" i="3" s="1"/>
  <c r="G115" i="1"/>
  <c r="H60" i="3" s="1"/>
  <c r="G117" i="1"/>
  <c r="H61" i="3" s="1"/>
  <c r="G118" i="1"/>
  <c r="H62" i="3" s="1"/>
  <c r="G119" i="1"/>
  <c r="H63" i="3" s="1"/>
  <c r="G121" i="1"/>
  <c r="H64" i="3" s="1"/>
  <c r="G122" i="1"/>
  <c r="H65" i="3" s="1"/>
  <c r="G123" i="1"/>
  <c r="H66" i="3" s="1"/>
  <c r="G124" i="1"/>
  <c r="H67" i="3" s="1"/>
  <c r="G125" i="1"/>
  <c r="G194" i="1"/>
  <c r="F177" i="1"/>
  <c r="G177" i="1" s="1"/>
  <c r="E149" i="3" s="1"/>
  <c r="H149" i="3" s="1"/>
  <c r="F179" i="1"/>
  <c r="G179" i="1" s="1"/>
  <c r="G159" i="1"/>
  <c r="G161" i="1" s="1"/>
  <c r="C14" i="6" s="1"/>
  <c r="H101" i="3"/>
  <c r="H100" i="3"/>
  <c r="E109" i="3"/>
  <c r="H109" i="3" s="1"/>
  <c r="E136" i="1"/>
  <c r="G136" i="1" s="1"/>
  <c r="H77" i="3"/>
  <c r="AN7" i="3" s="1"/>
  <c r="G172" i="1"/>
  <c r="H107" i="3"/>
  <c r="G82" i="1"/>
  <c r="G81" i="1"/>
  <c r="L127" i="1"/>
  <c r="P127" i="1" s="1"/>
  <c r="R127" i="1" s="1"/>
  <c r="C228" i="1" s="1"/>
  <c r="G228" i="1" s="1"/>
  <c r="G193" i="1"/>
  <c r="E84" i="3"/>
  <c r="G80" i="1"/>
  <c r="G244" i="1"/>
  <c r="G245" i="1"/>
  <c r="G246" i="1"/>
  <c r="G248" i="1"/>
  <c r="G249" i="1"/>
  <c r="G250" i="1"/>
  <c r="G251" i="1"/>
  <c r="H186" i="3" s="1"/>
  <c r="H99" i="3"/>
  <c r="E87" i="3"/>
  <c r="H87" i="3" s="1"/>
  <c r="E86" i="3"/>
  <c r="H86" i="3" s="1"/>
  <c r="H85" i="3"/>
  <c r="H76" i="3"/>
  <c r="AM7" i="3" s="1"/>
  <c r="H73" i="3"/>
  <c r="H74" i="3"/>
  <c r="H75" i="3"/>
  <c r="E90" i="3"/>
  <c r="H90" i="3" s="1"/>
  <c r="E89" i="3"/>
  <c r="H89" i="3" s="1"/>
  <c r="AD2" i="2"/>
  <c r="AE2" i="2"/>
  <c r="G137" i="1"/>
  <c r="H39" i="2"/>
  <c r="R3" i="2" s="1"/>
  <c r="G175" i="1"/>
  <c r="G176" i="1"/>
  <c r="G178" i="1"/>
  <c r="E150" i="3" s="1"/>
  <c r="H150" i="3" s="1"/>
  <c r="G180" i="1"/>
  <c r="G182" i="1"/>
  <c r="F153" i="1"/>
  <c r="G153" i="1" s="1"/>
  <c r="H96" i="3"/>
  <c r="H97" i="3"/>
  <c r="H94" i="3"/>
  <c r="H95" i="3"/>
  <c r="H93" i="3"/>
  <c r="H106" i="3"/>
  <c r="H105" i="3"/>
  <c r="AJ7" i="3" s="1"/>
  <c r="H102" i="3"/>
  <c r="H104" i="3"/>
  <c r="AG7" i="3" s="1"/>
  <c r="H92" i="3"/>
  <c r="AD8" i="3"/>
  <c r="AE8" i="3" s="1"/>
  <c r="AE7" i="3"/>
  <c r="AD7" i="3"/>
  <c r="E108" i="3"/>
  <c r="H108" i="3" s="1"/>
  <c r="E138" i="3"/>
  <c r="H138" i="3" s="1"/>
  <c r="E139" i="3"/>
  <c r="H139" i="3" s="1"/>
  <c r="H83" i="3"/>
  <c r="H82" i="3"/>
  <c r="H81" i="3"/>
  <c r="H80" i="3"/>
  <c r="H79" i="3"/>
  <c r="H54" i="3"/>
  <c r="H6" i="3"/>
  <c r="H70" i="3"/>
  <c r="H71" i="3"/>
  <c r="H72" i="3"/>
  <c r="H69" i="3"/>
  <c r="H38" i="3"/>
  <c r="H39" i="3"/>
  <c r="H40" i="3"/>
  <c r="H41" i="3"/>
  <c r="H37" i="3"/>
  <c r="AI7" i="3"/>
  <c r="G232" i="1"/>
  <c r="G231" i="1"/>
  <c r="Q8" i="1"/>
  <c r="G239" i="1"/>
  <c r="C16" i="6" s="1"/>
  <c r="G243" i="1"/>
  <c r="G7" i="1"/>
  <c r="G139" i="1"/>
  <c r="H4" i="3"/>
  <c r="G79" i="1"/>
  <c r="F149" i="1"/>
  <c r="G149" i="1" s="1"/>
  <c r="F148" i="1"/>
  <c r="G148" i="1" s="1"/>
  <c r="E117" i="3" s="1"/>
  <c r="F171" i="1"/>
  <c r="G171" i="1" s="1"/>
  <c r="G169" i="1"/>
  <c r="G170" i="1"/>
  <c r="G184" i="1"/>
  <c r="E148" i="3" s="1"/>
  <c r="H148" i="3" s="1"/>
  <c r="G102" i="1"/>
  <c r="G103" i="1"/>
  <c r="G104" i="1"/>
  <c r="G13" i="1"/>
  <c r="E9" i="3" s="1"/>
  <c r="G78" i="1"/>
  <c r="G77" i="1"/>
  <c r="G76" i="1"/>
  <c r="G75" i="1"/>
  <c r="E38" i="6"/>
  <c r="E37" i="6"/>
  <c r="E36" i="6"/>
  <c r="E35" i="6"/>
  <c r="E34" i="6"/>
  <c r="E32" i="6"/>
  <c r="E31" i="6"/>
  <c r="H24" i="6"/>
  <c r="F24" i="6"/>
  <c r="E24" i="6"/>
  <c r="H6" i="6"/>
  <c r="H27" i="6" s="1"/>
  <c r="F6" i="6"/>
  <c r="E6" i="6"/>
  <c r="D32" i="5"/>
  <c r="C31" i="5"/>
  <c r="C33" i="5"/>
  <c r="J30" i="5"/>
  <c r="E29" i="5"/>
  <c r="E28" i="5"/>
  <c r="D27" i="5"/>
  <c r="G22" i="5" s="1"/>
  <c r="H22" i="5" s="1"/>
  <c r="E26" i="5"/>
  <c r="E25" i="5"/>
  <c r="E24" i="5"/>
  <c r="E23" i="5"/>
  <c r="E22" i="5"/>
  <c r="E12" i="5"/>
  <c r="E15" i="5"/>
  <c r="D12" i="5"/>
  <c r="D15" i="5"/>
  <c r="H86" i="4"/>
  <c r="E79" i="4"/>
  <c r="E78" i="4"/>
  <c r="H77" i="4"/>
  <c r="H71" i="4"/>
  <c r="H59" i="4"/>
  <c r="H57" i="4"/>
  <c r="E57" i="4"/>
  <c r="H48" i="4"/>
  <c r="V3" i="4"/>
  <c r="H36" i="4"/>
  <c r="H41" i="4"/>
  <c r="T3" i="4" s="1"/>
  <c r="E32" i="4"/>
  <c r="H30" i="4"/>
  <c r="R3" i="4" s="1"/>
  <c r="C30" i="4"/>
  <c r="E30" i="4" s="1"/>
  <c r="E17" i="4"/>
  <c r="H5" i="4"/>
  <c r="H4" i="4"/>
  <c r="A2" i="4"/>
  <c r="H24" i="3"/>
  <c r="H23" i="3"/>
  <c r="H22" i="3"/>
  <c r="H21" i="3"/>
  <c r="H20" i="3"/>
  <c r="H19" i="3"/>
  <c r="AD2" i="3" s="1"/>
  <c r="H5" i="3"/>
  <c r="G247" i="1"/>
  <c r="G230" i="1"/>
  <c r="G223" i="1"/>
  <c r="H177" i="3" s="1"/>
  <c r="G217" i="1"/>
  <c r="G216" i="1"/>
  <c r="H173" i="3" s="1"/>
  <c r="G210" i="1"/>
  <c r="Z3" i="2" s="1"/>
  <c r="G209" i="1"/>
  <c r="E165" i="3" s="1"/>
  <c r="G208" i="1"/>
  <c r="E164" i="3" s="1"/>
  <c r="G207" i="1"/>
  <c r="G202" i="1"/>
  <c r="H161" i="3" s="1"/>
  <c r="H162" i="3" s="1"/>
  <c r="G197" i="1"/>
  <c r="G192" i="1"/>
  <c r="G185" i="1"/>
  <c r="G183" i="1"/>
  <c r="E146" i="3" s="1"/>
  <c r="H146" i="3" s="1"/>
  <c r="G174" i="1"/>
  <c r="G173" i="1"/>
  <c r="E132" i="3" s="1"/>
  <c r="H132" i="3" s="1"/>
  <c r="G168" i="1"/>
  <c r="E129" i="3" s="1"/>
  <c r="H129" i="3" s="1"/>
  <c r="G167" i="1"/>
  <c r="G166" i="1"/>
  <c r="C159" i="1"/>
  <c r="L157" i="1"/>
  <c r="L155" i="1"/>
  <c r="L154" i="1"/>
  <c r="G150" i="1"/>
  <c r="H119" i="3" s="1"/>
  <c r="G147" i="1"/>
  <c r="G146" i="1"/>
  <c r="G141" i="1"/>
  <c r="G138" i="1"/>
  <c r="P135" i="1"/>
  <c r="G135" i="1"/>
  <c r="P134" i="1"/>
  <c r="G134" i="1"/>
  <c r="G133" i="1"/>
  <c r="L128" i="1"/>
  <c r="P128" i="1" s="1"/>
  <c r="G110" i="1"/>
  <c r="G109" i="1"/>
  <c r="E51" i="3" s="1"/>
  <c r="F107" i="1"/>
  <c r="G106" i="1"/>
  <c r="G105" i="1"/>
  <c r="P101" i="1"/>
  <c r="P103" i="1" s="1"/>
  <c r="C58" i="4" s="1"/>
  <c r="G101" i="1"/>
  <c r="N96" i="1"/>
  <c r="P96" i="1" s="1"/>
  <c r="P95" i="1"/>
  <c r="E73" i="4" s="1"/>
  <c r="G95" i="1"/>
  <c r="G96" i="1" s="1"/>
  <c r="P94" i="1"/>
  <c r="E72" i="4" s="1"/>
  <c r="P90" i="1"/>
  <c r="C78" i="4" s="1"/>
  <c r="G90" i="1"/>
  <c r="E45" i="3" s="1"/>
  <c r="H45" i="3" s="1"/>
  <c r="H46" i="3" s="1"/>
  <c r="G89" i="1"/>
  <c r="E44" i="3" s="1"/>
  <c r="G88" i="1"/>
  <c r="E43" i="3" s="1"/>
  <c r="P84" i="1"/>
  <c r="G74" i="1"/>
  <c r="E36" i="3" s="1"/>
  <c r="H36" i="3" s="1"/>
  <c r="G72" i="1"/>
  <c r="E34" i="3" s="1"/>
  <c r="H34" i="3" s="1"/>
  <c r="P70" i="1"/>
  <c r="G70" i="1"/>
  <c r="I6" i="7" s="1"/>
  <c r="G63" i="1"/>
  <c r="P62" i="1"/>
  <c r="G62" i="1"/>
  <c r="G61" i="1"/>
  <c r="G60" i="1"/>
  <c r="G59" i="1"/>
  <c r="G58" i="1"/>
  <c r="G57" i="1"/>
  <c r="G56" i="1"/>
  <c r="P54" i="1"/>
  <c r="C42" i="4" s="1"/>
  <c r="G54" i="1"/>
  <c r="G53" i="1"/>
  <c r="G52" i="1"/>
  <c r="G51" i="1"/>
  <c r="G50" i="1"/>
  <c r="G49" i="1"/>
  <c r="P48" i="1"/>
  <c r="P49" i="1" s="1"/>
  <c r="G48" i="1"/>
  <c r="G47" i="1"/>
  <c r="G46" i="1"/>
  <c r="G45" i="1"/>
  <c r="G44" i="1"/>
  <c r="G43" i="1"/>
  <c r="G42" i="1"/>
  <c r="G41" i="1"/>
  <c r="G40" i="1"/>
  <c r="P39" i="1"/>
  <c r="G39" i="1"/>
  <c r="P38" i="1"/>
  <c r="G38" i="1"/>
  <c r="P37" i="1"/>
  <c r="G37" i="1"/>
  <c r="G36" i="1"/>
  <c r="G35" i="1"/>
  <c r="G34" i="1"/>
  <c r="G33" i="1"/>
  <c r="G32" i="1"/>
  <c r="P31" i="1"/>
  <c r="P32" i="1" s="1"/>
  <c r="P27" i="1" s="1"/>
  <c r="G31" i="1"/>
  <c r="G71" i="1"/>
  <c r="G30" i="1"/>
  <c r="G29" i="1"/>
  <c r="L16" i="1"/>
  <c r="G12" i="1"/>
  <c r="E8" i="3" s="1"/>
  <c r="G11" i="1"/>
  <c r="E7" i="3" s="1"/>
  <c r="P8" i="1"/>
  <c r="E5" i="4" s="1"/>
  <c r="G8" i="1"/>
  <c r="P7" i="1"/>
  <c r="E4" i="4" s="1"/>
  <c r="Q3" i="1"/>
  <c r="C2" i="1"/>
  <c r="C3" i="1" s="1"/>
  <c r="F6" i="5" s="1"/>
  <c r="G6" i="5" s="1"/>
  <c r="F27" i="6"/>
  <c r="AA3" i="2"/>
  <c r="Y3" i="2"/>
  <c r="I5" i="7" l="1"/>
  <c r="G5" i="7"/>
  <c r="L18" i="7"/>
  <c r="F24" i="5"/>
  <c r="K30" i="4"/>
  <c r="S3" i="4" s="1"/>
  <c r="E27" i="5"/>
  <c r="H87" i="4"/>
  <c r="X3" i="4" s="1"/>
  <c r="E27" i="6"/>
  <c r="G31" i="6"/>
  <c r="F34" i="6"/>
  <c r="D31" i="5"/>
  <c r="D33" i="5" s="1"/>
  <c r="E163" i="3"/>
  <c r="G212" i="1"/>
  <c r="C19" i="6" s="1"/>
  <c r="G6" i="7"/>
  <c r="G187" i="1"/>
  <c r="C15" i="6" s="1"/>
  <c r="C23" i="6"/>
  <c r="E52" i="2"/>
  <c r="H55" i="3"/>
  <c r="F126" i="1"/>
  <c r="AF7" i="3"/>
  <c r="AO7" i="3"/>
  <c r="E88" i="3"/>
  <c r="AF8" i="3"/>
  <c r="AG8" i="3" s="1"/>
  <c r="AH8" i="3" s="1"/>
  <c r="AI8" i="3" s="1"/>
  <c r="AJ8" i="3" s="1"/>
  <c r="AK8" i="3" s="1"/>
  <c r="E55" i="3"/>
  <c r="E151" i="3"/>
  <c r="H151" i="3" s="1"/>
  <c r="H84" i="3"/>
  <c r="H114" i="3" s="1"/>
  <c r="AK7" i="3"/>
  <c r="AH7" i="3"/>
  <c r="AL7" i="3"/>
  <c r="AE2" i="3"/>
  <c r="H31" i="3"/>
  <c r="R3" i="3" s="1"/>
  <c r="E58" i="4"/>
  <c r="E59" i="4" s="1"/>
  <c r="E53" i="2"/>
  <c r="H8" i="3"/>
  <c r="AI2" i="3" s="1"/>
  <c r="H10" i="3"/>
  <c r="H13" i="3"/>
  <c r="E23" i="2"/>
  <c r="E50" i="3"/>
  <c r="L159" i="1"/>
  <c r="H11" i="3"/>
  <c r="H12" i="3"/>
  <c r="H166" i="3"/>
  <c r="H15" i="4"/>
  <c r="H18" i="4" s="1"/>
  <c r="H7" i="3"/>
  <c r="P55" i="1"/>
  <c r="P51" i="1" s="1"/>
  <c r="R51" i="1" s="1"/>
  <c r="E35" i="3"/>
  <c r="H35" i="3" s="1"/>
  <c r="P136" i="1"/>
  <c r="E86" i="4"/>
  <c r="H50" i="3"/>
  <c r="AG2" i="3" s="1"/>
  <c r="E182" i="3"/>
  <c r="E124" i="3"/>
  <c r="E156" i="3"/>
  <c r="E4" i="3"/>
  <c r="H156" i="3"/>
  <c r="E42" i="4"/>
  <c r="E48" i="4" s="1"/>
  <c r="H185" i="3"/>
  <c r="E128" i="3"/>
  <c r="H128" i="3" s="1"/>
  <c r="E137" i="3"/>
  <c r="H137" i="3" s="1"/>
  <c r="H182" i="3"/>
  <c r="H51" i="3"/>
  <c r="H49" i="3"/>
  <c r="G203" i="1"/>
  <c r="C18" i="6" s="1"/>
  <c r="G9" i="1"/>
  <c r="E6" i="3" s="1"/>
  <c r="H9" i="3"/>
  <c r="H79" i="1"/>
  <c r="H14" i="3"/>
  <c r="E127" i="3"/>
  <c r="K127" i="3" s="1"/>
  <c r="R27" i="1"/>
  <c r="C31" i="4"/>
  <c r="C41" i="4"/>
  <c r="K41" i="4" s="1"/>
  <c r="U3" i="4" s="1"/>
  <c r="E61" i="4"/>
  <c r="R128" i="1"/>
  <c r="C229" i="1" s="1"/>
  <c r="G229" i="1" s="1"/>
  <c r="P129" i="1"/>
  <c r="C60" i="4" s="1"/>
  <c r="E120" i="3"/>
  <c r="H120" i="3"/>
  <c r="E60" i="4"/>
  <c r="H55" i="2"/>
  <c r="E15" i="4"/>
  <c r="E130" i="3"/>
  <c r="H130" i="3" s="1"/>
  <c r="E118" i="3"/>
  <c r="H165" i="3"/>
  <c r="C267" i="1"/>
  <c r="H118" i="3"/>
  <c r="X3" i="2"/>
  <c r="E173" i="3"/>
  <c r="G55" i="1"/>
  <c r="E174" i="3"/>
  <c r="H174" i="3"/>
  <c r="H175" i="3" s="1"/>
  <c r="E161" i="3"/>
  <c r="E162" i="3" s="1"/>
  <c r="K162" i="3" s="1"/>
  <c r="E31" i="4"/>
  <c r="E36" i="4" s="1"/>
  <c r="E41" i="4" s="1"/>
  <c r="E177" i="3"/>
  <c r="H163" i="3"/>
  <c r="AI2" i="2"/>
  <c r="E5" i="3"/>
  <c r="E166" i="3"/>
  <c r="AN2" i="2"/>
  <c r="G19" i="1"/>
  <c r="G20" i="1" s="1"/>
  <c r="C5" i="6" s="1"/>
  <c r="H180" i="3"/>
  <c r="E180" i="3"/>
  <c r="P97" i="1"/>
  <c r="E74" i="4"/>
  <c r="E77" i="4" s="1"/>
  <c r="E33" i="3"/>
  <c r="H33" i="3" s="1"/>
  <c r="A2" i="3"/>
  <c r="AD3" i="3" s="1"/>
  <c r="A2" i="2"/>
  <c r="AE3" i="2" s="1"/>
  <c r="G91" i="1"/>
  <c r="C10" i="6" s="1"/>
  <c r="E119" i="3"/>
  <c r="G198" i="1"/>
  <c r="C17" i="6" s="1"/>
  <c r="P11" i="1"/>
  <c r="P14" i="1" s="1"/>
  <c r="P5" i="1" s="1"/>
  <c r="E49" i="3"/>
  <c r="G64" i="1"/>
  <c r="E176" i="3"/>
  <c r="G218" i="1"/>
  <c r="C20" i="6" s="1"/>
  <c r="G155" i="1"/>
  <c r="C13" i="6" s="1"/>
  <c r="E32" i="3"/>
  <c r="H32" i="3" s="1"/>
  <c r="H176" i="3"/>
  <c r="H179" i="3" s="1"/>
  <c r="G224" i="1"/>
  <c r="C22" i="6" s="1"/>
  <c r="H164" i="3"/>
  <c r="H117" i="3"/>
  <c r="H184" i="3"/>
  <c r="E145" i="3"/>
  <c r="H145" i="3" s="1"/>
  <c r="E147" i="3"/>
  <c r="H147" i="3" s="1"/>
  <c r="G83" i="1"/>
  <c r="C9" i="6" s="1"/>
  <c r="C27" i="1"/>
  <c r="H155" i="3"/>
  <c r="E155" i="3"/>
  <c r="H88" i="4" l="1"/>
  <c r="Z3" i="4" s="1"/>
  <c r="G9" i="9"/>
  <c r="C25" i="6"/>
  <c r="C26" i="6" s="1"/>
  <c r="F13" i="5"/>
  <c r="H196" i="3"/>
  <c r="AL8" i="3"/>
  <c r="AM8" i="3" s="1"/>
  <c r="AN8" i="3" s="1"/>
  <c r="AO8" i="3" s="1"/>
  <c r="AK2" i="3"/>
  <c r="AF2" i="2"/>
  <c r="AF3" i="2" s="1"/>
  <c r="AM2" i="2"/>
  <c r="AM3" i="2" s="1"/>
  <c r="AP7" i="3"/>
  <c r="AP9" i="3" s="1"/>
  <c r="H154" i="3"/>
  <c r="AE3" i="3"/>
  <c r="P57" i="1"/>
  <c r="H15" i="3"/>
  <c r="AJ2" i="2"/>
  <c r="AJ3" i="2" s="1"/>
  <c r="C48" i="4"/>
  <c r="K48" i="4" s="1"/>
  <c r="W3" i="4" s="1"/>
  <c r="P3" i="4"/>
  <c r="E15" i="3"/>
  <c r="AM2" i="3"/>
  <c r="E71" i="4"/>
  <c r="E87" i="4" s="1"/>
  <c r="E171" i="3"/>
  <c r="G233" i="1"/>
  <c r="H23" i="2"/>
  <c r="AG2" i="2"/>
  <c r="AG3" i="2" s="1"/>
  <c r="AO2" i="2"/>
  <c r="AO3" i="2" s="1"/>
  <c r="G65" i="1"/>
  <c r="C7" i="6" s="1"/>
  <c r="C8" i="6" s="1"/>
  <c r="G14" i="1"/>
  <c r="G15" i="1" s="1"/>
  <c r="AD3" i="2"/>
  <c r="H181" i="3"/>
  <c r="H183" i="3" s="1"/>
  <c r="E181" i="3"/>
  <c r="E154" i="3"/>
  <c r="AN2" i="3"/>
  <c r="AK2" i="2"/>
  <c r="AK3" i="2" s="1"/>
  <c r="C24" i="2"/>
  <c r="E25" i="2" s="1"/>
  <c r="C16" i="3"/>
  <c r="H16" i="3" s="1"/>
  <c r="AH2" i="3"/>
  <c r="H171" i="3"/>
  <c r="J145" i="3"/>
  <c r="E160" i="3"/>
  <c r="E123" i="3"/>
  <c r="E175" i="3"/>
  <c r="K175" i="3" s="1"/>
  <c r="H56" i="2"/>
  <c r="T3" i="2" s="1"/>
  <c r="K109" i="3"/>
  <c r="K38" i="3"/>
  <c r="K36" i="3"/>
  <c r="K136" i="3"/>
  <c r="AF2" i="3"/>
  <c r="H123" i="3"/>
  <c r="K45" i="2"/>
  <c r="K43" i="2"/>
  <c r="G127" i="1"/>
  <c r="C11" i="6" s="1"/>
  <c r="E53" i="3"/>
  <c r="H53" i="3" s="1"/>
  <c r="H68" i="3" s="1"/>
  <c r="AL2" i="2"/>
  <c r="AL3" i="2" s="1"/>
  <c r="C18" i="4"/>
  <c r="R5" i="1"/>
  <c r="C4" i="4"/>
  <c r="H42" i="3"/>
  <c r="H48" i="3" s="1"/>
  <c r="T3" i="3" s="1"/>
  <c r="G67" i="1"/>
  <c r="F9" i="5" s="1"/>
  <c r="G9" i="5" s="1"/>
  <c r="AI3" i="2"/>
  <c r="E196" i="3"/>
  <c r="E179" i="3"/>
  <c r="K179" i="3" s="1"/>
  <c r="AH2" i="2"/>
  <c r="AH3" i="2" s="1"/>
  <c r="AN3" i="2"/>
  <c r="H160" i="3"/>
  <c r="G11" i="7" l="1"/>
  <c r="C21" i="6"/>
  <c r="C24" i="6" s="1"/>
  <c r="G13" i="5"/>
  <c r="F14" i="5"/>
  <c r="G14" i="5" s="1"/>
  <c r="G5" i="1"/>
  <c r="C4" i="6"/>
  <c r="C6" i="6" s="1"/>
  <c r="J4" i="7"/>
  <c r="R57" i="1"/>
  <c r="J5" i="9"/>
  <c r="C48" i="3"/>
  <c r="K48" i="3" s="1"/>
  <c r="U3" i="3" s="1"/>
  <c r="AJ2" i="3"/>
  <c r="C87" i="4"/>
  <c r="K87" i="4" s="1"/>
  <c r="Y3" i="4" s="1"/>
  <c r="P3" i="1"/>
  <c r="K196" i="3"/>
  <c r="E183" i="3"/>
  <c r="F197" i="3" s="1"/>
  <c r="AF3" i="3"/>
  <c r="AG3" i="3" s="1"/>
  <c r="AH3" i="3" s="1"/>
  <c r="AI3" i="3" s="1"/>
  <c r="K171" i="3"/>
  <c r="C4" i="3"/>
  <c r="C18" i="3" s="1"/>
  <c r="E18" i="3" s="1"/>
  <c r="G27" i="1"/>
  <c r="F8" i="5" s="1"/>
  <c r="G8" i="5" s="1"/>
  <c r="E177" i="2"/>
  <c r="C4" i="2"/>
  <c r="C26" i="2" s="1"/>
  <c r="E26" i="2" s="1"/>
  <c r="V3" i="2"/>
  <c r="E17" i="3"/>
  <c r="H24" i="2"/>
  <c r="H25" i="2" s="1"/>
  <c r="H26" i="2" s="1"/>
  <c r="AL2" i="3"/>
  <c r="K154" i="3"/>
  <c r="K123" i="3"/>
  <c r="AP2" i="2"/>
  <c r="AQ2" i="2" s="1"/>
  <c r="AQ3" i="2" s="1"/>
  <c r="H17" i="3"/>
  <c r="H18" i="3" s="1"/>
  <c r="AO2" i="3"/>
  <c r="V3" i="3"/>
  <c r="G98" i="1"/>
  <c r="I9" i="7" s="1"/>
  <c r="C56" i="2"/>
  <c r="K56" i="2" s="1"/>
  <c r="U3" i="2" s="1"/>
  <c r="E18" i="4"/>
  <c r="K18" i="4"/>
  <c r="Q3" i="4" s="1"/>
  <c r="K160" i="3"/>
  <c r="H197" i="3"/>
  <c r="F7" i="5" l="1"/>
  <c r="G7" i="5" s="1"/>
  <c r="I4" i="7"/>
  <c r="J4" i="9"/>
  <c r="E4" i="9"/>
  <c r="F10" i="5"/>
  <c r="G10" i="5" s="1"/>
  <c r="C27" i="6"/>
  <c r="J9" i="7"/>
  <c r="J6" i="9"/>
  <c r="R3" i="1"/>
  <c r="I19" i="7"/>
  <c r="G4" i="7"/>
  <c r="G8" i="9"/>
  <c r="G12" i="9" s="1"/>
  <c r="C88" i="4"/>
  <c r="K88" i="4" s="1"/>
  <c r="AA3" i="4" s="1"/>
  <c r="AJ3" i="3"/>
  <c r="AK3" i="3" s="1"/>
  <c r="AL3" i="3" s="1"/>
  <c r="AM3" i="3" s="1"/>
  <c r="AN3" i="3" s="1"/>
  <c r="AO3" i="3" s="1"/>
  <c r="K26" i="2"/>
  <c r="Q3" i="2" s="1"/>
  <c r="K183" i="3"/>
  <c r="P3" i="2"/>
  <c r="H178" i="2"/>
  <c r="AP2" i="3"/>
  <c r="AP3" i="3" s="1"/>
  <c r="C27" i="2"/>
  <c r="C39" i="2" s="1"/>
  <c r="C19" i="3"/>
  <c r="C31" i="3" s="1"/>
  <c r="AP3" i="2"/>
  <c r="K18" i="3"/>
  <c r="Q3" i="3" s="1"/>
  <c r="P3" i="3"/>
  <c r="G9" i="7"/>
  <c r="C68" i="3"/>
  <c r="C76" i="2"/>
  <c r="H198" i="3"/>
  <c r="X3" i="3"/>
  <c r="K39" i="2" l="1"/>
  <c r="S3" i="2" s="1"/>
  <c r="E39" i="2"/>
  <c r="E31" i="3"/>
  <c r="K31" i="3"/>
  <c r="S3" i="3" s="1"/>
  <c r="AQ2" i="3"/>
  <c r="AQ3" i="3" s="1"/>
  <c r="K76" i="2"/>
  <c r="W3" i="2" s="1"/>
  <c r="K68" i="3"/>
  <c r="W3" i="3" s="1"/>
  <c r="Z3" i="3"/>
  <c r="G10" i="7" l="1"/>
  <c r="I16" i="9"/>
  <c r="E114" i="3"/>
  <c r="K114" i="3" s="1"/>
  <c r="G130" i="1"/>
  <c r="I11" i="7" s="1"/>
  <c r="L20" i="7" l="1"/>
  <c r="F11" i="5"/>
  <c r="J11" i="7"/>
  <c r="J7" i="9"/>
  <c r="C197" i="3"/>
  <c r="K197" i="3" s="1"/>
  <c r="Y3" i="3" s="1"/>
  <c r="I17" i="9"/>
  <c r="D13" i="6"/>
  <c r="G3" i="1"/>
  <c r="G12" i="7" s="1"/>
  <c r="G13" i="7" s="1"/>
  <c r="E197" i="3"/>
  <c r="C177" i="2"/>
  <c r="C178" i="2" s="1"/>
  <c r="K178" i="2" s="1"/>
  <c r="F114" i="3"/>
  <c r="AD9" i="3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G11" i="5" l="1"/>
  <c r="G12" i="5" s="1"/>
  <c r="G15" i="5" s="1"/>
  <c r="F12" i="5"/>
  <c r="F15" i="5" s="1"/>
  <c r="I12" i="7"/>
  <c r="D10" i="6"/>
  <c r="D9" i="6"/>
  <c r="D15" i="6"/>
  <c r="D20" i="6"/>
  <c r="D4" i="6"/>
  <c r="D17" i="6"/>
  <c r="C198" i="3"/>
  <c r="K198" i="3" s="1"/>
  <c r="AA3" i="3" s="1"/>
  <c r="D25" i="6"/>
  <c r="D26" i="6" s="1"/>
  <c r="D5" i="6"/>
  <c r="D11" i="6"/>
  <c r="D16" i="6"/>
  <c r="D23" i="6"/>
  <c r="J12" i="7"/>
  <c r="H3" i="1"/>
  <c r="S3" i="1" s="1"/>
  <c r="D22" i="6"/>
  <c r="D7" i="6"/>
  <c r="D8" i="6" s="1"/>
  <c r="D21" i="6"/>
  <c r="D19" i="6"/>
  <c r="D14" i="6"/>
  <c r="K177" i="2"/>
  <c r="D18" i="6"/>
  <c r="D12" i="6"/>
  <c r="D6" i="6" l="1"/>
  <c r="D24" i="6"/>
  <c r="C17" i="5"/>
  <c r="H11" i="5" s="1"/>
  <c r="J13" i="7"/>
  <c r="D27" i="6" l="1"/>
  <c r="H8" i="5"/>
  <c r="H7" i="5"/>
  <c r="H13" i="5"/>
  <c r="H14" i="5" s="1"/>
  <c r="H9" i="5"/>
  <c r="H10" i="5"/>
  <c r="H6" i="5"/>
  <c r="H12" i="5" l="1"/>
  <c r="H15" i="5" s="1"/>
  <c r="E10" i="9" l="1"/>
  <c r="G10" i="9" l="1"/>
</calcChain>
</file>

<file path=xl/sharedStrings.xml><?xml version="1.0" encoding="utf-8"?>
<sst xmlns="http://schemas.openxmlformats.org/spreadsheetml/2006/main" count="30737" uniqueCount="1243">
  <si>
    <t>3차년도 예산</t>
  </si>
  <si>
    <t>2차년도 이월금</t>
  </si>
  <si>
    <t>직접비+간접비</t>
  </si>
  <si>
    <t>직접비</t>
  </si>
  <si>
    <t>현재까지 총액</t>
  </si>
  <si>
    <t>기준</t>
  </si>
  <si>
    <t>1)</t>
  </si>
  <si>
    <t>인건비</t>
  </si>
  <si>
    <t>구분</t>
  </si>
  <si>
    <t>성명</t>
  </si>
  <si>
    <t>직위</t>
  </si>
  <si>
    <t>월 급여</t>
  </si>
  <si>
    <t>참여기간(개월)</t>
  </si>
  <si>
    <t>금액(원)</t>
  </si>
  <si>
    <t>행정전담인력</t>
  </si>
  <si>
    <t>전미자</t>
  </si>
  <si>
    <t>행정원</t>
  </si>
  <si>
    <t>이월금에서 모자란 금액 1,192,128만큼 본예산에서 집행</t>
  </si>
  <si>
    <t>모자란 금액 1,192,128만큼 본예산에서 집행</t>
  </si>
  <si>
    <t>강훈경</t>
  </si>
  <si>
    <t>고용예정</t>
  </si>
  <si>
    <t>소계</t>
  </si>
  <si>
    <t>합계</t>
  </si>
  <si>
    <t xml:space="preserve"> </t>
  </si>
  <si>
    <t>2)</t>
  </si>
  <si>
    <t>학생 인건비</t>
  </si>
  <si>
    <t>인센티브</t>
  </si>
  <si>
    <t>(정부출연금의 3%이내)</t>
  </si>
  <si>
    <t>산출내역</t>
  </si>
  <si>
    <t>참여교수 및 직원</t>
  </si>
  <si>
    <t>3)</t>
  </si>
  <si>
    <t>연구시설장비비</t>
  </si>
  <si>
    <t>연구장비 구입 및 임차비</t>
  </si>
  <si>
    <t>교육 TA</t>
  </si>
  <si>
    <t>김성주</t>
  </si>
  <si>
    <t>멘토 TA</t>
  </si>
  <si>
    <t>1학기, 2학기만.
인건비 확보 위해 10 --&gt; 90 증액</t>
  </si>
  <si>
    <t>품명</t>
  </si>
  <si>
    <t>용도</t>
  </si>
  <si>
    <t>단위</t>
  </si>
  <si>
    <t>수량</t>
  </si>
  <si>
    <t>단가(원)</t>
  </si>
  <si>
    <t>현금(원)</t>
  </si>
  <si>
    <t>이찬</t>
  </si>
  <si>
    <t>장비 TA</t>
  </si>
  <si>
    <t>첨단융합학부</t>
  </si>
  <si>
    <t>GPU</t>
  </si>
  <si>
    <t>윤태현(이철호 교수님)</t>
  </si>
  <si>
    <t>Pulse Module</t>
  </si>
  <si>
    <t>납품 지연 --&gt; 심의, 계약은 완료되었으므로 이월 가능</t>
  </si>
  <si>
    <t>김주현</t>
  </si>
  <si>
    <t>3-5월 EDA 용역 공백기간</t>
  </si>
  <si>
    <t>조형준</t>
  </si>
  <si>
    <t>류명현(컴공)</t>
  </si>
  <si>
    <t>GPU 관리 TA</t>
  </si>
  <si>
    <t>교육시설 설비 구축 및 개선</t>
  </si>
  <si>
    <t>김지원(컴공)</t>
  </si>
  <si>
    <t>규격</t>
  </si>
  <si>
    <t>황동호</t>
  </si>
  <si>
    <t>경진대회 TA</t>
  </si>
  <si>
    <t>3차년도 교내경진대회 1달로 축소 (6월)</t>
  </si>
  <si>
    <t>노혜리</t>
  </si>
  <si>
    <t>정제승</t>
  </si>
  <si>
    <t>첨융 칩 설계 TA</t>
  </si>
  <si>
    <t>3 ~ 8월, 정규원 교수님 연구실 신입생 2명</t>
  </si>
  <si>
    <t>김민선</t>
  </si>
  <si>
    <t>특강 보조 TA</t>
  </si>
  <si>
    <t>9 ~ 12월 (추후 선발)</t>
  </si>
  <si>
    <t>첨융 교육 TA</t>
  </si>
  <si>
    <t>환경구축비</t>
  </si>
  <si>
    <t>4)</t>
  </si>
  <si>
    <t>연구재료비</t>
  </si>
  <si>
    <t>재료비</t>
  </si>
  <si>
    <t>단가</t>
  </si>
  <si>
    <t xml:space="preserve">화학생물공학부 교과목 기자재 </t>
  </si>
  <si>
    <t>측정및공정실습 - 4인치 웨이퍼</t>
  </si>
  <si>
    <t>ea</t>
  </si>
  <si>
    <t>프로브팁 제외 - 4인치 웨이퍼 배분 (남은 3,356,000원은 본예산)</t>
  </si>
  <si>
    <t>행정 TA</t>
  </si>
  <si>
    <t>안상민</t>
  </si>
  <si>
    <t>행정</t>
  </si>
  <si>
    <t>유진일</t>
  </si>
  <si>
    <t>5)</t>
  </si>
  <si>
    <t>연구활동비</t>
  </si>
  <si>
    <t>진명</t>
  </si>
  <si>
    <t>장학금</t>
  </si>
  <si>
    <t>이주영</t>
  </si>
  <si>
    <t>소동혁</t>
  </si>
  <si>
    <t>실제 3달이나, 인건비 확보 위해 3 --&gt; 12개월</t>
  </si>
  <si>
    <t>한인상</t>
  </si>
  <si>
    <t>오은석</t>
  </si>
  <si>
    <t>인건비 확보 위해 새로 추가</t>
  </si>
  <si>
    <t>삭제</t>
  </si>
  <si>
    <t>출장비</t>
  </si>
  <si>
    <t>국내출장</t>
  </si>
  <si>
    <t>컴퓨터공학부</t>
  </si>
  <si>
    <t>9 --&gt; 8</t>
  </si>
  <si>
    <t>(99,990,000 - 95,987,810)만큼 본예산 추가, 
첨융 GPU 총 3대로 변경</t>
  </si>
  <si>
    <t>Hall measurement</t>
  </si>
  <si>
    <t>연구인력 지원비</t>
  </si>
  <si>
    <t>probe station</t>
  </si>
  <si>
    <t>probe station: 86,850,000 + 조달청 수수료
B1500: 90,900,000 + 조달청 수수료</t>
  </si>
  <si>
    <t>B1500</t>
  </si>
  <si>
    <t>국내 학회</t>
  </si>
  <si>
    <t>연구활동 유지비</t>
  </si>
  <si>
    <t>개선</t>
  </si>
  <si>
    <t>컴퓨터공학부 세미나실 공사</t>
  </si>
  <si>
    <t>EDA 용역</t>
  </si>
  <si>
    <t>업체에서 서버 관리 --&gt; 1년 단위 계약</t>
  </si>
  <si>
    <t>3월 ~ 내년2월
--&gt; 이월금 사용 가능하면 바로 집행</t>
  </si>
  <si>
    <t>구입</t>
  </si>
  <si>
    <t>컴퓨터공학부 세미나실 가구 및 기자재</t>
  </si>
  <si>
    <t>GPU 용역</t>
  </si>
  <si>
    <t>첨단융합학부 측정실, 서버실 가구 및 기자재</t>
  </si>
  <si>
    <t>측정실: 테이블1, 의자2 
서버실: Rack</t>
  </si>
  <si>
    <t>연구실 운영비</t>
  </si>
  <si>
    <t>사무용품비</t>
  </si>
  <si>
    <t>프린터 토너</t>
  </si>
  <si>
    <t>A4 용지</t>
  </si>
  <si>
    <t>기타</t>
  </si>
  <si>
    <t>인쇄비</t>
  </si>
  <si>
    <t>set</t>
  </si>
  <si>
    <t>450만원 중 1,144,000은 이월금에서</t>
  </si>
  <si>
    <t>인쇄비 및 제본비</t>
  </si>
  <si>
    <t>100 * 1500</t>
  </si>
  <si>
    <t>첨단융합학부 교과목 기자재</t>
  </si>
  <si>
    <t>FPGA실험보드및세트/'논리설계및실험' 교과목 실험</t>
  </si>
  <si>
    <t>회로실험보드및세트/'기초회로이론' 교과목 실험</t>
  </si>
  <si>
    <t>전선,소자및소모성재료/'기초회로이론, 논리설계및실험' 교과목 실험</t>
  </si>
  <si>
    <t>반도체소자 측정용 팁</t>
  </si>
  <si>
    <t>반도체소자 측정 세트</t>
  </si>
  <si>
    <t>소자 제작 (반공연 공정 이용)</t>
  </si>
  <si>
    <t>실습용 (기초전자회로및실험/반도체소자/메모리및인공지능소자) 칩 제작</t>
  </si>
  <si>
    <t>wafer</t>
  </si>
  <si>
    <t>소프트웨어 활용비</t>
  </si>
  <si>
    <t>전기정보공학부 교과목 기자재</t>
  </si>
  <si>
    <t>실험보드(디지털시스템설계및실험/임베디드시스템설계)</t>
  </si>
  <si>
    <t>EA</t>
  </si>
  <si>
    <t>공정처리비 지원</t>
  </si>
  <si>
    <t>Cadence 추가계약</t>
  </si>
  <si>
    <t>(235,000,000 - 78,879,760) 만큼 본예산</t>
  </si>
  <si>
    <t>Synopsys 추가계약</t>
  </si>
  <si>
    <t>교육운영비</t>
  </si>
  <si>
    <t>산학협력장학금</t>
  </si>
  <si>
    <t>1500000 * 20</t>
  </si>
  <si>
    <t>중도탈락 방지 대책으로 선발장학금 폐지</t>
  </si>
  <si>
    <t>글로벌 장학금</t>
  </si>
  <si>
    <t>해외 강의 수강 및 교환학생 100000 * 6</t>
  </si>
  <si>
    <t>단가 낮추고 명수 증가</t>
  </si>
  <si>
    <t>해외 연구소 인턴 6000000 * 5</t>
  </si>
  <si>
    <t>우수 장학금</t>
  </si>
  <si>
    <t>중도탈락 방지 대책으로 우수장학금 활성화 + 예산에서 유동성 높은 항목 (1억 여유)</t>
  </si>
  <si>
    <t>이수 장학금</t>
  </si>
  <si>
    <t>졸업 장학금</t>
  </si>
  <si>
    <t>2025.01.02 : 40 --&gt; 61 증가</t>
  </si>
  <si>
    <t>최우열</t>
  </si>
  <si>
    <t>Keysight ADS</t>
  </si>
  <si>
    <t>Cadence EMX</t>
  </si>
  <si>
    <t>안삼</t>
  </si>
  <si>
    <t>윤상원</t>
  </si>
  <si>
    <t>Curve tracer</t>
  </si>
  <si>
    <t>장비</t>
  </si>
  <si>
    <t>교육부회의 (교수)</t>
  </si>
  <si>
    <t>IR 카메라</t>
  </si>
  <si>
    <t>교육부회의 (직원)</t>
  </si>
  <si>
    <t>김지현</t>
  </si>
  <si>
    <t>Si wafer</t>
  </si>
  <si>
    <t>재료</t>
  </si>
  <si>
    <t>경진대회 인솔자 여비 (항공권, 숙박비, 일비, 식비)</t>
  </si>
  <si>
    <t>출장 인솔 행정TA 여비 (항공권, 숙박비, 일비, 식비)</t>
  </si>
  <si>
    <t>교내 경진대회 상금</t>
  </si>
  <si>
    <t>500 400 300 200</t>
  </si>
  <si>
    <t>교내 경진대회 참여학생 인건비</t>
  </si>
  <si>
    <t>80만원, 10명, 4달 --&gt; 예선, 본선 포함</t>
  </si>
  <si>
    <t>솔버톤 참여학생 인건비</t>
  </si>
  <si>
    <t>80만원 --&gt; 예선, 본선 포함</t>
  </si>
  <si>
    <t>회의비</t>
  </si>
  <si>
    <t>유니위크 참가 우수장학금</t>
  </si>
  <si>
    <t>원래 출장비인데, 지급이 안돼서 장학금으로. 하루 10만원</t>
  </si>
  <si>
    <t>논문 장학금</t>
  </si>
  <si>
    <t>국내 100*3 + 국외 200*5 = 1300</t>
  </si>
  <si>
    <t>Total</t>
  </si>
  <si>
    <t>예산은 60,000,000으로 크게 감소. 나중에 끌어와야 함(아마 학회)</t>
  </si>
  <si>
    <t>교내 경진대회 10명 + 우수 장학생 10명</t>
  </si>
  <si>
    <t>국내학회</t>
  </si>
  <si>
    <t>경진대회 인솔자 학회등록비 (대한전자공학회, 6/24-27)</t>
  </si>
  <si>
    <t>출장 인솔 행정TA  학회등록비 (대한전자공학회, 6-24-27)</t>
  </si>
  <si>
    <t>장학생 여비 (항공권, 숙박비) (상반기)</t>
  </si>
  <si>
    <t>장학생 학회등록비 (대한전자공학회, 6/24-27)</t>
  </si>
  <si>
    <t xml:space="preserve">우수 장학생 10명
항공권 20 + 숙박비 12*4 = 68
학부생 80만원(등록72+만찬8) 2024, 환불X </t>
  </si>
  <si>
    <t>솔버튼, 유니위크</t>
  </si>
  <si>
    <t>분담금 (추후 확정 안내)</t>
  </si>
  <si>
    <t>행사개최 경비 (운임, 숙박, 식대, 보험료 등)</t>
  </si>
  <si>
    <t xml:space="preserve">솔버톤+유니위크 전체 인원의 운임, 숙박, 식대, 보험료 등을 취합하여 청구. 세부예산을 산출하기 어려운 사항 </t>
  </si>
  <si>
    <t>솔버톤 수상자 항공권 (추후 확정 안내)</t>
  </si>
  <si>
    <t>문헌구입비</t>
  </si>
  <si>
    <t>180 * 5,000</t>
  </si>
  <si>
    <t>홍보비(현수막)</t>
  </si>
  <si>
    <t>50000 * 2</t>
  </si>
  <si>
    <t>장학증서</t>
  </si>
  <si>
    <t>109000 * 81</t>
  </si>
  <si>
    <t>수료증</t>
  </si>
  <si>
    <t>30000 * 61</t>
  </si>
  <si>
    <t>운영경비-공공요금 등</t>
  </si>
  <si>
    <t>우편요금</t>
  </si>
  <si>
    <t>회계법인 수수료</t>
  </si>
  <si>
    <t>행사운영비</t>
  </si>
  <si>
    <t>학생간담회</t>
  </si>
  <si>
    <t>30000*81 + 1000000</t>
  </si>
  <si>
    <t>설문 기념품</t>
  </si>
  <si>
    <t>25900*181</t>
  </si>
  <si>
    <t>학부생: 현재 기준 졸업생 제외 130명</t>
  </si>
  <si>
    <t>(258,500,000 - 78,879,760) 만큼 본예산</t>
  </si>
  <si>
    <t>수요조사 기자재에서 추가</t>
  </si>
  <si>
    <t>회로/설계 특강 인력 활용비</t>
  </si>
  <si>
    <t>600,000원 x 3명</t>
  </si>
  <si>
    <t>500,000원 x 3명</t>
  </si>
  <si>
    <t>강사료</t>
  </si>
  <si>
    <t>첫 한시간 30 + 이후부터 시간당 24만원</t>
  </si>
  <si>
    <t>간접비 (5%)</t>
  </si>
  <si>
    <t>일자별 누적 기록</t>
  </si>
  <si>
    <t>월별 소진 현황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</si>
  <si>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</si>
  <si>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</si>
  <si>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</si>
  <si>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</si>
  <si>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</si>
  <si>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</si>
  <si>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</si>
  <si>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</si>
  <si>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</si>
  <si>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</si>
  <si>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</si>
  <si>
    <t>2월</t>
  </si>
  <si>
    <t>총계(=2,956,400,000 원)</t>
  </si>
  <si>
    <t>예상이월금</t>
  </si>
  <si>
    <t xml:space="preserve"> = 예상 이월금</t>
  </si>
  <si>
    <t>날짜</t>
  </si>
  <si>
    <t>학생인건비</t>
  </si>
  <si>
    <t>총계</t>
  </si>
  <si>
    <t>항목</t>
  </si>
  <si>
    <t>세목</t>
  </si>
  <si>
    <t>세부집행 계획</t>
  </si>
  <si>
    <t>실제 집행내역</t>
  </si>
  <si>
    <t>집행액 (RCMS 기준)</t>
  </si>
  <si>
    <t>집행일</t>
  </si>
  <si>
    <t>집행잔액</t>
  </si>
  <si>
    <t>집행률</t>
  </si>
  <si>
    <t>현황</t>
  </si>
  <si>
    <t>직원인건비</t>
  </si>
  <si>
    <t>미정</t>
  </si>
  <si>
    <t>소계 (인건비)</t>
  </si>
  <si>
    <t>소계 (학생인건비)</t>
  </si>
  <si>
    <t>연구시설 장비구입 및 임차비</t>
  </si>
  <si>
    <t>소계 (연구시설장비비)</t>
  </si>
  <si>
    <t>공정 재료비</t>
  </si>
  <si>
    <t>4인치 웨이퍼</t>
  </si>
  <si>
    <t>첨단융합학부 측정 소모품</t>
  </si>
  <si>
    <t>전기정보공학부 FPGA 보드</t>
  </si>
  <si>
    <t>공정 수행 비용</t>
  </si>
  <si>
    <t>첨단융합학부 교육용 칩 제작비</t>
  </si>
  <si>
    <t>소계 (연구재료비)</t>
  </si>
  <si>
    <t>우수장학금</t>
  </si>
  <si>
    <t>3월 우수장학금</t>
  </si>
  <si>
    <t>정유찬</t>
  </si>
  <si>
    <t>이수장학금 사전신청</t>
  </si>
  <si>
    <t>졸업장학금</t>
  </si>
  <si>
    <t>연구인력지원비</t>
  </si>
  <si>
    <t>운영경비 - 공공요금 등</t>
  </si>
  <si>
    <t>소계 (연구활동비)</t>
  </si>
  <si>
    <t>전체 총계</t>
  </si>
  <si>
    <t>3차년도 예산 집행예상내역</t>
  </si>
  <si>
    <t>집행예상 월</t>
  </si>
  <si>
    <t>집행액 예정 금액</t>
  </si>
  <si>
    <t>연구 재료비</t>
  </si>
  <si>
    <t>1학기 졸업장학금</t>
  </si>
  <si>
    <t>20명</t>
  </si>
  <si>
    <t>2학기 졸업장학금</t>
  </si>
  <si>
    <t>41명</t>
  </si>
  <si>
    <t>Cadence</t>
  </si>
  <si>
    <t>Synopsys</t>
  </si>
  <si>
    <t>2차년도 이월금 집행내역</t>
  </si>
  <si>
    <t>WGFMU</t>
  </si>
  <si>
    <t>GPU 1대 (첨융)</t>
  </si>
  <si>
    <t>인쇄 및 제본</t>
  </si>
  <si>
    <r>
      <rPr>
        <b/>
        <sz val="13"/>
        <color rgb="FF000000"/>
        <rFont val="함초롬바탕"/>
        <family val="1"/>
        <charset val="129"/>
      </rPr>
      <t xml:space="preserve">&lt; 재정투자 계획 총괄표&gt; </t>
    </r>
    <r>
      <rPr>
        <sz val="11"/>
        <color rgb="FF000000"/>
        <rFont val="함초롬바탕"/>
        <family val="1"/>
        <charset val="129"/>
      </rPr>
      <t>(단위 : 백만원, %)</t>
    </r>
  </si>
  <si>
    <t>구 분</t>
  </si>
  <si>
    <t>정부출연금(A)</t>
  </si>
  <si>
    <t>평균</t>
  </si>
  <si>
    <t>민간투자지원*</t>
  </si>
  <si>
    <t>비율</t>
  </si>
  <si>
    <t>교육운영비
동영상 인센티브 1400
반공연 공정실습 1200
기업협업교과목 1200</t>
  </si>
  <si>
    <t>1차년도</t>
  </si>
  <si>
    <t>이월금</t>
  </si>
  <si>
    <t>2차년도</t>
  </si>
  <si>
    <t>3차년도</t>
  </si>
  <si>
    <t>4차년도</t>
  </si>
  <si>
    <t>(%)</t>
  </si>
  <si>
    <t>현금</t>
  </si>
  <si>
    <t>현물</t>
  </si>
  <si>
    <t>(‘23.3～’24.2)</t>
  </si>
  <si>
    <t>(‘24.3～’25.2)</t>
  </si>
  <si>
    <t>(‘25.3～’26.2)</t>
  </si>
  <si>
    <t>(‘26.3～’27.2)</t>
  </si>
  <si>
    <t>(a)</t>
  </si>
  <si>
    <t>(b)</t>
  </si>
  <si>
    <t>(a+b)</t>
  </si>
  <si>
    <t>-</t>
  </si>
  <si>
    <t>연구시설·장비비</t>
  </si>
  <si>
    <t>간접비</t>
  </si>
  <si>
    <t>합 계</t>
  </si>
  <si>
    <t>*이월금 포함</t>
  </si>
  <si>
    <t>합계 총합</t>
  </si>
  <si>
    <t>삼성전자</t>
  </si>
  <si>
    <t>sk하이닉스</t>
  </si>
  <si>
    <t>교육 운영비</t>
  </si>
  <si>
    <t>5000+1180(이월금)</t>
  </si>
  <si>
    <t>3750+1333(이월금)</t>
  </si>
  <si>
    <t>행사운영비: 엔지니어링하우스에서 간담회 할때 대관료 대응자금</t>
  </si>
  <si>
    <r>
      <rPr>
        <b/>
        <sz val="13"/>
        <color rgb="FF000000"/>
        <rFont val="함초롬바탕"/>
        <family val="1"/>
        <charset val="129"/>
      </rPr>
      <t xml:space="preserve">&lt; 3차년도 사업비 편성 총괄표&gt; </t>
    </r>
    <r>
      <rPr>
        <sz val="11"/>
        <color rgb="FF000000"/>
        <rFont val="함초롬바탕"/>
        <family val="1"/>
        <charset val="129"/>
      </rPr>
      <t>(단위 : 백만원, %)</t>
    </r>
  </si>
  <si>
    <t>정부출연금</t>
  </si>
  <si>
    <t>현금(a)</t>
  </si>
  <si>
    <t>현물(b)</t>
  </si>
  <si>
    <t>소계(a+b)</t>
  </si>
  <si>
    <t>직원 인건비</t>
  </si>
  <si>
    <t>연구시설 장비비</t>
  </si>
  <si>
    <t>연구 활동비</t>
  </si>
  <si>
    <t>운영경비-공공요금</t>
  </si>
  <si>
    <t>삼성전자*</t>
  </si>
  <si>
    <t>SK 하이닉스</t>
  </si>
  <si>
    <t>한호철</t>
    <phoneticPr fontId="27" type="noConversion"/>
  </si>
  <si>
    <t>강훈경 (25.4 - 25.6)</t>
    <phoneticPr fontId="27" type="noConversion"/>
  </si>
  <si>
    <t>행정원</t>
    <phoneticPr fontId="27" type="noConversion"/>
  </si>
  <si>
    <t>스위치매트릭스</t>
    <phoneticPr fontId="27" type="noConversion"/>
  </si>
  <si>
    <t>ALD</t>
    <phoneticPr fontId="27" type="noConversion"/>
  </si>
  <si>
    <t>광학 현미경</t>
    <phoneticPr fontId="27" type="noConversion"/>
  </si>
  <si>
    <t>Spin Coater</t>
    <phoneticPr fontId="27" type="noConversion"/>
  </si>
  <si>
    <t>장학생 학회등록비 (IEEE ICCE-asia 2024, 10)</t>
    <phoneticPr fontId="27" type="noConversion"/>
  </si>
  <si>
    <t>행사개최 경비 (제주도 교내솔버톤본선 세미나실)</t>
    <phoneticPr fontId="27" type="noConversion"/>
  </si>
  <si>
    <t>출장 인솔 직원 학회등록비 (IEEE ICCE-aisa 2024, 10)</t>
    <phoneticPr fontId="27" type="noConversion"/>
  </si>
  <si>
    <t>760 USD</t>
    <phoneticPr fontId="27" type="noConversion"/>
  </si>
  <si>
    <t>출장 인솔 TA 학회등록비 (IEEE ICCE-aisa 2024, 10)</t>
    <phoneticPr fontId="27" type="noConversion"/>
  </si>
  <si>
    <t>540 USD</t>
    <phoneticPr fontId="27" type="noConversion"/>
  </si>
  <si>
    <t>출장 인솔 직원 여비 (IEEE ICCE-aisa 2024, 10)</t>
    <phoneticPr fontId="27" type="noConversion"/>
  </si>
  <si>
    <t>출장 인솔 TA 여비 (IEEE ICCE-aisa 2024, 10)</t>
    <phoneticPr fontId="27" type="noConversion"/>
  </si>
  <si>
    <t>실제출장비</t>
    <phoneticPr fontId="27" type="noConversion"/>
  </si>
  <si>
    <t>장학생 여비 (항공권, 숙박비, 식비) (상반기)</t>
    <phoneticPr fontId="27" type="noConversion"/>
  </si>
  <si>
    <t>2000000 * 79</t>
    <phoneticPr fontId="27" type="noConversion"/>
  </si>
  <si>
    <t>장학생 여비 (항공권, 숙박비, 식비) (하반기)</t>
    <phoneticPr fontId="27" type="noConversion"/>
  </si>
  <si>
    <t>8000000 * 61</t>
    <phoneticPr fontId="27" type="noConversion"/>
  </si>
  <si>
    <t>Elipsometer</t>
    <phoneticPr fontId="27" type="noConversion"/>
  </si>
  <si>
    <t>강훈경</t>
    <phoneticPr fontId="27" type="noConversion"/>
  </si>
  <si>
    <r>
      <t xml:space="preserve">270 USD </t>
    </r>
    <r>
      <rPr>
        <sz val="11"/>
        <color theme="1"/>
        <rFont val="맑은 고딕"/>
        <family val="3"/>
        <charset val="129"/>
      </rPr>
      <t>학부생</t>
    </r>
    <r>
      <rPr>
        <sz val="11"/>
        <color theme="1"/>
        <rFont val="Aptos Narrow"/>
        <family val="2"/>
        <scheme val="minor"/>
      </rPr>
      <t xml:space="preserve"> x 1400 + </t>
    </r>
    <r>
      <rPr>
        <sz val="11"/>
        <color theme="1"/>
        <rFont val="맑은 고딕"/>
        <family val="2"/>
        <charset val="129"/>
      </rPr>
      <t>인당 1만원 (금액맞추기)</t>
    </r>
    <phoneticPr fontId="27" type="noConversion"/>
  </si>
  <si>
    <t>첨융 이수 장학금</t>
    <phoneticPr fontId="27" type="noConversion"/>
  </si>
  <si>
    <t>3000000 * 80</t>
    <phoneticPr fontId="27" type="noConversion"/>
  </si>
  <si>
    <t>4000000 * 6</t>
    <phoneticPr fontId="27" type="noConversion"/>
  </si>
  <si>
    <t>전미자 (25.5 - 25.7 중순)</t>
    <phoneticPr fontId="27" type="noConversion"/>
  </si>
  <si>
    <t>1000000 * 35</t>
    <phoneticPr fontId="27" type="noConversion"/>
  </si>
  <si>
    <t>전미자 선생님 7월 월급 기관부담금포함 1,047,560원</t>
    <phoneticPr fontId="27" type="noConversion"/>
  </si>
  <si>
    <t>Cadence 추가계약 - 4차년도 1차입금</t>
    <phoneticPr fontId="27" type="noConversion"/>
  </si>
  <si>
    <t>Synopsys 추가계약 - 4차년도 2차입금</t>
    <phoneticPr fontId="27" type="noConversion"/>
  </si>
  <si>
    <t>(265,652,200 - 78,879,760) 만큼 본예산</t>
    <phoneticPr fontId="27" type="noConversion"/>
  </si>
  <si>
    <t>산학협력장학금</t>
    <phoneticPr fontId="27" type="noConversion"/>
  </si>
  <si>
    <t>최호승</t>
    <phoneticPr fontId="27" type="noConversion"/>
  </si>
  <si>
    <t>6월</t>
    <phoneticPr fontId="27" type="noConversion"/>
  </si>
  <si>
    <t>글로벌 장학금</t>
    <phoneticPr fontId="27" type="noConversion"/>
  </si>
  <si>
    <t>오세현</t>
    <phoneticPr fontId="27" type="noConversion"/>
  </si>
  <si>
    <t>백채원</t>
    <phoneticPr fontId="27" type="noConversion"/>
  </si>
  <si>
    <t>7월</t>
    <phoneticPr fontId="27" type="noConversion"/>
  </si>
  <si>
    <t>10월</t>
    <phoneticPr fontId="27" type="noConversion"/>
  </si>
  <si>
    <t>2월</t>
    <phoneticPr fontId="27" type="noConversion"/>
  </si>
  <si>
    <t>엘립소미터</t>
    <phoneticPr fontId="27" type="noConversion"/>
  </si>
  <si>
    <t>광학현미경</t>
    <phoneticPr fontId="27" type="noConversion"/>
  </si>
  <si>
    <t>스핀코터</t>
    <phoneticPr fontId="27" type="noConversion"/>
  </si>
  <si>
    <t>1월</t>
    <phoneticPr fontId="27" type="noConversion"/>
  </si>
  <si>
    <t>12월</t>
    <phoneticPr fontId="27" type="noConversion"/>
  </si>
  <si>
    <t>9월</t>
    <phoneticPr fontId="27" type="noConversion"/>
  </si>
  <si>
    <t>교내솔버톤 우수장학금</t>
    <phoneticPr fontId="27" type="noConversion"/>
  </si>
  <si>
    <t>권상미</t>
    <phoneticPr fontId="27" type="noConversion"/>
  </si>
  <si>
    <t>안보성</t>
    <phoneticPr fontId="27" type="noConversion"/>
  </si>
  <si>
    <t>신연상</t>
    <phoneticPr fontId="27" type="noConversion"/>
  </si>
  <si>
    <t>한동민</t>
    <phoneticPr fontId="27" type="noConversion"/>
  </si>
  <si>
    <t>손동휘</t>
    <phoneticPr fontId="27" type="noConversion"/>
  </si>
  <si>
    <t>하반기 출장 인솔 TA 여비 (항공권, 숙박비, 일비, 식비)</t>
    <phoneticPr fontId="27" type="noConversion"/>
  </si>
  <si>
    <t>하반기 출장 인솔 직원 여비 (항공권, 숙박비, 일비, 식비)</t>
    <phoneticPr fontId="27" type="noConversion"/>
  </si>
  <si>
    <t>11월</t>
    <phoneticPr fontId="27" type="noConversion"/>
  </si>
  <si>
    <t>교내솔버톤 행사개최경비</t>
    <phoneticPr fontId="27" type="noConversion"/>
  </si>
  <si>
    <t>하반기 출장 인솔 TA 학회등록비</t>
    <phoneticPr fontId="27" type="noConversion"/>
  </si>
  <si>
    <t>하반기 출장 인솔 직원 학회등록비</t>
    <phoneticPr fontId="27" type="noConversion"/>
  </si>
  <si>
    <r>
      <t>*</t>
    </r>
    <r>
      <rPr>
        <sz val="11"/>
        <color theme="1"/>
        <rFont val="맑은 고딕"/>
        <family val="3"/>
        <charset val="129"/>
      </rPr>
      <t>장학금부분</t>
    </r>
    <phoneticPr fontId="27" type="noConversion"/>
  </si>
  <si>
    <t>이성빈</t>
    <phoneticPr fontId="27" type="noConversion"/>
  </si>
  <si>
    <t>반도체트랙</t>
    <phoneticPr fontId="27" type="noConversion"/>
  </si>
  <si>
    <t>허원석</t>
    <phoneticPr fontId="27" type="noConversion"/>
  </si>
  <si>
    <t>5월</t>
    <phoneticPr fontId="27" type="noConversion"/>
  </si>
  <si>
    <t>8월</t>
    <phoneticPr fontId="27" type="noConversion"/>
  </si>
  <si>
    <t>논문장학금</t>
    <phoneticPr fontId="27" type="noConversion"/>
  </si>
  <si>
    <t>국제학회</t>
    <phoneticPr fontId="27" type="noConversion"/>
  </si>
  <si>
    <t>URTC 출장 인솔 TA 여비</t>
    <phoneticPr fontId="27" type="noConversion"/>
  </si>
  <si>
    <t>9월까지의 장비</t>
    <phoneticPr fontId="27" type="noConversion"/>
  </si>
  <si>
    <t>하반기 장비</t>
    <phoneticPr fontId="27" type="noConversion"/>
  </si>
  <si>
    <t>제주도 총합</t>
    <phoneticPr fontId="27" type="noConversion"/>
  </si>
  <si>
    <t>워싱턴 여비 (6박 7일)</t>
  </si>
  <si>
    <t>교육비 (2만불)</t>
  </si>
  <si>
    <t>비행기</t>
  </si>
  <si>
    <t>양수림</t>
    <phoneticPr fontId="27" type="noConversion"/>
  </si>
  <si>
    <t>선발 장학금</t>
    <phoneticPr fontId="27" type="noConversion"/>
  </si>
  <si>
    <t>1000000 * 81</t>
    <phoneticPr fontId="27" type="noConversion"/>
  </si>
  <si>
    <t>3차년도 예산 집행 확실 내역</t>
    <phoneticPr fontId="27" type="noConversion"/>
  </si>
  <si>
    <t>선발장학금</t>
    <phoneticPr fontId="27" type="noConversion"/>
  </si>
  <si>
    <t>반도체융합전공 선발장학금 14명</t>
    <phoneticPr fontId="27" type="noConversion"/>
  </si>
  <si>
    <t>첨단융합학부 선발장학금 67명</t>
    <phoneticPr fontId="27" type="noConversion"/>
  </si>
  <si>
    <t>14명</t>
    <phoneticPr fontId="27" type="noConversion"/>
  </si>
  <si>
    <t>67명</t>
    <phoneticPr fontId="27" type="noConversion"/>
  </si>
  <si>
    <t>MIT 여비 (4박 5일)</t>
    <phoneticPr fontId="27" type="noConversion"/>
  </si>
  <si>
    <t>MIT 비행기</t>
    <phoneticPr fontId="27" type="noConversion"/>
  </si>
  <si>
    <t>권오민</t>
    <phoneticPr fontId="27" type="noConversion"/>
  </si>
  <si>
    <t>오경준</t>
    <phoneticPr fontId="27" type="noConversion"/>
  </si>
  <si>
    <t>정재찬</t>
    <phoneticPr fontId="27" type="noConversion"/>
  </si>
  <si>
    <t>박정환</t>
    <phoneticPr fontId="27" type="noConversion"/>
  </si>
  <si>
    <t>임혁준</t>
    <phoneticPr fontId="27" type="noConversion"/>
  </si>
  <si>
    <t>용승현</t>
    <phoneticPr fontId="27" type="noConversion"/>
  </si>
  <si>
    <t>김호준</t>
    <phoneticPr fontId="27" type="noConversion"/>
  </si>
  <si>
    <t>김민서</t>
    <phoneticPr fontId="27" type="noConversion"/>
  </si>
  <si>
    <t>부산워크샵 포스터</t>
    <phoneticPr fontId="27" type="noConversion"/>
  </si>
  <si>
    <t>최우수 1</t>
    <phoneticPr fontId="27" type="noConversion"/>
  </si>
  <si>
    <t>우수 2</t>
    <phoneticPr fontId="27" type="noConversion"/>
  </si>
  <si>
    <t>회로/설계 특강 강사료</t>
    <phoneticPr fontId="27" type="noConversion"/>
  </si>
  <si>
    <t>김진태 (건국대, 교수) 540,000원</t>
    <phoneticPr fontId="27" type="noConversion"/>
  </si>
  <si>
    <t>임대현 (삼성, 마스터) 540,000원</t>
    <phoneticPr fontId="27" type="noConversion"/>
  </si>
  <si>
    <t>김가인 (DGIST, 교수) 1,260,000원</t>
    <phoneticPr fontId="27" type="noConversion"/>
  </si>
  <si>
    <t>소자 특강 강사료</t>
    <phoneticPr fontId="27" type="noConversion"/>
  </si>
  <si>
    <t>명일호 (명지대, 교수) 2,700,000원</t>
    <phoneticPr fontId="27" type="noConversion"/>
  </si>
  <si>
    <t>임영현 (경희대, 교수) 1,260,000원</t>
    <phoneticPr fontId="27" type="noConversion"/>
  </si>
  <si>
    <t>채문재 (서울대) 290,000원</t>
    <phoneticPr fontId="27" type="noConversion"/>
  </si>
  <si>
    <t>이승재 (서울대) 290,000원</t>
    <phoneticPr fontId="27" type="noConversion"/>
  </si>
  <si>
    <t>박우정 (DGIST) 210,000원</t>
    <phoneticPr fontId="27" type="noConversion"/>
  </si>
  <si>
    <t>최유진 (DGIST) 210,000원</t>
    <phoneticPr fontId="27" type="noConversion"/>
  </si>
  <si>
    <t>장비시설 장비비</t>
    <phoneticPr fontId="27" type="noConversion"/>
  </si>
  <si>
    <t>프로브스테이션 수리비</t>
    <phoneticPr fontId="27" type="noConversion"/>
  </si>
  <si>
    <t>수리비</t>
    <phoneticPr fontId="27" type="noConversion"/>
  </si>
  <si>
    <t>초과시수수당</t>
    <phoneticPr fontId="27" type="noConversion"/>
  </si>
  <si>
    <t>장려 3</t>
    <phoneticPr fontId="27" type="noConversion"/>
  </si>
  <si>
    <t>참여 22명</t>
    <phoneticPr fontId="27" type="noConversion"/>
  </si>
  <si>
    <t>사무용품</t>
    <phoneticPr fontId="27" type="noConversion"/>
  </si>
  <si>
    <t>연구재료비 지원 (오세현, 강민구 교수님)</t>
    <phoneticPr fontId="27" type="noConversion"/>
  </si>
  <si>
    <t>연구재료비 지원 (우인규, 이철호 교수님)</t>
    <phoneticPr fontId="27" type="noConversion"/>
  </si>
  <si>
    <t>연구재료비 지원 (박철진, 정규원 교수님)</t>
    <phoneticPr fontId="27" type="noConversion"/>
  </si>
  <si>
    <t>(265,652,000 - 78,879,760) 만큼 본예산</t>
    <phoneticPr fontId="27" type="noConversion"/>
  </si>
  <si>
    <t>입찰 수수료</t>
    <phoneticPr fontId="27" type="noConversion"/>
  </si>
  <si>
    <t>입찰수수료 3건 (GPU, probe station, b1500)</t>
    <phoneticPr fontId="27" type="noConversion"/>
  </si>
  <si>
    <t>입찰수수료 1건 예정 (스위치매트릭스)</t>
    <phoneticPr fontId="27" type="noConversion"/>
  </si>
  <si>
    <t>합</t>
    <phoneticPr fontId="27" type="noConversion"/>
  </si>
  <si>
    <t>이용찬</t>
    <phoneticPr fontId="27" type="noConversion"/>
  </si>
  <si>
    <t>전찬희</t>
    <phoneticPr fontId="27" type="noConversion"/>
  </si>
  <si>
    <t>안재훈</t>
    <phoneticPr fontId="27" type="noConversion"/>
  </si>
  <si>
    <t>방서영</t>
    <phoneticPr fontId="27" type="noConversion"/>
  </si>
  <si>
    <t>정제승</t>
    <phoneticPr fontId="27" type="noConversion"/>
  </si>
  <si>
    <t>김민선</t>
    <phoneticPr fontId="27" type="noConversion"/>
  </si>
  <si>
    <t>노우성</t>
    <phoneticPr fontId="27" type="noConversion"/>
  </si>
  <si>
    <t>장지수</t>
    <phoneticPr fontId="27" type="noConversion"/>
  </si>
  <si>
    <t>신동빈</t>
    <phoneticPr fontId="27" type="noConversion"/>
  </si>
  <si>
    <t>장시원</t>
    <phoneticPr fontId="27" type="noConversion"/>
  </si>
  <si>
    <t>한동인</t>
    <phoneticPr fontId="27" type="noConversion"/>
  </si>
  <si>
    <t>남기백</t>
    <phoneticPr fontId="27" type="noConversion"/>
  </si>
  <si>
    <t>평균 약 750만</t>
    <phoneticPr fontId="27" type="noConversion"/>
  </si>
  <si>
    <t>기존 180장</t>
    <phoneticPr fontId="27" type="noConversion"/>
  </si>
  <si>
    <t>미정</t>
    <phoneticPr fontId="27" type="noConversion"/>
  </si>
  <si>
    <t>MIT 학회등록비</t>
    <phoneticPr fontId="27" type="noConversion"/>
  </si>
  <si>
    <r>
      <t xml:space="preserve">350 USD </t>
    </r>
    <r>
      <rPr>
        <sz val="11"/>
        <color theme="1"/>
        <rFont val="맑은 고딕"/>
        <family val="2"/>
        <charset val="129"/>
      </rPr>
      <t xml:space="preserve">학회등록비: 사이트 </t>
    </r>
    <r>
      <rPr>
        <sz val="11"/>
        <color theme="1"/>
        <rFont val="Aptos Narrow"/>
        <family val="2"/>
      </rPr>
      <t xml:space="preserve">x </t>
    </r>
    <r>
      <rPr>
        <sz val="11"/>
        <color theme="1"/>
        <rFont val="맑은 고딕"/>
        <family val="2"/>
        <charset val="129"/>
      </rPr>
      <t>이메일 공지</t>
    </r>
    <phoneticPr fontId="27" type="noConversion"/>
  </si>
  <si>
    <t>ESTA 발급</t>
    <phoneticPr fontId="27" type="noConversion"/>
  </si>
  <si>
    <t>사무용품 (마우스, 랜선어댑터)</t>
    <phoneticPr fontId="27" type="noConversion"/>
  </si>
  <si>
    <t>사용률</t>
  </si>
  <si>
    <t>예측 사용률</t>
  </si>
  <si>
    <t>시설, 장비</t>
  </si>
  <si>
    <t>이월예정액</t>
  </si>
  <si>
    <t xml:space="preserve">← </t>
  </si>
  <si>
    <t>융합전공</t>
    <phoneticPr fontId="27" type="noConversion"/>
  </si>
  <si>
    <t>첨융</t>
    <phoneticPr fontId="27" type="noConversion"/>
  </si>
  <si>
    <t>장학금</t>
    <phoneticPr fontId="27" type="noConversion"/>
  </si>
  <si>
    <t>그 외</t>
    <phoneticPr fontId="27" type="noConversion"/>
  </si>
  <si>
    <t>3차년도 예산 관리 현황</t>
    <phoneticPr fontId="27" type="noConversion"/>
  </si>
  <si>
    <t>오세현 (강민구 교수님)</t>
    <phoneticPr fontId="27" type="noConversion"/>
  </si>
  <si>
    <t>우인규 (이철호 교수님)</t>
    <phoneticPr fontId="27" type="noConversion"/>
  </si>
  <si>
    <t>박철진 (정규원 교수님)</t>
    <phoneticPr fontId="27" type="noConversion"/>
  </si>
  <si>
    <t>총사업비</t>
    <phoneticPr fontId="27" type="noConversion"/>
  </si>
  <si>
    <t>(완료시 26.02.28 기준)</t>
    <phoneticPr fontId="27" type="noConversion"/>
  </si>
  <si>
    <t>미성사이언스</t>
    <phoneticPr fontId="27" type="noConversion"/>
  </si>
  <si>
    <t>아이넥서스 (연구보조용품 + 안전용품)</t>
    <phoneticPr fontId="27" type="noConversion"/>
  </si>
  <si>
    <t>세기트레이딩</t>
    <phoneticPr fontId="27" type="noConversion"/>
  </si>
  <si>
    <t>웨이퍼마켓</t>
    <phoneticPr fontId="27" type="noConversion"/>
  </si>
  <si>
    <t>아토사이언스</t>
    <phoneticPr fontId="27" type="noConversion"/>
  </si>
  <si>
    <t>afm tip</t>
    <phoneticPr fontId="27" type="noConversion"/>
  </si>
  <si>
    <t>sb2o3</t>
    <phoneticPr fontId="27" type="noConversion"/>
  </si>
  <si>
    <t>wafer</t>
    <phoneticPr fontId="27" type="noConversion"/>
  </si>
  <si>
    <t>저온측정팁</t>
    <phoneticPr fontId="27" type="noConversion"/>
  </si>
  <si>
    <t>구리스</t>
    <phoneticPr fontId="27" type="noConversion"/>
  </si>
  <si>
    <t>칩제작용 웨이퍼</t>
    <phoneticPr fontId="27" type="noConversion"/>
  </si>
  <si>
    <t>Y</t>
    <phoneticPr fontId="27" type="noConversion"/>
  </si>
  <si>
    <t>출장 인솔 교수 여비 (IEEE ICCE-asia 2025, 10)</t>
    <phoneticPr fontId="27" type="noConversion"/>
  </si>
  <si>
    <r>
      <t>128 USD * 4</t>
    </r>
    <r>
      <rPr>
        <sz val="11"/>
        <color theme="1"/>
        <rFont val="맑은 고딕"/>
        <family val="2"/>
        <charset val="129"/>
      </rPr>
      <t xml:space="preserve">박 + 90 </t>
    </r>
    <r>
      <rPr>
        <sz val="11"/>
        <color theme="1"/>
        <rFont val="Aptos Narrow"/>
        <family val="2"/>
      </rPr>
      <t>USD * 5</t>
    </r>
    <r>
      <rPr>
        <sz val="11"/>
        <color theme="1"/>
        <rFont val="맑은 고딕"/>
        <family val="2"/>
        <charset val="129"/>
      </rPr>
      <t>일 (식비만)</t>
    </r>
    <phoneticPr fontId="27" type="noConversion"/>
  </si>
  <si>
    <r>
      <t xml:space="preserve">352,000,000 </t>
    </r>
    <r>
      <rPr>
        <sz val="11"/>
        <rFont val="맑은 고딕"/>
        <family val="2"/>
        <charset val="129"/>
      </rPr>
      <t>으로 최종계약 예상 (2100만 감소)</t>
    </r>
    <phoneticPr fontId="27" type="noConversion"/>
  </si>
  <si>
    <t>(0)</t>
    <phoneticPr fontId="27" type="noConversion"/>
  </si>
  <si>
    <t>최환히찬</t>
    <phoneticPr fontId="27" type="noConversion"/>
  </si>
  <si>
    <t>원고료</t>
    <phoneticPr fontId="27" type="noConversion"/>
  </si>
  <si>
    <r>
      <rPr>
        <sz val="17"/>
        <color rgb="FF292929"/>
        <rFont val="맑은 고딕"/>
        <family val="3"/>
        <charset val="129"/>
      </rPr>
      <t>↑</t>
    </r>
    <r>
      <rPr>
        <sz val="17"/>
        <color rgb="FF292929"/>
        <rFont val="함초롬돋움"/>
        <family val="3"/>
        <charset val="129"/>
      </rPr>
      <t xml:space="preserve"> </t>
    </r>
    <phoneticPr fontId="27" type="noConversion"/>
  </si>
  <si>
    <t>(Δ: +16,488)</t>
    <phoneticPr fontId="27" type="noConversion"/>
  </si>
  <si>
    <t>MIT 학회등록비 + ESTA</t>
    <phoneticPr fontId="27" type="noConversion"/>
  </si>
  <si>
    <t>편성 금액 [천원]</t>
    <phoneticPr fontId="27" type="noConversion"/>
  </si>
  <si>
    <t>변경 [천원]</t>
    <phoneticPr fontId="27" type="noConversion"/>
  </si>
  <si>
    <t>↓</t>
    <phoneticPr fontId="27" type="noConversion"/>
  </si>
  <si>
    <r>
      <t xml:space="preserve">예정 사용 내용 </t>
    </r>
    <r>
      <rPr>
        <sz val="12"/>
        <color rgb="FF292929"/>
        <rFont val="함초롬돋움"/>
        <family val="1"/>
        <charset val="129"/>
      </rPr>
      <t>(소진예정%)</t>
    </r>
    <phoneticPr fontId="27" type="noConversion"/>
  </si>
  <si>
    <t>장학생 학회등록비 (IEEE ICCE-Asia, 10/27-29)</t>
    <phoneticPr fontId="27" type="noConversion"/>
  </si>
  <si>
    <t>학생 숙소비 + 기차 (출장비)</t>
    <phoneticPr fontId="27" type="noConversion"/>
  </si>
  <si>
    <t>윤상원 교수님</t>
    <phoneticPr fontId="27" type="noConversion"/>
  </si>
  <si>
    <t>전체숙박 6,468,000 원 / 25명 + 46667원 식비 + 90000원 일비</t>
    <phoneticPr fontId="27" type="noConversion"/>
  </si>
  <si>
    <t>항공권 30 + 숙박비 24*4 + 일비 4*4 + 식비 3*4 = 184 / 100만원(만찬 포함) 2024, 환불X</t>
    <phoneticPr fontId="27" type="noConversion"/>
  </si>
  <si>
    <t>전체숙박 6,468,000 원 / 25명 + 46667원 식비</t>
    <phoneticPr fontId="27" type="noConversion"/>
  </si>
  <si>
    <t>공정 특강 인력 활용비</t>
    <phoneticPr fontId="27" type="noConversion"/>
  </si>
  <si>
    <t>공정 특강 강사료</t>
    <phoneticPr fontId="27" type="noConversion"/>
  </si>
  <si>
    <t xml:space="preserve">↑ </t>
    <phoneticPr fontId="27" type="noConversion"/>
  </si>
  <si>
    <t>유니위크 점심식사 지원</t>
    <phoneticPr fontId="27" type="noConversion"/>
  </si>
  <si>
    <t>물티슈 구매 11/12</t>
    <phoneticPr fontId="27" type="noConversion"/>
  </si>
  <si>
    <t>STOB 리그 팀활동지원비</t>
    <phoneticPr fontId="27" type="noConversion"/>
  </si>
  <si>
    <t>G</t>
    <phoneticPr fontId="27" type="noConversion"/>
  </si>
  <si>
    <t>11/24 기존 2세트 -&gt; 1세트</t>
    <phoneticPr fontId="27" type="noConversion"/>
  </si>
  <si>
    <t>11월 18일 컴공 GPU 3대 도입 완료 (100%)</t>
    <phoneticPr fontId="27" type="noConversion"/>
  </si>
  <si>
    <t>사무용품 (외장하드)</t>
    <phoneticPr fontId="27" type="noConversion"/>
  </si>
  <si>
    <t>11/24 기준 최종 소요금액: 30명 -&gt; 59명</t>
    <phoneticPr fontId="27" type="noConversion"/>
  </si>
  <si>
    <t>실제소요금액 1,194,800 원 -&gt; 나중에 수정 필요 (1,087,800원으로 기존 기록)</t>
    <phoneticPr fontId="27" type="noConversion"/>
  </si>
  <si>
    <r>
      <t>11</t>
    </r>
    <r>
      <rPr>
        <sz val="11"/>
        <color theme="1"/>
        <rFont val="맑은 고딕"/>
        <family val="2"/>
        <charset val="129"/>
      </rPr>
      <t>월</t>
    </r>
    <phoneticPr fontId="27" type="noConversion"/>
  </si>
  <si>
    <r>
      <t>10</t>
    </r>
    <r>
      <rPr>
        <sz val="11"/>
        <color theme="1"/>
        <rFont val="맑은 고딕"/>
        <family val="3"/>
        <charset val="129"/>
      </rPr>
      <t>월</t>
    </r>
    <phoneticPr fontId="27" type="noConversion"/>
  </si>
  <si>
    <t>4월</t>
    <phoneticPr fontId="27" type="noConversion"/>
  </si>
  <si>
    <t>나라장터수수료 스위치매트릭스</t>
    <phoneticPr fontId="27" type="noConversion"/>
  </si>
  <si>
    <t>나라장터수수료 GPU</t>
    <phoneticPr fontId="27" type="noConversion"/>
  </si>
  <si>
    <t>나라장터수수료 B1500</t>
    <phoneticPr fontId="27" type="noConversion"/>
  </si>
  <si>
    <t>나라장터수수료 프로브스테이션</t>
    <phoneticPr fontId="27" type="noConversion"/>
  </si>
  <si>
    <t>홀효과측정기</t>
    <phoneticPr fontId="27" type="noConversion"/>
  </si>
  <si>
    <t>펄스모듈</t>
    <phoneticPr fontId="27" type="noConversion"/>
  </si>
  <si>
    <t>FPGA 보드</t>
    <phoneticPr fontId="27" type="noConversion"/>
  </si>
  <si>
    <t>프로브팁</t>
    <phoneticPr fontId="27" type="noConversion"/>
  </si>
  <si>
    <t>4인치 웨이퍼 (김지영 교수)</t>
    <phoneticPr fontId="27" type="noConversion"/>
  </si>
  <si>
    <t>6인치 웨이퍼 (교육용 칩)</t>
    <phoneticPr fontId="27" type="noConversion"/>
  </si>
  <si>
    <t>트위져 (첨융)</t>
    <phoneticPr fontId="27" type="noConversion"/>
  </si>
  <si>
    <t>4인치 웨이퍼 (오세현-강민구)</t>
    <phoneticPr fontId="27" type="noConversion"/>
  </si>
  <si>
    <t>연구소모품 (박철진-정규원)</t>
    <phoneticPr fontId="27" type="noConversion"/>
  </si>
  <si>
    <t>저온프로브 (우인규-이철호)</t>
    <phoneticPr fontId="27" type="noConversion"/>
  </si>
  <si>
    <t>그리스 (우인규-이철호)</t>
    <phoneticPr fontId="27" type="noConversion"/>
  </si>
  <si>
    <t>웨이퍼 (우인규-이철호)</t>
    <phoneticPr fontId="27" type="noConversion"/>
  </si>
  <si>
    <t>AFM 팁 (우인규-이철호)</t>
    <phoneticPr fontId="27" type="noConversion"/>
  </si>
  <si>
    <t>sb2o3 target (우인규-이철호)</t>
    <phoneticPr fontId="27" type="noConversion"/>
  </si>
  <si>
    <t>그래핀,MoS2 (오세현-강민구)</t>
    <phoneticPr fontId="27" type="noConversion"/>
  </si>
  <si>
    <t>SGH BBO (오세현-강민구)</t>
    <phoneticPr fontId="27" type="noConversion"/>
  </si>
  <si>
    <t>김치통, 호일 (박철진-정규원)</t>
    <phoneticPr fontId="27" type="noConversion"/>
  </si>
  <si>
    <t>substrate 2개 (박철진-정규원)</t>
    <phoneticPr fontId="27" type="noConversion"/>
  </si>
  <si>
    <t>저온프로브 2차 (우인규-이철호)</t>
    <phoneticPr fontId="27" type="noConversion"/>
  </si>
  <si>
    <t>[일반지급신청] 2025 유니위크 운영 분담금_웰비아이  등 총 1건</t>
  </si>
  <si>
    <t>[일반지급신청] [반도체특성화대학] ICCE-Asia 2025 학회 등록 25건 등 총 8건</t>
  </si>
  <si>
    <t>윤상원 외 0건</t>
  </si>
  <si>
    <t>고장부품 택배 운임비</t>
  </si>
  <si>
    <t>[구매지출신청] 포스터 출력비용 등 총 1건</t>
  </si>
  <si>
    <t>뉴로모픽 반도체 기술을 체계적으로 학습하기 위한 교재개발  : 720,000 원 (24페이지, 장당 3만원)</t>
  </si>
  <si>
    <t>3기 융합전공 선발장학금 지급 신청</t>
  </si>
  <si>
    <t>우수장학금 지급 신청서</t>
  </si>
  <si>
    <t xml:space="preserve">[반도체특성화대학] MIT URTC 2025 학회 참가 비용	</t>
  </si>
  <si>
    <t>우수장학금 지급신청</t>
  </si>
  <si>
    <t xml:space="preserve">이수(졸업) 장학금 사전 신청 </t>
  </si>
  <si>
    <t>행사용 물품 구입(대한민국 반도체 산업의 미래, 인재육성 사업 구조, 반도체특성화대학 사업 소개)</t>
  </si>
  <si>
    <t>[구매지출신청] 25년 8월 졸업자 수료증_500,000원</t>
  </si>
  <si>
    <t>[구매지출신청] 3차년도사업계획서 인쇄비_22,990원</t>
  </si>
  <si>
    <t>[구매지출신청] A4 용지 구매_53,400원</t>
  </si>
  <si>
    <t xml:space="preserve">[반도체특성화대학] 상패제작비 </t>
  </si>
  <si>
    <t>산학협력장학금-인턴장학금 지급신청</t>
  </si>
  <si>
    <t xml:space="preserve">논문장학금 지급 신청  </t>
  </si>
  <si>
    <t>글로벌장학금-인턴장학금 지급</t>
  </si>
  <si>
    <t>반도체특성화대학 글로벌장학금</t>
  </si>
  <si>
    <t>[구매지출신청] 메가화일박스(연회색/Kapamax) 외 39건_371.600원</t>
  </si>
  <si>
    <t>Asia Pac University Bundle 1 YEAR TSL License 계약</t>
  </si>
  <si>
    <t>산학협력장학금-산학인턴장학금</t>
  </si>
  <si>
    <t>수혜학생 학술대회 참석 관련 세미나, 솔버톤 본선 진행</t>
  </si>
  <si>
    <t>대한전자공학회 학술대회 참가 및 장학생 솔버톤 대회 본선 운영</t>
  </si>
  <si>
    <t>포스터 제작비(장학생 모집 포스터)</t>
  </si>
  <si>
    <t>산학협력장학금-산학프로젝트 장학금 지급</t>
  </si>
  <si>
    <t>산학협력장학금-산학프로젝트장학금 지급</t>
  </si>
  <si>
    <t>시험분석료</t>
  </si>
  <si>
    <t>대한전자공학회 2025년도 하계종합학술대회 등록비</t>
  </si>
  <si>
    <t>반도체특성화대학-반도체소자 단기집중강좌</t>
  </si>
  <si>
    <t>반도체특성화대학-반도체회로설계특강(실습조교)</t>
  </si>
  <si>
    <t>반도체특성화대학-반도체 회로 설계 특강</t>
  </si>
  <si>
    <t>반도체특성화대학 졸업장학금(생활비성) 지급</t>
  </si>
  <si>
    <t>'반도체특성화대학 GPU 클러스터 운영' 기술지원 용역비</t>
  </si>
  <si>
    <t>현수막 제작비</t>
  </si>
  <si>
    <t>제본비</t>
  </si>
  <si>
    <t>토너 구입비</t>
  </si>
  <si>
    <t>교내 반도체 경진대회(교내솔버튼우수장학금)</t>
  </si>
  <si>
    <t>우수장학금(생활비성) 지급</t>
  </si>
  <si>
    <t>우수장학금 지급</t>
  </si>
  <si>
    <t>글로벌장학금 지급</t>
  </si>
  <si>
    <t>글로벌장학금(생활비성) 지급</t>
  </si>
  <si>
    <t>케이던스 반도체 설계 소프트웨어 계약</t>
  </si>
  <si>
    <t>전문가자문가 지급신청</t>
  </si>
  <si>
    <t>반도체특성화대학 EDA 툴서버 유지보수 비용</t>
  </si>
  <si>
    <t>E8900UX ADS University subscription license 계약</t>
  </si>
  <si>
    <t>반도체특성화대학 반도체 트랙 장학금 지급</t>
  </si>
  <si>
    <t>반도체특성화대학 우수 장학금 지급</t>
  </si>
  <si>
    <r>
      <t>11</t>
    </r>
    <r>
      <rPr>
        <sz val="11"/>
        <color theme="1"/>
        <rFont val="Malgun Gothic"/>
        <charset val="129"/>
      </rPr>
      <t>월</t>
    </r>
    <phoneticPr fontId="27" type="noConversion"/>
  </si>
  <si>
    <r>
      <t>11</t>
    </r>
    <r>
      <rPr>
        <sz val="11"/>
        <color theme="1"/>
        <rFont val="맑은 고딕"/>
        <family val="3"/>
        <charset val="129"/>
      </rPr>
      <t>월</t>
    </r>
    <phoneticPr fontId="27" type="noConversion"/>
  </si>
  <si>
    <r>
      <t>9</t>
    </r>
    <r>
      <rPr>
        <sz val="11"/>
        <color theme="1"/>
        <rFont val="맑은 고딕"/>
        <family val="3"/>
        <charset val="129"/>
      </rPr>
      <t>월</t>
    </r>
    <phoneticPr fontId="27" type="noConversion"/>
  </si>
  <si>
    <t>유니위크 식사지원</t>
    <phoneticPr fontId="27" type="noConversion"/>
  </si>
  <si>
    <t>24p</t>
    <phoneticPr fontId="27" type="noConversion"/>
  </si>
  <si>
    <t>105p</t>
    <phoneticPr fontId="27" type="noConversion"/>
  </si>
  <si>
    <t>50p</t>
    <phoneticPr fontId="27" type="noConversion"/>
  </si>
  <si>
    <t>200p</t>
    <phoneticPr fontId="27" type="noConversion"/>
  </si>
  <si>
    <t>공정특강</t>
    <phoneticPr fontId="27" type="noConversion"/>
  </si>
  <si>
    <t>팀활동 지원비</t>
    <phoneticPr fontId="27" type="noConversion"/>
  </si>
  <si>
    <t>↓</t>
  </si>
  <si>
    <t>6.83억이나, 실제 예정 금액 반영</t>
    <phoneticPr fontId="27" type="noConversion"/>
  </si>
  <si>
    <t>사용일자</t>
  </si>
  <si>
    <t>이체일자</t>
  </si>
  <si>
    <t>등록일자</t>
  </si>
  <si>
    <t>증빙구분</t>
  </si>
  <si>
    <t>비목</t>
  </si>
  <si>
    <t>세부항목</t>
  </si>
  <si>
    <t>사용금액</t>
  </si>
  <si>
    <t>이체공급금액</t>
  </si>
  <si>
    <t>이체부가세액</t>
  </si>
  <si>
    <t>복원공급금액</t>
  </si>
  <si>
    <t>복원부가세액</t>
  </si>
  <si>
    <t>증빙파일</t>
  </si>
  <si>
    <t>예방도우미</t>
  </si>
  <si>
    <t>자계좌
이체증빙</t>
  </si>
  <si>
    <t>연구장비</t>
  </si>
  <si>
    <t>부가정보</t>
  </si>
  <si>
    <t>품목</t>
  </si>
  <si>
    <t>수입신고필증번호</t>
  </si>
  <si>
    <t>지급용도</t>
  </si>
  <si>
    <t>거래처명</t>
  </si>
  <si>
    <t>휴폐업
거래처여부</t>
  </si>
  <si>
    <t>휴폐업
거래처사유</t>
  </si>
  <si>
    <t>카드</t>
  </si>
  <si>
    <t/>
  </si>
  <si>
    <t>이체상태</t>
  </si>
  <si>
    <t>부가세
복원여부</t>
  </si>
  <si>
    <t>점검메모</t>
  </si>
  <si>
    <t>상시점검</t>
  </si>
  <si>
    <t>정산</t>
  </si>
  <si>
    <t>연구개발비
구분</t>
  </si>
  <si>
    <t>등록구분</t>
  </si>
  <si>
    <t>지급구분</t>
  </si>
  <si>
    <t>거래명세서
행정정보</t>
  </si>
  <si>
    <t>본예산</t>
  </si>
  <si>
    <t>계속비</t>
  </si>
  <si>
    <t>탐지건수</t>
  </si>
  <si>
    <t>미확인건수</t>
  </si>
  <si>
    <t>확인건수</t>
  </si>
  <si>
    <t>제외건수</t>
  </si>
  <si>
    <t>카드번호</t>
  </si>
  <si>
    <t>승인번호</t>
  </si>
  <si>
    <t>승인일자</t>
  </si>
  <si>
    <t>매입일자</t>
  </si>
  <si>
    <t>결제일자</t>
  </si>
  <si>
    <t>매입금액</t>
  </si>
  <si>
    <t>취소건수</t>
  </si>
  <si>
    <t>취소금액</t>
  </si>
  <si>
    <t>점검상태</t>
  </si>
  <si>
    <t>점검사유</t>
  </si>
  <si>
    <t>점검의견</t>
  </si>
  <si>
    <t>인정상태</t>
  </si>
  <si>
    <t>보완요청내용</t>
  </si>
  <si>
    <t>불인정사유구분</t>
  </si>
  <si>
    <t>불인정사유내용</t>
  </si>
  <si>
    <t>불인정금액</t>
  </si>
  <si>
    <t>2025.11.28</t>
  </si>
  <si>
    <t>2025.11.27</t>
  </si>
  <si>
    <t>기타증빙</t>
  </si>
  <si>
    <t>정상</t>
  </si>
  <si>
    <t>0</t>
  </si>
  <si>
    <t>미등록</t>
  </si>
  <si>
    <t>N</t>
  </si>
  <si>
    <t>집행(이체) 완료</t>
  </si>
  <si>
    <t>미확정</t>
  </si>
  <si>
    <t>증빙우선</t>
  </si>
  <si>
    <t>건별지급</t>
  </si>
  <si>
    <t>2025.11.25</t>
  </si>
  <si>
    <t>2025.11.21</t>
  </si>
  <si>
    <t>참여연구원 인건비</t>
  </si>
  <si>
    <t>실수령금액(근로)(실수령액)[202511]한호철 등 4명 인건비지급</t>
  </si>
  <si>
    <t>공제금액(근로)(건강보험외 3건)[202511]한호철 등 4명 인건비</t>
  </si>
  <si>
    <t>공제금액(근로)(소득세외 1건)[202511]한호철 등 4명 인건비지</t>
  </si>
  <si>
    <t>기관부담금액(건강보험(기관)외 4건)[202511]한호철 등 4명 인</t>
  </si>
  <si>
    <t>퇴직적립금액(퇴직적립금)[202511]한호철 등 4명 인건비지급내</t>
  </si>
  <si>
    <t>2025.11.19</t>
  </si>
  <si>
    <t>외부 전문기술 활용비</t>
  </si>
  <si>
    <t>공제금액(기타)(소득세외 1건)우수장학금 지급 신청서</t>
  </si>
  <si>
    <t>실수령금액(기타)(실수령액)우수장학금 지급 신청서</t>
  </si>
  <si>
    <t>해당없음</t>
  </si>
  <si>
    <t>공제금액(기타)(소득세외 1건)3기 융합전공 선발장학금 지급</t>
  </si>
  <si>
    <t>실수령금액(기타)(실수령액)3기 융합전공 선발장학금 지급</t>
  </si>
  <si>
    <t>연구시설ㆍ장비 운영ㆍ유지비</t>
  </si>
  <si>
    <t>[구매지출신청] 스위치 매트릭스 구입시 나라장터 이용수수</t>
  </si>
  <si>
    <t>2025.11.14</t>
  </si>
  <si>
    <t>연구활동비 기타비용</t>
  </si>
  <si>
    <t>공제금액(기타)(소득세외 1건)뉴로모픽 반도체 기술을 체계</t>
  </si>
  <si>
    <t>실수령금액(기타)(실수령액)뉴로모픽 반도체 기술을 체계적</t>
  </si>
  <si>
    <t>2025.11.13</t>
  </si>
  <si>
    <t>2025.11.12</t>
  </si>
  <si>
    <t>[반도체특성화대학] MIT URTC 2025 학회 참가 비용</t>
  </si>
  <si>
    <t>2025.11.11</t>
  </si>
  <si>
    <t>실수령금액(기타)(실수령액)우수장학금 지급신청</t>
  </si>
  <si>
    <t>공제금액(기타)(소득세외 1건)이수(졸업) 장학금 사전 신청</t>
  </si>
  <si>
    <t>공제금액(기타)(소득세외 1건)우수장학금 지급신청</t>
  </si>
  <si>
    <t>실수령금액(기타)(실수령액)이수(졸업) 장학금 사전 신청</t>
  </si>
  <si>
    <t>2025.11.06</t>
  </si>
  <si>
    <t>학생인건비통합관리비</t>
  </si>
  <si>
    <t>[0414-20250072_신형철] 학생인건비이관(400-0048)</t>
  </si>
  <si>
    <t>2025.12.01</t>
  </si>
  <si>
    <t>2025.12.02</t>
  </si>
  <si>
    <t>전자(세금)계산서</t>
  </si>
  <si>
    <t>[일반지급신청] 2025 유니위크 운영 분담금_웰비아이  등 총 1</t>
  </si>
  <si>
    <t>주식회사웰비아이</t>
  </si>
  <si>
    <t>연구재료 구입비</t>
  </si>
  <si>
    <t>[구매지출신청] ZN50R CVT DC/RF Probe 등 총 1건</t>
  </si>
  <si>
    <t>주식회사 에스크</t>
  </si>
  <si>
    <t>2025.10.23</t>
  </si>
  <si>
    <t>2025.11.24</t>
  </si>
  <si>
    <t>카드결제</t>
  </si>
  <si>
    <t>ＡＪ네트웍스　주식회사</t>
  </si>
  <si>
    <t>5525-7642-1944-6438</t>
  </si>
  <si>
    <t>38528118</t>
  </si>
  <si>
    <t>2025.10.24</t>
  </si>
  <si>
    <t>2025.12.15</t>
  </si>
  <si>
    <t>2025.10.22</t>
  </si>
  <si>
    <t>고속철도（ＳＲＴ）부산－Ｓ수서</t>
  </si>
  <si>
    <t>22783013</t>
  </si>
  <si>
    <t>공제금액(기타)(소득세외 1건)글로벌장학금-인턴장학금 지급</t>
  </si>
  <si>
    <t>공제금액(기타)(소득세외 1건)반도체특성화대학 글로벌장학</t>
  </si>
  <si>
    <t>실수령금액(기타)(실수령액)반도체특성화대학 글로벌장학금</t>
  </si>
  <si>
    <t>실수령금액(기타)(실수령액)글로벌장학금-인턴장학금 지급</t>
  </si>
  <si>
    <t>퇴직적립금액(퇴직적립금)[202510]한호철 등 4명 인건비지급내</t>
  </si>
  <si>
    <t>공제금액(근로)(건강보험외 3건)[202510]한호철 등 4명 인건비</t>
  </si>
  <si>
    <t>기관부담금액(건강보험(기관)외 4건)[202510]한호철 등 4명 인</t>
  </si>
  <si>
    <t>공제금액(근로)(소득세외 1건)[202510]한호철 등 4명 인건비지</t>
  </si>
  <si>
    <t>실수령금액(근로)(실수령액)[202510]한호철 등 4명 인건비지급</t>
  </si>
  <si>
    <t>[구매지출신청] Impeneanc  e standard  substrate 등 총 2건</t>
  </si>
  <si>
    <t>양전자시스템(주)</t>
  </si>
  <si>
    <t>2025.10.21</t>
  </si>
  <si>
    <t>공제금액(기타)(소득세외 1건)산학협력장학금-인턴장학금 지</t>
  </si>
  <si>
    <t>실수령금액(기타)(실수령액)논문장학금 지급 신청</t>
  </si>
  <si>
    <t>공제금액(기타)(소득세외 1건)논문장학금 지급 신청</t>
  </si>
  <si>
    <t>실수령금액(기타)(실수령액)산학협력장학금-인턴장학금 지</t>
  </si>
  <si>
    <t>2025.10.04</t>
  </si>
  <si>
    <t>트립닷컴</t>
  </si>
  <si>
    <t>41981345</t>
  </si>
  <si>
    <t>2025.10.05</t>
  </si>
  <si>
    <t>2025.10.02</t>
  </si>
  <si>
    <t>ＩＥＥＥ　ＣＢ　ＣＯＮＦＥＲＥＮＣＥ</t>
  </si>
  <si>
    <t>131831</t>
  </si>
  <si>
    <t>2025.10.10</t>
  </si>
  <si>
    <t>2025.11.17</t>
  </si>
  <si>
    <t>124170</t>
  </si>
  <si>
    <t>2025.10.01</t>
  </si>
  <si>
    <t>2025.10.17</t>
  </si>
  <si>
    <t>[반도체특성화대학] 상패제작비</t>
  </si>
  <si>
    <t>네이버파이낸셜（주）</t>
  </si>
  <si>
    <t>5525-7642-1883-0921</t>
  </si>
  <si>
    <t>49311317</t>
  </si>
  <si>
    <t>2025.09.27</t>
  </si>
  <si>
    <t>680656</t>
  </si>
  <si>
    <t>2025.09.29</t>
  </si>
  <si>
    <t>680011</t>
  </si>
  <si>
    <t>679752</t>
  </si>
  <si>
    <t>2025.09.26</t>
  </si>
  <si>
    <t>주）대한항공</t>
  </si>
  <si>
    <t>23614040</t>
  </si>
  <si>
    <t>2025.09.28</t>
  </si>
  <si>
    <t>ＵＳＣＵＳＴＯＭＳ　ＥＳＴＡ　ＡＰＰＬ　</t>
  </si>
  <si>
    <t>679206</t>
  </si>
  <si>
    <t>630208</t>
  </si>
  <si>
    <t>680369</t>
  </si>
  <si>
    <t>678647</t>
  </si>
  <si>
    <t>2025.10.20</t>
  </si>
  <si>
    <t>연구시설ㆍ장비 구입ㆍ설치비</t>
  </si>
  <si>
    <t>시설</t>
  </si>
  <si>
    <t>엘립소미터 구입비</t>
  </si>
  <si>
    <t>폴텍 주식회사</t>
  </si>
  <si>
    <t>미흡</t>
  </si>
  <si>
    <t>증빙 자료 미비</t>
  </si>
  <si>
    <t>2025.09.23</t>
  </si>
  <si>
    <t>[구매지출신청] 실험 물품 보관통 등 총 2건</t>
  </si>
  <si>
    <t>쿠팡</t>
  </si>
  <si>
    <t>32121358</t>
  </si>
  <si>
    <t>2025.09.24</t>
  </si>
  <si>
    <t>BX53MRF 구매  계약</t>
  </si>
  <si>
    <t>(주)아조교역</t>
  </si>
  <si>
    <t>2025.09.25</t>
  </si>
  <si>
    <t>공제금액(근로)(소득세외 1건)[202509]한호철 등 4명 인건비지</t>
  </si>
  <si>
    <t>공제금액(근로)(건강보험외 3건)[202509]한호철 등 4명 인건비</t>
  </si>
  <si>
    <t>실수령금액(근로)(실수령액)[202509]한호철 등 4명 인건비지급</t>
  </si>
  <si>
    <t>기관부담금액(건강보험(기관)외 4건)[202509]한호철 등 4명 인</t>
  </si>
  <si>
    <t>퇴직적립금액(퇴직적립금)[202509]한호철 등 4명 인건비지급내</t>
  </si>
  <si>
    <t>2025.09.22</t>
  </si>
  <si>
    <t>[구매지출신청] 프로브스테이션 수리비 등 총 1건</t>
  </si>
  <si>
    <t>엠에스테크（ＭＳ－ＴＥＣＨ）</t>
  </si>
  <si>
    <t>11867403</t>
  </si>
  <si>
    <t>[구매지출신청]PPP-NCHR 10M_643,500원</t>
  </si>
  <si>
    <t>파크시스템스 주식회사</t>
  </si>
  <si>
    <t>2025.09.19</t>
  </si>
  <si>
    <t>2025.09.18</t>
  </si>
  <si>
    <t>예외등록</t>
  </si>
  <si>
    <t>나라장터 수수료_반도체파라미터분석기 구입비</t>
  </si>
  <si>
    <t>나라장터 수수료_컴퓨터서버 구입비</t>
  </si>
  <si>
    <t>나라장터 수수료_프로브스테이션 구입비</t>
  </si>
  <si>
    <t>2025.10.14</t>
  </si>
  <si>
    <t>[구매지출신청]  BN2A1 외 2건_5,676,000원</t>
  </si>
  <si>
    <t>미성사이언스</t>
  </si>
  <si>
    <t>[구매지출신청] 킴와이프스 중형-200외 9건_822,250원</t>
  </si>
  <si>
    <t>(주)아이넥서스</t>
  </si>
  <si>
    <t>[구매지출신청] Si wafer_1,925,000원</t>
  </si>
  <si>
    <t>(주)남강하이테크</t>
  </si>
  <si>
    <t>[구매지출신청] Sb203 6-12mm granules 4N_1,155,000원</t>
  </si>
  <si>
    <t>태원과학（주）</t>
  </si>
  <si>
    <t>2025.09.11</t>
  </si>
  <si>
    <t>2025.09.15</t>
  </si>
  <si>
    <t>2025.09.12</t>
  </si>
  <si>
    <t>서클주식회사</t>
  </si>
  <si>
    <t>2025.09.08</t>
  </si>
  <si>
    <t>2025.09.05</t>
  </si>
  <si>
    <t>간접비 흡수(비영리)</t>
  </si>
  <si>
    <t>간접비수입(25.09.05)/과제번호:0414-20250072/회차:1/지원기관:산</t>
  </si>
  <si>
    <t>2025.09.04</t>
  </si>
  <si>
    <t>연구실운영비</t>
  </si>
  <si>
    <t>주식회사　비지에프네트웍스</t>
  </si>
  <si>
    <t>19260269</t>
  </si>
  <si>
    <t>2025.09.06</t>
  </si>
  <si>
    <t>（주）오피스디포코리아</t>
  </si>
  <si>
    <t>18177049</t>
  </si>
  <si>
    <t>2025.10.15</t>
  </si>
  <si>
    <t>2025.09.03</t>
  </si>
  <si>
    <t>2025.09.02</t>
  </si>
  <si>
    <t>실수령금액(기타)(실수령액)산학협력장학금-산학인턴장학금</t>
  </si>
  <si>
    <t>공제금액(기타)(소득세외 1건)산학협력장학금-산학인턴장학</t>
  </si>
  <si>
    <t>2025.09.17</t>
  </si>
  <si>
    <t>Wafer 구입비</t>
  </si>
  <si>
    <t>세기트레이딩</t>
  </si>
  <si>
    <t>2025.09.01</t>
  </si>
  <si>
    <t>대한전자공학회 학술대회 참가 및 장학생 솔버톤 대회 본선</t>
  </si>
  <si>
    <t>2025.09.30</t>
  </si>
  <si>
    <t>[구매지출신청] ZN50R CVT DC/RF PROBE _2,332,000원</t>
  </si>
  <si>
    <t>[구매지출신청] Apiezon N grease_1,496,000원</t>
  </si>
  <si>
    <t>2025.08.28</t>
  </si>
  <si>
    <t>퇴직적립금액(퇴직적립금)[202508]권상미 등 1명 인건비지급내</t>
  </si>
  <si>
    <t>기관부담금액(건강보험(기관)외 4건)[202508]권상미 등 1명 인</t>
  </si>
  <si>
    <t>공제금액(근로)(소득세외 1건)[202508]권상미 등 1명 인건비지</t>
  </si>
  <si>
    <t>실수령금액(근로)(실수령액)[202508]권상미 등 1명 인건비지급</t>
  </si>
  <si>
    <t>공제금액(근로)(건강보험외 3건)[202508]권상미 등 1명 인건비</t>
  </si>
  <si>
    <t>2025.08.25</t>
  </si>
  <si>
    <t>무지개출력센터</t>
  </si>
  <si>
    <t>32056240</t>
  </si>
  <si>
    <t>2025.08.26</t>
  </si>
  <si>
    <t>2025.08.21</t>
  </si>
  <si>
    <t>퇴직적립금액(퇴직적립금)[202508]한호철 등 2명 인건비지급내</t>
  </si>
  <si>
    <t>기관부담금액(건강보험(기관)외 4건)[202508]한호철 등 2명 인</t>
  </si>
  <si>
    <t>공제금액(근로)(건강보험외 3건)[202508]한호철 등 2명 인건비</t>
  </si>
  <si>
    <t>공제금액(근로)(소득세외 1건)[202508]한호철 등 2명 인건비지</t>
  </si>
  <si>
    <t>퇴직적립금액(퇴직적립금)[202508]한호철 등 1명 인건비지급내</t>
  </si>
  <si>
    <t>기관부담금액(건강보험(기관)외 4건)[202508]한호철 등 1명 인</t>
  </si>
  <si>
    <t>공제금액(근로)(건강보험외 3건)[202508]한호철 등 1명 인건비</t>
  </si>
  <si>
    <t>실수령금액(근로)(실수령액)[202508]한호철 등 1명 인건비지급</t>
  </si>
  <si>
    <t>공제금액(근로)(소득세외 1건)[202508]한호철 등 1명 인건비지</t>
  </si>
  <si>
    <t>실수령금액(근로)(실수령액)[202508]한호철 등 2명 인건비지급</t>
  </si>
  <si>
    <t>2025.08.20</t>
  </si>
  <si>
    <t>공제금액(기타)(소득세외 1건)산학협력장학금-산학프로젝트</t>
  </si>
  <si>
    <t>실수령금액(기타)(실수령액)산학협력장학금-산학프로젝트장</t>
  </si>
  <si>
    <t>실수령금액(기타)(실수령액)산학협력장학금-산학프로젝트</t>
  </si>
  <si>
    <t>4inch Sio2 Silicon Wafer 구입비</t>
  </si>
  <si>
    <t>웨이퍼마켓 주식회사</t>
  </si>
  <si>
    <t>2025.09.10</t>
  </si>
  <si>
    <t>Spin Coater 계약</t>
  </si>
  <si>
    <t>동아무역</t>
  </si>
  <si>
    <t>2025.08.14</t>
  </si>
  <si>
    <t>퇴직적립금액(퇴직적립금)[기관부담금/퇴직적립금]</t>
  </si>
  <si>
    <t>기관부담금액(건강보험(기관)외 4건)[202507]한호철 등 1명 인</t>
  </si>
  <si>
    <t>공제금액(근로)(건강보험외 3건)[202507]한호철 등 1명 인건비</t>
  </si>
  <si>
    <t>실수령금액(근로)(실수령액)[202507]한호철 등 1명 인건비지급</t>
  </si>
  <si>
    <t>퇴직적립금액(퇴직적립금)[202507]한호철 등 1명 인건비지급내</t>
  </si>
  <si>
    <t>공제금액(근로)(소득세외 1건)[202507]한호철 등 1명 인건비지</t>
  </si>
  <si>
    <t>2025.11.20</t>
  </si>
  <si>
    <t>2025.11.26</t>
  </si>
  <si>
    <t>[구매지출신청] 12 x 12 mm^2, Thickness 1.0 mm type-1 800</t>
  </si>
  <si>
    <t>아토사이언스</t>
  </si>
  <si>
    <t>2025.08.11</t>
  </si>
  <si>
    <t>믿음상패</t>
  </si>
  <si>
    <t>39478241</t>
  </si>
  <si>
    <t>2025.08.12</t>
  </si>
  <si>
    <t>2025.08.07</t>
  </si>
  <si>
    <t>2025.08.08</t>
  </si>
  <si>
    <t>서울대학교 반도체공동연구소</t>
  </si>
  <si>
    <t>2025.07.30</t>
  </si>
  <si>
    <t>21200986</t>
  </si>
  <si>
    <t>2025.07.31</t>
  </si>
  <si>
    <t>공제금액(근로)(소득세외 1건)[202507]강훈경 등 1명 인건비지</t>
  </si>
  <si>
    <t>실수령금액(기타)(실수령액)반도체특성화대학-반도체소자</t>
  </si>
  <si>
    <t>퇴직적립금액(퇴직적립금)[202507]강훈경 등 1명 인건비지급내</t>
  </si>
  <si>
    <t>기관부담금액(건강보험(기관)외 4건)[202507]강훈경 등 1명 인</t>
  </si>
  <si>
    <t>실수령금액(근로)(실수령액)[202507]강훈경 등 1명 인건비지급</t>
  </si>
  <si>
    <t>공제금액(근로)(건강보험외 3건)[202507]강훈경 등 1명 인건비</t>
  </si>
  <si>
    <t>공제금액(기타)(소득세외 1건)반도체특성화대학-반도체소자</t>
  </si>
  <si>
    <t>공제금액(기타)(소득세외 1건)반도체특성화대학-반도체회로</t>
  </si>
  <si>
    <t>실수령금액(기타)(실수령액)반도체특성화대학-반도체회로설</t>
  </si>
  <si>
    <t>조교 활동비- 강사료, 원고료 제외 해당과제  내부 인건비 제외 인원인지 재확인 하시기 바랍니다.</t>
  </si>
  <si>
    <t>2025.07.29</t>
  </si>
  <si>
    <t>공제금액(기타)(소득세외 1건)반도체특성화대학-반도체 회로</t>
  </si>
  <si>
    <t>실수령금액(기타)(실수령액)반도체특성화대학-반도체 회로</t>
  </si>
  <si>
    <t>공제금액(기타)(소득세외 1건)반도체특성화대학 졸업장학금(</t>
  </si>
  <si>
    <t>실수령금액(기타)(실수령액)반도체특성화대학 졸업장학금(</t>
  </si>
  <si>
    <t>2025.07.28</t>
  </si>
  <si>
    <t>2025.07.25</t>
  </si>
  <si>
    <t>2025.07.24</t>
  </si>
  <si>
    <t>실수령금액(근로)(실수령액)[202507]전미자 등 1명 인건비지급</t>
  </si>
  <si>
    <t>공제금액(근로)(고용보험외 1건)[202507]전미자 등 1명 인건비</t>
  </si>
  <si>
    <t>기관부담금액(고용보험(기관)외 2건)[기관부담금/퇴직적립금</t>
  </si>
  <si>
    <t>Tweezer 구입비</t>
  </si>
  <si>
    <t>준성엘에스</t>
  </si>
  <si>
    <t>2025.07.26</t>
  </si>
  <si>
    <t>반도체용 홀효과 측정 시스템 계약</t>
  </si>
  <si>
    <t>(주) 진스홀딩스</t>
  </si>
  <si>
    <t>2025.07.18</t>
  </si>
  <si>
    <t>2025.07.17</t>
  </si>
  <si>
    <t>공제금액(기타)(소득세외 1건)우수장학금(생활비성) 지급</t>
  </si>
  <si>
    <t>실수령금액(기타)(실수령액)우수장학금(생활비성) 지급</t>
  </si>
  <si>
    <t>실수령금액(기타)(실수령액)우수장학금 지급</t>
  </si>
  <si>
    <t>공제금액(기타)(소득세외 1건)우수장학금 지급</t>
  </si>
  <si>
    <t>실수령금액(기타)(실수령액)교내 반도체 경진대회(교내솔버</t>
  </si>
  <si>
    <t>공제금액(기타)(소득세외 1건)교내 반도체 경진대회(교내솔</t>
  </si>
  <si>
    <t>2025.07.16</t>
  </si>
  <si>
    <t>2025.08.04</t>
  </si>
  <si>
    <t>2025.08.01</t>
  </si>
  <si>
    <t>6inch Silicon Wafer(Prime Grade) 구입비</t>
  </si>
  <si>
    <t>（주）아이넥서스</t>
  </si>
  <si>
    <t>28640495</t>
  </si>
  <si>
    <t>2025.08.18</t>
  </si>
  <si>
    <t>2025.07.15</t>
  </si>
  <si>
    <t>2025.07.14</t>
  </si>
  <si>
    <t>공제금액(기타)(소득세외 1건)글로벌장학금 지급</t>
  </si>
  <si>
    <t>실수령금액(기타)(실수령액)글로벌장학금 지급</t>
  </si>
  <si>
    <t>2025.07.11</t>
  </si>
  <si>
    <t>시스템프로</t>
  </si>
  <si>
    <t>07525311</t>
  </si>
  <si>
    <t>2025.07.12</t>
  </si>
  <si>
    <t>2025.06.30</t>
  </si>
  <si>
    <t>2025.06.27</t>
  </si>
  <si>
    <t>공제금액(기타)(소득세외 1건)글로벌장학금(생활비성) 지급</t>
  </si>
  <si>
    <t>실수령금액(기타)(실수령액)글로벌장학금(생활비성) 지급</t>
  </si>
  <si>
    <t>2025.06.25</t>
  </si>
  <si>
    <t>（주）교원프라퍼티　스위트호텔제주</t>
  </si>
  <si>
    <t>45367217</t>
  </si>
  <si>
    <t>2025.06.28</t>
  </si>
  <si>
    <t>2025.06.24</t>
  </si>
  <si>
    <t>공제금액(근로)(고용보험외 1건)[202506]강훈경 등 2명 인건비</t>
  </si>
  <si>
    <t>기관부담금액(고용보험(기관)외 2건)[202506]강훈경 등 2명 인</t>
  </si>
  <si>
    <t>실수령금액(근로)(실수령액)[202506]강훈경 등 2명 인건비지급</t>
  </si>
  <si>
    <t>공제금액(근로)(소득세외 1건)[202506]강훈경 등 2명 인건비지</t>
  </si>
  <si>
    <t>나인플러스아이티(주)</t>
  </si>
  <si>
    <t>2025.06.12</t>
  </si>
  <si>
    <t>10217750</t>
  </si>
  <si>
    <t>2025.06.13</t>
  </si>
  <si>
    <t>2025.07.22</t>
  </si>
  <si>
    <t>2025.07.21</t>
  </si>
  <si>
    <t>5525-7642-1699-1980</t>
  </si>
  <si>
    <t>12571747</t>
  </si>
  <si>
    <t>2025.06.10</t>
  </si>
  <si>
    <t>행사용 물품 구입(대한민국 반도체 산업의 미래, 인재육성</t>
  </si>
  <si>
    <t>30884478</t>
  </si>
  <si>
    <t>2025.06.11</t>
  </si>
  <si>
    <t>Probe Tip-M5SG 구입비</t>
  </si>
  <si>
    <t>주식회사 오티에스테크놀러지</t>
  </si>
  <si>
    <t>2025.06.09</t>
  </si>
  <si>
    <t>공제금액(기타)(소득세외 1건)전문가자문가 지급신청</t>
  </si>
  <si>
    <t>실수령금액(기타)(실수령액)전문가자문가 지급신청</t>
  </si>
  <si>
    <t>2025.06.05</t>
  </si>
  <si>
    <t>1) TA(행정조교) 활동일지 2) 계좌이체증, 재학 확인이 가능한 증명서 3) TA현황표, 월별 지급액 총괄 내역서</t>
  </si>
  <si>
    <t>2025.06.04</t>
  </si>
  <si>
    <t>우정사업본부（우체국）</t>
  </si>
  <si>
    <t>03056583</t>
  </si>
  <si>
    <t>2025.06.07</t>
  </si>
  <si>
    <t>03056707</t>
  </si>
  <si>
    <t>48672224</t>
  </si>
  <si>
    <t>반도체특성화대학 GPU 클러스터 운영  기술지원 용역비</t>
  </si>
  <si>
    <t>(주)엠키스코어</t>
  </si>
  <si>
    <t>용역결과보고서 제출 바랍니다.</t>
  </si>
  <si>
    <t>2025.05.30</t>
  </si>
  <si>
    <t>34222264</t>
  </si>
  <si>
    <t>2025.05.31</t>
  </si>
  <si>
    <t>2025.06.02</t>
  </si>
  <si>
    <t>네오피스</t>
  </si>
  <si>
    <t>2025.05.27</t>
  </si>
  <si>
    <t>（주）광고백화점트인</t>
  </si>
  <si>
    <t>45873029</t>
  </si>
  <si>
    <t>2025.05.28</t>
  </si>
  <si>
    <t>2025.05.29</t>
  </si>
  <si>
    <t>FPGA 보드</t>
  </si>
  <si>
    <t>(주)리버트론</t>
  </si>
  <si>
    <t>2025.05.26</t>
  </si>
  <si>
    <t>주식회사　티디엑스</t>
  </si>
  <si>
    <t>27471928</t>
  </si>
  <si>
    <t>31644772</t>
  </si>
  <si>
    <t>2025.05.23</t>
  </si>
  <si>
    <t>연구용 wafer 구입비</t>
  </si>
  <si>
    <t>2235625462235M</t>
  </si>
  <si>
    <t>ＮＯＶＡ　ＥＬＥＣＴＲＯＮＩＣ　ＭＡＴＥ</t>
  </si>
  <si>
    <t>605391</t>
  </si>
  <si>
    <t>2025.05.22</t>
  </si>
  <si>
    <t>2025.08.05</t>
  </si>
  <si>
    <t>（사）대한전자공학회</t>
  </si>
  <si>
    <t>24721591</t>
  </si>
  <si>
    <t>24425993</t>
  </si>
  <si>
    <t>24389843</t>
  </si>
  <si>
    <t>24599988</t>
  </si>
  <si>
    <t>24572653</t>
  </si>
  <si>
    <t>24751449</t>
  </si>
  <si>
    <t>24638097</t>
  </si>
  <si>
    <t>24529176</t>
  </si>
  <si>
    <t>24533017</t>
  </si>
  <si>
    <t>24640051</t>
  </si>
  <si>
    <t>24555652</t>
  </si>
  <si>
    <t>24655257</t>
  </si>
  <si>
    <t>24615486</t>
  </si>
  <si>
    <t>24505062</t>
  </si>
  <si>
    <t>24680624</t>
  </si>
  <si>
    <t>24475455</t>
  </si>
  <si>
    <t>24601024</t>
  </si>
  <si>
    <t>24579517</t>
  </si>
  <si>
    <t>24461580</t>
  </si>
  <si>
    <t>24735464</t>
  </si>
  <si>
    <t>24488132</t>
  </si>
  <si>
    <t>24705827</t>
  </si>
  <si>
    <t>2025.05.21</t>
  </si>
  <si>
    <t>㈜교원프라퍼티　스위트호텔제주</t>
  </si>
  <si>
    <t>16428024</t>
  </si>
  <si>
    <t>16310723</t>
  </si>
  <si>
    <t>주식회사　놀유니버스</t>
  </si>
  <si>
    <t>15789441</t>
  </si>
  <si>
    <t>14996632</t>
  </si>
  <si>
    <t>14948559</t>
  </si>
  <si>
    <t>14885526</t>
  </si>
  <si>
    <t>14851041</t>
  </si>
  <si>
    <t>12930626</t>
  </si>
  <si>
    <t>12659979</t>
  </si>
  <si>
    <t>16370305</t>
  </si>
  <si>
    <t>14919911</t>
  </si>
  <si>
    <t>12815880</t>
  </si>
  <si>
    <t>기관부담금액(고용보험(기관)외 2건)[202505]강훈경 등 2명 인</t>
  </si>
  <si>
    <t>실수령금액(근로)(실수령액)[202505]강훈경 등 2명 인건비지급</t>
  </si>
  <si>
    <t>공제금액(근로)(소득세외 1건)[202505]강훈경 등 2명 인건비지</t>
  </si>
  <si>
    <t>공제금액(근로)(고용보험외 1건)[202505]강훈경 등 2명 인건비</t>
  </si>
  <si>
    <t>실수령금액(기타)(실수령액)반도체특성화대학 반도체 트랙</t>
  </si>
  <si>
    <t>공제금액(기타)(소득세외 1건)반도체특성화대학 반도체 트랙</t>
  </si>
  <si>
    <t>2025.05.19</t>
  </si>
  <si>
    <t>40672897</t>
  </si>
  <si>
    <t>2025.05.20</t>
  </si>
  <si>
    <t>40671093</t>
  </si>
  <si>
    <t>키사이트테크놀로지스코리아 주식회사</t>
  </si>
  <si>
    <t>사용기한 확인가능한 견적서 제출 바랍니다.</t>
  </si>
  <si>
    <t>2025.05.08</t>
  </si>
  <si>
    <t>2025.05.07</t>
  </si>
  <si>
    <t>공제금액(기타)(소득세외 1건)반도체특성화대학 우수 장학금</t>
  </si>
  <si>
    <t>실수령금액(기타)(실수령액)반도체특성화대학 우수 장학금</t>
  </si>
  <si>
    <t>2025.04.30</t>
  </si>
  <si>
    <t>2025.04.29</t>
  </si>
  <si>
    <t>기관부담금액(고용보험(기관)외 2건)[202504]강훈경 등 2명 인</t>
  </si>
  <si>
    <t>공제금액(근로)(소득세외 1건)[202504]강훈경 등 2명 인건비지</t>
  </si>
  <si>
    <t>공제금액(근로)(고용보험외 1건)[202504]강훈경 등 2명 인건비</t>
  </si>
  <si>
    <t>실수령금액(근로)(실수령액)[202504]강훈경 등 2명 인건비지급</t>
  </si>
  <si>
    <t>2025.04.14</t>
  </si>
  <si>
    <t>기관부담금액(고용보험(기관)외 2건)[202503]강훈경 등 2명 인</t>
  </si>
  <si>
    <t>공제금액(근로)(고용보험외 1건)[202503]강훈경 등 2명 인건비</t>
  </si>
  <si>
    <t>공제금액(근로)(소득세외 1건)[202503]강훈경 등 2명 인건비지</t>
  </si>
  <si>
    <t>실수령금액(근로)(실수령액)[202503]강훈경 등 2명 인건비지급</t>
  </si>
  <si>
    <t>2025.05.14</t>
  </si>
  <si>
    <t>B1500A용 파형 발생 고속 펄스 전류 전압 측정 유니트 계약</t>
  </si>
  <si>
    <t>엠에스테크에스아이주식회사</t>
  </si>
  <si>
    <t>3천이상 공개입찰 자료 제출 바랍니다.</t>
  </si>
  <si>
    <t>간접비</t>
    <phoneticPr fontId="27" type="noConversion"/>
  </si>
  <si>
    <t>학생인건비</t>
    <phoneticPr fontId="27" type="noConversion"/>
  </si>
  <si>
    <t>본예산 편성 금액 [천원]</t>
    <phoneticPr fontId="27" type="noConversion"/>
  </si>
  <si>
    <t>이월금 편성 금액 [천원]</t>
    <phoneticPr fontId="27" type="noConversion"/>
  </si>
  <si>
    <t>(25.11.30 RCMS 기준)</t>
    <phoneticPr fontId="27" type="noConversion"/>
  </si>
  <si>
    <t>(3차년도 완료시 26.02.28 기준)</t>
    <phoneticPr fontId="27" type="noConversion"/>
  </si>
  <si>
    <t>단가 기준 : 750만원 x 80%</t>
    <phoneticPr fontId="27" type="noConversion"/>
  </si>
  <si>
    <t>풀링계좌 인건비 이체 완료, 변동사항 없음</t>
    <phoneticPr fontId="27" type="noConversion"/>
  </si>
  <si>
    <t>간접비 지출 완료</t>
    <phoneticPr fontId="27" type="noConversion"/>
  </si>
  <si>
    <t>월별 순차지금 (36%)
인센티브 (23%) 3차년도 종료후 일괄 지급</t>
    <phoneticPr fontId="27" type="noConversion"/>
  </si>
  <si>
    <t>이월예정액</t>
    <phoneticPr fontId="27" type="noConversion"/>
  </si>
  <si>
    <t>543,018,500 -&gt; 실제구매가 352,000,000</t>
    <phoneticPr fontId="27" type="noConversion"/>
  </si>
  <si>
    <t>ALD 제외 모든장비 도입완료, 검수 및 지출 절차 진행중 (57%)
ALD 12월 말 도입예정 (22.6%)
컴공 세미나실 지원금 미사용 (1.8%)</t>
    <phoneticPr fontId="27" type="noConversion"/>
  </si>
  <si>
    <t>미사용 예정 금액: 4차년도 협약이전 인건비 활용 등 (1.4%)</t>
    <phoneticPr fontId="27" type="noConversion"/>
  </si>
  <si>
    <t>3차년도 예산 집행 현황</t>
    <phoneticPr fontId="27" type="noConversion"/>
  </si>
  <si>
    <t>첨융 교육용 칩 제작 공정처리비 (32.5%)
재료/공정처리비 지원 (6%)</t>
    <phoneticPr fontId="27" type="noConversion"/>
  </si>
  <si>
    <t>one-day 공정특강, 소모성 비용 (인쇄비, 수료증 등) (5.9%)</t>
    <phoneticPr fontId="27" type="noConversion"/>
  </si>
  <si>
    <t>모자란 금액 (84,348,000 - 95,987,810)만큼 본예산</t>
    <phoneticPr fontId="27" type="noConversion"/>
  </si>
  <si>
    <t>숙박 + 오는기차 + 일비 + 식비(1박 2일이나, 중간 참여 등 과정이 복잡해서 1일치만 제공) 615,234 원 확정</t>
    <phoneticPr fontId="27" type="noConversion"/>
  </si>
  <si>
    <t>간접비 포함 (전체사업비의 5%)</t>
    <phoneticPr fontId="27" type="noConversion"/>
  </si>
  <si>
    <t>변동폭 [천원]</t>
    <phoneticPr fontId="27" type="noConversion"/>
  </si>
  <si>
    <t>11월 18일 첨융 GPU 3대 + 11월 14일 프로브 스테이션, B1500 도입 완료 (39%)</t>
    <phoneticPr fontId="27" type="noConversion"/>
  </si>
  <si>
    <t>ALD : 3.52억 최종계약 완료, 도입 진행 중 (39%)</t>
    <phoneticPr fontId="27" type="noConversion"/>
  </si>
  <si>
    <t>스위치매트릭스 : 11월 14일 도입 완료 (11%)</t>
    <phoneticPr fontId="27" type="noConversion"/>
  </si>
  <si>
    <t>2025.12.08</t>
  </si>
  <si>
    <t>[일반지급신청] [반도체특성화대학] ICCE-Asia 2025 학회 등록 25</t>
  </si>
  <si>
    <t>2025.12.05</t>
  </si>
  <si>
    <t>공제금액(기타)(소득세외 1건)[연구수당지급]최신 DRAM Integrati</t>
  </si>
  <si>
    <t>실수령금액(기타)(실수령액)[연구수당지급]최신 DRAM Integration</t>
  </si>
  <si>
    <t>컴퓨터서버 구입비</t>
  </si>
  <si>
    <t>주)디에스앤지</t>
  </si>
  <si>
    <t>2025.12.09</t>
  </si>
  <si>
    <t>[일반지급신청] 차세대지능형반도체전공 2025년 장학생 간담</t>
  </si>
  <si>
    <t>14923304</t>
  </si>
  <si>
    <t>14934705</t>
  </si>
  <si>
    <t>2025.11.18</t>
  </si>
  <si>
    <t>2025.12.04</t>
  </si>
  <si>
    <t>[구매지출신청] 도시바 외장하드 1테라 저장장치 1TB 외장HDD (</t>
  </si>
  <si>
    <t>48039399</t>
  </si>
  <si>
    <t>멀티 어레이 프로브카드 프로브스테이션 장비 구매</t>
  </si>
  <si>
    <t>반도체특성분석기 (파라미터분석기) 구매</t>
  </si>
  <si>
    <t>[구매지출신청]물품 구매(소독티슈) 비용 청구 등 총 1건</t>
  </si>
  <si>
    <t>16390688</t>
  </si>
  <si>
    <t>열매기획</t>
  </si>
  <si>
    <t>17884430</t>
  </si>
  <si>
    <t>2025.11.10</t>
  </si>
  <si>
    <t>[구매지출신청] 오피오피스디포 복사용지(A4/75g/500매5권 /박</t>
  </si>
  <si>
    <t>39378958</t>
  </si>
  <si>
    <t>1) TA(행정조교) 활동일지 2) 계좌이체증, 재학 확인이 가능한 증명서 3) TA현황표, 월별 지급액 총괄 내역서 제출 바랍니다.</t>
  </si>
  <si>
    <t>활동결과보고서 제출 바랍니다.</t>
  </si>
  <si>
    <t>2025.10.27</t>
  </si>
  <si>
    <t>신라스테이　해운대</t>
  </si>
  <si>
    <t>47782887</t>
  </si>
  <si>
    <t>2025.10.30</t>
  </si>
  <si>
    <t>20652063</t>
  </si>
  <si>
    <t>고속철도（ＫＴＸ）서울－부산</t>
  </si>
  <si>
    <t>21991665</t>
  </si>
  <si>
    <t>2025.10.28</t>
  </si>
  <si>
    <t>고속철도（ＫＴＸ）부산－서울</t>
  </si>
  <si>
    <t>22356495</t>
  </si>
  <si>
    <t>2025.09.16</t>
  </si>
  <si>
    <t>30760659</t>
  </si>
  <si>
    <t>30734243</t>
  </si>
  <si>
    <t>16918877</t>
  </si>
  <si>
    <t>16898073</t>
  </si>
  <si>
    <t>16705310</t>
  </si>
  <si>
    <t>16570684</t>
  </si>
  <si>
    <t>23712639</t>
  </si>
  <si>
    <t>23683529</t>
  </si>
  <si>
    <t>23670516</t>
  </si>
  <si>
    <t>23629515</t>
  </si>
  <si>
    <t>23612641</t>
  </si>
  <si>
    <t>23575242</t>
  </si>
  <si>
    <t>23541524</t>
  </si>
  <si>
    <t>23425066</t>
  </si>
  <si>
    <t>21959613</t>
  </si>
  <si>
    <t>17013429</t>
  </si>
  <si>
    <t>16878061</t>
  </si>
  <si>
    <t>16791144</t>
  </si>
  <si>
    <t>16740027</t>
  </si>
  <si>
    <t>16192869</t>
  </si>
  <si>
    <t>23594589</t>
  </si>
  <si>
    <t>23560203</t>
  </si>
  <si>
    <t>23515721</t>
  </si>
  <si>
    <t>23464133</t>
  </si>
  <si>
    <t>21952409</t>
  </si>
  <si>
    <t>16982911</t>
  </si>
  <si>
    <t>16960210</t>
  </si>
  <si>
    <t>-</t>
    <phoneticPr fontId="27" type="noConversion"/>
  </si>
  <si>
    <t>연구활동비</t>
    <phoneticPr fontId="27" type="noConversion"/>
  </si>
  <si>
    <t>실제사용금액</t>
    <phoneticPr fontId="27" type="noConversion"/>
  </si>
  <si>
    <t>잔여금액</t>
    <phoneticPr fontId="27" type="noConversion"/>
  </si>
  <si>
    <t>교재 인쇄비</t>
    <phoneticPr fontId="27" type="noConversion"/>
  </si>
  <si>
    <t>기존 343만원 -&gt; 첨융만 60만원 -&gt; 696,000 원 -&gt; 대응자금</t>
    <phoneticPr fontId="27" type="noConversion"/>
  </si>
  <si>
    <t>2025.12.18</t>
  </si>
  <si>
    <t>2025.12.17</t>
  </si>
  <si>
    <t>[구매지출신청] 진공증착기 구입시 나라장터 이용수수료 등</t>
  </si>
  <si>
    <t>해당사업비카드 미사용 불인정 대상입니다.  타과제에서 미사용 내역 확인 바랍니다.</t>
  </si>
  <si>
    <t>2025.12.16</t>
  </si>
  <si>
    <t>강훈경 외 0건</t>
  </si>
  <si>
    <t>애슐리퀸즈　스타필드마켓　일산점</t>
  </si>
  <si>
    <t>39027382</t>
  </si>
  <si>
    <t>2025.11.22</t>
  </si>
  <si>
    <t>2026.01.15</t>
  </si>
  <si>
    <t>[일반지급신청]2025 유니위크 행사 (11/19~21) 학생 점심 식대_ 1,</t>
  </si>
  <si>
    <t>39024312</t>
  </si>
  <si>
    <t>24811972</t>
  </si>
  <si>
    <t>24794252</t>
  </si>
  <si>
    <t>[구매지출신청]  2차년도 연차실적 보고서 제본비  등 총 1건</t>
  </si>
  <si>
    <t>30412207</t>
  </si>
  <si>
    <t>12046401</t>
  </si>
  <si>
    <t>11198811</t>
  </si>
  <si>
    <t>10945101</t>
  </si>
  <si>
    <t>11196955</t>
  </si>
  <si>
    <t>11200752</t>
  </si>
  <si>
    <t>2025.12.19</t>
  </si>
  <si>
    <t>스위치 매트릭스 계약</t>
  </si>
  <si>
    <t>학회참가확인증 제출 바랍니다.</t>
  </si>
  <si>
    <t>[구매지출신청] 무선마우스 (M280/블랙/Logitech) 등 총 2건</t>
  </si>
  <si>
    <t>27765175</t>
  </si>
  <si>
    <t>강훈경 (25.7 - 25.12)</t>
    <phoneticPr fontId="27" type="noConversion"/>
  </si>
  <si>
    <t>강훈경 (26.1 - 26.2)</t>
    <phoneticPr fontId="27" type="noConversion"/>
  </si>
  <si>
    <t>2025.12.26</t>
  </si>
  <si>
    <t>2025.12.24</t>
  </si>
  <si>
    <t>공제금액(기타)(소득세외 1건)논문장학금 지급신청: 박정우 1</t>
  </si>
  <si>
    <t>실수령금액(기타)(실수령액)논문장학금 지급신청: 박정우 1,0</t>
  </si>
  <si>
    <t>2025.12.22</t>
  </si>
  <si>
    <t>[일반지급신청] STOB 리그 팀활동지원비- 서울대학교 에피학</t>
  </si>
  <si>
    <t>기관부담금액(건강보험(기관)외 4건)[202512]한호철 등 4명 인</t>
  </si>
  <si>
    <t>공제금액(근로)(소득세외 1건)[202512]한호철 등 4명 인건비지</t>
  </si>
  <si>
    <t>퇴직적립금액(퇴직적립금)[202512]한호철 등 4명 인건비지급내</t>
  </si>
  <si>
    <t>공제금액(근로)(건강보험외 3건)[202512]한호철 등 4명 인건비</t>
  </si>
  <si>
    <t>실수령금액(근로)(실수령액)[202512]한호철 등 4명 인건비지급</t>
  </si>
  <si>
    <t>[구매지출신청] 뉴로모틱 반도체 기술 교재 출력비  등 총 2</t>
  </si>
  <si>
    <t>49297402</t>
  </si>
  <si>
    <t>[구매지출신청] 캐논 CRG 054 H 세트 토너 MF645Cx MF643Cdw LBP62</t>
  </si>
  <si>
    <t>46656372</t>
  </si>
  <si>
    <t>[구매지출신청] Quartz chrome mask 등 총 1건</t>
  </si>
  <si>
    <t>(주)마이크로이미지</t>
  </si>
  <si>
    <t>[구매지출신청] 에너자이저 맥스 건전지(AA18/18개입/LR06/알카</t>
  </si>
  <si>
    <t>26115468</t>
  </si>
  <si>
    <t>2025.12.06</t>
  </si>
  <si>
    <t>[구매지출신청] 4inch Single Wafer Tray 외 총 4건</t>
  </si>
  <si>
    <t>인건비 월별 순차지급 (7%) + 인센티브 (23%) 3차년도 종료후 일괄 지급</t>
    <phoneticPr fontId="27" type="noConversion"/>
  </si>
  <si>
    <t>한호철 연구원 자료 반영 (26.01.07) - 예측사용률 반영</t>
    <phoneticPr fontId="27" type="noConversion"/>
  </si>
  <si>
    <t>1</t>
  </si>
  <si>
    <t>2025.12.23</t>
  </si>
  <si>
    <t>2026.01.09</t>
  </si>
  <si>
    <t>[구매지출신청] 4차년도 사업계획서_33,000원</t>
  </si>
  <si>
    <t>13007851</t>
  </si>
  <si>
    <t>[구매지출신청] 3차년도 사업계획서, 활동보고서 출력_154,660</t>
  </si>
  <si>
    <t>23921506</t>
  </si>
  <si>
    <t>시험분석료</t>
    <phoneticPr fontId="27" type="noConversion"/>
  </si>
  <si>
    <t>박철진 장비교육비</t>
    <phoneticPr fontId="27" type="noConversion"/>
  </si>
  <si>
    <t>박철진 공정장비이용료</t>
    <phoneticPr fontId="27" type="noConversion"/>
  </si>
  <si>
    <t>첨융 교육용 칩 제작비용</t>
    <phoneticPr fontId="27" type="noConversion"/>
  </si>
  <si>
    <r>
      <t xml:space="preserve">(Δ: -35,789) </t>
    </r>
    <r>
      <rPr>
        <vertAlign val="superscript"/>
        <sz val="15"/>
        <color rgb="FF292929"/>
        <rFont val="함초롬돋움"/>
        <family val="3"/>
        <charset val="129"/>
      </rPr>
      <t>1)</t>
    </r>
    <phoneticPr fontId="27" type="noConversion"/>
  </si>
  <si>
    <r>
      <t xml:space="preserve">(Δ: +35,789) </t>
    </r>
    <r>
      <rPr>
        <vertAlign val="superscript"/>
        <sz val="15"/>
        <color rgb="FF292929"/>
        <rFont val="함초롬돋움"/>
        <family val="3"/>
        <charset val="129"/>
      </rPr>
      <t>1)</t>
    </r>
    <phoneticPr fontId="27" type="noConversion"/>
  </si>
  <si>
    <t>(25.01.07 기준)</t>
    <phoneticPr fontId="27" type="noConversion"/>
  </si>
  <si>
    <t>(현시점 26.01.12 기준)</t>
    <phoneticPr fontId="27" type="noConversion"/>
  </si>
  <si>
    <t>재료/공정처리비 지원 (2%)</t>
    <phoneticPr fontId="27" type="noConversion"/>
  </si>
  <si>
    <t>공정특강, 소모성 비용 (인쇄비, 수료증 등) (1%)
4차년도 GPU, EDA 용역 계약 (7%)
공정처리비 지원, 칩제작 지원 (6%)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</si>
</sst>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yyyy\-mm\-dd"/>
    <numFmt numFmtId="178" formatCode="0.0%"/>
    <numFmt numFmtId="179" formatCode="&quot;₩&quot;#,##0"/>
    <numFmt numFmtId="180" formatCode="0.00_);[Red]\(0.00\)"/>
    <numFmt numFmtId="181" formatCode="0.00_ "/>
    <numFmt numFmtId="182" formatCode="_-* #,##0_-;\-* #,##0_-;_-* &quot;-&quot;_-;_-@"/>
  </numFmts>
  <fonts count="56">
    <font>
      <sz val="11"/>
      <color theme="1"/>
      <name val="Aptos Narrow"/>
      <scheme val="minor"/>
    </font>
    <font>
      <b/>
      <sz val="22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Aptos Narrow"/>
      <family val="2"/>
    </font>
    <font>
      <b/>
      <sz val="16"/>
      <color theme="1"/>
      <name val="Malgun Gothic"/>
      <family val="3"/>
      <charset val="129"/>
    </font>
    <font>
      <b/>
      <sz val="20"/>
      <color rgb="FF002060"/>
      <name val="Malgun Gothic"/>
      <family val="3"/>
      <charset val="129"/>
    </font>
    <font>
      <sz val="11"/>
      <color theme="1"/>
      <name val="Aptos Narrow"/>
      <family val="2"/>
    </font>
    <font>
      <b/>
      <sz val="14"/>
      <color theme="1"/>
      <name val="Malgun Gothic"/>
      <family val="3"/>
      <charset val="129"/>
    </font>
    <font>
      <b/>
      <u/>
      <sz val="14"/>
      <color theme="1"/>
      <name val="Malgun Gothic"/>
      <family val="3"/>
      <charset val="129"/>
    </font>
    <font>
      <b/>
      <u/>
      <sz val="14"/>
      <color theme="1"/>
      <name val="Malgun Gothic"/>
      <family val="3"/>
      <charset val="129"/>
    </font>
    <font>
      <b/>
      <u/>
      <sz val="11"/>
      <color theme="1"/>
      <name val="Malgun Gothic"/>
      <family val="3"/>
      <charset val="129"/>
    </font>
    <font>
      <b/>
      <u/>
      <sz val="11"/>
      <color theme="1"/>
      <name val="Malgun Gothic"/>
      <family val="3"/>
      <charset val="129"/>
    </font>
    <font>
      <b/>
      <u/>
      <sz val="11"/>
      <color theme="1"/>
      <name val="Malgun Gothic"/>
      <family val="3"/>
      <charset val="129"/>
    </font>
    <font>
      <b/>
      <u/>
      <sz val="14"/>
      <color theme="1"/>
      <name val="Malgun Gothic"/>
      <family val="3"/>
      <charset val="129"/>
    </font>
    <font>
      <b/>
      <u/>
      <sz val="14"/>
      <color theme="1"/>
      <name val="Malgun Gothic"/>
      <family val="3"/>
      <charset val="129"/>
    </font>
    <font>
      <b/>
      <sz val="13"/>
      <color rgb="FF000000"/>
      <name val="함초롬바탕"/>
      <family val="1"/>
      <charset val="129"/>
    </font>
    <font>
      <b/>
      <sz val="11"/>
      <color rgb="FF000000"/>
      <name val="함초롬바탕"/>
      <family val="1"/>
      <charset val="129"/>
    </font>
    <font>
      <sz val="11"/>
      <color rgb="FF000000"/>
      <name val="함초롬바탕"/>
      <family val="1"/>
      <charset val="129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0"/>
      <color rgb="FF000000"/>
      <name val="함초롬바탕"/>
      <family val="1"/>
      <charset val="129"/>
    </font>
    <font>
      <sz val="10"/>
      <color rgb="FF000000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trike/>
      <sz val="10"/>
      <color rgb="FF000000"/>
      <name val="함초롬바탕"/>
      <family val="1"/>
      <charset val="129"/>
    </font>
    <font>
      <strike/>
      <sz val="10"/>
      <color rgb="FF000000"/>
      <name val="함초롬바탕"/>
      <family val="1"/>
      <charset val="129"/>
    </font>
    <font>
      <sz val="8"/>
      <name val="Aptos Narrow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ptos Narrow"/>
      <family val="2"/>
      <scheme val="minor"/>
    </font>
    <font>
      <sz val="11"/>
      <color theme="1"/>
      <name val="Malgun Gothic"/>
      <charset val="129"/>
    </font>
    <font>
      <sz val="11"/>
      <color theme="1"/>
      <name val="맑은 고딕"/>
      <family val="2"/>
      <charset val="129"/>
    </font>
    <font>
      <sz val="9"/>
      <color theme="1"/>
      <name val="Malgun Gothic"/>
      <family val="3"/>
      <charset val="129"/>
    </font>
    <font>
      <sz val="11"/>
      <name val="맑은 고딕"/>
      <family val="2"/>
      <charset val="129"/>
    </font>
    <font>
      <sz val="11"/>
      <name val="Malgun Gothic"/>
      <family val="2"/>
      <charset val="129"/>
    </font>
    <font>
      <sz val="17"/>
      <color rgb="FF292929"/>
      <name val="함초롬돋움"/>
      <family val="3"/>
      <charset val="129"/>
    </font>
    <font>
      <b/>
      <sz val="60"/>
      <color theme="1"/>
      <name val="맑은 고딕"/>
      <family val="3"/>
      <charset val="129"/>
    </font>
    <font>
      <sz val="60"/>
      <color theme="1"/>
      <name val="Aptos Narrow"/>
      <family val="2"/>
      <scheme val="minor"/>
    </font>
    <font>
      <sz val="15"/>
      <color rgb="FF292929"/>
      <name val="함초롬돋움"/>
      <family val="3"/>
      <charset val="129"/>
    </font>
    <font>
      <sz val="17"/>
      <color rgb="FF292929"/>
      <name val="맑은 고딕"/>
      <family val="3"/>
      <charset val="129"/>
    </font>
    <font>
      <sz val="17"/>
      <color rgb="FF292929"/>
      <name val="함초롬돋움"/>
      <family val="1"/>
      <charset val="129"/>
    </font>
    <font>
      <sz val="12"/>
      <color rgb="FF292929"/>
      <name val="함초롬돋움"/>
      <family val="1"/>
      <charset val="129"/>
    </font>
    <font>
      <sz val="10"/>
      <color rgb="FF292929"/>
      <name val="함초롬돋움"/>
      <family val="1"/>
      <charset val="129"/>
    </font>
    <font>
      <sz val="15"/>
      <color rgb="FF292929"/>
      <name val="함초롬돋움"/>
      <family val="1"/>
      <charset val="129"/>
    </font>
    <font>
      <sz val="11"/>
      <color theme="1"/>
      <name val="함초롬돋움"/>
      <family val="1"/>
      <charset val="129"/>
    </font>
    <font>
      <sz val="16"/>
      <color rgb="FF292929"/>
      <name val="함초롬돋움"/>
      <family val="1"/>
      <charset val="129"/>
    </font>
    <font>
      <sz val="18"/>
      <name val="함초롬돋움"/>
      <family val="1"/>
      <charset val="129"/>
    </font>
    <font>
      <sz val="17"/>
      <name val="함초롬돋움"/>
      <family val="1"/>
      <charset val="129"/>
    </font>
    <font>
      <vertAlign val="superscript"/>
      <sz val="15"/>
      <color rgb="FF292929"/>
      <name val="함초롬돋움"/>
      <family val="3"/>
      <charset val="129"/>
    </font>
    <font>
      <sz val="9"/>
      <name val="맑은 고딕"/>
      <family val="3"/>
      <charset val="129"/>
    </font>
    <font>
      <sz val="10"/>
      <name val="Calibri"/>
      <family val="2"/>
    </font>
    <font>
      <sz val="10"/>
      <name val="맑은 고딕"/>
      <family val="3"/>
      <charset val="129"/>
    </font>
    <font>
      <sz val="11"/>
      <color theme="1"/>
      <name val="Aptos Narrow"/>
      <family val="3"/>
      <charset val="129"/>
      <scheme val="minor"/>
    </font>
    <font>
      <sz val="11"/>
      <color indexed="8"/>
      <name val="Aptos Narrow"/>
      <family val="2"/>
      <scheme val="minor"/>
    </font>
    <font>
      <sz val="1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C1F0C8"/>
        <bgColor rgb="FFC1F0C8"/>
      </patternFill>
    </fill>
    <fill>
      <patternFill patternType="solid">
        <fgColor rgb="FF83CAEB"/>
        <bgColor rgb="FF83CAEB"/>
      </patternFill>
    </fill>
    <fill>
      <patternFill patternType="solid">
        <fgColor rgb="FFFDFEEB"/>
        <bgColor rgb="FFFDFEEB"/>
      </patternFill>
    </fill>
    <fill>
      <patternFill patternType="solid">
        <fgColor rgb="FFFFE7D7"/>
        <bgColor rgb="FFFFE7D7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DBE9F7"/>
      </patternFill>
    </fill>
    <fill>
      <patternFill patternType="solid">
        <fgColor rgb="FFFFFF00"/>
        <bgColor rgb="FFC1E4F5"/>
      </patternFill>
    </fill>
    <fill>
      <patternFill patternType="solid">
        <fgColor theme="4" tint="0.79998168889431442"/>
        <bgColor rgb="FFC1E4F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rgb="FFEEEEEE"/>
      </patternFill>
    </fill>
    <fill>
      <patternFill patternType="solid">
        <fgColor rgb="FFD9D9D9"/>
        <bgColor indexed="64"/>
      </patternFill>
    </fill>
    <fill>
      <patternFill patternType="solid">
        <fgColor rgb="FFFDFEEB"/>
        <bgColor indexed="64"/>
      </patternFill>
    </fill>
  </fills>
  <borders count="23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ck">
        <color rgb="FF595959"/>
      </bottom>
      <diagonal/>
    </border>
    <border>
      <left style="thick">
        <color rgb="FF595959"/>
      </left>
      <right style="thin">
        <color rgb="FF000000"/>
      </right>
      <top style="thick">
        <color rgb="FF595959"/>
      </top>
      <bottom/>
      <diagonal/>
    </border>
    <border>
      <left style="thin">
        <color rgb="FF000000"/>
      </left>
      <right/>
      <top style="thick">
        <color rgb="FF595959"/>
      </top>
      <bottom/>
      <diagonal/>
    </border>
    <border>
      <left/>
      <right/>
      <top style="thick">
        <color rgb="FF595959"/>
      </top>
      <bottom/>
      <diagonal/>
    </border>
    <border>
      <left/>
      <right style="thin">
        <color rgb="FF000000"/>
      </right>
      <top style="thick">
        <color rgb="FF595959"/>
      </top>
      <bottom/>
      <diagonal/>
    </border>
    <border>
      <left style="thin">
        <color rgb="FF000000"/>
      </left>
      <right style="thin">
        <color rgb="FF000000"/>
      </right>
      <top style="thick">
        <color rgb="FF595959"/>
      </top>
      <bottom/>
      <diagonal/>
    </border>
    <border>
      <left/>
      <right style="thick">
        <color rgb="FF595959"/>
      </right>
      <top style="thick">
        <color rgb="FF595959"/>
      </top>
      <bottom/>
      <diagonal/>
    </border>
    <border>
      <left style="thick">
        <color rgb="FF59595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595959"/>
      </right>
      <top/>
      <bottom style="thin">
        <color rgb="FF000000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/>
      <diagonal/>
    </border>
    <border>
      <left style="thick">
        <color rgb="FF595959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595959"/>
      </right>
      <top/>
      <bottom style="thin">
        <color rgb="FF000000"/>
      </bottom>
      <diagonal/>
    </border>
    <border>
      <left style="thick">
        <color rgb="FF59595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95959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ck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595959"/>
      </top>
      <bottom style="thin">
        <color rgb="FF000000"/>
      </bottom>
      <diagonal/>
    </border>
    <border>
      <left style="thin">
        <color rgb="FF000000"/>
      </left>
      <right style="thick">
        <color rgb="FF595959"/>
      </right>
      <top style="thin">
        <color rgb="FF595959"/>
      </top>
      <bottom style="thin">
        <color rgb="FF000000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 style="thin">
        <color rgb="FF000000"/>
      </bottom>
      <diagonal/>
    </border>
    <border>
      <left style="thick">
        <color rgb="FF595959"/>
      </left>
      <right style="thin">
        <color rgb="FF000000"/>
      </right>
      <top style="thin">
        <color rgb="FF000000"/>
      </top>
      <bottom style="thick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595959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 style="thick">
        <color rgb="FF595959"/>
      </bottom>
      <diagonal/>
    </border>
    <border>
      <left style="thick">
        <color rgb="FF595959"/>
      </left>
      <right/>
      <top style="thick">
        <color rgb="FF595959"/>
      </top>
      <bottom/>
      <diagonal/>
    </border>
    <border>
      <left style="thin">
        <color rgb="FF000000"/>
      </left>
      <right style="thin">
        <color rgb="FF000000"/>
      </right>
      <top style="thick">
        <color rgb="FF595959"/>
      </top>
      <bottom/>
      <diagonal/>
    </border>
    <border>
      <left style="thin">
        <color rgb="FF000000"/>
      </left>
      <right/>
      <top style="thick">
        <color rgb="FF595959"/>
      </top>
      <bottom style="thin">
        <color rgb="FF000000"/>
      </bottom>
      <diagonal/>
    </border>
    <border>
      <left/>
      <right/>
      <top style="thick">
        <color rgb="FF595959"/>
      </top>
      <bottom style="thin">
        <color rgb="FF000000"/>
      </bottom>
      <diagonal/>
    </border>
    <border>
      <left/>
      <right style="thick">
        <color rgb="FF595959"/>
      </right>
      <top style="thick">
        <color rgb="FF595959"/>
      </top>
      <bottom style="thin">
        <color rgb="FF000000"/>
      </bottom>
      <diagonal/>
    </border>
    <border>
      <left style="thick">
        <color rgb="FF595959"/>
      </left>
      <right/>
      <top/>
      <bottom style="thin">
        <color rgb="FF000000"/>
      </bottom>
      <diagonal/>
    </border>
    <border>
      <left style="thick">
        <color rgb="FF595959"/>
      </left>
      <right style="thin">
        <color rgb="FF000000"/>
      </right>
      <top style="thin">
        <color rgb="FF000000"/>
      </top>
      <bottom/>
      <diagonal/>
    </border>
    <border>
      <left style="thick">
        <color rgb="FF595959"/>
      </left>
      <right/>
      <top style="thin">
        <color rgb="FF000000"/>
      </top>
      <bottom style="thin">
        <color rgb="FF000000"/>
      </bottom>
      <diagonal/>
    </border>
    <border>
      <left style="thick">
        <color rgb="FF595959"/>
      </left>
      <right/>
      <top style="thin">
        <color rgb="FF000000"/>
      </top>
      <bottom style="thick">
        <color rgb="FF595959"/>
      </bottom>
      <diagonal/>
    </border>
    <border>
      <left/>
      <right style="thin">
        <color rgb="FF000000"/>
      </right>
      <top style="thin">
        <color rgb="FF000000"/>
      </top>
      <bottom style="thick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292929"/>
      </left>
      <right/>
      <top/>
      <bottom/>
      <diagonal/>
    </border>
    <border>
      <left/>
      <right style="medium">
        <color rgb="FFBABABA"/>
      </right>
      <top/>
      <bottom/>
      <diagonal/>
    </border>
    <border>
      <left style="medium">
        <color rgb="FFBABABA"/>
      </left>
      <right style="medium">
        <color rgb="FFBABABA"/>
      </right>
      <top/>
      <bottom/>
      <diagonal/>
    </border>
    <border>
      <left style="medium">
        <color rgb="FF292929"/>
      </left>
      <right/>
      <top style="medium">
        <color rgb="FF292929"/>
      </top>
      <bottom style="medium">
        <color rgb="FFBABABA"/>
      </bottom>
      <diagonal/>
    </border>
    <border>
      <left style="medium">
        <color rgb="FF292929"/>
      </left>
      <right style="medium">
        <color rgb="FFBABABA"/>
      </right>
      <top style="medium">
        <color rgb="FFBABABA"/>
      </top>
      <bottom/>
      <diagonal/>
    </border>
    <border>
      <left style="medium">
        <color rgb="FFBABABA"/>
      </left>
      <right style="medium">
        <color rgb="FFBABABA"/>
      </right>
      <top style="medium">
        <color rgb="FFBABABA"/>
      </top>
      <bottom/>
      <diagonal/>
    </border>
    <border>
      <left style="medium">
        <color rgb="FFBABABA"/>
      </left>
      <right/>
      <top style="medium">
        <color rgb="FFBABABA"/>
      </top>
      <bottom/>
      <diagonal/>
    </border>
    <border>
      <left style="medium">
        <color rgb="FF292929"/>
      </left>
      <right style="medium">
        <color rgb="FFBABABA"/>
      </right>
      <top/>
      <bottom style="medium">
        <color rgb="FFBABABA"/>
      </bottom>
      <diagonal/>
    </border>
    <border>
      <left/>
      <right style="medium">
        <color rgb="FFBABABA"/>
      </right>
      <top/>
      <bottom style="medium">
        <color rgb="FFBABABA"/>
      </bottom>
      <diagonal/>
    </border>
    <border>
      <left style="medium">
        <color rgb="FFBABABA"/>
      </left>
      <right style="medium">
        <color rgb="FFBABABA"/>
      </right>
      <top/>
      <bottom style="medium">
        <color rgb="FFBABABA"/>
      </bottom>
      <diagonal/>
    </border>
    <border>
      <left style="medium">
        <color rgb="FF292929"/>
      </left>
      <right/>
      <top style="medium">
        <color rgb="FFBABABA"/>
      </top>
      <bottom style="medium">
        <color rgb="FFBABABA"/>
      </bottom>
      <diagonal/>
    </border>
    <border>
      <left style="medium">
        <color rgb="FFBABABA"/>
      </left>
      <right style="medium">
        <color rgb="FFBABABA"/>
      </right>
      <top style="medium">
        <color rgb="FFBABABA"/>
      </top>
      <bottom style="medium">
        <color rgb="FFBABABA"/>
      </bottom>
      <diagonal/>
    </border>
    <border>
      <left/>
      <right/>
      <top style="medium">
        <color rgb="FFBABABA"/>
      </top>
      <bottom/>
      <diagonal/>
    </border>
    <border>
      <left/>
      <right/>
      <top/>
      <bottom style="medium">
        <color rgb="FFBABABA"/>
      </bottom>
      <diagonal/>
    </border>
    <border>
      <left style="medium">
        <color rgb="FF292929"/>
      </left>
      <right style="medium">
        <color theme="0" tint="-0.249977111117893"/>
      </right>
      <top style="medium">
        <color rgb="FFBABABA"/>
      </top>
      <bottom/>
      <diagonal/>
    </border>
    <border>
      <left style="medium">
        <color rgb="FF292929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rgb="FFBABABA"/>
      </left>
      <right style="medium">
        <color rgb="FFBABABA"/>
      </right>
      <top style="medium">
        <color theme="0" tint="-0.249977111117893"/>
      </top>
      <bottom style="medium">
        <color rgb="FFBABABA"/>
      </bottom>
      <diagonal/>
    </border>
    <border>
      <left/>
      <right style="medium">
        <color rgb="FFBABABA"/>
      </right>
      <top style="medium">
        <color rgb="FFBABABA"/>
      </top>
      <bottom style="medium">
        <color theme="0" tint="-0.249977111117893"/>
      </bottom>
      <diagonal/>
    </border>
    <border>
      <left style="medium">
        <color rgb="FFBABABA"/>
      </left>
      <right/>
      <top style="medium">
        <color theme="0" tint="-0.249977111117893"/>
      </top>
      <bottom style="medium">
        <color rgb="FFBABABA"/>
      </bottom>
      <diagonal/>
    </border>
    <border>
      <left style="medium">
        <color rgb="FF292929"/>
      </left>
      <right style="medium">
        <color theme="0" tint="-0.249977111117893"/>
      </right>
      <top/>
      <bottom/>
      <diagonal/>
    </border>
    <border>
      <left style="medium">
        <color rgb="FFBABABA"/>
      </left>
      <right style="medium">
        <color rgb="FFBABABA"/>
      </right>
      <top style="medium">
        <color theme="0" tint="-0.249977111117893"/>
      </top>
      <bottom/>
      <diagonal/>
    </border>
    <border>
      <left/>
      <right style="medium">
        <color rgb="FFBABABA"/>
      </right>
      <top style="medium">
        <color theme="0" tint="-0.249977111117893"/>
      </top>
      <bottom/>
      <diagonal/>
    </border>
    <border>
      <left/>
      <right/>
      <top style="medium">
        <color rgb="FF292929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rgb="FF292929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1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0" tint="-0.249977111117893"/>
      </top>
      <bottom style="medium">
        <color rgb="FFBABABA"/>
      </bottom>
      <diagonal/>
    </border>
    <border>
      <left style="medium">
        <color theme="0"/>
      </left>
      <right style="medium">
        <color theme="0" tint="-0.249977111117893"/>
      </right>
      <top style="medium">
        <color rgb="FFBABABA"/>
      </top>
      <bottom style="medium">
        <color theme="0" tint="-0.249977111117893"/>
      </bottom>
      <diagonal/>
    </border>
    <border>
      <left style="medium">
        <color rgb="FFBABABA"/>
      </left>
      <right/>
      <top/>
      <bottom style="medium">
        <color theme="0"/>
      </bottom>
      <diagonal/>
    </border>
    <border>
      <left style="medium">
        <color rgb="FFBABABA"/>
      </left>
      <right style="medium">
        <color rgb="FFBABABA"/>
      </right>
      <top style="medium">
        <color rgb="FF292929"/>
      </top>
      <bottom/>
      <diagonal/>
    </border>
    <border>
      <left style="medium">
        <color rgb="FFBABABA"/>
      </left>
      <right style="medium">
        <color rgb="FFBABABA"/>
      </right>
      <top/>
      <bottom style="medium">
        <color theme="0" tint="-0.249977111117893"/>
      </bottom>
      <diagonal/>
    </border>
    <border>
      <left style="medium">
        <color rgb="FF292929"/>
      </left>
      <right/>
      <top style="medium">
        <color theme="0"/>
      </top>
      <bottom style="medium">
        <color rgb="FF292929"/>
      </bottom>
      <diagonal/>
    </border>
    <border>
      <left/>
      <right/>
      <top style="medium">
        <color theme="0"/>
      </top>
      <bottom style="medium">
        <color rgb="FF292929"/>
      </bottom>
      <diagonal/>
    </border>
    <border>
      <left/>
      <right style="medium">
        <color theme="1"/>
      </right>
      <top style="medium">
        <color theme="0"/>
      </top>
      <bottom style="medium">
        <color rgb="FF292929"/>
      </bottom>
      <diagonal/>
    </border>
    <border>
      <left style="medium">
        <color theme="1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0"/>
      </top>
      <bottom style="medium">
        <color rgb="FF292929"/>
      </bottom>
      <diagonal/>
    </border>
    <border>
      <left style="medium">
        <color theme="1"/>
      </left>
      <right style="medium">
        <color theme="1"/>
      </right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rgb="FF292929"/>
      </right>
      <top/>
      <bottom style="medium">
        <color rgb="FF292929"/>
      </bottom>
      <diagonal/>
    </border>
    <border>
      <left style="medium">
        <color theme="0"/>
      </left>
      <right style="medium">
        <color rgb="FF292929"/>
      </right>
      <top/>
      <bottom/>
      <diagonal/>
    </border>
    <border>
      <left style="medium">
        <color theme="0"/>
      </left>
      <right style="medium">
        <color rgb="FF292929"/>
      </right>
      <top style="medium">
        <color rgb="FF292929"/>
      </top>
      <bottom style="medium">
        <color rgb="FFBABABA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292929"/>
      </right>
      <top style="medium">
        <color rgb="FFBABABA"/>
      </top>
      <bottom style="medium">
        <color rgb="FFBABABA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rgb="FF292929"/>
      </right>
      <top style="medium">
        <color rgb="FFBABABA"/>
      </top>
      <bottom/>
      <diagonal/>
    </border>
    <border>
      <left style="medium">
        <color theme="0"/>
      </left>
      <right style="medium">
        <color rgb="FF292929"/>
      </right>
      <top/>
      <bottom style="medium">
        <color rgb="FFBABABA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 tint="-0.249977111117893"/>
      </left>
      <right style="medium">
        <color theme="0"/>
      </right>
      <top style="medium">
        <color rgb="FFBABABA"/>
      </top>
      <bottom style="medium">
        <color rgb="FFBABABA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/>
      <bottom style="medium">
        <color rgb="FF292929"/>
      </bottom>
      <diagonal/>
    </border>
    <border>
      <left style="medium">
        <color theme="1"/>
      </left>
      <right style="medium">
        <color theme="0"/>
      </right>
      <top/>
      <bottom/>
      <diagonal/>
    </border>
    <border>
      <left style="medium">
        <color rgb="FFBABABA"/>
      </left>
      <right style="medium">
        <color theme="0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/>
      <bottom/>
      <diagonal/>
    </border>
    <border>
      <left style="medium">
        <color theme="0"/>
      </left>
      <right style="medium">
        <color theme="0" tint="-0.249977111117893"/>
      </right>
      <top/>
      <bottom/>
      <diagonal/>
    </border>
    <border>
      <left style="medium">
        <color rgb="FFBABABA"/>
      </left>
      <right style="medium">
        <color theme="0"/>
      </right>
      <top style="medium">
        <color rgb="FFBABABA"/>
      </top>
      <bottom/>
      <diagonal/>
    </border>
    <border>
      <left style="medium">
        <color rgb="FFBABABA"/>
      </left>
      <right style="medium">
        <color theme="0"/>
      </right>
      <top style="medium">
        <color theme="0" tint="-0.249977111117893"/>
      </top>
      <bottom style="medium">
        <color rgb="FFBABABA"/>
      </bottom>
      <diagonal/>
    </border>
    <border>
      <left style="medium">
        <color theme="0" tint="-0.249977111117893"/>
      </left>
      <right style="medium">
        <color theme="0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 tint="-0.249977111117893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292929"/>
      </top>
      <bottom style="medium">
        <color theme="0" tint="-0.249977111117893"/>
      </bottom>
      <diagonal/>
    </border>
    <border>
      <left style="medium">
        <color rgb="FF292929"/>
      </left>
      <right style="medium">
        <color theme="0"/>
      </right>
      <top style="medium">
        <color theme="0" tint="-0.249977111117893"/>
      </top>
      <bottom style="medium">
        <color rgb="FFBABABA"/>
      </bottom>
      <diagonal/>
    </border>
    <border>
      <left style="medium">
        <color theme="0"/>
      </left>
      <right/>
      <top style="medium">
        <color rgb="FFBABABA"/>
      </top>
      <bottom style="medium">
        <color rgb="FFBABABA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rgb="FF292929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/>
      </right>
      <top/>
      <bottom/>
      <diagonal/>
    </border>
    <border>
      <left style="medium">
        <color theme="0" tint="-0.249977111117893"/>
      </left>
      <right style="medium">
        <color theme="0"/>
      </right>
      <top/>
      <bottom style="medium">
        <color theme="0" tint="-0.249977111117893"/>
      </bottom>
      <diagonal/>
    </border>
    <border>
      <left style="medium">
        <color rgb="FF292929"/>
      </left>
      <right style="thin">
        <color theme="0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medium">
        <color rgb="FFBABABA"/>
      </top>
      <bottom/>
      <diagonal/>
    </border>
    <border>
      <left style="thin">
        <color theme="0"/>
      </left>
      <right/>
      <top/>
      <bottom style="medium">
        <color theme="0" tint="-0.249977111117893"/>
      </bottom>
      <diagonal/>
    </border>
    <border>
      <left style="medium">
        <color rgb="FFBABABA"/>
      </left>
      <right style="medium">
        <color theme="0"/>
      </right>
      <top style="medium">
        <color rgb="FFBABABA"/>
      </top>
      <bottom style="medium">
        <color rgb="FFBABAB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/>
      <bottom style="medium">
        <color rgb="FF292929"/>
      </bottom>
      <diagonal/>
    </border>
    <border>
      <left style="medium">
        <color theme="0"/>
      </left>
      <right style="medium">
        <color theme="0"/>
      </right>
      <top style="medium">
        <color theme="0" tint="-0.249977111117893"/>
      </top>
      <bottom style="medium">
        <color rgb="FFBABABA"/>
      </bottom>
      <diagonal/>
    </border>
    <border>
      <left style="medium">
        <color rgb="FFBABABA"/>
      </left>
      <right style="medium">
        <color rgb="FFBABABA"/>
      </right>
      <top style="medium">
        <color rgb="FF292929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rgb="FFBABABA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rgb="FFBABABA"/>
      </right>
      <top/>
      <bottom/>
      <diagonal/>
    </border>
    <border>
      <left style="medium">
        <color theme="0" tint="-0.249977111117893"/>
      </left>
      <right style="medium">
        <color rgb="FFBABABA"/>
      </right>
      <top/>
      <bottom style="medium">
        <color theme="0" tint="-0.249977111117893"/>
      </bottom>
      <diagonal/>
    </border>
    <border>
      <left style="medium">
        <color rgb="FFBABABA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 style="medium">
        <color theme="0"/>
      </right>
      <top/>
      <bottom style="medium">
        <color rgb="FFBABABA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292929"/>
      </left>
      <right style="medium">
        <color theme="0"/>
      </right>
      <top style="medium">
        <color rgb="FFBABABA"/>
      </top>
      <bottom style="medium">
        <color theme="0" tint="-0.249977111117893"/>
      </bottom>
      <diagonal/>
    </border>
    <border>
      <left style="medium">
        <color rgb="FF292929"/>
      </left>
      <right style="medium">
        <color theme="0"/>
      </right>
      <top/>
      <bottom style="medium">
        <color rgb="FFBABABA"/>
      </bottom>
      <diagonal/>
    </border>
    <border>
      <left style="medium">
        <color theme="0"/>
      </left>
      <right style="medium">
        <color theme="0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292929"/>
      </left>
      <right/>
      <top style="medium">
        <color rgb="FFBABABA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292929"/>
      </left>
      <right/>
      <top style="medium">
        <color theme="0"/>
      </top>
      <bottom/>
      <diagonal/>
    </border>
    <border>
      <left/>
      <right style="medium">
        <color theme="1"/>
      </right>
      <top style="medium">
        <color theme="0"/>
      </top>
      <bottom/>
      <diagonal/>
    </border>
    <border>
      <left style="medium">
        <color rgb="FF292929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292929"/>
      </right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rgb="FFBABABA"/>
      </right>
      <top style="medium">
        <color theme="1"/>
      </top>
      <bottom style="medium">
        <color theme="0" tint="-0.249977111117893"/>
      </bottom>
      <diagonal/>
    </border>
    <border>
      <left style="medium">
        <color rgb="FFBABABA"/>
      </left>
      <right/>
      <top style="medium">
        <color rgb="FF292929"/>
      </top>
      <bottom style="medium">
        <color theme="0" tint="-0.249977111117893"/>
      </bottom>
      <diagonal/>
    </border>
    <border>
      <left style="medium">
        <color indexed="64"/>
      </left>
      <right style="medium">
        <color rgb="FFBABABA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/>
      <top/>
      <bottom/>
      <diagonal/>
    </border>
    <border>
      <left style="medium">
        <color indexed="64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indexed="64"/>
      </right>
      <top style="medium">
        <color rgb="FFBABABA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/>
      </left>
      <right style="medium">
        <color rgb="FF292929"/>
      </right>
      <top style="medium">
        <color rgb="FFBABABA"/>
      </top>
      <bottom style="medium">
        <color theme="0"/>
      </bottom>
      <diagonal/>
    </border>
    <border>
      <left style="medium">
        <color rgb="FF292929"/>
      </left>
      <right style="medium">
        <color theme="0"/>
      </right>
      <top style="medium">
        <color rgb="FFBABABA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BABABA"/>
      </bottom>
      <diagonal/>
    </border>
    <border>
      <left style="medium">
        <color theme="0"/>
      </left>
      <right style="medium">
        <color theme="0"/>
      </right>
      <top style="medium">
        <color rgb="FFBABABA"/>
      </top>
      <bottom style="medium">
        <color theme="0"/>
      </bottom>
      <diagonal/>
    </border>
    <border>
      <left style="medium">
        <color theme="0"/>
      </left>
      <right style="medium">
        <color rgb="FFBABABA"/>
      </right>
      <top style="medium">
        <color theme="0" tint="-0.249977111117893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BABABA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 tint="-0.249977111117893"/>
      </bottom>
      <diagonal/>
    </border>
    <border>
      <left style="medium">
        <color rgb="FFBABABA"/>
      </left>
      <right style="medium">
        <color rgb="FFBABABA"/>
      </right>
      <top style="medium">
        <color theme="0" tint="-0.249977111117893"/>
      </top>
      <bottom style="medium">
        <color theme="0"/>
      </bottom>
      <diagonal/>
    </border>
    <border>
      <left style="medium">
        <color indexed="64"/>
      </left>
      <right style="medium">
        <color rgb="FFBABABA"/>
      </right>
      <top style="medium">
        <color theme="0" tint="-0.249977111117893"/>
      </top>
      <bottom/>
      <diagonal/>
    </border>
    <border>
      <left/>
      <right style="medium">
        <color rgb="FFBABABA"/>
      </right>
      <top style="medium">
        <color rgb="FFBABABA"/>
      </top>
      <bottom style="medium">
        <color theme="0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/>
      <diagonal/>
    </border>
    <border>
      <left style="medium">
        <color theme="1"/>
      </left>
      <right/>
      <top style="medium">
        <color theme="0"/>
      </top>
      <bottom style="medium">
        <color rgb="FF292929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rgb="FFBABABA"/>
      </left>
      <right style="medium">
        <color theme="0"/>
      </right>
      <top style="medium">
        <color rgb="FF292929"/>
      </top>
      <bottom style="medium">
        <color theme="0" tint="-0.249977111117893"/>
      </bottom>
      <diagonal/>
    </border>
    <border>
      <left style="medium">
        <color rgb="FFBABABA"/>
      </left>
      <right style="medium">
        <color theme="0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 style="medium">
        <color theme="0"/>
      </right>
      <top style="medium">
        <color theme="0" tint="-0.249977111117893"/>
      </top>
      <bottom style="medium">
        <color theme="0"/>
      </bottom>
      <diagonal/>
    </border>
    <border>
      <left style="medium">
        <color theme="0"/>
      </left>
      <right style="medium">
        <color rgb="FFBABABA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 tint="-0.249977111117893"/>
      </bottom>
      <diagonal/>
    </border>
    <border>
      <left style="medium">
        <color rgb="FFBABABA"/>
      </left>
      <right style="medium">
        <color indexed="64"/>
      </right>
      <top/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 style="medium">
        <color rgb="FFBABABA"/>
      </top>
      <bottom style="medium">
        <color rgb="FFBABABA"/>
      </bottom>
      <diagonal/>
    </border>
    <border>
      <left style="medium">
        <color rgb="FF292929"/>
      </left>
      <right/>
      <top/>
      <bottom style="medium">
        <color rgb="FFBABABA"/>
      </bottom>
      <diagonal/>
    </border>
  </borders>
  <cellStyleXfs count="2">
    <xf numFmtId="0" fontId="0" fillId="0" borderId="0"/>
    <xf numFmtId="0" fontId="54" fillId="0" borderId="43">
      <alignment vertical="center"/>
    </xf>
  </cellStyleXfs>
  <cellXfs count="72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6" fontId="3" fillId="0" borderId="12" xfId="0" applyNumberFormat="1" applyFont="1" applyBorder="1" applyAlignment="1">
      <alignment vertical="center" wrapText="1"/>
    </xf>
    <xf numFmtId="176" fontId="3" fillId="0" borderId="0" xfId="0" applyNumberFormat="1" applyFont="1" applyAlignment="1">
      <alignment vertical="center"/>
    </xf>
    <xf numFmtId="176" fontId="2" fillId="0" borderId="12" xfId="0" applyNumberFormat="1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0" borderId="14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vertical="center"/>
    </xf>
    <xf numFmtId="176" fontId="2" fillId="0" borderId="9" xfId="0" applyNumberFormat="1" applyFont="1" applyBorder="1" applyAlignment="1">
      <alignment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right" vertical="center"/>
    </xf>
    <xf numFmtId="176" fontId="2" fillId="0" borderId="13" xfId="0" applyNumberFormat="1" applyFont="1" applyBorder="1" applyAlignment="1">
      <alignment horizontal="right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vertical="center"/>
    </xf>
    <xf numFmtId="176" fontId="3" fillId="0" borderId="0" xfId="0" applyNumberFormat="1" applyFont="1" applyAlignment="1">
      <alignment vertical="center" wrapText="1"/>
    </xf>
    <xf numFmtId="176" fontId="3" fillId="2" borderId="1" xfId="0" applyNumberFormat="1" applyFont="1" applyFill="1" applyBorder="1" applyAlignment="1">
      <alignment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13" xfId="0" applyNumberFormat="1" applyFont="1" applyBorder="1" applyAlignment="1">
      <alignment horizontal="right" vertical="center"/>
    </xf>
    <xf numFmtId="176" fontId="3" fillId="0" borderId="5" xfId="0" applyNumberFormat="1" applyFont="1" applyBorder="1" applyAlignment="1">
      <alignment horizontal="right" vertical="center"/>
    </xf>
    <xf numFmtId="176" fontId="3" fillId="0" borderId="12" xfId="0" applyNumberFormat="1" applyFont="1" applyBorder="1" applyAlignment="1">
      <alignment vertical="center"/>
    </xf>
    <xf numFmtId="176" fontId="2" fillId="0" borderId="11" xfId="0" applyNumberFormat="1" applyFont="1" applyBorder="1" applyAlignment="1">
      <alignment vertical="center"/>
    </xf>
    <xf numFmtId="176" fontId="2" fillId="0" borderId="13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76" fontId="3" fillId="0" borderId="12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176" fontId="2" fillId="0" borderId="0" xfId="0" applyNumberFormat="1" applyFont="1" applyAlignment="1">
      <alignment horizontal="left" vertical="center"/>
    </xf>
    <xf numFmtId="176" fontId="2" fillId="0" borderId="15" xfId="0" applyNumberFormat="1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176" fontId="3" fillId="0" borderId="11" xfId="0" applyNumberFormat="1" applyFont="1" applyBorder="1" applyAlignment="1">
      <alignment vertical="center"/>
    </xf>
    <xf numFmtId="176" fontId="3" fillId="0" borderId="13" xfId="0" applyNumberFormat="1" applyFont="1" applyBorder="1" applyAlignment="1">
      <alignment vertical="center"/>
    </xf>
    <xf numFmtId="176" fontId="2" fillId="5" borderId="5" xfId="0" applyNumberFormat="1" applyFont="1" applyFill="1" applyBorder="1" applyAlignment="1">
      <alignment horizontal="center" vertical="center"/>
    </xf>
    <xf numFmtId="176" fontId="2" fillId="6" borderId="21" xfId="0" applyNumberFormat="1" applyFont="1" applyFill="1" applyBorder="1" applyAlignment="1">
      <alignment horizontal="center" vertical="center"/>
    </xf>
    <xf numFmtId="176" fontId="2" fillId="6" borderId="5" xfId="0" applyNumberFormat="1" applyFont="1" applyFill="1" applyBorder="1" applyAlignment="1">
      <alignment horizontal="center" vertical="center"/>
    </xf>
    <xf numFmtId="176" fontId="3" fillId="6" borderId="5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" fillId="7" borderId="1" xfId="0" applyFont="1" applyFill="1" applyBorder="1" applyAlignment="1">
      <alignment vertical="center"/>
    </xf>
    <xf numFmtId="179" fontId="5" fillId="0" borderId="0" xfId="0" applyNumberFormat="1" applyFont="1" applyAlignment="1">
      <alignment vertical="center"/>
    </xf>
    <xf numFmtId="38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77" fontId="8" fillId="7" borderId="5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vertical="center"/>
    </xf>
    <xf numFmtId="176" fontId="3" fillId="5" borderId="1" xfId="0" applyNumberFormat="1" applyFont="1" applyFill="1" applyBorder="1" applyAlignment="1">
      <alignment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38" fontId="3" fillId="8" borderId="24" xfId="0" applyNumberFormat="1" applyFont="1" applyFill="1" applyBorder="1" applyAlignment="1">
      <alignment horizontal="center" vertical="center"/>
    </xf>
    <xf numFmtId="3" fontId="3" fillId="8" borderId="24" xfId="0" applyNumberFormat="1" applyFont="1" applyFill="1" applyBorder="1" applyAlignment="1">
      <alignment horizontal="center" vertical="center"/>
    </xf>
    <xf numFmtId="177" fontId="3" fillId="8" borderId="24" xfId="0" applyNumberFormat="1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178" fontId="3" fillId="8" borderId="28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178" fontId="3" fillId="4" borderId="5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177" fontId="2" fillId="0" borderId="5" xfId="0" applyNumberFormat="1" applyFont="1" applyBorder="1" applyAlignment="1">
      <alignment vertical="center"/>
    </xf>
    <xf numFmtId="3" fontId="2" fillId="10" borderId="5" xfId="0" applyNumberFormat="1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177" fontId="2" fillId="10" borderId="5" xfId="0" applyNumberFormat="1" applyFont="1" applyFill="1" applyBorder="1" applyAlignment="1">
      <alignment vertical="center"/>
    </xf>
    <xf numFmtId="178" fontId="2" fillId="10" borderId="5" xfId="0" applyNumberFormat="1" applyFont="1" applyFill="1" applyBorder="1" applyAlignment="1">
      <alignment vertical="center"/>
    </xf>
    <xf numFmtId="38" fontId="2" fillId="0" borderId="5" xfId="0" applyNumberFormat="1" applyFont="1" applyBorder="1" applyAlignment="1">
      <alignment vertical="center"/>
    </xf>
    <xf numFmtId="178" fontId="2" fillId="0" borderId="5" xfId="0" applyNumberFormat="1" applyFont="1" applyBorder="1" applyAlignment="1">
      <alignment vertical="center"/>
    </xf>
    <xf numFmtId="38" fontId="2" fillId="10" borderId="5" xfId="0" applyNumberFormat="1" applyFont="1" applyFill="1" applyBorder="1" applyAlignment="1">
      <alignment vertical="center"/>
    </xf>
    <xf numFmtId="3" fontId="2" fillId="10" borderId="21" xfId="0" applyNumberFormat="1" applyFont="1" applyFill="1" applyBorder="1" applyAlignment="1">
      <alignment vertical="center"/>
    </xf>
    <xf numFmtId="38" fontId="8" fillId="11" borderId="4" xfId="0" applyNumberFormat="1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vertical="center"/>
    </xf>
    <xf numFmtId="3" fontId="2" fillId="4" borderId="5" xfId="0" applyNumberFormat="1" applyFont="1" applyFill="1" applyBorder="1" applyAlignment="1">
      <alignment vertical="center"/>
    </xf>
    <xf numFmtId="38" fontId="2" fillId="4" borderId="5" xfId="0" applyNumberFormat="1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3" fontId="8" fillId="11" borderId="4" xfId="0" applyNumberFormat="1" applyFont="1" applyFill="1" applyBorder="1" applyAlignment="1">
      <alignment horizontal="center" vertical="center"/>
    </xf>
    <xf numFmtId="178" fontId="2" fillId="4" borderId="5" xfId="0" applyNumberFormat="1" applyFont="1" applyFill="1" applyBorder="1" applyAlignment="1">
      <alignment vertical="center"/>
    </xf>
    <xf numFmtId="38" fontId="2" fillId="0" borderId="10" xfId="0" applyNumberFormat="1" applyFont="1" applyBorder="1" applyAlignment="1">
      <alignment vertical="center"/>
    </xf>
    <xf numFmtId="3" fontId="2" fillId="0" borderId="10" xfId="0" applyNumberFormat="1" applyFont="1" applyBorder="1" applyAlignment="1">
      <alignment vertical="center"/>
    </xf>
    <xf numFmtId="38" fontId="2" fillId="0" borderId="6" xfId="0" applyNumberFormat="1" applyFont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0" fontId="2" fillId="4" borderId="34" xfId="0" applyFont="1" applyFill="1" applyBorder="1" applyAlignment="1">
      <alignment vertical="center"/>
    </xf>
    <xf numFmtId="3" fontId="2" fillId="4" borderId="21" xfId="0" applyNumberFormat="1" applyFont="1" applyFill="1" applyBorder="1" applyAlignment="1">
      <alignment vertical="center"/>
    </xf>
    <xf numFmtId="38" fontId="2" fillId="4" borderId="21" xfId="0" applyNumberFormat="1" applyFont="1" applyFill="1" applyBorder="1" applyAlignment="1">
      <alignment vertical="center"/>
    </xf>
    <xf numFmtId="0" fontId="2" fillId="4" borderId="35" xfId="0" applyFont="1" applyFill="1" applyBorder="1" applyAlignment="1">
      <alignment vertical="center"/>
    </xf>
    <xf numFmtId="0" fontId="2" fillId="5" borderId="38" xfId="0" applyFont="1" applyFill="1" applyBorder="1" applyAlignment="1">
      <alignment horizontal="center" vertical="center"/>
    </xf>
    <xf numFmtId="0" fontId="2" fillId="5" borderId="39" xfId="0" applyFont="1" applyFill="1" applyBorder="1" applyAlignment="1">
      <alignment vertical="center"/>
    </xf>
    <xf numFmtId="38" fontId="2" fillId="5" borderId="40" xfId="0" applyNumberFormat="1" applyFont="1" applyFill="1" applyBorder="1" applyAlignment="1">
      <alignment vertical="center"/>
    </xf>
    <xf numFmtId="3" fontId="2" fillId="5" borderId="39" xfId="0" applyNumberFormat="1" applyFont="1" applyFill="1" applyBorder="1" applyAlignment="1">
      <alignment vertical="center"/>
    </xf>
    <xf numFmtId="3" fontId="2" fillId="5" borderId="40" xfId="0" applyNumberFormat="1" applyFont="1" applyFill="1" applyBorder="1" applyAlignment="1">
      <alignment vertical="center"/>
    </xf>
    <xf numFmtId="177" fontId="2" fillId="5" borderId="39" xfId="0" applyNumberFormat="1" applyFont="1" applyFill="1" applyBorder="1" applyAlignment="1">
      <alignment vertical="center"/>
    </xf>
    <xf numFmtId="178" fontId="2" fillId="5" borderId="41" xfId="0" applyNumberFormat="1" applyFont="1" applyFill="1" applyBorder="1" applyAlignment="1">
      <alignment vertical="center"/>
    </xf>
    <xf numFmtId="38" fontId="2" fillId="0" borderId="0" xfId="0" applyNumberFormat="1" applyFont="1" applyAlignment="1">
      <alignment vertical="center"/>
    </xf>
    <xf numFmtId="0" fontId="4" fillId="0" borderId="43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177" fontId="9" fillId="7" borderId="5" xfId="0" applyNumberFormat="1" applyFont="1" applyFill="1" applyBorder="1" applyAlignment="1">
      <alignment horizontal="center" vertical="center"/>
    </xf>
    <xf numFmtId="177" fontId="11" fillId="4" borderId="5" xfId="0" applyNumberFormat="1" applyFont="1" applyFill="1" applyBorder="1" applyAlignment="1">
      <alignment horizontal="center" vertical="center"/>
    </xf>
    <xf numFmtId="3" fontId="12" fillId="4" borderId="5" xfId="0" applyNumberFormat="1" applyFont="1" applyFill="1" applyBorder="1" applyAlignment="1">
      <alignment horizontal="center" vertical="center"/>
    </xf>
    <xf numFmtId="178" fontId="13" fillId="4" borderId="5" xfId="0" applyNumberFormat="1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178" fontId="15" fillId="5" borderId="1" xfId="0" applyNumberFormat="1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7" fillId="12" borderId="5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7" fillId="12" borderId="54" xfId="0" applyFont="1" applyFill="1" applyBorder="1" applyAlignment="1">
      <alignment horizontal="center" vertical="center" wrapText="1"/>
    </xf>
    <xf numFmtId="0" fontId="17" fillId="12" borderId="34" xfId="0" applyFont="1" applyFill="1" applyBorder="1" applyAlignment="1">
      <alignment horizontal="center" vertical="center" wrapText="1"/>
    </xf>
    <xf numFmtId="0" fontId="17" fillId="12" borderId="21" xfId="0" applyFont="1" applyFill="1" applyBorder="1" applyAlignment="1">
      <alignment horizontal="center" vertical="center" wrapText="1"/>
    </xf>
    <xf numFmtId="0" fontId="17" fillId="13" borderId="21" xfId="0" applyFont="1" applyFill="1" applyBorder="1" applyAlignment="1">
      <alignment horizontal="center" vertical="center" wrapText="1"/>
    </xf>
    <xf numFmtId="0" fontId="18" fillId="13" borderId="56" xfId="0" applyFont="1" applyFill="1" applyBorder="1" applyAlignment="1">
      <alignment horizontal="center" vertical="center" wrapText="1"/>
    </xf>
    <xf numFmtId="0" fontId="17" fillId="12" borderId="58" xfId="0" applyFont="1" applyFill="1" applyBorder="1" applyAlignment="1">
      <alignment horizontal="center" vertical="center" wrapText="1"/>
    </xf>
    <xf numFmtId="0" fontId="17" fillId="12" borderId="59" xfId="0" applyFont="1" applyFill="1" applyBorder="1" applyAlignment="1">
      <alignment horizontal="center" vertical="center" wrapText="1"/>
    </xf>
    <xf numFmtId="0" fontId="2" fillId="12" borderId="59" xfId="0" applyFont="1" applyFill="1" applyBorder="1" applyAlignment="1">
      <alignment vertical="center" wrapText="1"/>
    </xf>
    <xf numFmtId="0" fontId="17" fillId="13" borderId="59" xfId="0" applyFont="1" applyFill="1" applyBorder="1" applyAlignment="1">
      <alignment horizontal="center" vertical="center" wrapText="1"/>
    </xf>
    <xf numFmtId="0" fontId="18" fillId="13" borderId="60" xfId="0" applyFont="1" applyFill="1" applyBorder="1" applyAlignment="1">
      <alignment horizontal="center" vertical="center" wrapText="1"/>
    </xf>
    <xf numFmtId="0" fontId="17" fillId="0" borderId="61" xfId="0" applyFont="1" applyBorder="1" applyAlignment="1">
      <alignment horizontal="center" vertical="center" wrapText="1"/>
    </xf>
    <xf numFmtId="3" fontId="18" fillId="0" borderId="62" xfId="0" applyNumberFormat="1" applyFont="1" applyBorder="1" applyAlignment="1">
      <alignment horizontal="center" vertical="center" wrapText="1"/>
    </xf>
    <xf numFmtId="4" fontId="18" fillId="0" borderId="62" xfId="0" applyNumberFormat="1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180" fontId="18" fillId="0" borderId="62" xfId="0" applyNumberFormat="1" applyFont="1" applyBorder="1" applyAlignment="1">
      <alignment horizontal="center" vertical="center" wrapText="1"/>
    </xf>
    <xf numFmtId="181" fontId="18" fillId="0" borderId="62" xfId="0" applyNumberFormat="1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62" xfId="0" quotePrefix="1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80" fontId="18" fillId="0" borderId="64" xfId="0" applyNumberFormat="1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4" fontId="18" fillId="0" borderId="64" xfId="0" applyNumberFormat="1" applyFont="1" applyBorder="1" applyAlignment="1">
      <alignment horizontal="center" vertical="center" wrapText="1"/>
    </xf>
    <xf numFmtId="4" fontId="18" fillId="0" borderId="66" xfId="0" applyNumberFormat="1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180" fontId="18" fillId="0" borderId="66" xfId="0" applyNumberFormat="1" applyFont="1" applyBorder="1" applyAlignment="1">
      <alignment horizontal="center" vertical="center" wrapText="1"/>
    </xf>
    <xf numFmtId="0" fontId="19" fillId="0" borderId="66" xfId="0" applyFont="1" applyBorder="1" applyAlignment="1">
      <alignment horizontal="center" vertical="center" wrapText="1"/>
    </xf>
    <xf numFmtId="0" fontId="19" fillId="0" borderId="67" xfId="0" applyFont="1" applyBorder="1" applyAlignment="1">
      <alignment horizontal="center" vertical="center" wrapText="1"/>
    </xf>
    <xf numFmtId="0" fontId="17" fillId="14" borderId="61" xfId="0" applyFont="1" applyFill="1" applyBorder="1" applyAlignment="1">
      <alignment horizontal="center" vertical="center" wrapText="1"/>
    </xf>
    <xf numFmtId="3" fontId="18" fillId="14" borderId="5" xfId="0" applyNumberFormat="1" applyFont="1" applyFill="1" applyBorder="1" applyAlignment="1">
      <alignment horizontal="center" vertical="center" wrapText="1"/>
    </xf>
    <xf numFmtId="4" fontId="18" fillId="14" borderId="5" xfId="0" applyNumberFormat="1" applyFont="1" applyFill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180" fontId="18" fillId="14" borderId="5" xfId="0" applyNumberFormat="1" applyFont="1" applyFill="1" applyBorder="1" applyAlignment="1">
      <alignment horizontal="center" vertical="center" wrapText="1"/>
    </xf>
    <xf numFmtId="181" fontId="18" fillId="14" borderId="5" xfId="0" applyNumberFormat="1" applyFont="1" applyFill="1" applyBorder="1" applyAlignment="1">
      <alignment horizontal="center" vertical="center" wrapText="1"/>
    </xf>
    <xf numFmtId="0" fontId="19" fillId="14" borderId="5" xfId="0" applyFont="1" applyFill="1" applyBorder="1" applyAlignment="1">
      <alignment horizontal="center" vertical="center" wrapText="1"/>
    </xf>
    <xf numFmtId="0" fontId="19" fillId="14" borderId="5" xfId="0" quotePrefix="1" applyFont="1" applyFill="1" applyBorder="1" applyAlignment="1">
      <alignment horizontal="center" vertical="center" wrapText="1"/>
    </xf>
    <xf numFmtId="0" fontId="19" fillId="14" borderId="68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80" fontId="18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5" xfId="0" quotePrefix="1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7" fillId="12" borderId="69" xfId="0" applyFont="1" applyFill="1" applyBorder="1" applyAlignment="1">
      <alignment horizontal="center" vertical="center" wrapText="1"/>
    </xf>
    <xf numFmtId="3" fontId="17" fillId="12" borderId="70" xfId="0" applyNumberFormat="1" applyFont="1" applyFill="1" applyBorder="1" applyAlignment="1">
      <alignment horizontal="center" vertical="center" wrapText="1"/>
    </xf>
    <xf numFmtId="4" fontId="17" fillId="12" borderId="70" xfId="0" applyNumberFormat="1" applyFont="1" applyFill="1" applyBorder="1" applyAlignment="1">
      <alignment horizontal="center" vertical="center" wrapText="1"/>
    </xf>
    <xf numFmtId="0" fontId="17" fillId="12" borderId="70" xfId="0" applyFont="1" applyFill="1" applyBorder="1" applyAlignment="1">
      <alignment horizontal="center" vertical="center" wrapText="1"/>
    </xf>
    <xf numFmtId="180" fontId="17" fillId="12" borderId="70" xfId="0" applyNumberFormat="1" applyFont="1" applyFill="1" applyBorder="1" applyAlignment="1">
      <alignment horizontal="center" vertical="center" wrapText="1"/>
    </xf>
    <xf numFmtId="181" fontId="17" fillId="12" borderId="70" xfId="0" applyNumberFormat="1" applyFont="1" applyFill="1" applyBorder="1" applyAlignment="1">
      <alignment horizontal="center" vertical="center" wrapText="1"/>
    </xf>
    <xf numFmtId="0" fontId="20" fillId="12" borderId="70" xfId="0" applyFont="1" applyFill="1" applyBorder="1" applyAlignment="1">
      <alignment horizontal="center" vertical="center" wrapText="1"/>
    </xf>
    <xf numFmtId="0" fontId="20" fillId="12" borderId="70" xfId="0" quotePrefix="1" applyFont="1" applyFill="1" applyBorder="1" applyAlignment="1">
      <alignment horizontal="center" vertical="center" wrapText="1"/>
    </xf>
    <xf numFmtId="0" fontId="20" fillId="12" borderId="7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82" fontId="2" fillId="0" borderId="0" xfId="0" applyNumberFormat="1" applyFont="1" applyAlignment="1">
      <alignment vertical="center"/>
    </xf>
    <xf numFmtId="182" fontId="3" fillId="15" borderId="5" xfId="0" applyNumberFormat="1" applyFont="1" applyFill="1" applyBorder="1" applyAlignment="1">
      <alignment vertical="center"/>
    </xf>
    <xf numFmtId="182" fontId="23" fillId="0" borderId="5" xfId="0" applyNumberFormat="1" applyFont="1" applyBorder="1" applyAlignment="1">
      <alignment vertical="center"/>
    </xf>
    <xf numFmtId="182" fontId="2" fillId="0" borderId="5" xfId="0" applyNumberFormat="1" applyFont="1" applyBorder="1" applyAlignment="1">
      <alignment vertical="center"/>
    </xf>
    <xf numFmtId="182" fontId="3" fillId="15" borderId="21" xfId="0" applyNumberFormat="1" applyFont="1" applyFill="1" applyBorder="1" applyAlignment="1">
      <alignment vertical="center"/>
    </xf>
    <xf numFmtId="182" fontId="23" fillId="0" borderId="6" xfId="0" applyNumberFormat="1" applyFont="1" applyBorder="1" applyAlignment="1">
      <alignment vertical="center"/>
    </xf>
    <xf numFmtId="182" fontId="24" fillId="0" borderId="5" xfId="0" applyNumberFormat="1" applyFont="1" applyBorder="1" applyAlignment="1">
      <alignment vertical="center"/>
    </xf>
    <xf numFmtId="182" fontId="3" fillId="0" borderId="0" xfId="0" applyNumberFormat="1" applyFont="1" applyAlignment="1">
      <alignment vertical="center"/>
    </xf>
    <xf numFmtId="182" fontId="23" fillId="0" borderId="0" xfId="0" applyNumberFormat="1" applyFont="1" applyAlignment="1">
      <alignment vertical="center"/>
    </xf>
    <xf numFmtId="182" fontId="24" fillId="0" borderId="0" xfId="0" applyNumberFormat="1" applyFont="1" applyAlignment="1">
      <alignment vertical="center"/>
    </xf>
    <xf numFmtId="0" fontId="17" fillId="13" borderId="5" xfId="0" applyFont="1" applyFill="1" applyBorder="1" applyAlignment="1">
      <alignment horizontal="center" vertical="center" wrapText="1"/>
    </xf>
    <xf numFmtId="0" fontId="17" fillId="13" borderId="68" xfId="0" applyFont="1" applyFill="1" applyBorder="1" applyAlignment="1">
      <alignment horizontal="center" vertical="center" wrapText="1"/>
    </xf>
    <xf numFmtId="180" fontId="19" fillId="0" borderId="5" xfId="0" applyNumberFormat="1" applyFont="1" applyBorder="1" applyAlignment="1">
      <alignment horizontal="center" vertical="center" wrapText="1"/>
    </xf>
    <xf numFmtId="180" fontId="19" fillId="14" borderId="5" xfId="0" applyNumberFormat="1" applyFont="1" applyFill="1" applyBorder="1" applyAlignment="1">
      <alignment horizontal="center" vertical="center" wrapText="1"/>
    </xf>
    <xf numFmtId="0" fontId="17" fillId="0" borderId="78" xfId="0" applyFont="1" applyBorder="1" applyAlignment="1">
      <alignment vertical="center" wrapText="1"/>
    </xf>
    <xf numFmtId="0" fontId="18" fillId="0" borderId="6" xfId="0" applyFont="1" applyBorder="1" applyAlignment="1">
      <alignment horizontal="center" vertical="center" wrapText="1"/>
    </xf>
    <xf numFmtId="180" fontId="19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180" fontId="20" fillId="12" borderId="70" xfId="0" applyNumberFormat="1" applyFont="1" applyFill="1" applyBorder="1" applyAlignment="1">
      <alignment horizontal="center" vertical="center" wrapText="1"/>
    </xf>
    <xf numFmtId="0" fontId="19" fillId="12" borderId="70" xfId="0" applyFont="1" applyFill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 wrapText="1"/>
    </xf>
    <xf numFmtId="0" fontId="26" fillId="14" borderId="5" xfId="0" applyFont="1" applyFill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176" fontId="2" fillId="0" borderId="59" xfId="0" applyNumberFormat="1" applyFont="1" applyBorder="1" applyAlignment="1">
      <alignment horizontal="center" vertical="center"/>
    </xf>
    <xf numFmtId="176" fontId="2" fillId="2" borderId="43" xfId="0" applyNumberFormat="1" applyFont="1" applyFill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35" xfId="0" applyNumberFormat="1" applyFont="1" applyBorder="1" applyAlignment="1">
      <alignment horizontal="center" vertical="center"/>
    </xf>
    <xf numFmtId="176" fontId="2" fillId="0" borderId="82" xfId="0" applyNumberFormat="1" applyFont="1" applyBorder="1" applyAlignment="1">
      <alignment horizontal="center" vertical="center"/>
    </xf>
    <xf numFmtId="176" fontId="2" fillId="0" borderId="30" xfId="0" applyNumberFormat="1" applyFont="1" applyBorder="1" applyAlignment="1">
      <alignment horizontal="center" vertical="center"/>
    </xf>
    <xf numFmtId="176" fontId="2" fillId="0" borderId="43" xfId="0" applyNumberFormat="1" applyFont="1" applyBorder="1" applyAlignment="1">
      <alignment vertical="center"/>
    </xf>
    <xf numFmtId="176" fontId="3" fillId="0" borderId="21" xfId="0" applyNumberFormat="1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right" vertical="center"/>
    </xf>
    <xf numFmtId="176" fontId="2" fillId="0" borderId="35" xfId="0" applyNumberFormat="1" applyFont="1" applyBorder="1" applyAlignment="1">
      <alignment vertical="center"/>
    </xf>
    <xf numFmtId="176" fontId="3" fillId="0" borderId="59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vertical="center" wrapText="1"/>
    </xf>
    <xf numFmtId="0" fontId="28" fillId="0" borderId="12" xfId="0" applyFont="1" applyBorder="1" applyAlignment="1">
      <alignment vertical="center"/>
    </xf>
    <xf numFmtId="176" fontId="2" fillId="0" borderId="0" xfId="0" applyNumberFormat="1" applyFont="1" applyAlignment="1">
      <alignment vertical="center" wrapText="1"/>
    </xf>
    <xf numFmtId="0" fontId="30" fillId="0" borderId="0" xfId="0" applyFont="1" applyAlignment="1">
      <alignment vertical="center"/>
    </xf>
    <xf numFmtId="176" fontId="2" fillId="0" borderId="58" xfId="0" applyNumberFormat="1" applyFont="1" applyBorder="1" applyAlignment="1">
      <alignment horizontal="center" vertical="center"/>
    </xf>
    <xf numFmtId="176" fontId="2" fillId="0" borderId="59" xfId="0" applyNumberFormat="1" applyFont="1" applyBorder="1" applyAlignment="1">
      <alignment horizontal="right" vertical="center"/>
    </xf>
    <xf numFmtId="176" fontId="2" fillId="0" borderId="82" xfId="0" applyNumberFormat="1" applyFont="1" applyBorder="1" applyAlignment="1">
      <alignment horizontal="right" vertical="center"/>
    </xf>
    <xf numFmtId="176" fontId="3" fillId="16" borderId="4" xfId="0" applyNumberFormat="1" applyFont="1" applyFill="1" applyBorder="1" applyAlignment="1">
      <alignment horizontal="center" vertical="center"/>
    </xf>
    <xf numFmtId="176" fontId="3" fillId="17" borderId="4" xfId="0" applyNumberFormat="1" applyFont="1" applyFill="1" applyBorder="1" applyAlignment="1">
      <alignment horizontal="center" vertical="center"/>
    </xf>
    <xf numFmtId="176" fontId="4" fillId="0" borderId="43" xfId="0" applyNumberFormat="1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82" xfId="0" applyFont="1" applyBorder="1" applyAlignment="1">
      <alignment vertical="center"/>
    </xf>
    <xf numFmtId="0" fontId="31" fillId="0" borderId="82" xfId="0" applyFont="1" applyBorder="1" applyAlignment="1">
      <alignment vertical="center"/>
    </xf>
    <xf numFmtId="176" fontId="3" fillId="18" borderId="4" xfId="0" applyNumberFormat="1" applyFont="1" applyFill="1" applyBorder="1" applyAlignment="1">
      <alignment horizontal="center" vertical="center"/>
    </xf>
    <xf numFmtId="176" fontId="2" fillId="0" borderId="21" xfId="0" applyNumberFormat="1" applyFont="1" applyBorder="1" applyAlignment="1">
      <alignment vertical="center"/>
    </xf>
    <xf numFmtId="176" fontId="2" fillId="0" borderId="22" xfId="0" applyNumberFormat="1" applyFont="1" applyBorder="1" applyAlignment="1">
      <alignment horizontal="right" vertical="center"/>
    </xf>
    <xf numFmtId="176" fontId="2" fillId="0" borderId="43" xfId="0" applyNumberFormat="1" applyFont="1" applyBorder="1" applyAlignment="1">
      <alignment horizontal="center" vertical="center"/>
    </xf>
    <xf numFmtId="0" fontId="4" fillId="0" borderId="54" xfId="0" applyFont="1" applyBorder="1" applyAlignment="1">
      <alignment vertical="center"/>
    </xf>
    <xf numFmtId="38" fontId="2" fillId="0" borderId="5" xfId="0" applyNumberFormat="1" applyFont="1" applyBorder="1" applyAlignment="1">
      <alignment horizontal="center" vertical="center"/>
    </xf>
    <xf numFmtId="3" fontId="2" fillId="0" borderId="59" xfId="0" applyNumberFormat="1" applyFont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176" fontId="8" fillId="4" borderId="1" xfId="0" applyNumberFormat="1" applyFont="1" applyFill="1" applyBorder="1" applyAlignment="1">
      <alignment vertical="center"/>
    </xf>
    <xf numFmtId="176" fontId="8" fillId="5" borderId="1" xfId="0" applyNumberFormat="1" applyFont="1" applyFill="1" applyBorder="1" applyAlignment="1">
      <alignment vertical="center"/>
    </xf>
    <xf numFmtId="10" fontId="8" fillId="4" borderId="1" xfId="0" applyNumberFormat="1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176" fontId="3" fillId="0" borderId="43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0" fillId="0" borderId="43" xfId="0" applyBorder="1" applyAlignment="1">
      <alignment vertical="center"/>
    </xf>
    <xf numFmtId="176" fontId="2" fillId="0" borderId="30" xfId="0" applyNumberFormat="1" applyFont="1" applyBorder="1" applyAlignment="1">
      <alignment horizontal="right" vertical="center"/>
    </xf>
    <xf numFmtId="177" fontId="2" fillId="0" borderId="22" xfId="0" applyNumberFormat="1" applyFont="1" applyBorder="1" applyAlignment="1">
      <alignment vertical="center"/>
    </xf>
    <xf numFmtId="176" fontId="7" fillId="0" borderId="43" xfId="0" applyNumberFormat="1" applyFont="1" applyBorder="1" applyAlignment="1">
      <alignment vertical="center"/>
    </xf>
    <xf numFmtId="3" fontId="2" fillId="0" borderId="21" xfId="0" applyNumberFormat="1" applyFont="1" applyBorder="1" applyAlignment="1">
      <alignment vertical="center"/>
    </xf>
    <xf numFmtId="3" fontId="2" fillId="10" borderId="59" xfId="0" applyNumberFormat="1" applyFont="1" applyFill="1" applyBorder="1" applyAlignment="1">
      <alignment vertical="center"/>
    </xf>
    <xf numFmtId="38" fontId="2" fillId="10" borderId="59" xfId="0" applyNumberFormat="1" applyFont="1" applyFill="1" applyBorder="1" applyAlignment="1">
      <alignment vertical="center"/>
    </xf>
    <xf numFmtId="0" fontId="2" fillId="10" borderId="59" xfId="0" applyFont="1" applyFill="1" applyBorder="1" applyAlignment="1">
      <alignment vertical="center"/>
    </xf>
    <xf numFmtId="0" fontId="0" fillId="0" borderId="82" xfId="0" applyBorder="1" applyAlignment="1">
      <alignment vertical="center"/>
    </xf>
    <xf numFmtId="176" fontId="7" fillId="0" borderId="82" xfId="0" applyNumberFormat="1" applyFont="1" applyBorder="1" applyAlignment="1">
      <alignment vertical="center"/>
    </xf>
    <xf numFmtId="3" fontId="2" fillId="0" borderId="82" xfId="0" applyNumberFormat="1" applyFont="1" applyBorder="1" applyAlignment="1">
      <alignment vertical="center"/>
    </xf>
    <xf numFmtId="176" fontId="2" fillId="0" borderId="36" xfId="0" applyNumberFormat="1" applyFont="1" applyBorder="1" applyAlignment="1">
      <alignment horizontal="center" vertical="center"/>
    </xf>
    <xf numFmtId="176" fontId="2" fillId="0" borderId="37" xfId="0" applyNumberFormat="1" applyFont="1" applyBorder="1" applyAlignment="1">
      <alignment horizontal="center" vertical="center"/>
    </xf>
    <xf numFmtId="0" fontId="4" fillId="0" borderId="82" xfId="0" applyFont="1" applyBorder="1" applyAlignment="1">
      <alignment vertical="center"/>
    </xf>
    <xf numFmtId="176" fontId="2" fillId="0" borderId="82" xfId="0" applyNumberFormat="1" applyFont="1" applyBorder="1" applyAlignment="1">
      <alignment vertical="center"/>
    </xf>
    <xf numFmtId="38" fontId="8" fillId="11" borderId="91" xfId="0" applyNumberFormat="1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vertical="center"/>
    </xf>
    <xf numFmtId="3" fontId="2" fillId="4" borderId="59" xfId="0" applyNumberFormat="1" applyFont="1" applyFill="1" applyBorder="1" applyAlignment="1">
      <alignment vertical="center"/>
    </xf>
    <xf numFmtId="38" fontId="2" fillId="4" borderId="59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3" fontId="8" fillId="11" borderId="91" xfId="0" applyNumberFormat="1" applyFont="1" applyFill="1" applyBorder="1" applyAlignment="1">
      <alignment horizontal="center" vertical="center"/>
    </xf>
    <xf numFmtId="178" fontId="2" fillId="4" borderId="59" xfId="0" applyNumberFormat="1" applyFont="1" applyFill="1" applyBorder="1" applyAlignment="1">
      <alignment vertical="center"/>
    </xf>
    <xf numFmtId="0" fontId="2" fillId="10" borderId="21" xfId="0" applyFont="1" applyFill="1" applyBorder="1" applyAlignment="1">
      <alignment vertical="center"/>
    </xf>
    <xf numFmtId="177" fontId="2" fillId="10" borderId="21" xfId="0" applyNumberFormat="1" applyFont="1" applyFill="1" applyBorder="1" applyAlignment="1">
      <alignment vertical="center"/>
    </xf>
    <xf numFmtId="178" fontId="2" fillId="10" borderId="21" xfId="0" applyNumberFormat="1" applyFont="1" applyFill="1" applyBorder="1" applyAlignment="1">
      <alignment vertical="center"/>
    </xf>
    <xf numFmtId="0" fontId="2" fillId="0" borderId="82" xfId="0" applyFont="1" applyBorder="1" applyAlignment="1">
      <alignment horizontal="center" vertical="center"/>
    </xf>
    <xf numFmtId="177" fontId="2" fillId="0" borderId="82" xfId="0" applyNumberFormat="1" applyFont="1" applyBorder="1" applyAlignment="1">
      <alignment vertical="center"/>
    </xf>
    <xf numFmtId="178" fontId="2" fillId="0" borderId="82" xfId="0" applyNumberFormat="1" applyFont="1" applyBorder="1" applyAlignment="1">
      <alignment vertical="center"/>
    </xf>
    <xf numFmtId="0" fontId="34" fillId="0" borderId="82" xfId="0" applyFont="1" applyBorder="1" applyAlignment="1">
      <alignment vertical="center"/>
    </xf>
    <xf numFmtId="176" fontId="2" fillId="19" borderId="82" xfId="0" applyNumberFormat="1" applyFont="1" applyFill="1" applyBorder="1" applyAlignment="1">
      <alignment horizontal="center" vertical="center"/>
    </xf>
    <xf numFmtId="176" fontId="2" fillId="20" borderId="13" xfId="0" applyNumberFormat="1" applyFont="1" applyFill="1" applyBorder="1" applyAlignment="1">
      <alignment horizontal="center" vertical="center"/>
    </xf>
    <xf numFmtId="176" fontId="2" fillId="20" borderId="5" xfId="0" applyNumberFormat="1" applyFont="1" applyFill="1" applyBorder="1" applyAlignment="1">
      <alignment horizontal="center" vertical="center"/>
    </xf>
    <xf numFmtId="176" fontId="2" fillId="20" borderId="5" xfId="0" applyNumberFormat="1" applyFont="1" applyFill="1" applyBorder="1" applyAlignment="1">
      <alignment horizontal="right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vertical="center"/>
    </xf>
    <xf numFmtId="176" fontId="2" fillId="0" borderId="59" xfId="0" applyNumberFormat="1" applyFont="1" applyBorder="1" applyAlignment="1">
      <alignment vertical="center"/>
    </xf>
    <xf numFmtId="176" fontId="2" fillId="21" borderId="5" xfId="0" applyNumberFormat="1" applyFont="1" applyFill="1" applyBorder="1" applyAlignment="1">
      <alignment horizontal="center" vertical="center"/>
    </xf>
    <xf numFmtId="176" fontId="2" fillId="21" borderId="5" xfId="0" applyNumberFormat="1" applyFont="1" applyFill="1" applyBorder="1" applyAlignment="1">
      <alignment vertical="center"/>
    </xf>
    <xf numFmtId="176" fontId="2" fillId="21" borderId="21" xfId="0" applyNumberFormat="1" applyFont="1" applyFill="1" applyBorder="1" applyAlignment="1">
      <alignment horizontal="center" vertical="center"/>
    </xf>
    <xf numFmtId="176" fontId="2" fillId="21" borderId="21" xfId="0" applyNumberFormat="1" applyFont="1" applyFill="1" applyBorder="1" applyAlignment="1">
      <alignment vertical="center"/>
    </xf>
    <xf numFmtId="176" fontId="2" fillId="21" borderId="22" xfId="0" applyNumberFormat="1" applyFont="1" applyFill="1" applyBorder="1" applyAlignment="1">
      <alignment horizontal="right" vertical="center"/>
    </xf>
    <xf numFmtId="176" fontId="2" fillId="21" borderId="5" xfId="0" applyNumberFormat="1" applyFont="1" applyFill="1" applyBorder="1" applyAlignment="1">
      <alignment horizontal="right" vertical="center"/>
    </xf>
    <xf numFmtId="176" fontId="2" fillId="21" borderId="6" xfId="0" applyNumberFormat="1" applyFont="1" applyFill="1" applyBorder="1" applyAlignment="1">
      <alignment horizontal="center" vertical="center"/>
    </xf>
    <xf numFmtId="176" fontId="2" fillId="21" borderId="13" xfId="0" applyNumberFormat="1" applyFont="1" applyFill="1" applyBorder="1" applyAlignment="1">
      <alignment horizontal="right" vertical="center"/>
    </xf>
    <xf numFmtId="176" fontId="2" fillId="21" borderId="54" xfId="0" applyNumberFormat="1" applyFont="1" applyFill="1" applyBorder="1" applyAlignment="1">
      <alignment horizontal="center" vertical="center"/>
    </xf>
    <xf numFmtId="176" fontId="2" fillId="21" borderId="22" xfId="0" applyNumberFormat="1" applyFont="1" applyFill="1" applyBorder="1" applyAlignment="1">
      <alignment vertical="center"/>
    </xf>
    <xf numFmtId="176" fontId="2" fillId="21" borderId="21" xfId="0" applyNumberFormat="1" applyFont="1" applyFill="1" applyBorder="1" applyAlignment="1">
      <alignment horizontal="right" vertical="center"/>
    </xf>
    <xf numFmtId="176" fontId="2" fillId="21" borderId="9" xfId="0" applyNumberFormat="1" applyFont="1" applyFill="1" applyBorder="1" applyAlignment="1">
      <alignment horizontal="center" vertical="center"/>
    </xf>
    <xf numFmtId="176" fontId="2" fillId="21" borderId="82" xfId="0" applyNumberFormat="1" applyFont="1" applyFill="1" applyBorder="1" applyAlignment="1">
      <alignment horizontal="right" vertical="center"/>
    </xf>
    <xf numFmtId="176" fontId="2" fillId="21" borderId="82" xfId="0" applyNumberFormat="1" applyFont="1" applyFill="1" applyBorder="1" applyAlignment="1">
      <alignment vertical="center"/>
    </xf>
    <xf numFmtId="176" fontId="2" fillId="21" borderId="82" xfId="0" applyNumberFormat="1" applyFont="1" applyFill="1" applyBorder="1" applyAlignment="1">
      <alignment horizontal="center" vertical="center"/>
    </xf>
    <xf numFmtId="176" fontId="2" fillId="21" borderId="0" xfId="0" applyNumberFormat="1" applyFont="1" applyFill="1" applyAlignment="1">
      <alignment horizontal="center" vertical="center"/>
    </xf>
    <xf numFmtId="176" fontId="2" fillId="21" borderId="59" xfId="0" applyNumberFormat="1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vertical="center"/>
    </xf>
    <xf numFmtId="3" fontId="2" fillId="21" borderId="5" xfId="0" applyNumberFormat="1" applyFont="1" applyFill="1" applyBorder="1" applyAlignment="1">
      <alignment vertical="center"/>
    </xf>
    <xf numFmtId="3" fontId="2" fillId="21" borderId="10" xfId="0" applyNumberFormat="1" applyFont="1" applyFill="1" applyBorder="1" applyAlignment="1">
      <alignment vertical="center"/>
    </xf>
    <xf numFmtId="3" fontId="2" fillId="21" borderId="59" xfId="0" applyNumberFormat="1" applyFont="1" applyFill="1" applyBorder="1" applyAlignment="1">
      <alignment vertical="center"/>
    </xf>
    <xf numFmtId="3" fontId="2" fillId="21" borderId="21" xfId="0" applyNumberFormat="1" applyFont="1" applyFill="1" applyBorder="1" applyAlignment="1">
      <alignment vertical="center"/>
    </xf>
    <xf numFmtId="178" fontId="2" fillId="0" borderId="22" xfId="0" applyNumberFormat="1" applyFont="1" applyBorder="1" applyAlignment="1">
      <alignment vertical="center"/>
    </xf>
    <xf numFmtId="3" fontId="2" fillId="0" borderId="54" xfId="0" applyNumberFormat="1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176" fontId="2" fillId="19" borderId="5" xfId="0" applyNumberFormat="1" applyFont="1" applyFill="1" applyBorder="1" applyAlignment="1">
      <alignment horizontal="center" vertical="center"/>
    </xf>
    <xf numFmtId="176" fontId="2" fillId="19" borderId="0" xfId="0" applyNumberFormat="1" applyFont="1" applyFill="1" applyAlignment="1">
      <alignment horizontal="center" vertical="center"/>
    </xf>
    <xf numFmtId="3" fontId="2" fillId="21" borderId="82" xfId="0" applyNumberFormat="1" applyFont="1" applyFill="1" applyBorder="1" applyAlignment="1">
      <alignment vertical="center"/>
    </xf>
    <xf numFmtId="0" fontId="0" fillId="0" borderId="139" xfId="0" applyBorder="1" applyAlignment="1">
      <alignment vertical="center"/>
    </xf>
    <xf numFmtId="0" fontId="0" fillId="0" borderId="141" xfId="0" applyBorder="1" applyAlignment="1">
      <alignment vertical="center"/>
    </xf>
    <xf numFmtId="0" fontId="0" fillId="0" borderId="145" xfId="0" applyBorder="1" applyAlignment="1">
      <alignment vertical="center"/>
    </xf>
    <xf numFmtId="0" fontId="0" fillId="0" borderId="147" xfId="0" applyBorder="1" applyAlignment="1">
      <alignment vertical="center"/>
    </xf>
    <xf numFmtId="0" fontId="0" fillId="0" borderId="140" xfId="0" applyBorder="1" applyAlignment="1">
      <alignment vertical="center"/>
    </xf>
    <xf numFmtId="0" fontId="0" fillId="0" borderId="150" xfId="0" applyBorder="1" applyAlignment="1">
      <alignment vertical="center"/>
    </xf>
    <xf numFmtId="0" fontId="0" fillId="0" borderId="152" xfId="0" applyBorder="1" applyAlignment="1">
      <alignment vertical="center"/>
    </xf>
    <xf numFmtId="0" fontId="0" fillId="0" borderId="153" xfId="0" applyBorder="1" applyAlignment="1">
      <alignment vertical="center"/>
    </xf>
    <xf numFmtId="177" fontId="2" fillId="0" borderId="31" xfId="0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3" fontId="36" fillId="0" borderId="116" xfId="0" applyNumberFormat="1" applyFont="1" applyBorder="1" applyAlignment="1">
      <alignment horizontal="center" vertical="center" wrapText="1" readingOrder="1"/>
    </xf>
    <xf numFmtId="0" fontId="0" fillId="0" borderId="166" xfId="0" applyBorder="1" applyAlignment="1">
      <alignment vertical="center"/>
    </xf>
    <xf numFmtId="176" fontId="2" fillId="0" borderId="43" xfId="0" applyNumberFormat="1" applyFont="1" applyBorder="1" applyAlignment="1">
      <alignment horizontal="right" vertical="center"/>
    </xf>
    <xf numFmtId="0" fontId="34" fillId="0" borderId="12" xfId="0" applyFont="1" applyBorder="1" applyAlignment="1">
      <alignment vertical="center"/>
    </xf>
    <xf numFmtId="0" fontId="0" fillId="0" borderId="168" xfId="0" applyBorder="1" applyAlignment="1">
      <alignment vertical="center"/>
    </xf>
    <xf numFmtId="0" fontId="0" fillId="0" borderId="169" xfId="0" applyBorder="1" applyAlignment="1">
      <alignment vertical="center"/>
    </xf>
    <xf numFmtId="0" fontId="0" fillId="0" borderId="162" xfId="0" applyBorder="1" applyAlignment="1">
      <alignment vertical="center"/>
    </xf>
    <xf numFmtId="49" fontId="39" fillId="0" borderId="110" xfId="0" applyNumberFormat="1" applyFont="1" applyBorder="1" applyAlignment="1">
      <alignment horizontal="center" vertical="center" wrapText="1" readingOrder="1"/>
    </xf>
    <xf numFmtId="0" fontId="0" fillId="0" borderId="176" xfId="0" applyBorder="1" applyAlignment="1">
      <alignment vertical="center"/>
    </xf>
    <xf numFmtId="176" fontId="2" fillId="0" borderId="31" xfId="0" applyNumberFormat="1" applyFont="1" applyBorder="1" applyAlignment="1">
      <alignment horizontal="right" vertical="center"/>
    </xf>
    <xf numFmtId="176" fontId="2" fillId="21" borderId="22" xfId="0" applyNumberFormat="1" applyFont="1" applyFill="1" applyBorder="1" applyAlignment="1">
      <alignment horizontal="center" vertical="center"/>
    </xf>
    <xf numFmtId="176" fontId="2" fillId="21" borderId="58" xfId="0" applyNumberFormat="1" applyFont="1" applyFill="1" applyBorder="1" applyAlignment="1">
      <alignment horizontal="center" vertical="center"/>
    </xf>
    <xf numFmtId="0" fontId="42" fillId="0" borderId="161" xfId="0" applyFont="1" applyBorder="1" applyAlignment="1">
      <alignment horizontal="left" vertical="center" wrapText="1" readingOrder="1"/>
    </xf>
    <xf numFmtId="178" fontId="41" fillId="0" borderId="109" xfId="0" applyNumberFormat="1" applyFont="1" applyBorder="1" applyAlignment="1">
      <alignment horizontal="left" vertical="center" wrapText="1" readingOrder="1"/>
    </xf>
    <xf numFmtId="0" fontId="43" fillId="0" borderId="137" xfId="0" applyFont="1" applyBorder="1" applyAlignment="1">
      <alignment horizontal="center" vertical="center" wrapText="1" readingOrder="1"/>
    </xf>
    <xf numFmtId="49" fontId="44" fillId="0" borderId="110" xfId="0" applyNumberFormat="1" applyFont="1" applyBorder="1" applyAlignment="1">
      <alignment horizontal="center" vertical="center" wrapText="1" readingOrder="1"/>
    </xf>
    <xf numFmtId="0" fontId="45" fillId="0" borderId="151" xfId="0" applyFont="1" applyBorder="1" applyAlignment="1">
      <alignment vertical="center"/>
    </xf>
    <xf numFmtId="0" fontId="46" fillId="0" borderId="43" xfId="0" applyFont="1" applyBorder="1" applyAlignment="1">
      <alignment horizontal="center" vertical="center" wrapText="1" readingOrder="1"/>
    </xf>
    <xf numFmtId="0" fontId="46" fillId="0" borderId="121" xfId="0" applyFont="1" applyBorder="1" applyAlignment="1">
      <alignment horizontal="center" vertical="center" wrapText="1" readingOrder="1"/>
    </xf>
    <xf numFmtId="0" fontId="46" fillId="0" borderId="138" xfId="0" applyFont="1" applyBorder="1" applyAlignment="1">
      <alignment horizontal="center" vertical="center" wrapText="1" readingOrder="1"/>
    </xf>
    <xf numFmtId="0" fontId="46" fillId="0" borderId="137" xfId="0" applyFont="1" applyBorder="1" applyAlignment="1">
      <alignment horizontal="center" vertical="center" wrapText="1" readingOrder="1"/>
    </xf>
    <xf numFmtId="0" fontId="46" fillId="0" borderId="144" xfId="0" applyFont="1" applyBorder="1" applyAlignment="1">
      <alignment horizontal="center" vertical="center" wrapText="1" readingOrder="1"/>
    </xf>
    <xf numFmtId="3" fontId="41" fillId="0" borderId="96" xfId="0" applyNumberFormat="1" applyFont="1" applyBorder="1" applyAlignment="1">
      <alignment horizontal="center" vertical="center" wrapText="1" readingOrder="1"/>
    </xf>
    <xf numFmtId="3" fontId="41" fillId="0" borderId="163" xfId="0" applyNumberFormat="1" applyFont="1" applyBorder="1" applyAlignment="1">
      <alignment horizontal="center" vertical="center" wrapText="1" readingOrder="1"/>
    </xf>
    <xf numFmtId="3" fontId="41" fillId="0" borderId="115" xfId="0" applyNumberFormat="1" applyFont="1" applyBorder="1" applyAlignment="1">
      <alignment horizontal="right" vertical="center" wrapText="1" readingOrder="1"/>
    </xf>
    <xf numFmtId="3" fontId="41" fillId="0" borderId="116" xfId="0" applyNumberFormat="1" applyFont="1" applyBorder="1" applyAlignment="1">
      <alignment horizontal="center" vertical="center" wrapText="1" readingOrder="1"/>
    </xf>
    <xf numFmtId="3" fontId="41" fillId="0" borderId="123" xfId="0" applyNumberFormat="1" applyFont="1" applyBorder="1" applyAlignment="1">
      <alignment horizontal="right" vertical="center" wrapText="1" readingOrder="1"/>
    </xf>
    <xf numFmtId="0" fontId="47" fillId="19" borderId="130" xfId="0" applyFont="1" applyFill="1" applyBorder="1" applyAlignment="1">
      <alignment horizontal="center" vertical="center" wrapText="1"/>
    </xf>
    <xf numFmtId="0" fontId="42" fillId="0" borderId="129" xfId="0" applyFont="1" applyBorder="1" applyAlignment="1">
      <alignment horizontal="left" vertical="center" wrapText="1" readingOrder="1"/>
    </xf>
    <xf numFmtId="3" fontId="41" fillId="0" borderId="117" xfId="0" applyNumberFormat="1" applyFont="1" applyBorder="1" applyAlignment="1">
      <alignment horizontal="center" vertical="center" wrapText="1" readingOrder="1"/>
    </xf>
    <xf numFmtId="3" fontId="41" fillId="0" borderId="124" xfId="0" applyNumberFormat="1" applyFont="1" applyBorder="1" applyAlignment="1">
      <alignment horizontal="right" vertical="center" wrapText="1" readingOrder="1"/>
    </xf>
    <xf numFmtId="178" fontId="41" fillId="0" borderId="113" xfId="0" applyNumberFormat="1" applyFont="1" applyBorder="1" applyAlignment="1">
      <alignment horizontal="left" vertical="center" wrapText="1" readingOrder="1"/>
    </xf>
    <xf numFmtId="178" fontId="41" fillId="0" borderId="98" xfId="0" applyNumberFormat="1" applyFont="1" applyBorder="1" applyAlignment="1">
      <alignment horizontal="left" vertical="center" wrapText="1" readingOrder="1"/>
    </xf>
    <xf numFmtId="0" fontId="42" fillId="0" borderId="156" xfId="0" applyFont="1" applyBorder="1" applyAlignment="1">
      <alignment horizontal="left" vertical="center" wrapText="1" readingOrder="1"/>
    </xf>
    <xf numFmtId="0" fontId="42" fillId="0" borderId="159" xfId="0" applyFont="1" applyBorder="1" applyAlignment="1">
      <alignment horizontal="left" vertical="center" wrapText="1" readingOrder="1"/>
    </xf>
    <xf numFmtId="0" fontId="42" fillId="0" borderId="160" xfId="0" applyFont="1" applyBorder="1" applyAlignment="1">
      <alignment horizontal="left" vertical="center" wrapText="1" readingOrder="1"/>
    </xf>
    <xf numFmtId="0" fontId="46" fillId="0" borderId="146" xfId="0" applyFont="1" applyBorder="1" applyAlignment="1">
      <alignment horizontal="center" vertical="center" wrapText="1" readingOrder="1"/>
    </xf>
    <xf numFmtId="3" fontId="41" fillId="0" borderId="164" xfId="0" applyNumberFormat="1" applyFont="1" applyBorder="1" applyAlignment="1">
      <alignment horizontal="center" vertical="center" wrapText="1" readingOrder="1"/>
    </xf>
    <xf numFmtId="3" fontId="41" fillId="0" borderId="106" xfId="0" applyNumberFormat="1" applyFont="1" applyBorder="1" applyAlignment="1">
      <alignment horizontal="center" vertical="center" wrapText="1" readingOrder="1"/>
    </xf>
    <xf numFmtId="3" fontId="41" fillId="0" borderId="127" xfId="0" applyNumberFormat="1" applyFont="1" applyBorder="1" applyAlignment="1">
      <alignment horizontal="right" vertical="center" wrapText="1" readingOrder="1"/>
    </xf>
    <xf numFmtId="0" fontId="47" fillId="19" borderId="104" xfId="0" applyFont="1" applyFill="1" applyBorder="1" applyAlignment="1">
      <alignment horizontal="center" vertical="center" wrapText="1"/>
    </xf>
    <xf numFmtId="3" fontId="41" fillId="0" borderId="105" xfId="0" applyNumberFormat="1" applyFont="1" applyBorder="1" applyAlignment="1">
      <alignment horizontal="center" vertical="center" wrapText="1" readingOrder="1"/>
    </xf>
    <xf numFmtId="3" fontId="41" fillId="0" borderId="128" xfId="0" applyNumberFormat="1" applyFont="1" applyBorder="1" applyAlignment="1">
      <alignment horizontal="right" vertical="center" wrapText="1" readingOrder="1"/>
    </xf>
    <xf numFmtId="3" fontId="41" fillId="0" borderId="111" xfId="0" applyNumberFormat="1" applyFont="1" applyBorder="1" applyAlignment="1">
      <alignment horizontal="center" vertical="center" wrapText="1" readingOrder="1"/>
    </xf>
    <xf numFmtId="0" fontId="42" fillId="0" borderId="99" xfId="0" applyFont="1" applyBorder="1" applyAlignment="1">
      <alignment vertical="center" wrapText="1" readingOrder="1"/>
    </xf>
    <xf numFmtId="3" fontId="41" fillId="0" borderId="103" xfId="0" applyNumberFormat="1" applyFont="1" applyBorder="1" applyAlignment="1">
      <alignment horizontal="center" vertical="center" wrapText="1" readingOrder="1"/>
    </xf>
    <xf numFmtId="3" fontId="41" fillId="0" borderId="165" xfId="0" applyNumberFormat="1" applyFont="1" applyBorder="1" applyAlignment="1">
      <alignment horizontal="center" vertical="center" wrapText="1" readingOrder="1"/>
    </xf>
    <xf numFmtId="0" fontId="47" fillId="0" borderId="104" xfId="0" applyFont="1" applyBorder="1" applyAlignment="1">
      <alignment horizontal="right" vertical="top" wrapText="1"/>
    </xf>
    <xf numFmtId="0" fontId="42" fillId="0" borderId="179" xfId="0" applyFont="1" applyBorder="1" applyAlignment="1">
      <alignment vertical="center" wrapText="1" readingOrder="1"/>
    </xf>
    <xf numFmtId="0" fontId="46" fillId="0" borderId="167" xfId="0" applyFont="1" applyBorder="1" applyAlignment="1">
      <alignment horizontal="center" vertical="center" wrapText="1" readingOrder="1"/>
    </xf>
    <xf numFmtId="0" fontId="45" fillId="0" borderId="175" xfId="0" applyFont="1" applyBorder="1" applyAlignment="1">
      <alignment vertical="center"/>
    </xf>
    <xf numFmtId="3" fontId="41" fillId="0" borderId="177" xfId="0" applyNumberFormat="1" applyFont="1" applyBorder="1" applyAlignment="1">
      <alignment vertical="center" wrapText="1" readingOrder="1"/>
    </xf>
    <xf numFmtId="3" fontId="41" fillId="0" borderId="178" xfId="0" applyNumberFormat="1" applyFont="1" applyBorder="1" applyAlignment="1">
      <alignment vertical="center" wrapText="1" readingOrder="1"/>
    </xf>
    <xf numFmtId="3" fontId="41" fillId="0" borderId="161" xfId="0" applyNumberFormat="1" applyFont="1" applyBorder="1" applyAlignment="1">
      <alignment horizontal="center" vertical="center" wrapText="1" readingOrder="1"/>
    </xf>
    <xf numFmtId="3" fontId="41" fillId="0" borderId="170" xfId="0" applyNumberFormat="1" applyFont="1" applyBorder="1" applyAlignment="1">
      <alignment horizontal="right" vertical="center" wrapText="1" readingOrder="1"/>
    </xf>
    <xf numFmtId="9" fontId="47" fillId="0" borderId="171" xfId="0" applyNumberFormat="1" applyFont="1" applyBorder="1" applyAlignment="1">
      <alignment vertical="top" wrapText="1"/>
    </xf>
    <xf numFmtId="178" fontId="48" fillId="0" borderId="171" xfId="0" applyNumberFormat="1" applyFont="1" applyBorder="1" applyAlignment="1">
      <alignment horizontal="left" vertical="top" wrapText="1"/>
    </xf>
    <xf numFmtId="0" fontId="47" fillId="0" borderId="171" xfId="0" applyFont="1" applyBorder="1" applyAlignment="1">
      <alignment horizontal="right" vertical="top" wrapText="1"/>
    </xf>
    <xf numFmtId="176" fontId="2" fillId="0" borderId="5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9" fillId="0" borderId="82" xfId="0" applyFont="1" applyBorder="1" applyAlignment="1">
      <alignment vertical="center"/>
    </xf>
    <xf numFmtId="3" fontId="0" fillId="0" borderId="82" xfId="0" applyNumberFormat="1" applyBorder="1" applyAlignment="1">
      <alignment vertical="center"/>
    </xf>
    <xf numFmtId="3" fontId="40" fillId="0" borderId="117" xfId="0" applyNumberFormat="1" applyFont="1" applyBorder="1" applyAlignment="1">
      <alignment vertical="center" wrapText="1" readingOrder="1"/>
    </xf>
    <xf numFmtId="3" fontId="36" fillId="0" borderId="157" xfId="0" applyNumberFormat="1" applyFont="1" applyBorder="1" applyAlignment="1">
      <alignment vertical="center" wrapText="1" readingOrder="1"/>
    </xf>
    <xf numFmtId="3" fontId="36" fillId="0" borderId="118" xfId="0" applyNumberFormat="1" applyFont="1" applyBorder="1" applyAlignment="1">
      <alignment vertical="center" wrapText="1" readingOrder="1"/>
    </xf>
    <xf numFmtId="176" fontId="3" fillId="6" borderId="43" xfId="0" applyNumberFormat="1" applyFont="1" applyFill="1" applyBorder="1" applyAlignment="1">
      <alignment horizontal="center" vertical="center"/>
    </xf>
    <xf numFmtId="176" fontId="2" fillId="21" borderId="37" xfId="0" applyNumberFormat="1" applyFont="1" applyFill="1" applyBorder="1" applyAlignment="1">
      <alignment vertical="center"/>
    </xf>
    <xf numFmtId="176" fontId="2" fillId="19" borderId="5" xfId="0" applyNumberFormat="1" applyFont="1" applyFill="1" applyBorder="1" applyAlignment="1">
      <alignment vertical="center"/>
    </xf>
    <xf numFmtId="176" fontId="2" fillId="0" borderId="37" xfId="0" applyNumberFormat="1" applyFont="1" applyBorder="1" applyAlignment="1">
      <alignment horizontal="right" vertical="center"/>
    </xf>
    <xf numFmtId="176" fontId="2" fillId="0" borderId="21" xfId="0" applyNumberFormat="1" applyFont="1" applyBorder="1" applyAlignment="1">
      <alignment horizontal="right" vertical="center"/>
    </xf>
    <xf numFmtId="176" fontId="2" fillId="0" borderId="20" xfId="0" applyNumberFormat="1" applyFont="1" applyBorder="1" applyAlignment="1">
      <alignment horizontal="center" vertical="center"/>
    </xf>
    <xf numFmtId="0" fontId="47" fillId="22" borderId="102" xfId="0" applyFont="1" applyFill="1" applyBorder="1" applyAlignment="1">
      <alignment horizontal="center" vertical="center" wrapText="1"/>
    </xf>
    <xf numFmtId="176" fontId="2" fillId="19" borderId="5" xfId="0" applyNumberFormat="1" applyFont="1" applyFill="1" applyBorder="1" applyAlignment="1">
      <alignment horizontal="right" vertical="center"/>
    </xf>
    <xf numFmtId="0" fontId="4" fillId="0" borderId="1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3" fontId="50" fillId="23" borderId="0" xfId="0" applyNumberFormat="1" applyFont="1" applyFill="1" applyAlignment="1">
      <alignment horizontal="right" vertical="center" wrapText="1"/>
    </xf>
    <xf numFmtId="177" fontId="50" fillId="23" borderId="0" xfId="0" applyNumberFormat="1" applyFont="1" applyFill="1" applyAlignment="1">
      <alignment horizontal="center" vertical="center" wrapText="1"/>
    </xf>
    <xf numFmtId="38" fontId="2" fillId="0" borderId="31" xfId="0" applyNumberFormat="1" applyFont="1" applyBorder="1" applyAlignment="1">
      <alignment horizontal="center" vertical="center"/>
    </xf>
    <xf numFmtId="38" fontId="2" fillId="0" borderId="21" xfId="0" applyNumberFormat="1" applyFont="1" applyBorder="1" applyAlignment="1">
      <alignment vertical="center"/>
    </xf>
    <xf numFmtId="38" fontId="2" fillId="0" borderId="59" xfId="0" applyNumberFormat="1" applyFont="1" applyBorder="1" applyAlignment="1">
      <alignment vertical="center"/>
    </xf>
    <xf numFmtId="38" fontId="2" fillId="0" borderId="36" xfId="0" applyNumberFormat="1" applyFont="1" applyBorder="1" applyAlignment="1">
      <alignment vertical="center"/>
    </xf>
    <xf numFmtId="38" fontId="2" fillId="0" borderId="43" xfId="0" applyNumberFormat="1" applyFont="1" applyBorder="1" applyAlignment="1">
      <alignment vertical="center"/>
    </xf>
    <xf numFmtId="38" fontId="2" fillId="0" borderId="40" xfId="0" applyNumberFormat="1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38" fontId="8" fillId="11" borderId="181" xfId="0" applyNumberFormat="1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vertical="center"/>
    </xf>
    <xf numFmtId="3" fontId="8" fillId="11" borderId="182" xfId="0" applyNumberFormat="1" applyFont="1" applyFill="1" applyBorder="1" applyAlignment="1">
      <alignment horizontal="center" vertical="center"/>
    </xf>
    <xf numFmtId="178" fontId="2" fillId="4" borderId="21" xfId="0" applyNumberFormat="1" applyFont="1" applyFill="1" applyBorder="1" applyAlignment="1">
      <alignment vertical="center"/>
    </xf>
    <xf numFmtId="0" fontId="2" fillId="4" borderId="29" xfId="0" applyFont="1" applyFill="1" applyBorder="1" applyAlignment="1">
      <alignment vertical="center"/>
    </xf>
    <xf numFmtId="3" fontId="2" fillId="4" borderId="54" xfId="0" applyNumberFormat="1" applyFont="1" applyFill="1" applyBorder="1" applyAlignment="1">
      <alignment vertical="center"/>
    </xf>
    <xf numFmtId="38" fontId="2" fillId="4" borderId="54" xfId="0" applyNumberFormat="1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38" fontId="2" fillId="0" borderId="82" xfId="0" applyNumberFormat="1" applyFont="1" applyBorder="1" applyAlignment="1">
      <alignment vertical="center"/>
    </xf>
    <xf numFmtId="0" fontId="35" fillId="0" borderId="82" xfId="0" applyFont="1" applyBorder="1" applyAlignment="1">
      <alignment vertical="center"/>
    </xf>
    <xf numFmtId="176" fontId="3" fillId="0" borderId="82" xfId="0" applyNumberFormat="1" applyFont="1" applyBorder="1" applyAlignment="1">
      <alignment horizontal="center" vertical="center"/>
    </xf>
    <xf numFmtId="49" fontId="50" fillId="23" borderId="0" xfId="0" applyNumberFormat="1" applyFont="1" applyFill="1" applyAlignment="1">
      <alignment horizontal="left" vertical="center" wrapText="1"/>
    </xf>
    <xf numFmtId="0" fontId="30" fillId="0" borderId="82" xfId="0" applyFont="1" applyBorder="1" applyAlignment="1">
      <alignment vertical="center"/>
    </xf>
    <xf numFmtId="38" fontId="2" fillId="0" borderId="31" xfId="0" applyNumberFormat="1" applyFont="1" applyBorder="1" applyAlignment="1">
      <alignment vertical="center"/>
    </xf>
    <xf numFmtId="0" fontId="46" fillId="0" borderId="148" xfId="0" applyFont="1" applyBorder="1" applyAlignment="1">
      <alignment horizontal="center" vertical="center" wrapText="1" readingOrder="1"/>
    </xf>
    <xf numFmtId="0" fontId="46" fillId="0" borderId="149" xfId="0" applyFont="1" applyBorder="1" applyAlignment="1">
      <alignment horizontal="center" vertical="center" wrapText="1" readingOrder="1"/>
    </xf>
    <xf numFmtId="178" fontId="41" fillId="0" borderId="95" xfId="0" applyNumberFormat="1" applyFont="1" applyBorder="1" applyAlignment="1">
      <alignment horizontal="left" vertical="center" wrapText="1" readingOrder="1"/>
    </xf>
    <xf numFmtId="0" fontId="51" fillId="24" borderId="183" xfId="0" applyFont="1" applyFill="1" applyBorder="1" applyAlignment="1">
      <alignment horizontal="center" vertical="center" wrapText="1"/>
    </xf>
    <xf numFmtId="0" fontId="52" fillId="23" borderId="183" xfId="0" applyFont="1" applyFill="1" applyBorder="1" applyAlignment="1">
      <alignment horizontal="center" vertical="center"/>
    </xf>
    <xf numFmtId="0" fontId="52" fillId="23" borderId="183" xfId="0" applyFont="1" applyFill="1" applyBorder="1" applyAlignment="1">
      <alignment horizontal="left" vertical="center"/>
    </xf>
    <xf numFmtId="3" fontId="52" fillId="23" borderId="183" xfId="0" applyNumberFormat="1" applyFont="1" applyFill="1" applyBorder="1" applyAlignment="1">
      <alignment horizontal="right" vertical="center"/>
    </xf>
    <xf numFmtId="0" fontId="37" fillId="0" borderId="140" xfId="0" applyFont="1" applyBorder="1" applyAlignment="1">
      <alignment vertical="top"/>
    </xf>
    <xf numFmtId="3" fontId="41" fillId="0" borderId="187" xfId="0" applyNumberFormat="1" applyFont="1" applyBorder="1" applyAlignment="1">
      <alignment horizontal="center" vertical="center" wrapText="1" readingOrder="1"/>
    </xf>
    <xf numFmtId="178" fontId="41" fillId="0" borderId="188" xfId="0" applyNumberFormat="1" applyFont="1" applyBorder="1" applyAlignment="1">
      <alignment horizontal="left" vertical="center" wrapText="1" readingOrder="1"/>
    </xf>
    <xf numFmtId="0" fontId="47" fillId="22" borderId="101" xfId="0" applyFont="1" applyFill="1" applyBorder="1" applyAlignment="1">
      <alignment horizontal="center" vertical="center" wrapText="1"/>
    </xf>
    <xf numFmtId="178" fontId="41" fillId="0" borderId="190" xfId="0" applyNumberFormat="1" applyFont="1" applyBorder="1" applyAlignment="1">
      <alignment horizontal="left" vertical="center" wrapText="1" readingOrder="1"/>
    </xf>
    <xf numFmtId="178" fontId="41" fillId="0" borderId="191" xfId="0" applyNumberFormat="1" applyFont="1" applyBorder="1" applyAlignment="1">
      <alignment horizontal="left" vertical="center" wrapText="1" readingOrder="1"/>
    </xf>
    <xf numFmtId="178" fontId="41" fillId="0" borderId="192" xfId="0" applyNumberFormat="1" applyFont="1" applyBorder="1" applyAlignment="1">
      <alignment horizontal="left" vertical="center" wrapText="1" readingOrder="1"/>
    </xf>
    <xf numFmtId="178" fontId="41" fillId="0" borderId="193" xfId="0" applyNumberFormat="1" applyFont="1" applyBorder="1" applyAlignment="1">
      <alignment horizontal="left" vertical="center" wrapText="1" readingOrder="1"/>
    </xf>
    <xf numFmtId="178" fontId="41" fillId="0" borderId="194" xfId="0" applyNumberFormat="1" applyFont="1" applyBorder="1" applyAlignment="1">
      <alignment horizontal="left" vertical="center" wrapText="1" readingOrder="1"/>
    </xf>
    <xf numFmtId="3" fontId="41" fillId="0" borderId="189" xfId="0" applyNumberFormat="1" applyFont="1" applyBorder="1" applyAlignment="1">
      <alignment horizontal="left" vertical="center" wrapText="1" readingOrder="1"/>
    </xf>
    <xf numFmtId="3" fontId="41" fillId="0" borderId="195" xfId="0" applyNumberFormat="1" applyFont="1" applyBorder="1" applyAlignment="1">
      <alignment vertical="center" wrapText="1" readingOrder="1"/>
    </xf>
    <xf numFmtId="3" fontId="41" fillId="0" borderId="198" xfId="0" applyNumberFormat="1" applyFont="1" applyBorder="1" applyAlignment="1">
      <alignment vertical="center" wrapText="1" readingOrder="1"/>
    </xf>
    <xf numFmtId="3" fontId="41" fillId="0" borderId="197" xfId="0" applyNumberFormat="1" applyFont="1" applyBorder="1" applyAlignment="1">
      <alignment vertical="center" wrapText="1" readingOrder="1"/>
    </xf>
    <xf numFmtId="3" fontId="41" fillId="0" borderId="199" xfId="0" applyNumberFormat="1" applyFont="1" applyBorder="1" applyAlignment="1">
      <alignment vertical="center" wrapText="1" readingOrder="1"/>
    </xf>
    <xf numFmtId="3" fontId="41" fillId="0" borderId="201" xfId="0" applyNumberFormat="1" applyFont="1" applyBorder="1" applyAlignment="1">
      <alignment horizontal="center" vertical="center" wrapText="1" readingOrder="1"/>
    </xf>
    <xf numFmtId="3" fontId="41" fillId="0" borderId="200" xfId="0" applyNumberFormat="1" applyFont="1" applyBorder="1" applyAlignment="1">
      <alignment horizontal="center" vertical="center" wrapText="1" readingOrder="1"/>
    </xf>
    <xf numFmtId="0" fontId="53" fillId="0" borderId="0" xfId="0" applyFont="1" applyAlignment="1">
      <alignment vertical="center"/>
    </xf>
    <xf numFmtId="0" fontId="0" fillId="0" borderId="202" xfId="0" applyBorder="1" applyAlignment="1">
      <alignment vertical="center"/>
    </xf>
    <xf numFmtId="176" fontId="33" fillId="0" borderId="0" xfId="0" applyNumberFormat="1" applyFont="1" applyAlignment="1">
      <alignment horizontal="center" vertical="center"/>
    </xf>
    <xf numFmtId="10" fontId="42" fillId="0" borderId="99" xfId="0" applyNumberFormat="1" applyFont="1" applyBorder="1" applyAlignment="1">
      <alignment horizontal="left" vertical="center" wrapText="1" readingOrder="1"/>
    </xf>
    <xf numFmtId="0" fontId="46" fillId="0" borderId="207" xfId="0" applyFont="1" applyBorder="1" applyAlignment="1">
      <alignment horizontal="center" vertical="center" wrapText="1" readingOrder="1"/>
    </xf>
    <xf numFmtId="3" fontId="41" fillId="0" borderId="123" xfId="0" applyNumberFormat="1" applyFont="1" applyBorder="1" applyAlignment="1">
      <alignment horizontal="right" vertical="center" wrapText="1" indent="1" readingOrder="1"/>
    </xf>
    <xf numFmtId="3" fontId="41" fillId="0" borderId="124" xfId="0" applyNumberFormat="1" applyFont="1" applyBorder="1" applyAlignment="1">
      <alignment horizontal="right" vertical="center" wrapText="1" indent="1" readingOrder="1"/>
    </xf>
    <xf numFmtId="3" fontId="41" fillId="0" borderId="196" xfId="0" applyNumberFormat="1" applyFont="1" applyBorder="1" applyAlignment="1">
      <alignment horizontal="right" vertical="center" wrapText="1" indent="1" readingOrder="1"/>
    </xf>
    <xf numFmtId="176" fontId="2" fillId="21" borderId="88" xfId="0" applyNumberFormat="1" applyFont="1" applyFill="1" applyBorder="1" applyAlignment="1">
      <alignment horizontal="center" vertical="center"/>
    </xf>
    <xf numFmtId="178" fontId="41" fillId="0" borderId="209" xfId="0" applyNumberFormat="1" applyFont="1" applyBorder="1" applyAlignment="1">
      <alignment horizontal="left" vertical="center" wrapText="1" readingOrder="1"/>
    </xf>
    <xf numFmtId="3" fontId="41" fillId="0" borderId="208" xfId="0" applyNumberFormat="1" applyFont="1" applyBorder="1" applyAlignment="1">
      <alignment horizontal="right" vertical="center" wrapText="1" indent="1" readingOrder="1"/>
    </xf>
    <xf numFmtId="178" fontId="41" fillId="0" borderId="211" xfId="0" applyNumberFormat="1" applyFont="1" applyBorder="1" applyAlignment="1">
      <alignment horizontal="left" vertical="center" wrapText="1" readingOrder="1"/>
    </xf>
    <xf numFmtId="3" fontId="41" fillId="0" borderId="210" xfId="0" applyNumberFormat="1" applyFont="1" applyBorder="1" applyAlignment="1">
      <alignment horizontal="right" vertical="center" wrapText="1" indent="1" readingOrder="1"/>
    </xf>
    <xf numFmtId="178" fontId="41" fillId="0" borderId="213" xfId="0" applyNumberFormat="1" applyFont="1" applyBorder="1" applyAlignment="1">
      <alignment horizontal="left" vertical="center" wrapText="1" readingOrder="1"/>
    </xf>
    <xf numFmtId="3" fontId="41" fillId="0" borderId="212" xfId="0" applyNumberFormat="1" applyFont="1" applyBorder="1" applyAlignment="1">
      <alignment horizontal="right" vertical="center" wrapText="1" indent="1" readingOrder="1"/>
    </xf>
    <xf numFmtId="178" fontId="41" fillId="0" borderId="214" xfId="0" applyNumberFormat="1" applyFont="1" applyBorder="1" applyAlignment="1">
      <alignment horizontal="left" vertical="center" wrapText="1" readingOrder="1"/>
    </xf>
    <xf numFmtId="178" fontId="48" fillId="0" borderId="216" xfId="0" applyNumberFormat="1" applyFont="1" applyBorder="1" applyAlignment="1">
      <alignment horizontal="left" vertical="top" wrapText="1"/>
    </xf>
    <xf numFmtId="41" fontId="48" fillId="0" borderId="215" xfId="0" applyNumberFormat="1" applyFont="1" applyBorder="1" applyAlignment="1">
      <alignment horizontal="left" vertical="top" wrapText="1"/>
    </xf>
    <xf numFmtId="0" fontId="46" fillId="0" borderId="217" xfId="0" applyFont="1" applyBorder="1" applyAlignment="1">
      <alignment horizontal="center" vertical="center" wrapText="1" readingOrder="1"/>
    </xf>
    <xf numFmtId="3" fontId="41" fillId="0" borderId="218" xfId="0" applyNumberFormat="1" applyFont="1" applyBorder="1" applyAlignment="1">
      <alignment horizontal="center" vertical="center" wrapText="1" readingOrder="1"/>
    </xf>
    <xf numFmtId="0" fontId="0" fillId="0" borderId="219" xfId="0" applyBorder="1" applyAlignment="1">
      <alignment vertical="center"/>
    </xf>
    <xf numFmtId="3" fontId="41" fillId="0" borderId="220" xfId="0" applyNumberFormat="1" applyFont="1" applyBorder="1" applyAlignment="1">
      <alignment horizontal="center" vertical="center" wrapText="1" readingOrder="1"/>
    </xf>
    <xf numFmtId="3" fontId="41" fillId="0" borderId="221" xfId="0" applyNumberFormat="1" applyFont="1" applyBorder="1" applyAlignment="1">
      <alignment horizontal="right" vertical="center" wrapText="1" indent="1" readingOrder="1"/>
    </xf>
    <xf numFmtId="0" fontId="0" fillId="0" borderId="222" xfId="0" applyBorder="1" applyAlignment="1">
      <alignment vertical="center"/>
    </xf>
    <xf numFmtId="0" fontId="0" fillId="0" borderId="223" xfId="0" applyBorder="1" applyAlignment="1">
      <alignment vertical="center"/>
    </xf>
    <xf numFmtId="178" fontId="41" fillId="0" borderId="224" xfId="0" applyNumberFormat="1" applyFont="1" applyBorder="1" applyAlignment="1">
      <alignment horizontal="left" vertical="center" wrapText="1" readingOrder="1"/>
    </xf>
    <xf numFmtId="3" fontId="41" fillId="0" borderId="225" xfId="0" applyNumberFormat="1" applyFont="1" applyBorder="1" applyAlignment="1">
      <alignment horizontal="right" vertical="center" wrapText="1" indent="1" readingOrder="1"/>
    </xf>
    <xf numFmtId="0" fontId="47" fillId="19" borderId="226" xfId="0" applyFont="1" applyFill="1" applyBorder="1" applyAlignment="1">
      <alignment horizontal="center" vertical="center" wrapText="1"/>
    </xf>
    <xf numFmtId="0" fontId="0" fillId="0" borderId="227" xfId="0" applyBorder="1" applyAlignment="1">
      <alignment vertical="center"/>
    </xf>
    <xf numFmtId="0" fontId="43" fillId="0" borderId="228" xfId="0" applyFont="1" applyBorder="1" applyAlignment="1">
      <alignment horizontal="center" vertical="center" wrapText="1" readingOrder="1"/>
    </xf>
    <xf numFmtId="0" fontId="0" fillId="0" borderId="229" xfId="0" applyBorder="1" applyAlignment="1">
      <alignment vertical="center"/>
    </xf>
    <xf numFmtId="178" fontId="41" fillId="0" borderId="230" xfId="0" applyNumberFormat="1" applyFont="1" applyBorder="1" applyAlignment="1">
      <alignment horizontal="left" vertical="center" wrapText="1" readingOrder="1"/>
    </xf>
    <xf numFmtId="178" fontId="41" fillId="0" borderId="231" xfId="0" applyNumberFormat="1" applyFont="1" applyBorder="1" applyAlignment="1">
      <alignment horizontal="left" vertical="center" wrapText="1" readingOrder="1"/>
    </xf>
    <xf numFmtId="178" fontId="41" fillId="0" borderId="232" xfId="0" applyNumberFormat="1" applyFont="1" applyBorder="1" applyAlignment="1">
      <alignment horizontal="left" vertical="center" wrapText="1" readingOrder="1"/>
    </xf>
    <xf numFmtId="0" fontId="0" fillId="0" borderId="233" xfId="0" applyBorder="1" applyAlignment="1">
      <alignment vertical="center"/>
    </xf>
    <xf numFmtId="0" fontId="0" fillId="0" borderId="235" xfId="0" applyBorder="1" applyAlignment="1">
      <alignment vertical="center"/>
    </xf>
    <xf numFmtId="0" fontId="0" fillId="0" borderId="234" xfId="0" applyBorder="1" applyAlignment="1">
      <alignment vertical="center"/>
    </xf>
    <xf numFmtId="178" fontId="41" fillId="0" borderId="236" xfId="0" applyNumberFormat="1" applyFont="1" applyBorder="1" applyAlignment="1">
      <alignment horizontal="left" vertical="center" wrapText="1" readingOrder="1"/>
    </xf>
    <xf numFmtId="0" fontId="46" fillId="0" borderId="148" xfId="0" applyFont="1" applyBorder="1" applyAlignment="1">
      <alignment vertical="center" wrapText="1" readingOrder="1"/>
    </xf>
    <xf numFmtId="3" fontId="41" fillId="0" borderId="238" xfId="0" applyNumberFormat="1" applyFont="1" applyBorder="1" applyAlignment="1">
      <alignment vertical="center" wrapText="1" readingOrder="1"/>
    </xf>
    <xf numFmtId="3" fontId="41" fillId="0" borderId="237" xfId="0" applyNumberFormat="1" applyFont="1" applyBorder="1" applyAlignment="1">
      <alignment horizontal="center" vertical="center" wrapText="1" readingOrder="1"/>
    </xf>
    <xf numFmtId="176" fontId="2" fillId="0" borderId="31" xfId="0" applyNumberFormat="1" applyFont="1" applyBorder="1" applyAlignment="1">
      <alignment vertical="center"/>
    </xf>
    <xf numFmtId="176" fontId="2" fillId="0" borderId="22" xfId="0" applyNumberFormat="1" applyFont="1" applyBorder="1" applyAlignment="1">
      <alignment horizontal="center" vertical="center"/>
    </xf>
    <xf numFmtId="0" fontId="18" fillId="25" borderId="5" xfId="0" applyFont="1" applyFill="1" applyBorder="1" applyAlignment="1">
      <alignment horizontal="center" vertical="center" wrapText="1"/>
    </xf>
    <xf numFmtId="0" fontId="17" fillId="26" borderId="70" xfId="0" applyFont="1" applyFill="1" applyBorder="1" applyAlignment="1">
      <alignment horizontal="center" vertical="center" wrapText="1"/>
    </xf>
    <xf numFmtId="181" fontId="18" fillId="0" borderId="5" xfId="0" applyNumberFormat="1" applyFont="1" applyBorder="1" applyAlignment="1">
      <alignment horizontal="center" vertical="center" wrapText="1"/>
    </xf>
    <xf numFmtId="181" fontId="18" fillId="25" borderId="5" xfId="0" applyNumberFormat="1" applyFont="1" applyFill="1" applyBorder="1" applyAlignment="1">
      <alignment horizontal="center" vertical="center" wrapText="1"/>
    </xf>
    <xf numFmtId="181" fontId="17" fillId="26" borderId="70" xfId="0" applyNumberFormat="1" applyFont="1" applyFill="1" applyBorder="1" applyAlignment="1">
      <alignment horizontal="center" vertical="center" wrapText="1"/>
    </xf>
    <xf numFmtId="176" fontId="2" fillId="19" borderId="21" xfId="0" applyNumberFormat="1" applyFont="1" applyFill="1" applyBorder="1" applyAlignment="1">
      <alignment horizontal="center" vertical="center"/>
    </xf>
    <xf numFmtId="176" fontId="2" fillId="19" borderId="35" xfId="0" applyNumberFormat="1" applyFont="1" applyFill="1" applyBorder="1" applyAlignment="1">
      <alignment horizontal="center" vertical="center"/>
    </xf>
    <xf numFmtId="176" fontId="2" fillId="19" borderId="9" xfId="0" applyNumberFormat="1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top"/>
    </xf>
    <xf numFmtId="0" fontId="38" fillId="0" borderId="140" xfId="0" applyFont="1" applyBorder="1" applyAlignment="1">
      <alignment horizontal="center" vertical="top"/>
    </xf>
    <xf numFmtId="3" fontId="41" fillId="0" borderId="125" xfId="0" applyNumberFormat="1" applyFont="1" applyBorder="1" applyAlignment="1">
      <alignment horizontal="right" vertical="center" wrapText="1" readingOrder="1"/>
    </xf>
    <xf numFmtId="3" fontId="41" fillId="0" borderId="158" xfId="0" applyNumberFormat="1" applyFont="1" applyBorder="1" applyAlignment="1">
      <alignment horizontal="right" vertical="center" wrapText="1" readingOrder="1"/>
    </xf>
    <xf numFmtId="3" fontId="41" fillId="0" borderId="126" xfId="0" applyNumberFormat="1" applyFont="1" applyBorder="1" applyAlignment="1">
      <alignment horizontal="right" vertical="center" wrapText="1" readingOrder="1"/>
    </xf>
    <xf numFmtId="49" fontId="44" fillId="0" borderId="114" xfId="0" applyNumberFormat="1" applyFont="1" applyBorder="1" applyAlignment="1">
      <alignment horizontal="center" vertical="center" wrapText="1" readingOrder="1"/>
    </xf>
    <xf numFmtId="49" fontId="39" fillId="0" borderId="94" xfId="0" applyNumberFormat="1" applyFont="1" applyBorder="1" applyAlignment="1">
      <alignment horizontal="center" vertical="center" wrapText="1" readingOrder="1"/>
    </xf>
    <xf numFmtId="49" fontId="39" fillId="0" borderId="101" xfId="0" applyNumberFormat="1" applyFont="1" applyBorder="1" applyAlignment="1">
      <alignment horizontal="center" vertical="center" wrapText="1" readingOrder="1"/>
    </xf>
    <xf numFmtId="3" fontId="41" fillId="0" borderId="117" xfId="0" applyNumberFormat="1" applyFont="1" applyBorder="1" applyAlignment="1">
      <alignment horizontal="center" vertical="center" wrapText="1" readingOrder="1"/>
    </xf>
    <xf numFmtId="3" fontId="41" fillId="0" borderId="157" xfId="0" applyNumberFormat="1" applyFont="1" applyBorder="1" applyAlignment="1">
      <alignment horizontal="center" vertical="center" wrapText="1" readingOrder="1"/>
    </xf>
    <xf numFmtId="3" fontId="41" fillId="0" borderId="118" xfId="0" applyNumberFormat="1" applyFont="1" applyBorder="1" applyAlignment="1">
      <alignment horizontal="center" vertical="center" wrapText="1" readingOrder="1"/>
    </xf>
    <xf numFmtId="0" fontId="46" fillId="0" borderId="143" xfId="0" applyFont="1" applyBorder="1" applyAlignment="1">
      <alignment horizontal="center" vertical="center" wrapText="1" readingOrder="1"/>
    </xf>
    <xf numFmtId="0" fontId="46" fillId="0" borderId="142" xfId="0" applyFont="1" applyBorder="1" applyAlignment="1">
      <alignment horizontal="center" vertical="center" wrapText="1" readingOrder="1"/>
    </xf>
    <xf numFmtId="0" fontId="46" fillId="0" borderId="93" xfId="0" applyFont="1" applyBorder="1" applyAlignment="1">
      <alignment horizontal="center" vertical="center" wrapText="1" readingOrder="1"/>
    </xf>
    <xf numFmtId="0" fontId="46" fillId="0" borderId="43" xfId="0" applyFont="1" applyBorder="1" applyAlignment="1">
      <alignment horizontal="center" vertical="center" wrapText="1" readingOrder="1"/>
    </xf>
    <xf numFmtId="0" fontId="47" fillId="0" borderId="120" xfId="0" applyFont="1" applyBorder="1" applyAlignment="1">
      <alignment horizontal="center" vertical="top" wrapText="1"/>
    </xf>
    <xf numFmtId="0" fontId="47" fillId="0" borderId="122" xfId="0" applyFont="1" applyBorder="1" applyAlignment="1">
      <alignment horizontal="center" vertical="top" wrapText="1"/>
    </xf>
    <xf numFmtId="0" fontId="46" fillId="0" borderId="155" xfId="0" applyFont="1" applyBorder="1" applyAlignment="1">
      <alignment horizontal="center" vertical="center" wrapText="1" readingOrder="1"/>
    </xf>
    <xf numFmtId="0" fontId="46" fillId="0" borderId="154" xfId="0" applyFont="1" applyBorder="1" applyAlignment="1">
      <alignment horizontal="center" vertical="center" wrapText="1" readingOrder="1"/>
    </xf>
    <xf numFmtId="0" fontId="43" fillId="0" borderId="132" xfId="0" applyFont="1" applyBorder="1" applyAlignment="1">
      <alignment horizontal="center" vertical="center" wrapText="1" readingOrder="1"/>
    </xf>
    <xf numFmtId="0" fontId="43" fillId="0" borderId="133" xfId="0" applyFont="1" applyBorder="1" applyAlignment="1">
      <alignment horizontal="center" vertical="center" wrapText="1" readingOrder="1"/>
    </xf>
    <xf numFmtId="0" fontId="43" fillId="0" borderId="134" xfId="0" applyFont="1" applyBorder="1" applyAlignment="1">
      <alignment horizontal="center" vertical="center" wrapText="1" readingOrder="1"/>
    </xf>
    <xf numFmtId="0" fontId="46" fillId="0" borderId="120" xfId="0" applyFont="1" applyBorder="1" applyAlignment="1">
      <alignment horizontal="center" vertical="center" wrapText="1" readingOrder="1"/>
    </xf>
    <xf numFmtId="0" fontId="46" fillId="0" borderId="119" xfId="0" applyFont="1" applyBorder="1" applyAlignment="1">
      <alignment horizontal="center" vertical="center" wrapText="1" readingOrder="1"/>
    </xf>
    <xf numFmtId="0" fontId="43" fillId="0" borderId="135" xfId="0" applyFont="1" applyBorder="1" applyAlignment="1">
      <alignment horizontal="center" vertical="center" wrapText="1" readingOrder="1"/>
    </xf>
    <xf numFmtId="0" fontId="43" fillId="0" borderId="136" xfId="0" applyFont="1" applyBorder="1" applyAlignment="1">
      <alignment horizontal="center" vertical="center" wrapText="1" readingOrder="1"/>
    </xf>
    <xf numFmtId="3" fontId="41" fillId="0" borderId="172" xfId="0" applyNumberFormat="1" applyFont="1" applyBorder="1" applyAlignment="1">
      <alignment horizontal="center" vertical="center" wrapText="1" readingOrder="1"/>
    </xf>
    <xf numFmtId="3" fontId="41" fillId="0" borderId="173" xfId="0" applyNumberFormat="1" applyFont="1" applyBorder="1" applyAlignment="1">
      <alignment horizontal="center" vertical="center" wrapText="1" readingOrder="1"/>
    </xf>
    <xf numFmtId="3" fontId="41" fillId="0" borderId="174" xfId="0" applyNumberFormat="1" applyFont="1" applyBorder="1" applyAlignment="1">
      <alignment horizontal="center" vertical="center" wrapText="1" readingOrder="1"/>
    </xf>
    <xf numFmtId="0" fontId="46" fillId="0" borderId="148" xfId="0" applyFont="1" applyBorder="1" applyAlignment="1">
      <alignment horizontal="center" vertical="center" wrapText="1" readingOrder="1"/>
    </xf>
    <xf numFmtId="0" fontId="46" fillId="0" borderId="149" xfId="0" applyFont="1" applyBorder="1" applyAlignment="1">
      <alignment horizontal="center" vertical="center" wrapText="1" readingOrder="1"/>
    </xf>
    <xf numFmtId="3" fontId="41" fillId="0" borderId="107" xfId="0" applyNumberFormat="1" applyFont="1" applyBorder="1" applyAlignment="1">
      <alignment horizontal="center" vertical="center" wrapText="1" readingOrder="1"/>
    </xf>
    <xf numFmtId="3" fontId="41" fillId="0" borderId="112" xfId="0" applyNumberFormat="1" applyFont="1" applyBorder="1" applyAlignment="1">
      <alignment horizontal="center" vertical="center" wrapText="1" readingOrder="1"/>
    </xf>
    <xf numFmtId="3" fontId="41" fillId="0" borderId="108" xfId="0" applyNumberFormat="1" applyFont="1" applyBorder="1" applyAlignment="1">
      <alignment horizontal="center" vertical="center" wrapText="1" readingOrder="1"/>
    </xf>
    <xf numFmtId="3" fontId="36" fillId="0" borderId="117" xfId="0" applyNumberFormat="1" applyFont="1" applyBorder="1" applyAlignment="1">
      <alignment horizontal="center" vertical="center" wrapText="1" readingOrder="1"/>
    </xf>
    <xf numFmtId="3" fontId="36" fillId="0" borderId="157" xfId="0" applyNumberFormat="1" applyFont="1" applyBorder="1" applyAlignment="1">
      <alignment horizontal="center" vertical="center" wrapText="1" readingOrder="1"/>
    </xf>
    <xf numFmtId="3" fontId="36" fillId="0" borderId="118" xfId="0" applyNumberFormat="1" applyFont="1" applyBorder="1" applyAlignment="1">
      <alignment horizontal="center" vertical="center" wrapText="1" readingOrder="1"/>
    </xf>
    <xf numFmtId="178" fontId="41" fillId="0" borderId="113" xfId="0" applyNumberFormat="1" applyFont="1" applyBorder="1" applyAlignment="1">
      <alignment horizontal="left" vertical="center" wrapText="1" readingOrder="1"/>
    </xf>
    <xf numFmtId="178" fontId="41" fillId="0" borderId="95" xfId="0" applyNumberFormat="1" applyFont="1" applyBorder="1" applyAlignment="1">
      <alignment horizontal="left" vertical="center" wrapText="1" readingOrder="1"/>
    </xf>
    <xf numFmtId="178" fontId="41" fillId="0" borderId="131" xfId="0" applyNumberFormat="1" applyFont="1" applyBorder="1" applyAlignment="1">
      <alignment horizontal="left" vertical="center" wrapText="1" readingOrder="1"/>
    </xf>
    <xf numFmtId="178" fontId="41" fillId="0" borderId="98" xfId="0" applyNumberFormat="1" applyFont="1" applyBorder="1" applyAlignment="1">
      <alignment horizontal="left" vertical="center" wrapText="1" readingOrder="1"/>
    </xf>
    <xf numFmtId="178" fontId="41" fillId="0" borderId="102" xfId="0" applyNumberFormat="1" applyFont="1" applyBorder="1" applyAlignment="1">
      <alignment horizontal="left" vertical="center" wrapText="1" readingOrder="1"/>
    </xf>
    <xf numFmtId="3" fontId="41" fillId="0" borderId="97" xfId="0" applyNumberFormat="1" applyFont="1" applyBorder="1" applyAlignment="1">
      <alignment horizontal="center" vertical="center" wrapText="1" readingOrder="1"/>
    </xf>
    <xf numFmtId="3" fontId="41" fillId="0" borderId="100" xfId="0" applyNumberFormat="1" applyFont="1" applyBorder="1" applyAlignment="1">
      <alignment horizontal="center" vertical="center" wrapText="1" readingOrder="1"/>
    </xf>
    <xf numFmtId="0" fontId="37" fillId="0" borderId="153" xfId="0" applyFont="1" applyBorder="1" applyAlignment="1">
      <alignment horizontal="center" vertical="top"/>
    </xf>
    <xf numFmtId="0" fontId="46" fillId="0" borderId="206" xfId="0" applyFont="1" applyBorder="1" applyAlignment="1">
      <alignment horizontal="center" vertical="center" wrapText="1" readingOrder="1"/>
    </xf>
    <xf numFmtId="0" fontId="46" fillId="0" borderId="205" xfId="0" applyFont="1" applyBorder="1" applyAlignment="1">
      <alignment horizontal="center" vertical="center" wrapText="1" readingOrder="1"/>
    </xf>
    <xf numFmtId="0" fontId="46" fillId="0" borderId="140" xfId="0" applyFont="1" applyBorder="1" applyAlignment="1">
      <alignment horizontal="center" vertical="center" wrapText="1" readingOrder="1"/>
    </xf>
    <xf numFmtId="0" fontId="47" fillId="0" borderId="185" xfId="0" applyFont="1" applyBorder="1" applyAlignment="1">
      <alignment horizontal="center" vertical="top" wrapText="1"/>
    </xf>
    <xf numFmtId="0" fontId="47" fillId="0" borderId="186" xfId="0" applyFont="1" applyBorder="1" applyAlignment="1">
      <alignment horizontal="center" vertical="top" wrapText="1"/>
    </xf>
    <xf numFmtId="0" fontId="46" fillId="0" borderId="184" xfId="0" applyFont="1" applyBorder="1" applyAlignment="1">
      <alignment horizontal="center" vertical="center" wrapText="1" readingOrder="1"/>
    </xf>
    <xf numFmtId="0" fontId="43" fillId="0" borderId="203" xfId="0" applyFont="1" applyBorder="1" applyAlignment="1">
      <alignment horizontal="center" vertical="center" wrapText="1" readingOrder="1"/>
    </xf>
    <xf numFmtId="0" fontId="43" fillId="0" borderId="139" xfId="0" applyFont="1" applyBorder="1" applyAlignment="1">
      <alignment horizontal="center" vertical="center" wrapText="1" readingOrder="1"/>
    </xf>
    <xf numFmtId="0" fontId="43" fillId="0" borderId="204" xfId="0" applyFont="1" applyBorder="1" applyAlignment="1">
      <alignment horizontal="center" vertical="center" wrapText="1" readingOrder="1"/>
    </xf>
    <xf numFmtId="176" fontId="2" fillId="0" borderId="21" xfId="0" applyNumberFormat="1" applyFont="1" applyBorder="1" applyAlignment="1">
      <alignment horizontal="center" vertical="center"/>
    </xf>
    <xf numFmtId="176" fontId="2" fillId="0" borderId="59" xfId="0" applyNumberFormat="1" applyFont="1" applyBorder="1" applyAlignment="1">
      <alignment horizontal="center" vertical="center"/>
    </xf>
    <xf numFmtId="176" fontId="2" fillId="0" borderId="54" xfId="0" applyNumberFormat="1" applyFont="1" applyBorder="1" applyAlignment="1">
      <alignment horizontal="center" vertical="center"/>
    </xf>
    <xf numFmtId="176" fontId="2" fillId="0" borderId="82" xfId="0" applyNumberFormat="1" applyFont="1" applyBorder="1" applyAlignment="1">
      <alignment horizontal="center" vertical="center"/>
    </xf>
    <xf numFmtId="176" fontId="2" fillId="0" borderId="88" xfId="0" applyNumberFormat="1" applyFont="1" applyBorder="1" applyAlignment="1">
      <alignment horizontal="center" vertical="center"/>
    </xf>
    <xf numFmtId="176" fontId="2" fillId="0" borderId="92" xfId="0" applyNumberFormat="1" applyFont="1" applyBorder="1" applyAlignment="1">
      <alignment horizontal="center" vertical="center"/>
    </xf>
    <xf numFmtId="176" fontId="2" fillId="21" borderId="85" xfId="0" applyNumberFormat="1" applyFont="1" applyFill="1" applyBorder="1" applyAlignment="1">
      <alignment horizontal="center" vertical="center"/>
    </xf>
    <xf numFmtId="176" fontId="2" fillId="21" borderId="54" xfId="0" applyNumberFormat="1" applyFont="1" applyFill="1" applyBorder="1" applyAlignment="1">
      <alignment horizontal="center" vertical="center"/>
    </xf>
    <xf numFmtId="176" fontId="2" fillId="21" borderId="59" xfId="0" applyNumberFormat="1" applyFont="1" applyFill="1" applyBorder="1" applyAlignment="1">
      <alignment horizontal="center" vertical="center"/>
    </xf>
    <xf numFmtId="176" fontId="2" fillId="21" borderId="86" xfId="0" applyNumberFormat="1" applyFont="1" applyFill="1" applyBorder="1" applyAlignment="1">
      <alignment horizontal="center" vertical="center"/>
    </xf>
    <xf numFmtId="176" fontId="2" fillId="21" borderId="43" xfId="0" applyNumberFormat="1" applyFont="1" applyFill="1" applyBorder="1" applyAlignment="1">
      <alignment horizontal="center" vertical="center"/>
    </xf>
    <xf numFmtId="176" fontId="2" fillId="21" borderId="87" xfId="0" applyNumberFormat="1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4" fillId="0" borderId="21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 vertical="center"/>
    </xf>
    <xf numFmtId="0" fontId="34" fillId="0" borderId="59" xfId="0" applyFont="1" applyBorder="1" applyAlignment="1">
      <alignment horizontal="center" vertical="center"/>
    </xf>
    <xf numFmtId="176" fontId="2" fillId="0" borderId="180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3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176" fontId="3" fillId="0" borderId="0" xfId="0" applyNumberFormat="1" applyFont="1" applyAlignment="1">
      <alignment horizontal="center" vertical="center" wrapText="1"/>
    </xf>
    <xf numFmtId="176" fontId="2" fillId="0" borderId="7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176" fontId="3" fillId="0" borderId="9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176" fontId="2" fillId="0" borderId="12" xfId="0" applyNumberFormat="1" applyFont="1" applyBorder="1" applyAlignment="1">
      <alignment horizontal="center" vertical="center" wrapText="1"/>
    </xf>
    <xf numFmtId="0" fontId="4" fillId="0" borderId="43" xfId="0" applyFont="1" applyBorder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3" fillId="6" borderId="19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176" fontId="3" fillId="0" borderId="14" xfId="0" applyNumberFormat="1" applyFont="1" applyBorder="1" applyAlignment="1">
      <alignment horizontal="center" vertical="center"/>
    </xf>
    <xf numFmtId="0" fontId="4" fillId="0" borderId="58" xfId="0" applyFont="1" applyBorder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4" fillId="0" borderId="82" xfId="0" applyFont="1" applyBorder="1" applyAlignment="1">
      <alignment vertical="center"/>
    </xf>
    <xf numFmtId="176" fontId="2" fillId="5" borderId="6" xfId="0" applyNumberFormat="1" applyFont="1" applyFill="1" applyBorder="1" applyAlignment="1">
      <alignment horizontal="center" vertical="center"/>
    </xf>
    <xf numFmtId="176" fontId="2" fillId="0" borderId="35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0" fontId="2" fillId="10" borderId="9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90" xfId="0" applyFont="1" applyFill="1" applyBorder="1" applyAlignment="1">
      <alignment horizontal="center" vertical="center"/>
    </xf>
    <xf numFmtId="0" fontId="2" fillId="4" borderId="89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38" fontId="2" fillId="0" borderId="21" xfId="0" applyNumberFormat="1" applyFont="1" applyBorder="1" applyAlignment="1">
      <alignment horizontal="center" vertical="center"/>
    </xf>
    <xf numFmtId="38" fontId="2" fillId="0" borderId="54" xfId="0" applyNumberFormat="1" applyFont="1" applyBorder="1" applyAlignment="1">
      <alignment horizontal="center" vertical="center"/>
    </xf>
    <xf numFmtId="38" fontId="2" fillId="0" borderId="59" xfId="0" applyNumberFormat="1" applyFont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10" borderId="35" xfId="0" applyFont="1" applyFill="1" applyBorder="1" applyAlignment="1">
      <alignment horizontal="center" vertical="center"/>
    </xf>
    <xf numFmtId="0" fontId="4" fillId="0" borderId="36" xfId="0" applyFont="1" applyBorder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5" fillId="9" borderId="35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38" fontId="2" fillId="0" borderId="36" xfId="0" applyNumberFormat="1" applyFont="1" applyBorder="1" applyAlignment="1">
      <alignment horizontal="center" vertical="center"/>
    </xf>
    <xf numFmtId="38" fontId="2" fillId="0" borderId="43" xfId="0" applyNumberFormat="1" applyFont="1" applyBorder="1" applyAlignment="1">
      <alignment horizontal="center" vertical="center"/>
    </xf>
    <xf numFmtId="38" fontId="2" fillId="0" borderId="40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38" fontId="2" fillId="0" borderId="12" xfId="0" applyNumberFormat="1" applyFont="1" applyBorder="1" applyAlignment="1">
      <alignment horizontal="center" vertical="center"/>
    </xf>
    <xf numFmtId="38" fontId="2" fillId="0" borderId="14" xfId="0" applyNumberFormat="1" applyFont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38" fontId="2" fillId="0" borderId="6" xfId="0" applyNumberFormat="1" applyFont="1" applyBorder="1" applyAlignment="1">
      <alignment horizontal="center" vertical="center"/>
    </xf>
    <xf numFmtId="3" fontId="2" fillId="0" borderId="82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3" fontId="2" fillId="0" borderId="83" xfId="0" applyNumberFormat="1" applyFont="1" applyBorder="1" applyAlignment="1">
      <alignment horizontal="center" vertical="center"/>
    </xf>
    <xf numFmtId="3" fontId="2" fillId="0" borderId="84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3" fontId="2" fillId="0" borderId="35" xfId="0" applyNumberFormat="1" applyFont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18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82" fontId="3" fillId="15" borderId="6" xfId="0" applyNumberFormat="1" applyFont="1" applyFill="1" applyBorder="1" applyAlignment="1">
      <alignment horizontal="center" vertical="center"/>
    </xf>
    <xf numFmtId="182" fontId="3" fillId="15" borderId="9" xfId="0" applyNumberFormat="1" applyFont="1" applyFill="1" applyBorder="1" applyAlignment="1">
      <alignment horizontal="center" vertical="center"/>
    </xf>
    <xf numFmtId="182" fontId="3" fillId="15" borderId="7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182" fontId="23" fillId="0" borderId="0" xfId="0" applyNumberFormat="1" applyFont="1" applyAlignment="1">
      <alignment horizontal="center" vertical="center"/>
    </xf>
    <xf numFmtId="182" fontId="24" fillId="0" borderId="0" xfId="0" applyNumberFormat="1" applyFont="1" applyAlignment="1">
      <alignment horizontal="center" vertical="center"/>
    </xf>
    <xf numFmtId="182" fontId="3" fillId="0" borderId="12" xfId="0" applyNumberFormat="1" applyFont="1" applyBorder="1" applyAlignment="1">
      <alignment horizontal="center" vertical="center"/>
    </xf>
    <xf numFmtId="182" fontId="23" fillId="0" borderId="6" xfId="0" applyNumberFormat="1" applyFont="1" applyBorder="1" applyAlignment="1">
      <alignment horizontal="right" vertical="center"/>
    </xf>
    <xf numFmtId="182" fontId="2" fillId="0" borderId="6" xfId="0" applyNumberFormat="1" applyFont="1" applyBorder="1" applyAlignment="1">
      <alignment horizontal="center" vertical="center"/>
    </xf>
    <xf numFmtId="0" fontId="16" fillId="0" borderId="46" xfId="0" applyFont="1" applyBorder="1" applyAlignment="1">
      <alignment horizontal="right" vertical="center" wrapText="1"/>
    </xf>
    <xf numFmtId="0" fontId="4" fillId="0" borderId="46" xfId="0" applyFont="1" applyBorder="1" applyAlignment="1">
      <alignment vertical="center"/>
    </xf>
    <xf numFmtId="0" fontId="17" fillId="12" borderId="47" xfId="0" applyFont="1" applyFill="1" applyBorder="1" applyAlignment="1">
      <alignment horizontal="center" vertical="center" wrapText="1"/>
    </xf>
    <xf numFmtId="0" fontId="4" fillId="0" borderId="53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17" fillId="12" borderId="48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17" fillId="13" borderId="48" xfId="0" applyFont="1" applyFill="1" applyBorder="1" applyAlignment="1">
      <alignment horizontal="center" vertical="center" wrapText="1"/>
    </xf>
    <xf numFmtId="0" fontId="4" fillId="0" borderId="52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25" fillId="14" borderId="9" xfId="0" applyFont="1" applyFill="1" applyBorder="1" applyAlignment="1">
      <alignment horizontal="center" vertical="center" wrapText="1"/>
    </xf>
    <xf numFmtId="0" fontId="17" fillId="14" borderId="79" xfId="0" applyFont="1" applyFill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17" fillId="12" borderId="80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vertical="center"/>
    </xf>
    <xf numFmtId="0" fontId="25" fillId="14" borderId="6" xfId="0" applyFont="1" applyFill="1" applyBorder="1" applyAlignment="1">
      <alignment horizontal="center" vertical="center" wrapText="1"/>
    </xf>
    <xf numFmtId="0" fontId="26" fillId="14" borderId="6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12" borderId="72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vertical="center"/>
    </xf>
    <xf numFmtId="0" fontId="17" fillId="12" borderId="73" xfId="0" applyFont="1" applyFill="1" applyBorder="1" applyAlignment="1">
      <alignment horizontal="center" vertical="center" wrapText="1"/>
    </xf>
    <xf numFmtId="0" fontId="17" fillId="13" borderId="73" xfId="0" applyFont="1" applyFill="1" applyBorder="1" applyAlignment="1">
      <alignment horizontal="center" vertical="center" wrapText="1"/>
    </xf>
    <xf numFmtId="0" fontId="17" fillId="13" borderId="74" xfId="0" applyFont="1" applyFill="1" applyBorder="1" applyAlignment="1">
      <alignment horizontal="center" vertical="center" wrapText="1"/>
    </xf>
    <xf numFmtId="0" fontId="4" fillId="0" borderId="75" xfId="0" applyFont="1" applyBorder="1" applyAlignment="1">
      <alignment vertical="center"/>
    </xf>
    <xf numFmtId="0" fontId="4" fillId="0" borderId="76" xfId="0" applyFont="1" applyBorder="1" applyAlignment="1">
      <alignment vertical="center"/>
    </xf>
    <xf numFmtId="0" fontId="2" fillId="4" borderId="43" xfId="0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38" fontId="2" fillId="0" borderId="20" xfId="0" applyNumberFormat="1" applyFont="1" applyBorder="1" applyAlignment="1">
      <alignment horizontal="center" vertical="center"/>
    </xf>
    <xf numFmtId="38" fontId="2" fillId="0" borderId="44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vertical="center"/>
    </xf>
    <xf numFmtId="0" fontId="10" fillId="7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51" fillId="24" borderId="183" xfId="0" applyFont="1" applyFill="1" applyBorder="1" applyAlignment="1">
      <alignment horizontal="center" vertical="center" wrapText="1"/>
    </xf>
    <xf numFmtId="0" fontId="55" fillId="24" borderId="183" xfId="0" applyFont="1" applyFill="1" applyBorder="1" applyAlignment="1">
      <alignment horizontal="center" vertical="center" wrapText="1"/>
    </xf>
    <xf numFmtId="0" fontId="55" fillId="24" borderId="183" xfId="1" applyFont="1" applyFill="1" applyBorder="1" applyAlignment="1">
      <alignment horizontal="center" vertical="center" wrapText="1"/>
    </xf>
    <xf numFmtId="0" fontId="55" fillId="24" borderId="183" xfId="1" applyFont="1" applyFill="1" applyBorder="1" applyAlignment="1">
      <alignment horizontal="center" vertical="center" wrapText="1"/>
    </xf>
    <xf numFmtId="0" fontId="52" fillId="23" borderId="183" xfId="1" applyFont="1" applyFill="1" applyBorder="1" applyAlignment="1">
      <alignment horizontal="center" vertical="center"/>
    </xf>
    <xf numFmtId="0" fontId="52" fillId="23" borderId="183" xfId="1" applyFont="1" applyFill="1" applyBorder="1" applyAlignment="1">
      <alignment horizontal="left" vertical="center"/>
    </xf>
    <xf numFmtId="3" fontId="52" fillId="23" borderId="183" xfId="1" applyNumberFormat="1" applyFont="1" applyFill="1" applyBorder="1" applyAlignment="1">
      <alignment horizontal="right" vertical="center"/>
    </xf>
    <xf numFmtId="176" fontId="2" fillId="19" borderId="58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DDADE251-A78F-45A0-9BA8-3952FCBC78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8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3</a:t>
            </a:r>
            <a:r>
              <a:rPr lang="ko-KR" altLang="en-US" sz="28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차년도 장학금 예산 소진 현황 및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476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7625">
                <a:solidFill>
                  <a:schemeClr val="tx1"/>
                </a:solidFill>
              </a:ln>
              <a:effectLst/>
            </c:spPr>
          </c:marker>
          <c:cat>
            <c:strRef>
              <c:f>소진일정!$AD$1:$AO$1</c:f>
              <c:strCache>
                <c:ptCount val="12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  <c:pt idx="4">
                  <c:v>7월</c:v>
                </c:pt>
                <c:pt idx="5">
                  <c:v>8월</c:v>
                </c:pt>
                <c:pt idx="6">
                  <c:v>9월</c:v>
                </c:pt>
                <c:pt idx="7">
                  <c:v>10월</c:v>
                </c:pt>
                <c:pt idx="8">
                  <c:v>11월</c:v>
                </c:pt>
                <c:pt idx="9">
                  <c:v>12월</c:v>
                </c:pt>
                <c:pt idx="10">
                  <c:v>1월</c:v>
                </c:pt>
                <c:pt idx="11">
                  <c:v>2월</c:v>
                </c:pt>
              </c:strCache>
            </c:strRef>
          </c:cat>
          <c:val>
            <c:numRef>
              <c:f>소진일정!$AD$3:$AO$3</c:f>
              <c:numCache>
                <c:formatCode>0.00%</c:formatCode>
                <c:ptCount val="12"/>
                <c:pt idx="0">
                  <c:v>4.9384386415911247E-3</c:v>
                </c:pt>
                <c:pt idx="1">
                  <c:v>1.0817760790150184E-2</c:v>
                </c:pt>
                <c:pt idx="2">
                  <c:v>3.6266767352185092E-2</c:v>
                </c:pt>
                <c:pt idx="3">
                  <c:v>4.6794625558111216E-2</c:v>
                </c:pt>
                <c:pt idx="4">
                  <c:v>0.19192645142741172</c:v>
                </c:pt>
                <c:pt idx="5">
                  <c:v>0.20411486537680962</c:v>
                </c:pt>
                <c:pt idx="6">
                  <c:v>0.29139369401975374</c:v>
                </c:pt>
                <c:pt idx="7">
                  <c:v>0.36962181707482072</c:v>
                </c:pt>
                <c:pt idx="8">
                  <c:v>0.59505955181978076</c:v>
                </c:pt>
                <c:pt idx="9">
                  <c:v>0.61076706399675273</c:v>
                </c:pt>
                <c:pt idx="10">
                  <c:v>0.78044393079420904</c:v>
                </c:pt>
                <c:pt idx="11">
                  <c:v>0.92823877892030837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C-42E9-A750-BCBB52F34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508640"/>
        <c:axId val="931517760"/>
      </c:lineChart>
      <c:catAx>
        <c:axId val="9315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1517760"/>
        <c:crosses val="autoZero"/>
        <c:auto val="1"/>
        <c:lblAlgn val="ctr"/>
        <c:lblOffset val="100"/>
        <c:noMultiLvlLbl val="0"/>
      </c:catAx>
      <c:valAx>
        <c:axId val="9315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150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84</xdr:row>
      <xdr:rowOff>0</xdr:rowOff>
    </xdr:from>
    <xdr:ext cx="323850" cy="323850"/>
    <xdr:sp macro="" textlink="">
      <xdr:nvSpPr>
        <xdr:cNvPr id="3" name="Shape 3" descr="image.png 표시 중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28575</xdr:colOff>
      <xdr:row>31</xdr:row>
      <xdr:rowOff>9525</xdr:rowOff>
    </xdr:from>
    <xdr:ext cx="5753100" cy="1676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265</xdr:row>
      <xdr:rowOff>0</xdr:rowOff>
    </xdr:from>
    <xdr:ext cx="6591300" cy="250507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242887</xdr:colOff>
      <xdr:row>10</xdr:row>
      <xdr:rowOff>23812</xdr:rowOff>
    </xdr:from>
    <xdr:to>
      <xdr:col>40</xdr:col>
      <xdr:colOff>352425</xdr:colOff>
      <xdr:row>36</xdr:row>
      <xdr:rowOff>38100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CD69799-26F5-156E-7DC9-8957011AF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A2C1-E830-43A2-8492-4AD01E262BA8}">
  <dimension ref="A1:Q31"/>
  <sheetViews>
    <sheetView tabSelected="1" zoomScaleNormal="100" workbookViewId="0">
      <selection sqref="A1:M13"/>
    </sheetView>
  </sheetViews>
  <sheetFormatPr defaultRowHeight="15"/>
  <cols>
    <col min="1" max="1" width="4.42578125" customWidth="1"/>
    <col min="2" max="2" width="17.85546875" bestFit="1" customWidth="1"/>
    <col min="3" max="3" width="17.7109375" bestFit="1" customWidth="1"/>
    <col min="4" max="4" width="15.7109375" bestFit="1" customWidth="1"/>
    <col min="5" max="5" width="17.7109375" bestFit="1" customWidth="1"/>
    <col min="6" max="6" width="5.28515625" bestFit="1" customWidth="1"/>
    <col min="7" max="7" width="16.28515625" customWidth="1"/>
    <col min="8" max="8" width="23.42578125" customWidth="1"/>
    <col min="9" max="9" width="23.5703125" customWidth="1"/>
    <col min="10" max="10" width="22.28515625" bestFit="1" customWidth="1"/>
    <col min="11" max="11" width="3.7109375" customWidth="1"/>
    <col min="12" max="12" width="53.85546875" customWidth="1"/>
    <col min="13" max="13" width="4.28515625" customWidth="1"/>
    <col min="17" max="17" width="18.28515625" customWidth="1"/>
  </cols>
  <sheetData>
    <row r="1" spans="1:13" ht="107.25" customHeight="1" thickBot="1">
      <c r="A1" s="512" t="s">
        <v>480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</row>
    <row r="2" spans="1:13" ht="20.25" customHeight="1" thickBot="1">
      <c r="A2" s="329"/>
      <c r="B2" s="523" t="s">
        <v>240</v>
      </c>
      <c r="C2" s="525" t="s">
        <v>507</v>
      </c>
      <c r="D2" s="526"/>
      <c r="E2" s="526"/>
      <c r="F2" s="534" t="s">
        <v>508</v>
      </c>
      <c r="G2" s="535"/>
      <c r="H2" s="346" t="s">
        <v>1101</v>
      </c>
      <c r="I2" s="347" t="s">
        <v>471</v>
      </c>
      <c r="J2" s="345" t="s">
        <v>472</v>
      </c>
      <c r="K2" s="527"/>
      <c r="L2" s="529" t="s">
        <v>510</v>
      </c>
      <c r="M2" s="253"/>
    </row>
    <row r="3" spans="1:13" ht="22.5" thickBot="1">
      <c r="A3" s="317"/>
      <c r="B3" s="524"/>
      <c r="C3" s="531" t="s">
        <v>1239</v>
      </c>
      <c r="D3" s="532"/>
      <c r="E3" s="533"/>
      <c r="F3" s="536" t="s">
        <v>1240</v>
      </c>
      <c r="G3" s="537"/>
      <c r="H3" s="348"/>
      <c r="I3" s="342" t="s">
        <v>1240</v>
      </c>
      <c r="J3" s="342" t="s">
        <v>485</v>
      </c>
      <c r="K3" s="528"/>
      <c r="L3" s="530"/>
      <c r="M3" s="321"/>
    </row>
    <row r="4" spans="1:13" ht="53.25" customHeight="1" thickBot="1">
      <c r="A4" s="319"/>
      <c r="B4" s="349" t="s">
        <v>7</v>
      </c>
      <c r="C4" s="350"/>
      <c r="D4" s="351"/>
      <c r="E4" s="352">
        <v>395131</v>
      </c>
      <c r="F4" s="353" t="s">
        <v>475</v>
      </c>
      <c r="G4" s="354">
        <f>ROUND((예산!G5+예산!G27)/1000,0)</f>
        <v>395131</v>
      </c>
      <c r="H4" s="343" t="s">
        <v>501</v>
      </c>
      <c r="I4" s="447">
        <f>(SUMIF('RCMS.260112'!$F$3:$F$1048576, "학생인건비", 'RCMS.260112'!$H$3:$H$1048576)+SUMIF('RCMS.260112'!$F$3:$F$1048576, "인건비",'RCMS.260112'!$H$3:$H$1048576)-예산!$P$5)/(예산!$G$5+예산!$G$27)</f>
        <v>0.70206410632212402</v>
      </c>
      <c r="J4" s="447">
        <f>SUM(예산!$G$5)/예산!$G$5</f>
        <v>1</v>
      </c>
      <c r="K4" s="355" t="s">
        <v>497</v>
      </c>
      <c r="L4" s="356" t="s">
        <v>1224</v>
      </c>
      <c r="M4" s="324"/>
    </row>
    <row r="5" spans="1:13" ht="62.25" customHeight="1" thickBot="1">
      <c r="A5" s="320"/>
      <c r="B5" s="541" t="s">
        <v>473</v>
      </c>
      <c r="C5" s="543">
        <f>SUM(E5:E8)</f>
        <v>1153591</v>
      </c>
      <c r="D5" s="357" t="s">
        <v>476</v>
      </c>
      <c r="E5" s="358">
        <v>253329</v>
      </c>
      <c r="F5" s="353" t="s">
        <v>475</v>
      </c>
      <c r="G5" s="358">
        <f>ROUND((SUM(예산!G70,예산!G80:G82))/1000,0)</f>
        <v>253329</v>
      </c>
      <c r="H5" s="343" t="s">
        <v>501</v>
      </c>
      <c r="I5" s="359">
        <f>(SUMIF('RCMS.260112'!$F$3:$F$1048576, "연구시설·장비비", 'RCMS.260112'!$I$3:$I$1048576)-SUM(예산!G71:G75,예산!G77:G79)) / SUM(예산!G70,예산!G80:G82)</f>
        <v>1.0001184230782896</v>
      </c>
      <c r="J5" s="360">
        <v>1</v>
      </c>
      <c r="K5" s="399" t="s">
        <v>523</v>
      </c>
      <c r="L5" s="361" t="s">
        <v>525</v>
      </c>
      <c r="M5" s="323"/>
    </row>
    <row r="6" spans="1:13" ht="35.25" thickBot="1">
      <c r="A6" s="319"/>
      <c r="B6" s="523"/>
      <c r="C6" s="544"/>
      <c r="D6" s="538" t="s">
        <v>477</v>
      </c>
      <c r="E6" s="514">
        <v>900262</v>
      </c>
      <c r="F6" s="520" t="s">
        <v>475</v>
      </c>
      <c r="G6" s="514">
        <f>ROUND((SUM(예산!G71:G79,예산!G90))/1000,0)</f>
        <v>900262</v>
      </c>
      <c r="H6" s="517" t="s">
        <v>501</v>
      </c>
      <c r="I6" s="549">
        <f>(SUMIF('RCMS.260112'!$F$3:$F$1048576, "연구시설·장비비", 'RCMS.260112'!$H$3:$H$1048576)-SUM(예산!$G$70,예산!$G$80:$G$82,예산!$P$27)) / SUM(예산!$G$71:$G$82,예산!$G$90)</f>
        <v>0.6066223059116288</v>
      </c>
      <c r="J6" s="552">
        <v>1</v>
      </c>
      <c r="K6" s="399" t="s">
        <v>523</v>
      </c>
      <c r="L6" s="362" t="s">
        <v>1102</v>
      </c>
      <c r="M6" s="324"/>
    </row>
    <row r="7" spans="1:13" ht="27" thickBot="1">
      <c r="A7" s="253"/>
      <c r="B7" s="523"/>
      <c r="C7" s="544"/>
      <c r="D7" s="539"/>
      <c r="E7" s="515"/>
      <c r="F7" s="521"/>
      <c r="G7" s="515"/>
      <c r="H7" s="518"/>
      <c r="I7" s="550"/>
      <c r="J7" s="550"/>
      <c r="K7" s="399" t="s">
        <v>523</v>
      </c>
      <c r="L7" s="340" t="s">
        <v>1104</v>
      </c>
      <c r="M7" s="324"/>
    </row>
    <row r="8" spans="1:13" ht="27" thickBot="1">
      <c r="A8" s="319"/>
      <c r="B8" s="542"/>
      <c r="C8" s="545"/>
      <c r="D8" s="540"/>
      <c r="E8" s="516"/>
      <c r="F8" s="522"/>
      <c r="G8" s="516"/>
      <c r="H8" s="519"/>
      <c r="I8" s="551"/>
      <c r="J8" s="553"/>
      <c r="K8" s="368" t="s">
        <v>497</v>
      </c>
      <c r="L8" s="363" t="s">
        <v>1103</v>
      </c>
      <c r="M8" s="324"/>
    </row>
    <row r="9" spans="1:13" ht="59.25" customHeight="1" thickBot="1">
      <c r="A9" s="317"/>
      <c r="B9" s="364" t="s">
        <v>71</v>
      </c>
      <c r="C9" s="365"/>
      <c r="D9" s="366"/>
      <c r="E9" s="367">
        <v>108040</v>
      </c>
      <c r="F9" s="353" t="s">
        <v>614</v>
      </c>
      <c r="G9" s="358">
        <f>ROUND(예산!G98/1000,0)</f>
        <v>72251</v>
      </c>
      <c r="H9" s="343" t="s">
        <v>1237</v>
      </c>
      <c r="I9" s="449">
        <f>SUMIF('RCMS.260112'!$F$3:$F$1048576, "연구재료비", 'RCMS.260112'!$I$3:$I$1048576)/SUM(예산!$G$98,예산!$P$51)</f>
        <v>0.98064280788815561</v>
      </c>
      <c r="J9" s="450">
        <f>SUM(예산!$G$98,예산!$P$51)/SUM(예산!$G$98,예산!$P$51)</f>
        <v>1</v>
      </c>
      <c r="K9" s="399" t="s">
        <v>523</v>
      </c>
      <c r="L9" s="363" t="s">
        <v>1241</v>
      </c>
      <c r="M9" s="321"/>
    </row>
    <row r="10" spans="1:13" ht="44.25" customHeight="1" thickBot="1">
      <c r="A10" s="321"/>
      <c r="B10" s="541" t="s">
        <v>83</v>
      </c>
      <c r="C10" s="554">
        <f>SUM(E10:E11)</f>
        <v>1141222</v>
      </c>
      <c r="D10" s="369" t="s">
        <v>478</v>
      </c>
      <c r="E10" s="370">
        <v>636987</v>
      </c>
      <c r="F10" s="353" t="s">
        <v>475</v>
      </c>
      <c r="G10" s="358">
        <f>ROUND(예산!G142/1000,0)</f>
        <v>636987</v>
      </c>
      <c r="H10" s="343" t="s">
        <v>501</v>
      </c>
      <c r="I10" s="452">
        <v>0.42</v>
      </c>
      <c r="J10" s="453">
        <f>636987000/683000000</f>
        <v>0.93263103953147874</v>
      </c>
      <c r="K10" s="368" t="s">
        <v>497</v>
      </c>
      <c r="L10" s="344" t="s">
        <v>1225</v>
      </c>
    </row>
    <row r="11" spans="1:13" ht="51.75" customHeight="1" thickBot="1">
      <c r="B11" s="542"/>
      <c r="C11" s="555"/>
      <c r="D11" s="371" t="s">
        <v>479</v>
      </c>
      <c r="E11" s="367">
        <v>504235</v>
      </c>
      <c r="F11" s="328" t="s">
        <v>519</v>
      </c>
      <c r="G11" s="358">
        <f>ROUND(SUM(예산!G155,예산!G161,예산!G187,예산!G198,예산!G203,예산!G212,예산!G218,예산!G224,예산!G233,예산!G264,예산!G239)/1000,0)</f>
        <v>540024</v>
      </c>
      <c r="H11" s="343" t="s">
        <v>1238</v>
      </c>
      <c r="I11" s="452">
        <f>(SUMIFS('RCMS.260112'!$I$3:$I$1048576, 'RCMS.260112'!$F$3:$F$1048576, "연구활동비",'RCMS.260112'!$AG$3:$AG$1048576, "&lt;&gt;*장학금*"))/(예산!$G$130-예산!$G$142)</f>
        <v>0.86537845845966721</v>
      </c>
      <c r="J11" s="453">
        <f>(예산!$G$130-예산!$G$142+예산!$P$57-예산!I200)/(예산!$G$130-예산!$G$142+예산!$P$57)</f>
        <v>1</v>
      </c>
      <c r="K11" s="368" t="s">
        <v>497</v>
      </c>
      <c r="L11" s="372" t="s">
        <v>1242</v>
      </c>
      <c r="M11" s="322"/>
    </row>
    <row r="12" spans="1:13" ht="51" customHeight="1" thickBot="1">
      <c r="A12" s="318"/>
      <c r="B12" s="364" t="s">
        <v>181</v>
      </c>
      <c r="C12" s="373"/>
      <c r="D12" s="374"/>
      <c r="E12" s="370">
        <f>SUM(E4:E11)+155600</f>
        <v>2953584</v>
      </c>
      <c r="F12" s="353" t="s">
        <v>475</v>
      </c>
      <c r="G12" s="358">
        <f>ROUND(예산!G3/1000,0)+155600</f>
        <v>2953584</v>
      </c>
      <c r="H12" s="343" t="s">
        <v>501</v>
      </c>
      <c r="I12" s="341">
        <f>SUM(I4*G4,I5*G5,I6*G6,I9*G9,I10*G10,I11*G11,155600)/C18</f>
        <v>0.65494775158217622</v>
      </c>
      <c r="J12" s="360">
        <f>G12/C18</f>
        <v>0.94909511568123395</v>
      </c>
      <c r="K12" s="375"/>
      <c r="L12" s="376" t="s">
        <v>1100</v>
      </c>
      <c r="M12" s="321"/>
    </row>
    <row r="13" spans="1:13" ht="27" thickBot="1">
      <c r="A13" s="317"/>
      <c r="B13" s="377" t="s">
        <v>474</v>
      </c>
      <c r="C13" s="378"/>
      <c r="D13" s="379"/>
      <c r="E13" s="380">
        <f>3112000-E12</f>
        <v>158416</v>
      </c>
      <c r="F13" s="381"/>
      <c r="G13" s="382">
        <f>3112000-G12</f>
        <v>158416</v>
      </c>
      <c r="H13" s="343" t="s">
        <v>501</v>
      </c>
      <c r="I13" s="383"/>
      <c r="J13" s="384">
        <f>G13/C18</f>
        <v>5.0904884318766067E-2</v>
      </c>
      <c r="K13" s="385"/>
      <c r="L13" s="372"/>
      <c r="M13" s="322"/>
    </row>
    <row r="14" spans="1:13" ht="15.75" customHeight="1" thickBot="1">
      <c r="A14" s="317"/>
      <c r="B14" s="332"/>
      <c r="C14" s="332"/>
      <c r="D14" s="336"/>
      <c r="E14" s="333"/>
      <c r="F14" s="334"/>
      <c r="G14" s="334"/>
      <c r="H14" s="253"/>
      <c r="I14" s="332"/>
      <c r="J14" s="332"/>
      <c r="K14" s="332"/>
      <c r="L14" s="336"/>
      <c r="M14" s="322"/>
    </row>
    <row r="18" spans="2:17" ht="16.5">
      <c r="B18" s="326" t="s">
        <v>484</v>
      </c>
      <c r="C18" s="327">
        <v>3112000</v>
      </c>
      <c r="H18" s="326" t="s">
        <v>1171</v>
      </c>
      <c r="I18" s="327" t="e">
        <f>SUM(#REF!)</f>
        <v>#REF!</v>
      </c>
      <c r="L18" t="e">
        <f>( SUMIF(#REF!, "연구시설·장비비",#REF!)-SUM(예산!$G$71:$G$79,예산!$P$27)+SUM(예산!$G$75,예산!$G$76))</f>
        <v>#REF!</v>
      </c>
    </row>
    <row r="19" spans="2:17" ht="16.5">
      <c r="H19" s="326" t="s">
        <v>1172</v>
      </c>
      <c r="I19" s="327" t="e">
        <f>예산!C3+예산!P3-'3차년도 전체요약'!I18</f>
        <v>#REF!</v>
      </c>
      <c r="L19" t="e">
        <f>SUMIFS(#REF!,#REF!, "연구활동비",#REF!, "*장학금*")/예산!$G$142</f>
        <v>#REF!</v>
      </c>
    </row>
    <row r="20" spans="2:17" ht="15.75" thickBot="1">
      <c r="L20">
        <f>SUM(I4*G4,I5*G5,I6*G6,I9*G9,I10*G10,I11*G11,155600)</f>
        <v>2038197.4029237323</v>
      </c>
    </row>
    <row r="21" spans="2:17" ht="25.5" thickBot="1">
      <c r="O21" s="328" t="s">
        <v>519</v>
      </c>
    </row>
    <row r="22" spans="2:17" ht="25.5" thickBot="1">
      <c r="O22" s="328" t="s">
        <v>475</v>
      </c>
      <c r="Q22" s="335" t="s">
        <v>505</v>
      </c>
    </row>
    <row r="23" spans="2:17">
      <c r="O23" s="546" t="s">
        <v>475</v>
      </c>
    </row>
    <row r="24" spans="2:17">
      <c r="O24" s="547"/>
    </row>
    <row r="25" spans="2:17" ht="15.75" thickBot="1">
      <c r="O25" s="548"/>
    </row>
    <row r="26" spans="2:17" ht="25.5" thickBot="1">
      <c r="O26" s="328" t="s">
        <v>475</v>
      </c>
    </row>
    <row r="27" spans="2:17" ht="25.5" thickBot="1">
      <c r="O27" s="328" t="s">
        <v>475</v>
      </c>
    </row>
    <row r="28" spans="2:17" ht="27" thickBot="1">
      <c r="O28" s="328" t="s">
        <v>504</v>
      </c>
      <c r="P28" s="228" t="s">
        <v>509</v>
      </c>
    </row>
    <row r="29" spans="2:17" ht="15" customHeight="1">
      <c r="O29" s="390" t="s">
        <v>509</v>
      </c>
    </row>
    <row r="30" spans="2:17" ht="15" customHeight="1">
      <c r="O30" s="391"/>
    </row>
    <row r="31" spans="2:17" ht="15.75" customHeight="1" thickBot="1">
      <c r="O31" s="392"/>
    </row>
  </sheetData>
  <mergeCells count="20">
    <mergeCell ref="B10:B11"/>
    <mergeCell ref="O23:O25"/>
    <mergeCell ref="I6:I8"/>
    <mergeCell ref="J6:J8"/>
    <mergeCell ref="C10:C11"/>
    <mergeCell ref="A1:M1"/>
    <mergeCell ref="E6:E8"/>
    <mergeCell ref="H6:H8"/>
    <mergeCell ref="G6:G8"/>
    <mergeCell ref="F6:F8"/>
    <mergeCell ref="B2:B3"/>
    <mergeCell ref="C2:E2"/>
    <mergeCell ref="K2:K3"/>
    <mergeCell ref="L2:L3"/>
    <mergeCell ref="C3:E3"/>
    <mergeCell ref="F2:G2"/>
    <mergeCell ref="F3:G3"/>
    <mergeCell ref="D6:D8"/>
    <mergeCell ref="B5:B8"/>
    <mergeCell ref="C5:C8"/>
  </mergeCells>
  <phoneticPr fontId="27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C25B-FF00-411C-8107-03029DC294C3}">
  <dimension ref="A1:Q29"/>
  <sheetViews>
    <sheetView zoomScaleNormal="100" workbookViewId="0">
      <selection activeCell="E4" sqref="E4"/>
    </sheetView>
  </sheetViews>
  <sheetFormatPr defaultRowHeight="15"/>
  <cols>
    <col min="1" max="1" width="4.42578125" customWidth="1"/>
    <col min="2" max="2" width="17.85546875" bestFit="1" customWidth="1"/>
    <col min="3" max="3" width="25" bestFit="1" customWidth="1"/>
    <col min="4" max="4" width="11.7109375" customWidth="1"/>
    <col min="5" max="5" width="26.42578125" bestFit="1" customWidth="1"/>
    <col min="6" max="8" width="32.85546875" customWidth="1"/>
    <col min="9" max="9" width="28.42578125" bestFit="1" customWidth="1"/>
    <col min="10" max="10" width="29.7109375" bestFit="1" customWidth="1"/>
    <col min="11" max="11" width="3.7109375" customWidth="1"/>
    <col min="12" max="12" width="66.28515625" customWidth="1"/>
    <col min="13" max="13" width="145.5703125" customWidth="1"/>
    <col min="17" max="17" width="18.28515625" customWidth="1"/>
  </cols>
  <sheetData>
    <row r="1" spans="1:13" ht="107.25" customHeight="1" thickBot="1">
      <c r="B1" s="556" t="s">
        <v>1095</v>
      </c>
      <c r="C1" s="512"/>
      <c r="D1" s="512"/>
      <c r="E1" s="512"/>
      <c r="F1" s="512"/>
      <c r="G1" s="512"/>
      <c r="H1" s="512"/>
      <c r="I1" s="512"/>
      <c r="J1" s="512"/>
      <c r="K1" s="320"/>
      <c r="L1" s="445"/>
      <c r="M1" s="445"/>
    </row>
    <row r="2" spans="1:13" ht="20.25" customHeight="1" thickBot="1">
      <c r="A2" s="323"/>
      <c r="B2" s="557" t="s">
        <v>240</v>
      </c>
      <c r="C2" s="558" t="s">
        <v>1083</v>
      </c>
      <c r="D2" s="559"/>
      <c r="E2" s="559"/>
      <c r="F2" s="347" t="s">
        <v>471</v>
      </c>
      <c r="G2" s="345" t="s">
        <v>472</v>
      </c>
      <c r="H2" s="465" t="s">
        <v>1084</v>
      </c>
      <c r="I2" s="347" t="s">
        <v>471</v>
      </c>
      <c r="J2" s="345" t="s">
        <v>472</v>
      </c>
      <c r="K2" s="489"/>
      <c r="L2" s="560"/>
      <c r="M2" s="562" t="s">
        <v>510</v>
      </c>
    </row>
    <row r="3" spans="1:13" ht="15.75" customHeight="1" thickBot="1">
      <c r="A3" s="462"/>
      <c r="B3" s="524"/>
      <c r="C3" s="563"/>
      <c r="D3" s="564"/>
      <c r="E3" s="565"/>
      <c r="F3" s="342" t="s">
        <v>1085</v>
      </c>
      <c r="G3" s="342" t="s">
        <v>1086</v>
      </c>
      <c r="H3" s="342"/>
      <c r="I3" s="342" t="s">
        <v>1085</v>
      </c>
      <c r="J3" s="490" t="s">
        <v>1086</v>
      </c>
      <c r="K3" s="491"/>
      <c r="L3" s="561"/>
      <c r="M3" s="530"/>
    </row>
    <row r="4" spans="1:13" ht="45" customHeight="1" thickBot="1">
      <c r="A4" s="323"/>
      <c r="B4" s="349" t="s">
        <v>7</v>
      </c>
      <c r="C4" s="350"/>
      <c r="D4" s="351"/>
      <c r="E4" s="466">
        <f>예산!$G5</f>
        <v>216130857</v>
      </c>
      <c r="F4" s="447">
        <v>0.35099999999999998</v>
      </c>
      <c r="G4" s="470">
        <v>1</v>
      </c>
      <c r="H4" s="471">
        <v>4028892</v>
      </c>
      <c r="I4" s="447">
        <v>1</v>
      </c>
      <c r="J4" s="492">
        <f>SUM(예산!$G$5)/예산!$G$5</f>
        <v>1</v>
      </c>
      <c r="L4" s="399" t="s">
        <v>523</v>
      </c>
      <c r="M4" s="356" t="s">
        <v>1090</v>
      </c>
    </row>
    <row r="5" spans="1:13" ht="52.5" thickBot="1">
      <c r="A5" s="323"/>
      <c r="B5" s="438" t="s">
        <v>473</v>
      </c>
      <c r="C5" s="459"/>
      <c r="D5" s="460"/>
      <c r="E5" s="467">
        <v>1302507390</v>
      </c>
      <c r="F5" s="440">
        <v>7.9000000000000001E-2</v>
      </c>
      <c r="G5" s="472">
        <v>0.97899999999999998</v>
      </c>
      <c r="H5" s="473">
        <v>282398210</v>
      </c>
      <c r="I5" s="440">
        <v>0.66</v>
      </c>
      <c r="J5" s="493">
        <f>(예산!$G$83+예산!$G$90+예산!$P$27)/(예산!$G$67+예산!$P$27)</f>
        <v>1</v>
      </c>
      <c r="L5" s="399" t="s">
        <v>523</v>
      </c>
      <c r="M5" s="361" t="s">
        <v>1093</v>
      </c>
    </row>
    <row r="6" spans="1:13" ht="41.25" customHeight="1" thickBot="1">
      <c r="A6" s="323"/>
      <c r="B6" s="364" t="s">
        <v>71</v>
      </c>
      <c r="C6" s="365"/>
      <c r="D6" s="446"/>
      <c r="E6" s="467">
        <v>108039500</v>
      </c>
      <c r="F6" s="449">
        <v>0.622</v>
      </c>
      <c r="G6" s="474">
        <v>0.995</v>
      </c>
      <c r="H6" s="475">
        <v>1144000</v>
      </c>
      <c r="I6" s="449">
        <v>0</v>
      </c>
      <c r="J6" s="493">
        <f>SUM(예산!$G$98,예산!$P$51)/SUM(예산!$G$98,예산!$P$51)</f>
        <v>1</v>
      </c>
      <c r="K6" s="324"/>
      <c r="L6" s="488" t="s">
        <v>497</v>
      </c>
      <c r="M6" s="363" t="s">
        <v>1096</v>
      </c>
    </row>
    <row r="7" spans="1:13" ht="43.5" customHeight="1" thickBot="1">
      <c r="A7" s="319"/>
      <c r="B7" s="499" t="s">
        <v>1170</v>
      </c>
      <c r="C7" s="500"/>
      <c r="D7" s="501"/>
      <c r="E7" s="467">
        <v>1144554352</v>
      </c>
      <c r="F7" s="452">
        <v>0.71699999999999997</v>
      </c>
      <c r="G7" s="498">
        <v>0.97799999999999998</v>
      </c>
      <c r="H7" s="475">
        <v>198119549</v>
      </c>
      <c r="I7" s="452">
        <v>0.39800000000000002</v>
      </c>
      <c r="J7" s="476">
        <f>(예산!$G$130-예산!$G$142+예산!$P$57-예산!G197)/(예산!$G$130-예산!$G$142+예산!$P$57)</f>
        <v>1</v>
      </c>
      <c r="K7" s="324"/>
      <c r="L7" s="448" t="s">
        <v>523</v>
      </c>
      <c r="M7" s="372" t="s">
        <v>1097</v>
      </c>
    </row>
    <row r="8" spans="1:13" ht="50.25" customHeight="1" thickBot="1">
      <c r="B8" s="439" t="s">
        <v>1082</v>
      </c>
      <c r="C8" s="457"/>
      <c r="D8" s="458"/>
      <c r="E8" s="467">
        <f>186800000</f>
        <v>186800000</v>
      </c>
      <c r="F8" s="451">
        <v>1</v>
      </c>
      <c r="G8" s="472">
        <f>SUM(예산!$G$27)/예산!$G$27</f>
        <v>1</v>
      </c>
      <c r="H8" s="475">
        <v>0</v>
      </c>
      <c r="I8" s="451" t="s">
        <v>1169</v>
      </c>
      <c r="J8" s="472" t="s">
        <v>1169</v>
      </c>
      <c r="K8" s="323"/>
      <c r="L8" s="448" t="s">
        <v>523</v>
      </c>
      <c r="M8" s="372" t="s">
        <v>1088</v>
      </c>
    </row>
    <row r="9" spans="1:13" ht="40.5" customHeight="1" thickBot="1">
      <c r="A9" s="319"/>
      <c r="B9" s="439" t="s">
        <v>1081</v>
      </c>
      <c r="C9" s="456"/>
      <c r="D9" s="455"/>
      <c r="E9" s="468">
        <v>155600000</v>
      </c>
      <c r="F9" s="449">
        <v>1</v>
      </c>
      <c r="G9" s="474">
        <f>예산!$C$267/예산!$C$267</f>
        <v>1</v>
      </c>
      <c r="H9" s="475">
        <v>0</v>
      </c>
      <c r="I9" s="449" t="s">
        <v>1169</v>
      </c>
      <c r="J9" s="493" t="s">
        <v>1169</v>
      </c>
      <c r="L9" s="448" t="s">
        <v>523</v>
      </c>
      <c r="M9" s="372" t="s">
        <v>1089</v>
      </c>
    </row>
    <row r="10" spans="1:13" ht="43.5" customHeight="1" thickBot="1">
      <c r="A10" s="319"/>
      <c r="B10" s="479" t="s">
        <v>181</v>
      </c>
      <c r="C10" s="480"/>
      <c r="D10" s="482"/>
      <c r="E10" s="483">
        <f>SUM(E4:E9)</f>
        <v>3113632099</v>
      </c>
      <c r="F10" s="486">
        <v>0.45300000000000001</v>
      </c>
      <c r="G10" s="472">
        <f>1-G12/E10</f>
        <v>0.98295461803241124</v>
      </c>
      <c r="H10" s="487">
        <f>SUM(H4:H7)</f>
        <v>485690651</v>
      </c>
      <c r="I10" s="440">
        <v>0.55500000000000005</v>
      </c>
      <c r="J10" s="494">
        <v>1</v>
      </c>
      <c r="K10" s="495"/>
      <c r="L10" s="375"/>
      <c r="M10" s="376"/>
    </row>
    <row r="11" spans="1:13" ht="27" thickBot="1">
      <c r="A11" s="319"/>
      <c r="C11" s="481"/>
      <c r="D11" s="484"/>
      <c r="E11" s="485"/>
      <c r="F11" s="484"/>
      <c r="G11" s="484"/>
      <c r="H11" s="481"/>
      <c r="I11" s="481"/>
      <c r="J11" s="496"/>
      <c r="K11" s="497"/>
      <c r="L11" s="385"/>
      <c r="M11" s="464" t="s">
        <v>1094</v>
      </c>
    </row>
    <row r="12" spans="1:13" ht="27" thickBot="1">
      <c r="A12" s="318"/>
      <c r="B12" s="377" t="s">
        <v>1091</v>
      </c>
      <c r="C12" s="378"/>
      <c r="D12" s="379"/>
      <c r="E12" s="358"/>
      <c r="F12" s="384"/>
      <c r="G12" s="478">
        <f>E4*(1-G4)+E5*(1-G5)+E6*(1-G6)+E7*(1-G7)+E8*(1-G8)+E9*(1-G9)</f>
        <v>53073048.434000045</v>
      </c>
      <c r="H12" s="477"/>
      <c r="I12" s="383"/>
      <c r="J12" s="454"/>
      <c r="K12" s="332"/>
      <c r="L12" s="336"/>
      <c r="M12" s="322"/>
    </row>
    <row r="16" spans="1:13" ht="16.5">
      <c r="B16" s="326" t="s">
        <v>484</v>
      </c>
      <c r="C16" s="327">
        <v>2956400</v>
      </c>
      <c r="F16" t="e">
        <f>SUMIFS(#REF!,#REF!, "연구활동비",#REF!, "*장학금*")</f>
        <v>#REF!</v>
      </c>
      <c r="I16">
        <f>예산!G142</f>
        <v>636987000</v>
      </c>
      <c r="J16" s="228"/>
    </row>
    <row r="17" spans="6:17">
      <c r="F17" t="e">
        <f>SUMIFS(#REF!,#REF!, "연구활동비",#REF!, "&lt;&gt;*장학금*")</f>
        <v>#REF!</v>
      </c>
      <c r="I17">
        <f>(예산!G130-예산!G142)</f>
        <v>540023574</v>
      </c>
      <c r="J17" s="461"/>
    </row>
    <row r="18" spans="6:17" ht="15.75" thickBot="1">
      <c r="F18" t="e">
        <f xml:space="preserve"> SUMIF(#REF!, "연구재료비",#REF!)</f>
        <v>#REF!</v>
      </c>
    </row>
    <row r="19" spans="6:17" ht="25.5" thickBot="1">
      <c r="O19" s="328" t="s">
        <v>519</v>
      </c>
    </row>
    <row r="20" spans="6:17" ht="25.5" thickBot="1">
      <c r="O20" s="328" t="s">
        <v>475</v>
      </c>
      <c r="Q20" s="335" t="s">
        <v>505</v>
      </c>
    </row>
    <row r="21" spans="6:17">
      <c r="O21" s="546" t="s">
        <v>475</v>
      </c>
    </row>
    <row r="22" spans="6:17">
      <c r="O22" s="547"/>
    </row>
    <row r="23" spans="6:17" ht="15.75" thickBot="1">
      <c r="O23" s="548"/>
    </row>
    <row r="24" spans="6:17" ht="25.5" thickBot="1">
      <c r="O24" s="328" t="s">
        <v>475</v>
      </c>
    </row>
    <row r="25" spans="6:17" ht="25.5" thickBot="1">
      <c r="O25" s="328" t="s">
        <v>475</v>
      </c>
    </row>
    <row r="26" spans="6:17" ht="27" thickBot="1">
      <c r="O26" s="328" t="s">
        <v>504</v>
      </c>
      <c r="P26" s="228" t="s">
        <v>509</v>
      </c>
    </row>
    <row r="27" spans="6:17" ht="15" customHeight="1">
      <c r="O27" s="390" t="s">
        <v>509</v>
      </c>
    </row>
    <row r="28" spans="6:17" ht="15" customHeight="1">
      <c r="O28" s="391"/>
    </row>
    <row r="29" spans="6:17" ht="15.75" customHeight="1" thickBot="1">
      <c r="O29" s="392"/>
    </row>
  </sheetData>
  <mergeCells count="8">
    <mergeCell ref="B1:G1"/>
    <mergeCell ref="H1:J1"/>
    <mergeCell ref="O21:O23"/>
    <mergeCell ref="B2:B3"/>
    <mergeCell ref="C2:E2"/>
    <mergeCell ref="L2:L3"/>
    <mergeCell ref="M2:M3"/>
    <mergeCell ref="C3:E3"/>
  </mergeCells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1"/>
  <sheetViews>
    <sheetView topLeftCell="A100" workbookViewId="0">
      <selection activeCell="G127" sqref="G127"/>
    </sheetView>
  </sheetViews>
  <sheetFormatPr defaultColWidth="12.5703125" defaultRowHeight="15" customHeight="1"/>
  <cols>
    <col min="1" max="1" width="6" customWidth="1"/>
    <col min="2" max="2" width="44.5703125" bestFit="1" customWidth="1"/>
    <col min="3" max="3" width="48.42578125" customWidth="1"/>
    <col min="4" max="4" width="18" bestFit="1" customWidth="1"/>
    <col min="6" max="6" width="16.7109375" bestFit="1" customWidth="1"/>
    <col min="7" max="7" width="18.140625" bestFit="1" customWidth="1"/>
    <col min="8" max="8" width="33.140625" customWidth="1"/>
    <col min="9" max="9" width="8.85546875" customWidth="1"/>
    <col min="10" max="10" width="6" customWidth="1"/>
    <col min="11" max="11" width="22" customWidth="1"/>
    <col min="12" max="12" width="40.5703125" customWidth="1"/>
    <col min="13" max="13" width="14" bestFit="1" customWidth="1"/>
    <col min="15" max="15" width="12.140625" customWidth="1"/>
    <col min="16" max="16" width="16" bestFit="1" customWidth="1"/>
    <col min="17" max="17" width="47" customWidth="1"/>
    <col min="18" max="18" width="27.42578125" customWidth="1"/>
    <col min="19" max="19" width="17" customWidth="1"/>
    <col min="20" max="20" width="9.7109375" customWidth="1"/>
    <col min="21" max="21" width="21.140625" customWidth="1"/>
    <col min="22" max="22" width="11.7109375" customWidth="1"/>
    <col min="23" max="26" width="7.85546875" customWidth="1"/>
  </cols>
  <sheetData>
    <row r="1" spans="1:26" ht="41.25" customHeight="1">
      <c r="A1" s="604" t="s">
        <v>0</v>
      </c>
      <c r="B1" s="587"/>
      <c r="C1" s="587"/>
      <c r="D1" s="587"/>
      <c r="E1" s="587"/>
      <c r="F1" s="587"/>
      <c r="G1" s="587"/>
      <c r="H1" s="587"/>
      <c r="I1" s="2"/>
      <c r="J1" s="604" t="s">
        <v>1</v>
      </c>
      <c r="K1" s="587"/>
      <c r="L1" s="587"/>
      <c r="M1" s="587"/>
      <c r="N1" s="587"/>
      <c r="O1" s="587"/>
      <c r="P1" s="587"/>
      <c r="Q1" s="587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3"/>
      <c r="B2" s="3" t="s">
        <v>2</v>
      </c>
      <c r="C2" s="3">
        <f>3050000000 + 62000000</f>
        <v>3112000000</v>
      </c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3">
        <v>1</v>
      </c>
      <c r="B3" s="3" t="s">
        <v>3</v>
      </c>
      <c r="C3" s="3">
        <f>C2*0.95</f>
        <v>2956400000</v>
      </c>
      <c r="D3" s="3"/>
      <c r="E3" s="3"/>
      <c r="F3" s="5" t="s">
        <v>4</v>
      </c>
      <c r="G3" s="6">
        <f>SUM(G5,G27,G67,G98,G130)</f>
        <v>2797983630</v>
      </c>
      <c r="H3" s="3">
        <f>C3-G3</f>
        <v>158416370</v>
      </c>
      <c r="I3" s="7"/>
      <c r="J3" s="3">
        <v>1</v>
      </c>
      <c r="K3" s="3" t="s">
        <v>3</v>
      </c>
      <c r="L3" s="8">
        <v>485690651</v>
      </c>
      <c r="M3" s="3"/>
      <c r="N3" s="3"/>
      <c r="O3" s="5" t="s">
        <v>4</v>
      </c>
      <c r="P3" s="6">
        <f>SUM(P5,P16,P27,P51,P57)</f>
        <v>485690651</v>
      </c>
      <c r="Q3" s="8">
        <f>L3</f>
        <v>485690651</v>
      </c>
      <c r="R3" s="8">
        <f>Q3-P3</f>
        <v>0</v>
      </c>
      <c r="S3" s="3">
        <f>P3+G3+H3</f>
        <v>3442090651</v>
      </c>
      <c r="T3" s="3"/>
      <c r="U3" s="3"/>
      <c r="V3" s="3"/>
      <c r="W3" s="3"/>
      <c r="X3" s="3"/>
      <c r="Y3" s="3"/>
      <c r="Z3" s="3"/>
    </row>
    <row r="4" spans="1:26" ht="16.5" customHeight="1">
      <c r="A4" s="3"/>
      <c r="B4" s="3"/>
      <c r="C4" s="3"/>
      <c r="D4" s="3"/>
      <c r="E4" s="3"/>
      <c r="F4" s="3"/>
      <c r="G4" s="3"/>
      <c r="H4" s="3"/>
      <c r="I4" s="4"/>
      <c r="J4" s="3"/>
      <c r="K4" s="3"/>
      <c r="L4" s="3"/>
      <c r="M4" s="3"/>
      <c r="N4" s="3"/>
      <c r="O4" s="3"/>
      <c r="P4" s="3"/>
      <c r="Q4" s="8" t="s">
        <v>5</v>
      </c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>
      <c r="A5" s="9" t="s">
        <v>6</v>
      </c>
      <c r="B5" s="9" t="s">
        <v>7</v>
      </c>
      <c r="C5" s="9"/>
      <c r="D5" s="9"/>
      <c r="E5" s="9"/>
      <c r="F5" s="9"/>
      <c r="G5" s="232">
        <f>SUM(G15,G20)</f>
        <v>216130857</v>
      </c>
      <c r="H5" s="3"/>
      <c r="I5" s="7"/>
      <c r="J5" s="9" t="s">
        <v>6</v>
      </c>
      <c r="K5" s="9" t="s">
        <v>7</v>
      </c>
      <c r="L5" s="9"/>
      <c r="M5" s="9"/>
      <c r="N5" s="9"/>
      <c r="O5" s="9"/>
      <c r="P5" s="10">
        <f>P14</f>
        <v>4028892</v>
      </c>
      <c r="Q5" s="8">
        <v>4028892</v>
      </c>
      <c r="R5" s="8">
        <f>Q5-P5</f>
        <v>0</v>
      </c>
      <c r="S5" s="3"/>
      <c r="T5" s="3"/>
      <c r="U5" s="3"/>
      <c r="V5" s="3"/>
      <c r="W5" s="3"/>
      <c r="X5" s="3"/>
      <c r="Y5" s="3"/>
      <c r="Z5" s="3"/>
    </row>
    <row r="6" spans="1:26" ht="16.5" customHeight="1">
      <c r="A6" s="3"/>
      <c r="B6" s="11" t="s">
        <v>8</v>
      </c>
      <c r="C6" s="12" t="s">
        <v>9</v>
      </c>
      <c r="D6" s="12" t="s">
        <v>10</v>
      </c>
      <c r="E6" s="12" t="s">
        <v>11</v>
      </c>
      <c r="F6" s="13" t="s">
        <v>12</v>
      </c>
      <c r="G6" s="14" t="s">
        <v>13</v>
      </c>
      <c r="H6" s="3" t="s">
        <v>358</v>
      </c>
      <c r="I6" s="4"/>
      <c r="J6" s="3"/>
      <c r="K6" s="11" t="s">
        <v>8</v>
      </c>
      <c r="L6" s="11" t="s">
        <v>9</v>
      </c>
      <c r="M6" s="11" t="s">
        <v>10</v>
      </c>
      <c r="N6" s="11" t="s">
        <v>11</v>
      </c>
      <c r="O6" s="15" t="s">
        <v>12</v>
      </c>
      <c r="P6" s="16" t="s">
        <v>13</v>
      </c>
      <c r="Q6" s="3"/>
      <c r="R6" s="3"/>
      <c r="S6" s="8"/>
      <c r="T6" s="17"/>
      <c r="U6" s="17"/>
      <c r="V6" s="3"/>
      <c r="W6" s="3"/>
      <c r="X6" s="3"/>
      <c r="Y6" s="3"/>
      <c r="Z6" s="3"/>
    </row>
    <row r="7" spans="1:26" ht="16.5" customHeight="1">
      <c r="A7" s="3"/>
      <c r="B7" s="578" t="s">
        <v>14</v>
      </c>
      <c r="C7" s="11" t="s">
        <v>356</v>
      </c>
      <c r="D7" s="15" t="s">
        <v>16</v>
      </c>
      <c r="E7" s="11">
        <v>1815760</v>
      </c>
      <c r="F7" s="18">
        <v>2</v>
      </c>
      <c r="G7" s="11">
        <f>(E7*F7)+1192128+1047560</f>
        <v>5871208</v>
      </c>
      <c r="H7" s="590" t="s">
        <v>17</v>
      </c>
      <c r="I7" s="4"/>
      <c r="J7" s="3"/>
      <c r="K7" s="605" t="s">
        <v>14</v>
      </c>
      <c r="L7" s="11" t="s">
        <v>15</v>
      </c>
      <c r="M7" s="11" t="s">
        <v>16</v>
      </c>
      <c r="N7" s="11">
        <v>1815760</v>
      </c>
      <c r="O7" s="15">
        <v>2</v>
      </c>
      <c r="P7" s="11">
        <f>(N7*O7)-1223848+31720</f>
        <v>2439392</v>
      </c>
      <c r="Q7" s="20" t="s">
        <v>18</v>
      </c>
      <c r="R7" s="21"/>
      <c r="S7" s="8"/>
      <c r="T7" s="8"/>
      <c r="U7" s="8"/>
      <c r="V7" s="3"/>
      <c r="W7" s="3"/>
      <c r="X7" s="3"/>
      <c r="Y7" s="3"/>
      <c r="Z7" s="3"/>
    </row>
    <row r="8" spans="1:26" ht="16.5" customHeight="1">
      <c r="A8" s="3"/>
      <c r="B8" s="579"/>
      <c r="C8" s="11" t="s">
        <v>331</v>
      </c>
      <c r="D8" s="13" t="s">
        <v>16</v>
      </c>
      <c r="E8" s="11">
        <v>1589500</v>
      </c>
      <c r="F8" s="15">
        <v>3</v>
      </c>
      <c r="G8" s="11">
        <f t="shared" ref="G8:G9" si="0">E8*F8</f>
        <v>4768500</v>
      </c>
      <c r="H8" s="587"/>
      <c r="I8" s="4"/>
      <c r="J8" s="3"/>
      <c r="K8" s="579"/>
      <c r="L8" s="15" t="s">
        <v>19</v>
      </c>
      <c r="M8" s="18" t="s">
        <v>16</v>
      </c>
      <c r="N8" s="11">
        <v>1589500</v>
      </c>
      <c r="O8" s="18">
        <v>1</v>
      </c>
      <c r="P8" s="11">
        <f>N8*O8</f>
        <v>1589500</v>
      </c>
      <c r="Q8" s="22">
        <f>-1223848+31720</f>
        <v>-1192128</v>
      </c>
      <c r="R8" s="21"/>
      <c r="S8" s="8"/>
      <c r="T8" s="17"/>
      <c r="U8" s="17"/>
      <c r="V8" s="3"/>
      <c r="W8" s="3"/>
      <c r="X8" s="3"/>
      <c r="Y8" s="3"/>
      <c r="Z8" s="3"/>
    </row>
    <row r="9" spans="1:26" ht="16.5" customHeight="1">
      <c r="A9" s="3"/>
      <c r="B9" s="580"/>
      <c r="C9" s="509" t="s">
        <v>1201</v>
      </c>
      <c r="D9" s="510" t="s">
        <v>332</v>
      </c>
      <c r="E9" s="509">
        <f>2450884</f>
        <v>2450884</v>
      </c>
      <c r="F9" s="510">
        <v>6</v>
      </c>
      <c r="G9" s="509">
        <f t="shared" si="0"/>
        <v>14705304</v>
      </c>
      <c r="I9" s="212"/>
      <c r="J9" s="3"/>
      <c r="K9" s="580"/>
      <c r="L9" s="219"/>
      <c r="M9" s="213"/>
      <c r="N9" s="213"/>
      <c r="O9" s="213"/>
      <c r="P9" s="11"/>
      <c r="Q9" s="220"/>
      <c r="R9" s="21"/>
      <c r="S9" s="8"/>
      <c r="T9" s="17"/>
      <c r="U9" s="17"/>
      <c r="V9" s="3"/>
      <c r="W9" s="3"/>
      <c r="X9" s="3"/>
      <c r="Y9" s="3"/>
      <c r="Z9" s="3"/>
    </row>
    <row r="10" spans="1:26" ht="16.5" customHeight="1">
      <c r="A10" s="3"/>
      <c r="B10" s="589"/>
      <c r="C10" s="509" t="s">
        <v>1202</v>
      </c>
      <c r="D10" s="510" t="s">
        <v>332</v>
      </c>
      <c r="E10" s="509">
        <f>3267829</f>
        <v>3267829</v>
      </c>
      <c r="F10" s="510">
        <v>2</v>
      </c>
      <c r="G10" s="509">
        <f t="shared" ref="G10" si="1">E10*F10</f>
        <v>6535658</v>
      </c>
      <c r="H10" s="19"/>
      <c r="I10" s="4"/>
      <c r="J10" s="3"/>
      <c r="K10" s="579"/>
      <c r="L10" s="15"/>
      <c r="M10" s="18"/>
      <c r="N10" s="18"/>
      <c r="O10" s="18"/>
      <c r="P10" s="11"/>
      <c r="Q10" s="23"/>
      <c r="R10" s="21"/>
      <c r="S10" s="8"/>
      <c r="T10" s="17"/>
      <c r="U10" s="17"/>
      <c r="V10" s="3"/>
      <c r="W10" s="3"/>
      <c r="X10" s="3"/>
      <c r="Y10" s="3"/>
      <c r="Z10" s="3"/>
    </row>
    <row r="11" spans="1:26" ht="16.5" customHeight="1">
      <c r="A11" s="3"/>
      <c r="B11" s="589"/>
      <c r="C11" s="218" t="s">
        <v>330</v>
      </c>
      <c r="D11" s="218" t="s">
        <v>16</v>
      </c>
      <c r="E11" s="218">
        <v>4668777</v>
      </c>
      <c r="F11" s="218">
        <v>8</v>
      </c>
      <c r="G11" s="218">
        <f>E11*F11</f>
        <v>37350216</v>
      </c>
      <c r="H11" s="21"/>
      <c r="I11" s="4"/>
      <c r="J11" s="3"/>
      <c r="K11" s="581"/>
      <c r="L11" s="606" t="s">
        <v>21</v>
      </c>
      <c r="M11" s="594"/>
      <c r="N11" s="594"/>
      <c r="O11" s="595"/>
      <c r="P11" s="11">
        <f>SUM(P7:P8)</f>
        <v>4028892</v>
      </c>
      <c r="Q11" s="3"/>
      <c r="R11" s="3"/>
      <c r="S11" s="8"/>
      <c r="T11" s="17"/>
      <c r="U11" s="17"/>
      <c r="V11" s="3"/>
      <c r="W11" s="3"/>
      <c r="X11" s="3"/>
      <c r="Y11" s="3"/>
      <c r="Z11" s="3"/>
    </row>
    <row r="12" spans="1:26" ht="16.5" customHeight="1">
      <c r="A12" s="3"/>
      <c r="B12" s="589"/>
      <c r="C12" s="218" t="s">
        <v>378</v>
      </c>
      <c r="D12" s="218" t="s">
        <v>16</v>
      </c>
      <c r="E12" s="218">
        <v>4668777</v>
      </c>
      <c r="F12" s="218">
        <v>7</v>
      </c>
      <c r="G12" s="218">
        <f>E12*F12</f>
        <v>32681439</v>
      </c>
      <c r="H12" s="21"/>
      <c r="I12" s="212"/>
      <c r="J12" s="3"/>
      <c r="K12" s="46"/>
      <c r="L12" s="213"/>
      <c r="M12" s="214"/>
      <c r="N12" s="214"/>
      <c r="O12" s="215"/>
      <c r="P12" s="11"/>
      <c r="Q12" s="3"/>
      <c r="R12" s="3"/>
      <c r="S12" s="8"/>
      <c r="T12" s="17"/>
      <c r="U12" s="17"/>
      <c r="V12" s="3"/>
      <c r="W12" s="3"/>
      <c r="X12" s="3"/>
      <c r="Y12" s="3"/>
      <c r="Z12" s="3"/>
    </row>
    <row r="13" spans="1:26" ht="16.5" customHeight="1">
      <c r="A13" s="3"/>
      <c r="B13" s="589"/>
      <c r="C13" s="218" t="s">
        <v>404</v>
      </c>
      <c r="D13" s="218" t="s">
        <v>16</v>
      </c>
      <c r="E13" s="218">
        <v>3476422</v>
      </c>
      <c r="F13" s="218">
        <v>6</v>
      </c>
      <c r="G13" s="218">
        <f t="shared" ref="G13" si="2">E13*F13</f>
        <v>20858532</v>
      </c>
      <c r="H13" s="21"/>
      <c r="I13" s="212"/>
      <c r="J13" s="3"/>
      <c r="K13" s="46"/>
      <c r="L13" s="213"/>
      <c r="M13" s="214"/>
      <c r="N13" s="214"/>
      <c r="O13" s="215"/>
      <c r="P13" s="11"/>
      <c r="Q13" s="3"/>
      <c r="R13" s="3"/>
      <c r="S13" s="8"/>
      <c r="T13" s="17"/>
      <c r="U13" s="17"/>
      <c r="V13" s="3"/>
      <c r="W13" s="3"/>
      <c r="X13" s="3"/>
      <c r="Y13" s="3"/>
      <c r="Z13" s="3"/>
    </row>
    <row r="14" spans="1:26" ht="16.5" customHeight="1">
      <c r="A14" s="3"/>
      <c r="B14" s="592"/>
      <c r="C14" s="569" t="s">
        <v>21</v>
      </c>
      <c r="D14" s="607"/>
      <c r="E14" s="607"/>
      <c r="F14" s="607"/>
      <c r="G14" s="218">
        <f>SUM(G7:G13)</f>
        <v>122770857</v>
      </c>
      <c r="H14" s="3"/>
      <c r="I14" s="4"/>
      <c r="J14" s="3"/>
      <c r="K14" s="593" t="s">
        <v>22</v>
      </c>
      <c r="L14" s="594"/>
      <c r="M14" s="594"/>
      <c r="N14" s="594"/>
      <c r="O14" s="595"/>
      <c r="P14" s="26">
        <f>SUM(P11)</f>
        <v>4028892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3"/>
      <c r="B15" s="606" t="s">
        <v>22</v>
      </c>
      <c r="C15" s="601"/>
      <c r="D15" s="601"/>
      <c r="E15" s="601"/>
      <c r="F15" s="603"/>
      <c r="G15" s="211">
        <f>SUM(G14)</f>
        <v>122770857</v>
      </c>
      <c r="H15" s="3"/>
      <c r="I15" s="4"/>
      <c r="J15" s="3"/>
      <c r="K15" s="3"/>
      <c r="L15" s="3"/>
      <c r="M15" s="3"/>
      <c r="N15" s="3"/>
      <c r="O15" s="3"/>
      <c r="P15" s="3"/>
      <c r="Q15" s="3" t="s">
        <v>23</v>
      </c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3"/>
      <c r="B16" s="3"/>
      <c r="C16" s="3"/>
      <c r="D16" s="3"/>
      <c r="E16" s="3"/>
      <c r="F16" s="3"/>
      <c r="G16" s="3"/>
      <c r="H16" s="3" t="s">
        <v>23</v>
      </c>
      <c r="I16" s="4"/>
      <c r="J16" s="9" t="s">
        <v>24</v>
      </c>
      <c r="K16" s="9" t="s">
        <v>25</v>
      </c>
      <c r="L16" s="9">
        <f>COUNT(#REF!,#REF!,#REF!)</f>
        <v>0</v>
      </c>
      <c r="M16" s="9"/>
      <c r="N16" s="9"/>
      <c r="O16" s="9"/>
      <c r="P16" s="10">
        <v>0</v>
      </c>
      <c r="Q16" s="8"/>
      <c r="R16" s="8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3"/>
      <c r="B17" s="3" t="s">
        <v>26</v>
      </c>
      <c r="C17" s="3" t="s">
        <v>27</v>
      </c>
      <c r="D17" s="3"/>
      <c r="E17" s="3"/>
      <c r="F17" s="3"/>
      <c r="G17" s="3"/>
      <c r="H17" s="3"/>
      <c r="I17" s="4"/>
      <c r="J17" s="3"/>
      <c r="K17" s="11"/>
      <c r="L17" s="11"/>
      <c r="M17" s="11"/>
      <c r="N17" s="11"/>
      <c r="O17" s="11"/>
      <c r="P17" s="16"/>
      <c r="Q17" s="3"/>
      <c r="R17" s="3"/>
      <c r="S17" s="23"/>
      <c r="T17" s="3"/>
      <c r="U17" s="3"/>
      <c r="V17" s="3"/>
      <c r="W17" s="3"/>
      <c r="X17" s="3"/>
      <c r="Y17" s="3"/>
      <c r="Z17" s="3"/>
    </row>
    <row r="18" spans="1:26" ht="16.5" customHeight="1">
      <c r="A18" s="3"/>
      <c r="B18" s="11" t="s">
        <v>8</v>
      </c>
      <c r="C18" s="606" t="s">
        <v>28</v>
      </c>
      <c r="D18" s="594"/>
      <c r="E18" s="594"/>
      <c r="F18" s="595"/>
      <c r="G18" s="11" t="s">
        <v>13</v>
      </c>
      <c r="H18" s="3"/>
      <c r="I18" s="4"/>
      <c r="J18" s="3"/>
      <c r="K18" s="27"/>
      <c r="L18" s="11"/>
      <c r="M18" s="11"/>
      <c r="N18" s="11"/>
      <c r="O18" s="11"/>
      <c r="P18" s="11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3"/>
      <c r="B19" s="11" t="s">
        <v>29</v>
      </c>
      <c r="C19" s="27"/>
      <c r="D19" s="27"/>
      <c r="E19" s="27"/>
      <c r="F19" s="27"/>
      <c r="G19" s="11">
        <f>C2*0.03</f>
        <v>93360000</v>
      </c>
      <c r="H19" s="3"/>
      <c r="I19" s="4"/>
      <c r="J19" s="3"/>
      <c r="K19" s="27"/>
      <c r="L19" s="27"/>
      <c r="M19" s="27"/>
      <c r="N19" s="27"/>
      <c r="O19" s="27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3"/>
      <c r="B20" s="606" t="s">
        <v>22</v>
      </c>
      <c r="C20" s="594"/>
      <c r="D20" s="594"/>
      <c r="E20" s="594"/>
      <c r="F20" s="595"/>
      <c r="G20" s="11">
        <f>G19</f>
        <v>93360000</v>
      </c>
      <c r="H20" s="3"/>
      <c r="I20" s="4"/>
      <c r="J20" s="3"/>
      <c r="K20" s="27"/>
      <c r="L20" s="27"/>
      <c r="M20" s="27"/>
      <c r="N20" s="27"/>
      <c r="O20" s="27"/>
      <c r="P20" s="11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3"/>
      <c r="B21" s="3"/>
      <c r="C21" s="3"/>
      <c r="D21" s="3"/>
      <c r="E21" s="3"/>
      <c r="F21" s="3"/>
      <c r="G21" s="3"/>
      <c r="H21" s="3"/>
      <c r="I21" s="4" t="s">
        <v>23</v>
      </c>
      <c r="J21" s="3"/>
      <c r="K21" s="3"/>
      <c r="L21" s="3"/>
      <c r="M21" s="3"/>
      <c r="N21" s="3"/>
      <c r="O21" s="3"/>
      <c r="P21" s="3"/>
      <c r="Q21" s="3"/>
      <c r="R21" s="3"/>
      <c r="S21" s="8"/>
      <c r="T21" s="3"/>
      <c r="U21" s="3"/>
      <c r="V21" s="3"/>
      <c r="W21" s="3"/>
      <c r="X21" s="3"/>
      <c r="Y21" s="3"/>
      <c r="Z21" s="3"/>
    </row>
    <row r="22" spans="1:26" ht="16.5" customHeight="1">
      <c r="A22" s="3"/>
      <c r="B22" s="3" t="s">
        <v>440</v>
      </c>
      <c r="C22" s="3"/>
      <c r="D22" s="3"/>
      <c r="E22" s="3"/>
      <c r="F22" s="3"/>
      <c r="G22" s="3"/>
      <c r="H22" s="3"/>
      <c r="I22" s="212"/>
      <c r="J22" s="3"/>
      <c r="K22" s="3"/>
      <c r="L22" s="3"/>
      <c r="M22" s="3"/>
      <c r="N22" s="3"/>
      <c r="O22" s="3"/>
      <c r="P22" s="3"/>
      <c r="Q22" s="3"/>
      <c r="R22" s="3"/>
      <c r="S22" s="8"/>
      <c r="T22" s="3"/>
      <c r="U22" s="3"/>
      <c r="V22" s="3"/>
      <c r="W22" s="3"/>
      <c r="X22" s="3"/>
      <c r="Y22" s="3"/>
      <c r="Z22" s="3"/>
    </row>
    <row r="23" spans="1:26" ht="16.5" customHeight="1">
      <c r="A23" s="3"/>
      <c r="B23" s="11" t="s">
        <v>8</v>
      </c>
      <c r="C23" s="606" t="s">
        <v>28</v>
      </c>
      <c r="D23" s="594"/>
      <c r="E23" s="594"/>
      <c r="F23" s="595"/>
      <c r="G23" s="11" t="s">
        <v>13</v>
      </c>
      <c r="H23" s="3"/>
      <c r="I23" s="212"/>
      <c r="J23" s="3"/>
      <c r="K23" s="3"/>
      <c r="L23" s="3"/>
      <c r="M23" s="3"/>
      <c r="N23" s="3"/>
      <c r="O23" s="3"/>
      <c r="P23" s="3"/>
      <c r="Q23" s="3"/>
      <c r="R23" s="3"/>
      <c r="S23" s="8"/>
      <c r="T23" s="3"/>
      <c r="U23" s="3"/>
      <c r="V23" s="3"/>
      <c r="W23" s="3"/>
      <c r="X23" s="3"/>
      <c r="Y23" s="3"/>
      <c r="Z23" s="3"/>
    </row>
    <row r="24" spans="1:26" ht="16.5" customHeight="1">
      <c r="A24" s="3"/>
      <c r="B24" s="11" t="s">
        <v>29</v>
      </c>
      <c r="C24" s="27"/>
      <c r="D24" s="27"/>
      <c r="E24" s="27"/>
      <c r="F24" s="27"/>
      <c r="G24" s="11"/>
      <c r="H24" s="3"/>
      <c r="I24" s="212"/>
      <c r="J24" s="3"/>
      <c r="K24" s="3"/>
      <c r="L24" s="3"/>
      <c r="M24" s="3"/>
      <c r="N24" s="3"/>
      <c r="O24" s="3"/>
      <c r="P24" s="3"/>
      <c r="Q24" s="3"/>
      <c r="R24" s="3"/>
      <c r="S24" s="8"/>
      <c r="T24" s="3"/>
      <c r="U24" s="3"/>
      <c r="V24" s="3"/>
      <c r="W24" s="3"/>
      <c r="X24" s="3"/>
      <c r="Y24" s="3"/>
      <c r="Z24" s="3"/>
    </row>
    <row r="25" spans="1:26" ht="16.5" customHeight="1">
      <c r="A25" s="3"/>
      <c r="B25" s="606" t="s">
        <v>22</v>
      </c>
      <c r="C25" s="594"/>
      <c r="D25" s="594"/>
      <c r="E25" s="594"/>
      <c r="F25" s="595"/>
      <c r="G25" s="11"/>
      <c r="H25" s="3"/>
      <c r="I25" s="212"/>
      <c r="J25" s="3"/>
      <c r="K25" s="3"/>
      <c r="L25" s="3"/>
      <c r="M25" s="3"/>
      <c r="N25" s="3"/>
      <c r="O25" s="3"/>
      <c r="P25" s="3"/>
      <c r="Q25" s="3"/>
      <c r="R25" s="3"/>
      <c r="S25" s="8"/>
      <c r="T25" s="3"/>
      <c r="U25" s="3"/>
      <c r="V25" s="3"/>
      <c r="W25" s="3"/>
      <c r="X25" s="3"/>
      <c r="Y25" s="3"/>
      <c r="Z25" s="3"/>
    </row>
    <row r="26" spans="1:26" ht="16.5" customHeight="1">
      <c r="A26" s="3"/>
      <c r="B26" s="242"/>
      <c r="C26" s="119"/>
      <c r="D26" s="119"/>
      <c r="E26" s="119"/>
      <c r="F26" s="119"/>
      <c r="G26" s="242"/>
      <c r="H26" s="3"/>
      <c r="I26" s="212"/>
      <c r="J26" s="3"/>
      <c r="K26" s="3"/>
      <c r="L26" s="3"/>
      <c r="M26" s="3"/>
      <c r="N26" s="3"/>
      <c r="O26" s="3"/>
      <c r="P26" s="3"/>
      <c r="Q26" s="3"/>
      <c r="R26" s="3"/>
      <c r="S26" s="8"/>
      <c r="T26" s="3"/>
      <c r="U26" s="3"/>
      <c r="V26" s="3"/>
      <c r="W26" s="3"/>
      <c r="X26" s="3"/>
      <c r="Y26" s="3"/>
      <c r="Z26" s="3"/>
    </row>
    <row r="27" spans="1:26" ht="16.5" customHeight="1">
      <c r="A27" s="9" t="s">
        <v>24</v>
      </c>
      <c r="B27" s="9" t="s">
        <v>25</v>
      </c>
      <c r="C27" s="9">
        <f>COUNT(G29:G54,#REF!,G56:G63)</f>
        <v>34</v>
      </c>
      <c r="D27" s="9"/>
      <c r="E27" s="9"/>
      <c r="F27" s="9"/>
      <c r="G27" s="233">
        <f>SUM(G65)</f>
        <v>179000000</v>
      </c>
      <c r="H27" s="3"/>
      <c r="I27" s="4"/>
      <c r="J27" s="9" t="s">
        <v>30</v>
      </c>
      <c r="K27" s="9" t="s">
        <v>31</v>
      </c>
      <c r="L27" s="9"/>
      <c r="M27" s="9"/>
      <c r="N27" s="9"/>
      <c r="O27" s="9"/>
      <c r="P27" s="10">
        <f>P32</f>
        <v>282398210</v>
      </c>
      <c r="Q27" s="8">
        <v>282398210</v>
      </c>
      <c r="R27" s="8">
        <f>Q27-P27</f>
        <v>0</v>
      </c>
      <c r="S27" s="8"/>
      <c r="T27" s="3"/>
      <c r="U27" s="3"/>
      <c r="V27" s="3"/>
      <c r="W27" s="3"/>
      <c r="X27" s="3"/>
      <c r="Y27" s="3"/>
      <c r="Z27" s="3"/>
    </row>
    <row r="28" spans="1:26" ht="16.5" customHeight="1">
      <c r="A28" s="3"/>
      <c r="B28" s="11" t="s">
        <v>8</v>
      </c>
      <c r="C28" s="11" t="s">
        <v>9</v>
      </c>
      <c r="D28" s="11" t="s">
        <v>10</v>
      </c>
      <c r="E28" s="11" t="s">
        <v>11</v>
      </c>
      <c r="F28" s="15" t="s">
        <v>12</v>
      </c>
      <c r="G28" s="16" t="s">
        <v>13</v>
      </c>
      <c r="H28" s="3"/>
      <c r="I28" s="4"/>
      <c r="J28" s="3"/>
      <c r="K28" s="3" t="s">
        <v>32</v>
      </c>
      <c r="L28" s="3"/>
      <c r="M28" s="3"/>
      <c r="N28" s="3"/>
      <c r="O28" s="3"/>
      <c r="P28" s="3"/>
      <c r="Q28" s="3"/>
      <c r="R28" s="3"/>
      <c r="S28" s="8"/>
      <c r="T28" s="3"/>
      <c r="U28" s="3"/>
      <c r="V28" s="3"/>
      <c r="W28" s="3"/>
      <c r="X28" s="3"/>
      <c r="Y28" s="3"/>
      <c r="Z28" s="3"/>
    </row>
    <row r="29" spans="1:26" ht="16.5" customHeight="1">
      <c r="A29" s="3"/>
      <c r="B29" s="578" t="s">
        <v>33</v>
      </c>
      <c r="C29" s="11" t="s">
        <v>34</v>
      </c>
      <c r="D29" s="11" t="s">
        <v>35</v>
      </c>
      <c r="E29" s="11">
        <v>900000</v>
      </c>
      <c r="F29" s="15">
        <v>8</v>
      </c>
      <c r="G29" s="11">
        <f t="shared" ref="G29:G54" si="3">E29*F29</f>
        <v>7200000</v>
      </c>
      <c r="H29" s="596" t="s">
        <v>36</v>
      </c>
      <c r="I29" s="4"/>
      <c r="J29" s="3"/>
      <c r="K29" s="216" t="s">
        <v>37</v>
      </c>
      <c r="L29" s="216" t="s">
        <v>38</v>
      </c>
      <c r="M29" s="216" t="s">
        <v>39</v>
      </c>
      <c r="N29" s="216" t="s">
        <v>40</v>
      </c>
      <c r="O29" s="223" t="s">
        <v>41</v>
      </c>
      <c r="P29" s="216" t="s">
        <v>42</v>
      </c>
      <c r="Q29" s="3"/>
      <c r="R29" s="3"/>
      <c r="S29" s="8"/>
      <c r="T29" s="3"/>
      <c r="U29" s="3"/>
      <c r="V29" s="3"/>
      <c r="W29" s="3"/>
      <c r="X29" s="3"/>
      <c r="Y29" s="3"/>
      <c r="Z29" s="3"/>
    </row>
    <row r="30" spans="1:26" ht="16.5" customHeight="1">
      <c r="A30" s="3"/>
      <c r="B30" s="579"/>
      <c r="C30" s="11" t="s">
        <v>43</v>
      </c>
      <c r="D30" s="11" t="s">
        <v>44</v>
      </c>
      <c r="E30" s="11">
        <v>900000</v>
      </c>
      <c r="F30" s="15">
        <v>12</v>
      </c>
      <c r="G30" s="11">
        <f t="shared" si="3"/>
        <v>10800000</v>
      </c>
      <c r="H30" s="589"/>
      <c r="I30" s="4"/>
      <c r="J30" s="3"/>
      <c r="K30" s="218" t="s">
        <v>45</v>
      </c>
      <c r="L30" s="218" t="s">
        <v>46</v>
      </c>
      <c r="M30" s="218"/>
      <c r="N30" s="218">
        <v>1</v>
      </c>
      <c r="O30" s="218">
        <v>84348000</v>
      </c>
      <c r="P30" s="218">
        <v>95987810</v>
      </c>
      <c r="Q30" s="3" t="s">
        <v>1098</v>
      </c>
      <c r="R30" s="8">
        <f>84348000*1-P30</f>
        <v>-11639810</v>
      </c>
      <c r="S30" s="8"/>
      <c r="T30" s="3"/>
      <c r="U30" s="3"/>
      <c r="V30" s="3"/>
      <c r="W30" s="3"/>
      <c r="X30" s="3"/>
      <c r="Y30" s="3"/>
      <c r="Z30" s="3"/>
    </row>
    <row r="31" spans="1:26" ht="16.5" customHeight="1">
      <c r="A31" s="3"/>
      <c r="B31" s="579"/>
      <c r="C31" s="11" t="s">
        <v>47</v>
      </c>
      <c r="D31" s="11" t="s">
        <v>44</v>
      </c>
      <c r="E31" s="11">
        <v>900000</v>
      </c>
      <c r="F31" s="15">
        <v>12</v>
      </c>
      <c r="G31" s="11">
        <f t="shared" si="3"/>
        <v>10800000</v>
      </c>
      <c r="H31" s="3"/>
      <c r="I31" s="4"/>
      <c r="J31" s="3"/>
      <c r="K31" s="218"/>
      <c r="L31" s="218" t="s">
        <v>48</v>
      </c>
      <c r="M31" s="218"/>
      <c r="N31" s="218">
        <v>3</v>
      </c>
      <c r="O31" s="218">
        <v>62136800</v>
      </c>
      <c r="P31" s="218">
        <f>N31*O31</f>
        <v>186410400</v>
      </c>
      <c r="Q31" s="3" t="s">
        <v>49</v>
      </c>
      <c r="R31" s="8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3"/>
      <c r="B32" s="579"/>
      <c r="C32" s="11" t="s">
        <v>50</v>
      </c>
      <c r="D32" s="11" t="s">
        <v>44</v>
      </c>
      <c r="E32" s="11">
        <v>900000</v>
      </c>
      <c r="F32" s="15">
        <v>3</v>
      </c>
      <c r="G32" s="11">
        <f t="shared" si="3"/>
        <v>2700000</v>
      </c>
      <c r="H32" s="599" t="s">
        <v>51</v>
      </c>
      <c r="I32" s="4"/>
      <c r="J32" s="3"/>
      <c r="K32" s="602" t="s">
        <v>22</v>
      </c>
      <c r="L32" s="601"/>
      <c r="M32" s="601"/>
      <c r="N32" s="601"/>
      <c r="O32" s="603"/>
      <c r="P32" s="224">
        <f>SUM(P30:P31)</f>
        <v>282398210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3"/>
      <c r="B33" s="579"/>
      <c r="C33" s="11" t="s">
        <v>52</v>
      </c>
      <c r="D33" s="11" t="s">
        <v>44</v>
      </c>
      <c r="E33" s="11">
        <v>900000</v>
      </c>
      <c r="F33" s="15">
        <v>3</v>
      </c>
      <c r="G33" s="11">
        <f t="shared" si="3"/>
        <v>2700000</v>
      </c>
      <c r="H33" s="589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3"/>
      <c r="B34" s="579"/>
      <c r="C34" s="11" t="s">
        <v>53</v>
      </c>
      <c r="D34" s="11" t="s">
        <v>54</v>
      </c>
      <c r="E34" s="11">
        <v>900000</v>
      </c>
      <c r="F34" s="15">
        <v>12</v>
      </c>
      <c r="G34" s="11">
        <f t="shared" si="3"/>
        <v>10800000</v>
      </c>
      <c r="H34" s="3"/>
      <c r="I34" s="4"/>
      <c r="J34" s="3"/>
      <c r="K34" s="3" t="s">
        <v>55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3"/>
      <c r="B35" s="579"/>
      <c r="C35" s="11" t="s">
        <v>56</v>
      </c>
      <c r="D35" s="11" t="s">
        <v>54</v>
      </c>
      <c r="E35" s="11">
        <v>900000</v>
      </c>
      <c r="F35" s="15">
        <v>12</v>
      </c>
      <c r="G35" s="11">
        <f t="shared" si="3"/>
        <v>10800000</v>
      </c>
      <c r="H35" s="3"/>
      <c r="I35" s="4"/>
      <c r="J35" s="3"/>
      <c r="K35" s="11" t="s">
        <v>8</v>
      </c>
      <c r="L35" s="11" t="s">
        <v>37</v>
      </c>
      <c r="M35" s="11" t="s">
        <v>57</v>
      </c>
      <c r="N35" s="11" t="s">
        <v>40</v>
      </c>
      <c r="O35" s="28" t="s">
        <v>41</v>
      </c>
      <c r="P35" s="11" t="s">
        <v>42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3"/>
      <c r="B36" s="579"/>
      <c r="C36" s="11" t="s">
        <v>58</v>
      </c>
      <c r="D36" s="11" t="s">
        <v>59</v>
      </c>
      <c r="E36" s="11">
        <v>1300000</v>
      </c>
      <c r="F36" s="15">
        <v>1</v>
      </c>
      <c r="G36" s="11">
        <f t="shared" si="3"/>
        <v>1300000</v>
      </c>
      <c r="H36" s="596" t="s">
        <v>60</v>
      </c>
      <c r="I36" s="4"/>
      <c r="J36" s="3"/>
      <c r="K36" s="27"/>
      <c r="L36" s="29"/>
      <c r="M36" s="11"/>
      <c r="N36" s="11"/>
      <c r="O36" s="3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3"/>
      <c r="B37" s="579"/>
      <c r="C37" s="11" t="s">
        <v>61</v>
      </c>
      <c r="D37" s="11" t="s">
        <v>59</v>
      </c>
      <c r="E37" s="11">
        <v>1300000</v>
      </c>
      <c r="F37" s="15">
        <v>1</v>
      </c>
      <c r="G37" s="11">
        <f t="shared" si="3"/>
        <v>1300000</v>
      </c>
      <c r="H37" s="589"/>
      <c r="I37" s="4"/>
      <c r="J37" s="3"/>
      <c r="K37" s="27"/>
      <c r="L37" s="29"/>
      <c r="M37" s="11"/>
      <c r="N37" s="11"/>
      <c r="O37" s="31"/>
      <c r="P37" s="11">
        <f t="shared" ref="P37:P39" si="4">O37*N37</f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3"/>
      <c r="B38" s="579"/>
      <c r="C38" s="11" t="s">
        <v>62</v>
      </c>
      <c r="D38" s="11" t="s">
        <v>63</v>
      </c>
      <c r="E38" s="11">
        <v>900000</v>
      </c>
      <c r="F38" s="18">
        <v>6</v>
      </c>
      <c r="G38" s="11">
        <f t="shared" si="3"/>
        <v>5400000</v>
      </c>
      <c r="H38" s="599" t="s">
        <v>64</v>
      </c>
      <c r="I38" s="4"/>
      <c r="J38" s="3"/>
      <c r="K38" s="27"/>
      <c r="L38" s="29"/>
      <c r="M38" s="11"/>
      <c r="N38" s="11"/>
      <c r="O38" s="31"/>
      <c r="P38" s="11">
        <f t="shared" si="4"/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3"/>
      <c r="B39" s="579"/>
      <c r="C39" s="11" t="s">
        <v>65</v>
      </c>
      <c r="D39" s="11" t="s">
        <v>63</v>
      </c>
      <c r="E39" s="11">
        <v>900000</v>
      </c>
      <c r="F39" s="18">
        <v>6</v>
      </c>
      <c r="G39" s="11">
        <f t="shared" si="3"/>
        <v>5400000</v>
      </c>
      <c r="H39" s="589"/>
      <c r="I39" s="4"/>
      <c r="J39" s="3"/>
      <c r="K39" s="27"/>
      <c r="L39" s="29"/>
      <c r="M39" s="11"/>
      <c r="N39" s="11"/>
      <c r="O39" s="31"/>
      <c r="P39" s="11">
        <f t="shared" si="4"/>
        <v>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3"/>
      <c r="B40" s="579"/>
      <c r="C40" s="11" t="s">
        <v>20</v>
      </c>
      <c r="D40" s="11" t="s">
        <v>66</v>
      </c>
      <c r="E40" s="11">
        <v>900000</v>
      </c>
      <c r="F40" s="11">
        <v>0</v>
      </c>
      <c r="G40" s="11">
        <f t="shared" si="3"/>
        <v>0</v>
      </c>
      <c r="H40" s="30"/>
      <c r="I40" s="4"/>
      <c r="J40" s="3"/>
      <c r="K40" s="28"/>
      <c r="L40" s="18"/>
      <c r="M40" s="18"/>
      <c r="N40" s="18"/>
      <c r="O40" s="32"/>
      <c r="P40" s="16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3"/>
      <c r="B41" s="579"/>
      <c r="C41" s="11" t="s">
        <v>20</v>
      </c>
      <c r="D41" s="11" t="s">
        <v>66</v>
      </c>
      <c r="E41" s="11">
        <v>900000</v>
      </c>
      <c r="F41" s="11">
        <v>0</v>
      </c>
      <c r="G41" s="11">
        <f t="shared" si="3"/>
        <v>0</v>
      </c>
      <c r="H41" s="30"/>
      <c r="I41" s="4"/>
      <c r="J41" s="3"/>
      <c r="K41" s="28"/>
      <c r="L41" s="18"/>
      <c r="M41" s="18"/>
      <c r="N41" s="18"/>
      <c r="O41" s="32"/>
      <c r="P41" s="16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3"/>
      <c r="B42" s="579"/>
      <c r="C42" s="11" t="s">
        <v>20</v>
      </c>
      <c r="D42" s="11" t="s">
        <v>66</v>
      </c>
      <c r="E42" s="11">
        <v>900000</v>
      </c>
      <c r="F42" s="11">
        <v>0</v>
      </c>
      <c r="G42" s="11">
        <f t="shared" si="3"/>
        <v>0</v>
      </c>
      <c r="H42" s="599" t="s">
        <v>67</v>
      </c>
      <c r="I42" s="4"/>
      <c r="J42" s="3"/>
      <c r="K42" s="593" t="s">
        <v>22</v>
      </c>
      <c r="L42" s="594"/>
      <c r="M42" s="594"/>
      <c r="N42" s="594"/>
      <c r="O42" s="595"/>
      <c r="P42" s="16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3"/>
      <c r="B43" s="579"/>
      <c r="C43" s="11" t="s">
        <v>20</v>
      </c>
      <c r="D43" s="11" t="s">
        <v>66</v>
      </c>
      <c r="E43" s="11">
        <v>900000</v>
      </c>
      <c r="F43" s="11">
        <v>0</v>
      </c>
      <c r="G43" s="11">
        <f t="shared" si="3"/>
        <v>0</v>
      </c>
      <c r="H43" s="589"/>
      <c r="I43" s="4"/>
      <c r="J43" s="3"/>
      <c r="K43" s="8"/>
      <c r="L43" s="8"/>
      <c r="M43" s="8"/>
      <c r="N43" s="8"/>
      <c r="O43" s="8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3"/>
      <c r="B44" s="579"/>
      <c r="C44" s="11" t="s">
        <v>453</v>
      </c>
      <c r="D44" s="11" t="s">
        <v>68</v>
      </c>
      <c r="E44" s="11">
        <v>1200000</v>
      </c>
      <c r="F44" s="15">
        <v>3</v>
      </c>
      <c r="G44" s="11">
        <f t="shared" si="3"/>
        <v>3600000</v>
      </c>
      <c r="H44" s="589"/>
      <c r="I44" s="4"/>
      <c r="J44" s="3"/>
      <c r="K44" s="8"/>
      <c r="L44" s="8"/>
      <c r="M44" s="8"/>
      <c r="N44" s="8"/>
      <c r="O44" s="8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3"/>
      <c r="B45" s="579"/>
      <c r="C45" s="11" t="s">
        <v>454</v>
      </c>
      <c r="D45" s="11" t="s">
        <v>68</v>
      </c>
      <c r="E45" s="11">
        <v>1200000</v>
      </c>
      <c r="F45" s="15">
        <v>3</v>
      </c>
      <c r="G45" s="11">
        <f t="shared" si="3"/>
        <v>3600000</v>
      </c>
      <c r="H45" s="589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3"/>
      <c r="B46" s="579"/>
      <c r="C46" s="11" t="s">
        <v>455</v>
      </c>
      <c r="D46" s="11" t="s">
        <v>68</v>
      </c>
      <c r="E46" s="11">
        <v>1200000</v>
      </c>
      <c r="F46" s="15">
        <v>3</v>
      </c>
      <c r="G46" s="11">
        <f t="shared" si="3"/>
        <v>3600000</v>
      </c>
      <c r="H46" s="589"/>
      <c r="I46" s="4"/>
      <c r="J46" s="3"/>
      <c r="K46" s="3" t="s">
        <v>69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3"/>
      <c r="B47" s="579"/>
      <c r="C47" s="11" t="s">
        <v>456</v>
      </c>
      <c r="D47" s="11" t="s">
        <v>68</v>
      </c>
      <c r="E47" s="11">
        <v>900000</v>
      </c>
      <c r="F47" s="15">
        <v>4</v>
      </c>
      <c r="G47" s="11">
        <f t="shared" si="3"/>
        <v>3600000</v>
      </c>
      <c r="H47" s="589"/>
      <c r="I47" s="4"/>
      <c r="J47" s="3"/>
      <c r="K47" s="12" t="s">
        <v>8</v>
      </c>
      <c r="L47" s="13" t="s">
        <v>28</v>
      </c>
      <c r="M47" s="33"/>
      <c r="N47" s="33"/>
      <c r="O47" s="34"/>
      <c r="P47" s="12" t="s">
        <v>13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3"/>
      <c r="B48" s="579"/>
      <c r="C48" s="11" t="s">
        <v>457</v>
      </c>
      <c r="D48" s="11" t="s">
        <v>68</v>
      </c>
      <c r="E48" s="11">
        <v>900000</v>
      </c>
      <c r="F48" s="18">
        <v>4</v>
      </c>
      <c r="G48" s="11">
        <f t="shared" si="3"/>
        <v>3600000</v>
      </c>
      <c r="H48" s="589"/>
      <c r="I48" s="4"/>
      <c r="J48" s="3"/>
      <c r="K48" s="11"/>
      <c r="L48" s="11"/>
      <c r="M48" s="11"/>
      <c r="N48" s="27"/>
      <c r="O48" s="27"/>
      <c r="P48" s="11">
        <f>O48*N48</f>
        <v>0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3"/>
      <c r="B49" s="579"/>
      <c r="C49" s="11" t="s">
        <v>458</v>
      </c>
      <c r="D49" s="11" t="s">
        <v>68</v>
      </c>
      <c r="E49" s="11">
        <v>900000</v>
      </c>
      <c r="F49" s="18">
        <v>4</v>
      </c>
      <c r="G49" s="11">
        <f t="shared" si="3"/>
        <v>3600000</v>
      </c>
      <c r="H49" s="589"/>
      <c r="I49" s="4"/>
      <c r="J49" s="3"/>
      <c r="K49" s="593" t="s">
        <v>22</v>
      </c>
      <c r="L49" s="594"/>
      <c r="M49" s="594"/>
      <c r="N49" s="594"/>
      <c r="O49" s="595"/>
      <c r="P49" s="16">
        <f>SUM(P48)</f>
        <v>0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3"/>
      <c r="B50" s="579"/>
      <c r="C50" s="11" t="s">
        <v>459</v>
      </c>
      <c r="D50" s="11" t="s">
        <v>68</v>
      </c>
      <c r="E50" s="11">
        <v>900000</v>
      </c>
      <c r="F50" s="18">
        <v>4</v>
      </c>
      <c r="G50" s="11">
        <f t="shared" si="3"/>
        <v>3600000</v>
      </c>
      <c r="H50" s="589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3"/>
      <c r="B51" s="579"/>
      <c r="C51" s="11" t="s">
        <v>460</v>
      </c>
      <c r="D51" s="11" t="s">
        <v>68</v>
      </c>
      <c r="E51" s="11">
        <v>900000</v>
      </c>
      <c r="F51" s="18">
        <v>4</v>
      </c>
      <c r="G51" s="11">
        <f t="shared" si="3"/>
        <v>3600000</v>
      </c>
      <c r="H51" s="589"/>
      <c r="I51" s="4"/>
      <c r="J51" s="9" t="s">
        <v>70</v>
      </c>
      <c r="K51" s="9" t="s">
        <v>71</v>
      </c>
      <c r="L51" s="9"/>
      <c r="M51" s="9"/>
      <c r="N51" s="9"/>
      <c r="O51" s="9"/>
      <c r="P51" s="10">
        <f>P55</f>
        <v>1144000</v>
      </c>
      <c r="Q51" s="8">
        <v>1144000</v>
      </c>
      <c r="R51" s="8">
        <f>Q51-P51</f>
        <v>0</v>
      </c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3"/>
      <c r="B52" s="579"/>
      <c r="C52" s="11" t="s">
        <v>461</v>
      </c>
      <c r="D52" s="11" t="s">
        <v>68</v>
      </c>
      <c r="E52" s="11">
        <v>900000</v>
      </c>
      <c r="F52" s="18">
        <v>4</v>
      </c>
      <c r="G52" s="11">
        <f t="shared" si="3"/>
        <v>3600000</v>
      </c>
      <c r="H52" s="589"/>
      <c r="I52" s="4"/>
      <c r="J52" s="3"/>
      <c r="K52" s="3" t="s">
        <v>72</v>
      </c>
      <c r="L52" s="3"/>
      <c r="M52" s="3"/>
      <c r="N52" s="3"/>
      <c r="O52" s="3"/>
      <c r="P52" s="3"/>
      <c r="Q52" s="3"/>
      <c r="R52" s="8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3"/>
      <c r="B53" s="579"/>
      <c r="C53" s="11" t="s">
        <v>462</v>
      </c>
      <c r="D53" s="11" t="s">
        <v>68</v>
      </c>
      <c r="E53" s="11">
        <v>900000</v>
      </c>
      <c r="F53" s="18">
        <v>4</v>
      </c>
      <c r="G53" s="11">
        <f t="shared" si="3"/>
        <v>3600000</v>
      </c>
      <c r="H53" s="589"/>
      <c r="I53" s="4"/>
      <c r="J53" s="3"/>
      <c r="K53" s="12" t="s">
        <v>37</v>
      </c>
      <c r="L53" s="12" t="s">
        <v>38</v>
      </c>
      <c r="M53" s="12" t="s">
        <v>39</v>
      </c>
      <c r="N53" s="12" t="s">
        <v>40</v>
      </c>
      <c r="O53" s="13" t="s">
        <v>73</v>
      </c>
      <c r="P53" s="12" t="s">
        <v>42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3"/>
      <c r="B54" s="579"/>
      <c r="C54" s="11" t="s">
        <v>463</v>
      </c>
      <c r="D54" s="11" t="s">
        <v>68</v>
      </c>
      <c r="E54" s="11">
        <v>900000</v>
      </c>
      <c r="F54" s="18">
        <v>4</v>
      </c>
      <c r="G54" s="11">
        <f t="shared" si="3"/>
        <v>3600000</v>
      </c>
      <c r="H54" s="589"/>
      <c r="I54" s="4"/>
      <c r="J54" s="3"/>
      <c r="K54" s="11" t="s">
        <v>74</v>
      </c>
      <c r="L54" s="11" t="s">
        <v>75</v>
      </c>
      <c r="M54" s="12" t="s">
        <v>76</v>
      </c>
      <c r="N54" s="12">
        <v>1</v>
      </c>
      <c r="O54" s="13">
        <v>1144000</v>
      </c>
      <c r="P54" s="12">
        <f>N54*O54</f>
        <v>1144000</v>
      </c>
      <c r="Q54" s="22" t="s">
        <v>77</v>
      </c>
      <c r="R54" s="21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3"/>
      <c r="B55" s="581"/>
      <c r="C55" s="606" t="s">
        <v>21</v>
      </c>
      <c r="D55" s="594"/>
      <c r="E55" s="594"/>
      <c r="F55" s="595"/>
      <c r="G55" s="11">
        <f>SUM(G29:G54)</f>
        <v>108800000</v>
      </c>
      <c r="H55" s="3"/>
      <c r="I55" s="4"/>
      <c r="J55" s="3"/>
      <c r="K55" s="593" t="s">
        <v>22</v>
      </c>
      <c r="L55" s="594"/>
      <c r="M55" s="594"/>
      <c r="N55" s="594"/>
      <c r="O55" s="595"/>
      <c r="P55" s="26">
        <f>SUM(P54)</f>
        <v>1144000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3"/>
      <c r="B56" s="578" t="s">
        <v>78</v>
      </c>
      <c r="C56" s="11" t="s">
        <v>79</v>
      </c>
      <c r="D56" s="11" t="s">
        <v>80</v>
      </c>
      <c r="E56" s="11">
        <v>1300000</v>
      </c>
      <c r="F56" s="15">
        <v>12</v>
      </c>
      <c r="G56" s="11">
        <f t="shared" ref="G56:G63" si="5">E56*F56</f>
        <v>15600000</v>
      </c>
      <c r="H56" s="22"/>
      <c r="I56" s="4"/>
      <c r="J56" s="3"/>
      <c r="K56" s="3"/>
      <c r="L56" s="23"/>
      <c r="M56" s="23"/>
      <c r="N56" s="23"/>
      <c r="O56" s="2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3"/>
      <c r="B57" s="579"/>
      <c r="C57" s="11" t="s">
        <v>81</v>
      </c>
      <c r="D57" s="11" t="s">
        <v>80</v>
      </c>
      <c r="E57" s="11">
        <v>1300000</v>
      </c>
      <c r="F57" s="15">
        <v>0</v>
      </c>
      <c r="G57" s="11">
        <f t="shared" si="5"/>
        <v>0</v>
      </c>
      <c r="H57" s="22"/>
      <c r="I57" s="4"/>
      <c r="J57" s="9" t="s">
        <v>82</v>
      </c>
      <c r="K57" s="9" t="s">
        <v>83</v>
      </c>
      <c r="L57" s="9"/>
      <c r="M57" s="9"/>
      <c r="N57" s="9"/>
      <c r="O57" s="9"/>
      <c r="P57" s="10">
        <f>SUM(P62,P70,P84,P90,P97,P103,P136,P129)</f>
        <v>198119549</v>
      </c>
      <c r="Q57" s="8">
        <v>198119549</v>
      </c>
      <c r="R57" s="8">
        <f>Q57-P57</f>
        <v>0</v>
      </c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3"/>
      <c r="B58" s="579"/>
      <c r="C58" s="11" t="s">
        <v>84</v>
      </c>
      <c r="D58" s="11" t="s">
        <v>80</v>
      </c>
      <c r="E58" s="11">
        <v>1300000</v>
      </c>
      <c r="F58" s="15">
        <v>12</v>
      </c>
      <c r="G58" s="11">
        <f t="shared" si="5"/>
        <v>15600000</v>
      </c>
      <c r="H58" s="22"/>
      <c r="I58" s="4"/>
      <c r="J58" s="3"/>
      <c r="K58" s="3" t="s">
        <v>85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3"/>
      <c r="B59" s="579"/>
      <c r="C59" s="11" t="s">
        <v>86</v>
      </c>
      <c r="D59" s="11" t="s">
        <v>80</v>
      </c>
      <c r="E59" s="11">
        <v>1300000</v>
      </c>
      <c r="F59" s="15">
        <v>12</v>
      </c>
      <c r="G59" s="11">
        <f t="shared" si="5"/>
        <v>15600000</v>
      </c>
      <c r="H59" s="22"/>
      <c r="I59" s="4"/>
      <c r="J59" s="3"/>
      <c r="K59" s="11" t="s">
        <v>8</v>
      </c>
      <c r="L59" s="11" t="s">
        <v>28</v>
      </c>
      <c r="M59" s="11"/>
      <c r="N59" s="11" t="s">
        <v>40</v>
      </c>
      <c r="O59" s="11" t="s">
        <v>73</v>
      </c>
      <c r="P59" s="11" t="s">
        <v>13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3"/>
      <c r="B60" s="579"/>
      <c r="C60" s="11" t="s">
        <v>87</v>
      </c>
      <c r="D60" s="11" t="s">
        <v>80</v>
      </c>
      <c r="E60" s="11">
        <v>1300000</v>
      </c>
      <c r="F60" s="15">
        <v>6</v>
      </c>
      <c r="G60" s="11">
        <f t="shared" si="5"/>
        <v>7800000</v>
      </c>
      <c r="H60" s="599" t="s">
        <v>88</v>
      </c>
      <c r="I60" s="4"/>
      <c r="J60" s="21"/>
      <c r="K60" s="11"/>
      <c r="L60" s="11"/>
      <c r="M60" s="27"/>
      <c r="N60" s="27"/>
      <c r="O60" s="11"/>
      <c r="P60" s="11"/>
      <c r="Q60" s="21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3"/>
      <c r="B61" s="579"/>
      <c r="C61" s="314" t="s">
        <v>89</v>
      </c>
      <c r="D61" s="314" t="s">
        <v>80</v>
      </c>
      <c r="E61" s="314">
        <v>1300000</v>
      </c>
      <c r="F61" s="511">
        <v>9</v>
      </c>
      <c r="G61" s="314">
        <f t="shared" si="5"/>
        <v>11700000</v>
      </c>
      <c r="H61" s="589"/>
      <c r="I61" s="4"/>
      <c r="J61" s="21"/>
      <c r="K61" s="11"/>
      <c r="L61" s="11"/>
      <c r="M61" s="27"/>
      <c r="N61" s="27"/>
      <c r="O61" s="11"/>
      <c r="P61" s="11"/>
      <c r="Q61" s="21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3"/>
      <c r="B62" s="579"/>
      <c r="C62" s="11" t="s">
        <v>90</v>
      </c>
      <c r="D62" s="11" t="s">
        <v>80</v>
      </c>
      <c r="E62" s="11">
        <v>1300000</v>
      </c>
      <c r="F62" s="15">
        <v>0</v>
      </c>
      <c r="G62" s="11">
        <f t="shared" si="5"/>
        <v>0</v>
      </c>
      <c r="H62" s="3" t="s">
        <v>91</v>
      </c>
      <c r="I62" s="4"/>
      <c r="J62" s="3"/>
      <c r="K62" s="593" t="s">
        <v>22</v>
      </c>
      <c r="L62" s="594"/>
      <c r="M62" s="594"/>
      <c r="N62" s="594"/>
      <c r="O62" s="595"/>
      <c r="P62" s="11">
        <f>SUM(P60:P61)</f>
        <v>0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3"/>
      <c r="B63" s="579"/>
      <c r="C63" s="314" t="s">
        <v>502</v>
      </c>
      <c r="D63" s="314" t="s">
        <v>80</v>
      </c>
      <c r="E63" s="314">
        <v>1300000</v>
      </c>
      <c r="F63" s="314">
        <v>3</v>
      </c>
      <c r="G63" s="314">
        <f t="shared" si="5"/>
        <v>3900000</v>
      </c>
      <c r="H63" s="3" t="s">
        <v>92</v>
      </c>
      <c r="I63" s="4"/>
      <c r="J63" s="3"/>
      <c r="K63" s="3"/>
      <c r="L63" s="3"/>
      <c r="M63" s="3"/>
      <c r="N63" s="3"/>
      <c r="O63" s="3"/>
      <c r="P63" s="3"/>
      <c r="Q63" s="2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3"/>
      <c r="B64" s="581"/>
      <c r="C64" s="606" t="s">
        <v>21</v>
      </c>
      <c r="D64" s="594"/>
      <c r="E64" s="594"/>
      <c r="F64" s="595"/>
      <c r="G64" s="11">
        <f>SUM(G56:G63)</f>
        <v>70200000</v>
      </c>
      <c r="H64" s="3"/>
      <c r="I64" s="4"/>
      <c r="J64" s="3"/>
      <c r="K64" s="3" t="s">
        <v>93</v>
      </c>
      <c r="L64" s="3"/>
      <c r="M64" s="3"/>
      <c r="N64" s="3"/>
      <c r="O64" s="3"/>
      <c r="P64" s="3"/>
      <c r="Q64" s="2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3"/>
      <c r="B65" s="606" t="s">
        <v>22</v>
      </c>
      <c r="C65" s="594"/>
      <c r="D65" s="594"/>
      <c r="E65" s="594"/>
      <c r="F65" s="595"/>
      <c r="G65" s="11">
        <f>SUM(G55,G64)</f>
        <v>179000000</v>
      </c>
      <c r="H65" s="3"/>
      <c r="I65" s="4"/>
      <c r="J65" s="3"/>
      <c r="K65" s="11" t="s">
        <v>8</v>
      </c>
      <c r="L65" s="15" t="s">
        <v>28</v>
      </c>
      <c r="M65" s="18"/>
      <c r="N65" s="18"/>
      <c r="O65" s="29"/>
      <c r="P65" s="11" t="s">
        <v>13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3"/>
      <c r="B66" s="3"/>
      <c r="C66" s="3"/>
      <c r="D66" s="3"/>
      <c r="E66" s="3"/>
      <c r="F66" s="3"/>
      <c r="G66" s="3"/>
      <c r="H66" s="3"/>
      <c r="I66" s="4"/>
      <c r="J66" s="3"/>
      <c r="K66" s="578" t="s">
        <v>94</v>
      </c>
      <c r="L66" s="26"/>
      <c r="M66" s="35"/>
      <c r="N66" s="35"/>
      <c r="O66" s="35"/>
      <c r="P66" s="26"/>
      <c r="Q66" s="20"/>
      <c r="R66" s="36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9" t="s">
        <v>30</v>
      </c>
      <c r="B67" s="9" t="s">
        <v>31</v>
      </c>
      <c r="C67" s="9"/>
      <c r="D67" s="9"/>
      <c r="E67" s="9"/>
      <c r="F67" s="9"/>
      <c r="G67" s="233">
        <f>SUM(G83,G91,G96)</f>
        <v>1153590740</v>
      </c>
      <c r="H67" s="8"/>
      <c r="I67" s="4"/>
      <c r="J67" s="3"/>
      <c r="K67" s="579"/>
      <c r="L67" s="26"/>
      <c r="M67" s="35"/>
      <c r="N67" s="35"/>
      <c r="O67" s="35"/>
      <c r="P67" s="26"/>
      <c r="Q67" s="20"/>
      <c r="R67" s="21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3"/>
      <c r="B68" s="3" t="s">
        <v>32</v>
      </c>
      <c r="C68" s="3"/>
      <c r="D68" s="3"/>
      <c r="E68" s="3"/>
      <c r="F68" s="3"/>
      <c r="G68" s="3"/>
      <c r="H68" s="3"/>
      <c r="I68" s="37"/>
      <c r="J68" s="3"/>
      <c r="K68" s="579"/>
      <c r="L68" s="26"/>
      <c r="M68" s="35"/>
      <c r="N68" s="35"/>
      <c r="O68" s="35"/>
      <c r="P68" s="26"/>
      <c r="Q68" s="20"/>
      <c r="R68" s="21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3"/>
      <c r="B69" s="11" t="s">
        <v>37</v>
      </c>
      <c r="C69" s="11" t="s">
        <v>38</v>
      </c>
      <c r="D69" s="11" t="s">
        <v>39</v>
      </c>
      <c r="E69" s="11" t="s">
        <v>40</v>
      </c>
      <c r="F69" s="28" t="s">
        <v>41</v>
      </c>
      <c r="G69" s="11" t="s">
        <v>42</v>
      </c>
      <c r="H69" s="3"/>
      <c r="I69" s="37"/>
      <c r="J69" s="3"/>
      <c r="K69" s="581"/>
      <c r="L69" s="26"/>
      <c r="M69" s="35"/>
      <c r="N69" s="35"/>
      <c r="O69" s="35"/>
      <c r="P69" s="26"/>
      <c r="Q69" s="20"/>
      <c r="R69" s="21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3"/>
      <c r="B70" s="11" t="s">
        <v>95</v>
      </c>
      <c r="C70" s="289" t="s">
        <v>46</v>
      </c>
      <c r="D70" s="289"/>
      <c r="E70" s="289">
        <v>3</v>
      </c>
      <c r="F70" s="289">
        <v>84348000</v>
      </c>
      <c r="G70" s="289">
        <f>F70*E70</f>
        <v>253044000</v>
      </c>
      <c r="H70" s="3" t="s">
        <v>96</v>
      </c>
      <c r="I70" s="4"/>
      <c r="J70" s="3"/>
      <c r="K70" s="593" t="s">
        <v>22</v>
      </c>
      <c r="L70" s="594"/>
      <c r="M70" s="594"/>
      <c r="N70" s="594"/>
      <c r="O70" s="595"/>
      <c r="P70" s="11">
        <f>SUM(P66:P69)</f>
        <v>0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3"/>
      <c r="B71" s="609" t="s">
        <v>45</v>
      </c>
      <c r="C71" s="289" t="s">
        <v>46</v>
      </c>
      <c r="D71" s="289"/>
      <c r="E71" s="289">
        <v>2</v>
      </c>
      <c r="F71" s="289">
        <v>84348000</v>
      </c>
      <c r="G71" s="289">
        <f>F71*E71 + R30</f>
        <v>157056190</v>
      </c>
      <c r="H71" s="596" t="s">
        <v>97</v>
      </c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3"/>
      <c r="B72" s="599"/>
      <c r="C72" s="289" t="s">
        <v>98</v>
      </c>
      <c r="D72" s="289"/>
      <c r="E72" s="289">
        <v>1</v>
      </c>
      <c r="F72" s="289">
        <v>29920000</v>
      </c>
      <c r="G72" s="289">
        <f t="shared" ref="G72:G82" si="6">F72*E72</f>
        <v>29920000</v>
      </c>
      <c r="H72" s="589"/>
      <c r="I72" s="4"/>
      <c r="J72" s="3"/>
      <c r="K72" s="3" t="s">
        <v>99</v>
      </c>
      <c r="L72" s="3"/>
      <c r="M72" s="3"/>
      <c r="N72" s="3"/>
      <c r="O72" s="3"/>
      <c r="P72" s="3"/>
      <c r="Q72" s="8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3"/>
      <c r="B73" s="599"/>
      <c r="C73" s="289" t="s">
        <v>100</v>
      </c>
      <c r="D73" s="289"/>
      <c r="E73" s="289">
        <v>1</v>
      </c>
      <c r="F73" s="289">
        <v>95705550</v>
      </c>
      <c r="G73" s="289">
        <f t="shared" si="6"/>
        <v>95705550</v>
      </c>
      <c r="H73" s="596" t="s">
        <v>101</v>
      </c>
      <c r="I73" s="4"/>
      <c r="J73" s="3"/>
      <c r="K73" s="11" t="s">
        <v>8</v>
      </c>
      <c r="L73" s="13" t="s">
        <v>28</v>
      </c>
      <c r="M73" s="18"/>
      <c r="N73" s="18"/>
      <c r="O73" s="29"/>
      <c r="P73" s="11" t="s">
        <v>13</v>
      </c>
      <c r="Q73" s="8"/>
      <c r="R73" s="36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3"/>
      <c r="B74" s="599"/>
      <c r="C74" s="291" t="s">
        <v>102</v>
      </c>
      <c r="D74" s="291"/>
      <c r="E74" s="291">
        <v>1</v>
      </c>
      <c r="F74" s="291">
        <v>96997000</v>
      </c>
      <c r="G74" s="291">
        <f t="shared" si="6"/>
        <v>96997000</v>
      </c>
      <c r="H74" s="589"/>
      <c r="I74" s="4"/>
      <c r="J74" s="3"/>
      <c r="K74" s="566" t="s">
        <v>103</v>
      </c>
      <c r="L74" s="38"/>
      <c r="M74" s="39"/>
      <c r="N74" s="40"/>
      <c r="O74" s="26"/>
      <c r="P74" s="26"/>
      <c r="Q74" s="41"/>
      <c r="R74" s="21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3"/>
      <c r="B75" s="599"/>
      <c r="C75" s="303" t="s">
        <v>333</v>
      </c>
      <c r="D75" s="303"/>
      <c r="E75" s="303">
        <v>1</v>
      </c>
      <c r="F75" s="303">
        <v>93575000</v>
      </c>
      <c r="G75" s="303">
        <f t="shared" si="6"/>
        <v>93575000</v>
      </c>
      <c r="H75" s="119"/>
      <c r="I75" s="212"/>
      <c r="J75" s="3"/>
      <c r="K75" s="568"/>
      <c r="L75" s="221"/>
      <c r="M75" s="222"/>
      <c r="N75" s="40"/>
      <c r="O75" s="26"/>
      <c r="P75" s="26"/>
      <c r="Q75" s="41"/>
      <c r="R75" s="21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3"/>
      <c r="B76" s="599"/>
      <c r="C76" s="282" t="s">
        <v>334</v>
      </c>
      <c r="D76" s="282"/>
      <c r="E76" s="282">
        <v>1</v>
      </c>
      <c r="F76" s="282">
        <v>352000000</v>
      </c>
      <c r="G76" s="282">
        <f t="shared" si="6"/>
        <v>352000000</v>
      </c>
      <c r="H76" s="119" t="s">
        <v>500</v>
      </c>
      <c r="I76" s="212"/>
      <c r="J76" s="3"/>
      <c r="K76" s="568"/>
      <c r="L76" s="221"/>
      <c r="M76" s="222"/>
      <c r="N76" s="40"/>
      <c r="O76" s="26"/>
      <c r="P76" s="26"/>
      <c r="Q76" s="41"/>
      <c r="R76" s="21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3"/>
      <c r="B77" s="599"/>
      <c r="C77" s="303" t="s">
        <v>335</v>
      </c>
      <c r="D77" s="303"/>
      <c r="E77" s="303">
        <v>1</v>
      </c>
      <c r="F77" s="303">
        <v>21990000</v>
      </c>
      <c r="G77" s="303">
        <f t="shared" si="6"/>
        <v>21990000</v>
      </c>
      <c r="H77" s="119"/>
      <c r="I77" s="212"/>
      <c r="J77" s="3"/>
      <c r="K77" s="568"/>
      <c r="L77" s="221"/>
      <c r="M77" s="222"/>
      <c r="N77" s="40"/>
      <c r="O77" s="26"/>
      <c r="P77" s="26"/>
      <c r="Q77" s="41"/>
      <c r="R77" s="21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3"/>
      <c r="B78" s="599"/>
      <c r="C78" s="303" t="s">
        <v>336</v>
      </c>
      <c r="D78" s="303"/>
      <c r="E78" s="303">
        <v>1</v>
      </c>
      <c r="F78" s="303">
        <v>8030000</v>
      </c>
      <c r="G78" s="303">
        <f t="shared" si="6"/>
        <v>8030000</v>
      </c>
      <c r="H78" s="119"/>
      <c r="I78" s="212"/>
      <c r="J78" s="3"/>
      <c r="K78" s="568"/>
      <c r="L78" s="221"/>
      <c r="M78" s="222"/>
      <c r="N78" s="40"/>
      <c r="O78" s="26"/>
      <c r="P78" s="26"/>
      <c r="Q78" s="41"/>
      <c r="R78" s="21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3"/>
      <c r="B79" s="599"/>
      <c r="C79" s="469" t="s">
        <v>350</v>
      </c>
      <c r="D79" s="469"/>
      <c r="E79" s="469">
        <v>1</v>
      </c>
      <c r="F79" s="469">
        <v>42988000</v>
      </c>
      <c r="G79" s="469">
        <f t="shared" si="6"/>
        <v>42988000</v>
      </c>
      <c r="H79" s="234">
        <f>SUM(G75:G79)</f>
        <v>518583000</v>
      </c>
      <c r="I79" s="212"/>
      <c r="J79" s="3"/>
      <c r="K79" s="568"/>
      <c r="L79" s="221"/>
      <c r="M79" s="222"/>
      <c r="N79" s="40"/>
      <c r="O79" s="26"/>
      <c r="P79" s="26"/>
      <c r="Q79" s="41"/>
      <c r="R79" s="21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3"/>
      <c r="B80" s="218" t="s">
        <v>437</v>
      </c>
      <c r="C80" s="303" t="s">
        <v>438</v>
      </c>
      <c r="D80" s="303"/>
      <c r="E80" s="303">
        <v>1</v>
      </c>
      <c r="F80" s="303">
        <v>165000</v>
      </c>
      <c r="G80" s="303">
        <f t="shared" si="6"/>
        <v>165000</v>
      </c>
      <c r="H80" s="234"/>
      <c r="I80" s="212"/>
      <c r="J80" s="3"/>
      <c r="K80" s="568"/>
      <c r="L80" s="221"/>
      <c r="M80" s="222"/>
      <c r="N80" s="40"/>
      <c r="O80" s="26"/>
      <c r="P80" s="26"/>
      <c r="Q80" s="41"/>
      <c r="R80" s="21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3"/>
      <c r="B81" s="570" t="s">
        <v>448</v>
      </c>
      <c r="C81" s="303" t="s">
        <v>449</v>
      </c>
      <c r="D81" s="303"/>
      <c r="E81" s="303">
        <v>3</v>
      </c>
      <c r="F81" s="303">
        <v>30000</v>
      </c>
      <c r="G81" s="303">
        <f t="shared" si="6"/>
        <v>90000</v>
      </c>
      <c r="H81" s="234"/>
      <c r="I81" s="212"/>
      <c r="J81" s="3"/>
      <c r="K81" s="568"/>
      <c r="L81" s="221"/>
      <c r="M81" s="222"/>
      <c r="N81" s="40"/>
      <c r="O81" s="26"/>
      <c r="P81" s="26"/>
      <c r="Q81" s="41"/>
      <c r="R81" s="21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3"/>
      <c r="B82" s="571"/>
      <c r="C82" s="303" t="s">
        <v>450</v>
      </c>
      <c r="D82" s="303"/>
      <c r="E82" s="303">
        <v>1</v>
      </c>
      <c r="F82" s="303">
        <v>30000</v>
      </c>
      <c r="G82" s="303">
        <f t="shared" si="6"/>
        <v>30000</v>
      </c>
      <c r="H82" s="234"/>
      <c r="I82" s="212"/>
      <c r="J82" s="3"/>
      <c r="K82" s="568"/>
      <c r="L82" s="221"/>
      <c r="M82" s="222"/>
      <c r="N82" s="40"/>
      <c r="O82" s="26"/>
      <c r="P82" s="26"/>
      <c r="Q82" s="41"/>
      <c r="R82" s="21"/>
      <c r="S82" s="3"/>
      <c r="T82" s="3"/>
      <c r="U82" s="3"/>
      <c r="V82" s="3"/>
      <c r="W82" s="3"/>
      <c r="X82" s="3"/>
      <c r="Y82" s="3"/>
      <c r="Z82" s="3"/>
    </row>
    <row r="83" spans="1:26" ht="16.5">
      <c r="A83" s="3"/>
      <c r="B83" s="218" t="s">
        <v>22</v>
      </c>
      <c r="C83" s="267"/>
      <c r="D83" s="267"/>
      <c r="E83" s="267"/>
      <c r="F83" s="267"/>
      <c r="G83" s="218">
        <f>SUM(G70:G82)</f>
        <v>1151590740</v>
      </c>
      <c r="H83" s="463" t="s">
        <v>1092</v>
      </c>
      <c r="I83" s="4"/>
      <c r="J83" s="3"/>
      <c r="K83" s="567"/>
      <c r="L83" s="38"/>
      <c r="M83" s="39"/>
      <c r="N83" s="40"/>
      <c r="O83" s="26"/>
      <c r="P83" s="26"/>
      <c r="Q83" s="41"/>
      <c r="R83" s="21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3"/>
      <c r="B84" s="3"/>
      <c r="C84" s="3"/>
      <c r="D84" s="3"/>
      <c r="E84" s="3"/>
      <c r="F84" s="3"/>
      <c r="G84" s="3"/>
      <c r="H84" s="3"/>
      <c r="I84" s="4"/>
      <c r="J84" s="3"/>
      <c r="K84" s="593" t="s">
        <v>22</v>
      </c>
      <c r="L84" s="594"/>
      <c r="M84" s="594"/>
      <c r="N84" s="594"/>
      <c r="O84" s="595"/>
      <c r="P84" s="11">
        <f>SUM(P74:P83)</f>
        <v>0</v>
      </c>
      <c r="Q84" s="36"/>
      <c r="R84" s="21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3"/>
      <c r="B85" s="3"/>
      <c r="C85" s="3"/>
      <c r="D85" s="3"/>
      <c r="E85" s="3"/>
      <c r="F85" s="3"/>
      <c r="G85" s="3"/>
      <c r="H85" s="44"/>
      <c r="I85" s="4"/>
      <c r="J85" s="3"/>
      <c r="K85" s="3"/>
      <c r="L85" s="3"/>
      <c r="M85" s="3"/>
      <c r="N85" s="3"/>
      <c r="O85" s="3"/>
      <c r="P85" s="3"/>
      <c r="Q85" s="36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3"/>
      <c r="B86" s="3" t="s">
        <v>55</v>
      </c>
      <c r="C86" s="3"/>
      <c r="D86" s="3"/>
      <c r="E86" s="3"/>
      <c r="F86" s="3"/>
      <c r="G86" s="3"/>
      <c r="H86" s="3"/>
      <c r="I86" s="4"/>
      <c r="J86" s="3"/>
      <c r="K86" s="3" t="s">
        <v>104</v>
      </c>
      <c r="L86" s="3"/>
      <c r="M86" s="3"/>
      <c r="N86" s="3"/>
      <c r="O86" s="3"/>
      <c r="P86" s="3"/>
      <c r="Q86" s="3"/>
      <c r="R86" s="3"/>
      <c r="S86" s="8"/>
      <c r="T86" s="8"/>
      <c r="U86" s="8"/>
      <c r="V86" s="21"/>
      <c r="W86" s="586"/>
      <c r="X86" s="587"/>
      <c r="Y86" s="587"/>
      <c r="Z86" s="21"/>
    </row>
    <row r="87" spans="1:26" ht="16.5" customHeight="1">
      <c r="A87" s="3"/>
      <c r="B87" s="11" t="s">
        <v>8</v>
      </c>
      <c r="C87" s="11" t="s">
        <v>37</v>
      </c>
      <c r="D87" s="11" t="s">
        <v>57</v>
      </c>
      <c r="E87" s="11" t="s">
        <v>40</v>
      </c>
      <c r="F87" s="28" t="s">
        <v>41</v>
      </c>
      <c r="G87" s="11" t="s">
        <v>42</v>
      </c>
      <c r="H87" s="3"/>
      <c r="I87" s="4"/>
      <c r="J87" s="3"/>
      <c r="K87" s="11" t="s">
        <v>8</v>
      </c>
      <c r="L87" s="11" t="s">
        <v>28</v>
      </c>
      <c r="M87" s="11"/>
      <c r="N87" s="11"/>
      <c r="O87" s="11"/>
      <c r="P87" s="11"/>
      <c r="Q87" s="3"/>
      <c r="R87" s="21"/>
      <c r="S87" s="8"/>
      <c r="T87" s="8"/>
      <c r="U87" s="8"/>
      <c r="V87" s="21"/>
      <c r="W87" s="586"/>
      <c r="X87" s="587"/>
      <c r="Y87" s="587"/>
      <c r="Z87" s="21"/>
    </row>
    <row r="88" spans="1:26" ht="16.5" customHeight="1">
      <c r="A88" s="3"/>
      <c r="B88" s="12" t="s">
        <v>105</v>
      </c>
      <c r="C88" s="283" t="s">
        <v>106</v>
      </c>
      <c r="D88" s="284"/>
      <c r="E88" s="284">
        <v>0</v>
      </c>
      <c r="F88" s="285">
        <v>20000000</v>
      </c>
      <c r="G88" s="284">
        <f t="shared" ref="G88:G90" si="7">F88*E88</f>
        <v>0</v>
      </c>
      <c r="H88" s="22"/>
      <c r="I88" s="4"/>
      <c r="J88" s="3"/>
      <c r="K88" s="11" t="s">
        <v>107</v>
      </c>
      <c r="L88" s="11">
        <v>18480000</v>
      </c>
      <c r="M88" s="11"/>
      <c r="N88" s="11"/>
      <c r="O88" s="11"/>
      <c r="P88" s="11">
        <v>18480000</v>
      </c>
      <c r="Q88" s="588" t="s">
        <v>108</v>
      </c>
      <c r="R88" s="590" t="s">
        <v>109</v>
      </c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3"/>
      <c r="B89" s="591" t="s">
        <v>110</v>
      </c>
      <c r="C89" s="284" t="s">
        <v>111</v>
      </c>
      <c r="D89" s="284"/>
      <c r="E89" s="284">
        <v>0</v>
      </c>
      <c r="F89" s="285">
        <v>8000000</v>
      </c>
      <c r="G89" s="284">
        <f t="shared" si="7"/>
        <v>0</v>
      </c>
      <c r="H89" s="22"/>
      <c r="I89" s="4"/>
      <c r="J89" s="3"/>
      <c r="K89" s="11" t="s">
        <v>112</v>
      </c>
      <c r="L89" s="11">
        <v>21120000</v>
      </c>
      <c r="M89" s="11"/>
      <c r="N89" s="11"/>
      <c r="O89" s="11"/>
      <c r="P89" s="11">
        <v>21120000</v>
      </c>
      <c r="Q89" s="589"/>
      <c r="R89" s="587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3"/>
      <c r="B90" s="592"/>
      <c r="C90" s="11" t="s">
        <v>113</v>
      </c>
      <c r="D90" s="11"/>
      <c r="E90" s="11">
        <v>1</v>
      </c>
      <c r="F90" s="31">
        <v>2000000</v>
      </c>
      <c r="G90" s="11">
        <f t="shared" si="7"/>
        <v>2000000</v>
      </c>
      <c r="H90" s="596" t="s">
        <v>114</v>
      </c>
      <c r="I90" s="4"/>
      <c r="J90" s="3"/>
      <c r="K90" s="593" t="s">
        <v>22</v>
      </c>
      <c r="L90" s="594"/>
      <c r="M90" s="594"/>
      <c r="N90" s="594"/>
      <c r="O90" s="595"/>
      <c r="P90" s="11">
        <f>SUM(P88,P89)</f>
        <v>39600000</v>
      </c>
      <c r="Q90" s="3"/>
      <c r="R90" s="47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3"/>
      <c r="B91" s="15" t="s">
        <v>22</v>
      </c>
      <c r="C91" s="48"/>
      <c r="D91" s="48"/>
      <c r="E91" s="48"/>
      <c r="F91" s="49"/>
      <c r="G91" s="16">
        <f>SUM(G88:G90)</f>
        <v>2000000</v>
      </c>
      <c r="H91" s="589"/>
      <c r="I91" s="4"/>
      <c r="J91" s="3"/>
      <c r="K91" s="3"/>
      <c r="L91" s="3"/>
      <c r="M91" s="3"/>
      <c r="N91" s="3"/>
      <c r="O91" s="3"/>
      <c r="P91" s="3"/>
      <c r="Q91" s="3"/>
      <c r="R91" s="47"/>
      <c r="S91" s="50"/>
      <c r="T91" s="3"/>
      <c r="U91" s="3"/>
      <c r="V91" s="3"/>
      <c r="W91" s="3"/>
      <c r="X91" s="3"/>
      <c r="Y91" s="3"/>
      <c r="Z91" s="3"/>
    </row>
    <row r="92" spans="1:26" ht="16.5" customHeight="1">
      <c r="A92" s="3"/>
      <c r="B92" s="3"/>
      <c r="C92" s="3"/>
      <c r="D92" s="3"/>
      <c r="E92" s="3"/>
      <c r="F92" s="3"/>
      <c r="G92" s="3"/>
      <c r="H92" s="3"/>
      <c r="I92" s="7"/>
      <c r="J92" s="3"/>
      <c r="K92" s="3" t="s">
        <v>115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3"/>
      <c r="B93" s="3" t="s">
        <v>69</v>
      </c>
      <c r="C93" s="3"/>
      <c r="D93" s="3"/>
      <c r="E93" s="3"/>
      <c r="F93" s="3"/>
      <c r="G93" s="3"/>
      <c r="H93" s="3"/>
      <c r="I93" s="4"/>
      <c r="J93" s="3"/>
      <c r="K93" s="11" t="s">
        <v>8</v>
      </c>
      <c r="L93" s="15" t="s">
        <v>28</v>
      </c>
      <c r="M93" s="18"/>
      <c r="N93" s="18"/>
      <c r="O93" s="29"/>
      <c r="P93" s="11" t="s">
        <v>13</v>
      </c>
      <c r="Q93" s="3"/>
      <c r="R93" s="47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3"/>
      <c r="B94" s="12" t="s">
        <v>8</v>
      </c>
      <c r="C94" s="13" t="s">
        <v>28</v>
      </c>
      <c r="D94" s="33"/>
      <c r="E94" s="33"/>
      <c r="F94" s="34"/>
      <c r="G94" s="12" t="s">
        <v>13</v>
      </c>
      <c r="H94" s="3"/>
      <c r="I94" s="4"/>
      <c r="J94" s="3"/>
      <c r="K94" s="578" t="s">
        <v>116</v>
      </c>
      <c r="L94" s="11" t="s">
        <v>117</v>
      </c>
      <c r="M94" s="27"/>
      <c r="N94" s="31">
        <v>500000</v>
      </c>
      <c r="O94" s="11">
        <v>1</v>
      </c>
      <c r="P94" s="11">
        <f t="shared" ref="P94:P96" si="8">N94*O94</f>
        <v>500000</v>
      </c>
      <c r="Q94" s="3"/>
      <c r="R94" s="47"/>
      <c r="S94" s="50"/>
      <c r="T94" s="3"/>
      <c r="U94" s="3"/>
      <c r="V94" s="3"/>
      <c r="W94" s="3"/>
      <c r="X94" s="3"/>
      <c r="Y94" s="3"/>
      <c r="Z94" s="3"/>
    </row>
    <row r="95" spans="1:26" ht="16.5" customHeight="1">
      <c r="A95" s="3"/>
      <c r="B95" s="11"/>
      <c r="C95" s="11"/>
      <c r="D95" s="11"/>
      <c r="E95" s="27"/>
      <c r="F95" s="27"/>
      <c r="G95" s="11">
        <f>F95*E95</f>
        <v>0</v>
      </c>
      <c r="H95" s="3"/>
      <c r="I95" s="4"/>
      <c r="J95" s="3"/>
      <c r="K95" s="579"/>
      <c r="L95" s="11" t="s">
        <v>118</v>
      </c>
      <c r="M95" s="27"/>
      <c r="N95" s="31">
        <v>50000</v>
      </c>
      <c r="O95" s="11">
        <v>1</v>
      </c>
      <c r="P95" s="11">
        <f t="shared" si="8"/>
        <v>50000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3"/>
      <c r="B96" s="24" t="s">
        <v>22</v>
      </c>
      <c r="C96" s="48"/>
      <c r="D96" s="48"/>
      <c r="E96" s="48"/>
      <c r="F96" s="49"/>
      <c r="G96" s="16">
        <f>SUM(G95)</f>
        <v>0</v>
      </c>
      <c r="H96" s="3"/>
      <c r="I96" s="4"/>
      <c r="J96" s="3"/>
      <c r="K96" s="581"/>
      <c r="L96" s="11" t="s">
        <v>119</v>
      </c>
      <c r="M96" s="27"/>
      <c r="N96" s="31">
        <f>69279-9250</f>
        <v>60029</v>
      </c>
      <c r="O96" s="11">
        <v>1</v>
      </c>
      <c r="P96" s="11">
        <f t="shared" si="8"/>
        <v>60029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3"/>
      <c r="D97" s="3"/>
      <c r="E97" s="3"/>
      <c r="F97" s="3"/>
      <c r="G97" s="3"/>
      <c r="H97" s="3"/>
      <c r="I97" s="4"/>
      <c r="J97" s="3"/>
      <c r="K97" s="593" t="s">
        <v>22</v>
      </c>
      <c r="L97" s="594"/>
      <c r="M97" s="594"/>
      <c r="N97" s="594"/>
      <c r="O97" s="595"/>
      <c r="P97" s="11">
        <f>SUM(P94:P96)</f>
        <v>610029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9" t="s">
        <v>70</v>
      </c>
      <c r="B98" s="51" t="s">
        <v>71</v>
      </c>
      <c r="C98" s="9"/>
      <c r="D98" s="9"/>
      <c r="E98" s="9"/>
      <c r="F98" s="9"/>
      <c r="G98" s="239">
        <f>SUM(G127)</f>
        <v>72251459</v>
      </c>
      <c r="H98" s="3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3"/>
      <c r="B99" s="3" t="s">
        <v>72</v>
      </c>
      <c r="C99" s="3"/>
      <c r="D99" s="3"/>
      <c r="E99" s="3"/>
      <c r="F99" s="3"/>
      <c r="G99" s="3"/>
      <c r="H99" s="3"/>
      <c r="I99" s="4"/>
      <c r="J99" s="3"/>
      <c r="K99" s="3" t="s">
        <v>120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3"/>
      <c r="B100" s="12" t="s">
        <v>37</v>
      </c>
      <c r="C100" s="12" t="s">
        <v>38</v>
      </c>
      <c r="D100" s="12" t="s">
        <v>39</v>
      </c>
      <c r="E100" s="12" t="s">
        <v>40</v>
      </c>
      <c r="F100" s="52" t="s">
        <v>73</v>
      </c>
      <c r="G100" s="12" t="s">
        <v>42</v>
      </c>
      <c r="H100" s="3"/>
      <c r="I100" s="4"/>
      <c r="J100" s="3"/>
      <c r="K100" s="11" t="s">
        <v>8</v>
      </c>
      <c r="L100" s="15" t="s">
        <v>28</v>
      </c>
      <c r="M100" s="18"/>
      <c r="N100" s="18"/>
      <c r="O100" s="29"/>
      <c r="P100" s="11" t="s">
        <v>13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3"/>
      <c r="B101" s="11" t="s">
        <v>74</v>
      </c>
      <c r="C101" s="11" t="s">
        <v>75</v>
      </c>
      <c r="D101" s="11" t="s">
        <v>121</v>
      </c>
      <c r="E101" s="11">
        <v>50</v>
      </c>
      <c r="F101" s="31">
        <v>84390.18</v>
      </c>
      <c r="G101" s="289">
        <f>F101*E101-1144000</f>
        <v>3075509</v>
      </c>
      <c r="H101" s="3" t="s">
        <v>122</v>
      </c>
      <c r="I101" s="4"/>
      <c r="J101" s="3"/>
      <c r="K101" s="11" t="s">
        <v>123</v>
      </c>
      <c r="L101" s="11" t="s">
        <v>124</v>
      </c>
      <c r="M101" s="27"/>
      <c r="N101" s="27">
        <v>100</v>
      </c>
      <c r="O101" s="11">
        <v>1500</v>
      </c>
      <c r="P101" s="11">
        <f>N101*O101</f>
        <v>150000</v>
      </c>
      <c r="Q101" s="3"/>
      <c r="R101" s="8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3"/>
      <c r="B102" s="578" t="s">
        <v>125</v>
      </c>
      <c r="C102" s="16" t="s">
        <v>126</v>
      </c>
      <c r="D102" s="16" t="s">
        <v>121</v>
      </c>
      <c r="E102" s="16">
        <v>0</v>
      </c>
      <c r="F102" s="53">
        <v>462000</v>
      </c>
      <c r="G102" s="289">
        <f t="shared" ref="G102:G126" si="9">F102*E102</f>
        <v>0</v>
      </c>
      <c r="H102" s="41"/>
      <c r="I102" s="4"/>
      <c r="J102" s="3"/>
      <c r="K102" s="11"/>
      <c r="L102" s="11"/>
      <c r="M102" s="27"/>
      <c r="N102" s="27"/>
      <c r="O102" s="11"/>
      <c r="P102" s="11"/>
      <c r="Q102" s="3"/>
      <c r="R102" s="8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3"/>
      <c r="B103" s="579"/>
      <c r="C103" s="16" t="s">
        <v>127</v>
      </c>
      <c r="D103" s="16" t="s">
        <v>121</v>
      </c>
      <c r="E103" s="16">
        <v>0</v>
      </c>
      <c r="F103" s="53">
        <v>152000</v>
      </c>
      <c r="G103" s="289">
        <f t="shared" si="9"/>
        <v>0</v>
      </c>
      <c r="H103" s="41"/>
      <c r="I103" s="4"/>
      <c r="J103" s="3"/>
      <c r="K103" s="593" t="s">
        <v>22</v>
      </c>
      <c r="L103" s="594"/>
      <c r="M103" s="594"/>
      <c r="N103" s="594"/>
      <c r="O103" s="595"/>
      <c r="P103" s="11">
        <f>SUM(P101:P102)</f>
        <v>150000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3"/>
      <c r="B104" s="579"/>
      <c r="C104" s="16" t="s">
        <v>128</v>
      </c>
      <c r="D104" s="16" t="s">
        <v>121</v>
      </c>
      <c r="E104" s="16">
        <v>0</v>
      </c>
      <c r="F104" s="53">
        <v>20000</v>
      </c>
      <c r="G104" s="289">
        <f t="shared" si="9"/>
        <v>0</v>
      </c>
      <c r="H104" s="41"/>
      <c r="I104" s="4"/>
      <c r="J104" s="3"/>
      <c r="K104" s="8"/>
      <c r="L104" s="8"/>
      <c r="M104" s="8"/>
      <c r="N104" s="8"/>
      <c r="O104" s="8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3"/>
      <c r="B105" s="579"/>
      <c r="C105" s="16" t="s">
        <v>129</v>
      </c>
      <c r="D105" s="16" t="s">
        <v>121</v>
      </c>
      <c r="E105" s="216">
        <v>55</v>
      </c>
      <c r="F105" s="216">
        <v>150700</v>
      </c>
      <c r="G105" s="289">
        <f t="shared" si="9"/>
        <v>8288500</v>
      </c>
      <c r="H105" s="41"/>
      <c r="I105" s="4"/>
      <c r="J105" s="3"/>
      <c r="K105" s="8"/>
      <c r="L105" s="8"/>
      <c r="M105" s="8"/>
      <c r="N105" s="8"/>
      <c r="O105" s="8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3"/>
      <c r="B106" s="581"/>
      <c r="C106" s="11" t="s">
        <v>130</v>
      </c>
      <c r="D106" s="219" t="s">
        <v>121</v>
      </c>
      <c r="E106" s="218">
        <v>10</v>
      </c>
      <c r="F106" s="218">
        <v>132000</v>
      </c>
      <c r="G106" s="338">
        <f t="shared" si="9"/>
        <v>1320000</v>
      </c>
      <c r="H106" s="41"/>
      <c r="I106" s="4"/>
      <c r="J106" s="3"/>
      <c r="K106" s="8"/>
      <c r="L106" s="8"/>
      <c r="M106" s="8"/>
      <c r="N106" s="8"/>
      <c r="O106" s="8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3"/>
      <c r="B107" s="566" t="s">
        <v>131</v>
      </c>
      <c r="C107" s="16" t="s">
        <v>132</v>
      </c>
      <c r="D107" s="24" t="s">
        <v>133</v>
      </c>
      <c r="E107" s="218">
        <v>6</v>
      </c>
      <c r="F107" s="231">
        <f>7500000</f>
        <v>7500000</v>
      </c>
      <c r="G107" s="727">
        <f>F107*E107+1105491-G108-29848991</f>
        <v>5616500</v>
      </c>
      <c r="H107" s="22"/>
      <c r="I107" s="4"/>
      <c r="J107" s="3"/>
      <c r="K107" s="3" t="s">
        <v>134</v>
      </c>
      <c r="L107" s="3"/>
      <c r="M107" s="3"/>
      <c r="N107" s="3"/>
      <c r="O107" s="3"/>
      <c r="P107" s="3"/>
      <c r="Q107" s="3"/>
      <c r="R107" s="8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3"/>
      <c r="B108" s="567"/>
      <c r="C108" s="211" t="s">
        <v>496</v>
      </c>
      <c r="D108" s="24"/>
      <c r="E108" s="242">
        <v>8</v>
      </c>
      <c r="F108" s="330">
        <f>10640000/8</f>
        <v>1330000</v>
      </c>
      <c r="G108" s="339">
        <f>F108*E108</f>
        <v>10640000</v>
      </c>
      <c r="H108" s="220"/>
      <c r="I108" s="212"/>
      <c r="J108" s="3"/>
      <c r="K108" s="3"/>
      <c r="L108" s="3"/>
      <c r="M108" s="3"/>
      <c r="N108" s="3"/>
      <c r="O108" s="3"/>
      <c r="P108" s="3"/>
      <c r="Q108" s="3"/>
      <c r="R108" s="8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3"/>
      <c r="B109" s="240" t="s">
        <v>135</v>
      </c>
      <c r="C109" s="11" t="s">
        <v>136</v>
      </c>
      <c r="D109" s="11" t="s">
        <v>137</v>
      </c>
      <c r="E109" s="211">
        <v>50</v>
      </c>
      <c r="F109" s="230">
        <v>385000</v>
      </c>
      <c r="G109" s="289">
        <f t="shared" si="9"/>
        <v>19250000</v>
      </c>
      <c r="H109" s="3"/>
      <c r="I109" s="4"/>
      <c r="J109" s="3"/>
      <c r="K109" s="11" t="s">
        <v>8</v>
      </c>
      <c r="L109" s="15" t="s">
        <v>28</v>
      </c>
      <c r="M109" s="42"/>
      <c r="N109" s="42"/>
      <c r="O109" s="42"/>
      <c r="P109" s="11" t="s">
        <v>13</v>
      </c>
      <c r="Q109" s="3"/>
      <c r="R109" s="8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3"/>
      <c r="B110" s="569" t="s">
        <v>444</v>
      </c>
      <c r="C110" s="229" t="s">
        <v>486</v>
      </c>
      <c r="D110" s="16"/>
      <c r="E110" s="16">
        <v>1</v>
      </c>
      <c r="F110" s="16">
        <v>5676000</v>
      </c>
      <c r="G110" s="289">
        <f t="shared" si="9"/>
        <v>5676000</v>
      </c>
      <c r="H110" s="3"/>
      <c r="I110" s="4"/>
      <c r="J110" s="3"/>
      <c r="K110" s="26"/>
      <c r="L110" s="25"/>
      <c r="M110" s="54"/>
      <c r="N110" s="54"/>
      <c r="O110" s="54"/>
      <c r="P110" s="26"/>
      <c r="Q110" s="8"/>
      <c r="R110" s="8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3"/>
      <c r="B111" s="569"/>
      <c r="C111" s="229" t="s">
        <v>488</v>
      </c>
      <c r="D111" s="211"/>
      <c r="E111" s="16">
        <v>1</v>
      </c>
      <c r="F111" s="211">
        <v>1531200</v>
      </c>
      <c r="G111" s="289">
        <f t="shared" si="9"/>
        <v>1531200</v>
      </c>
      <c r="H111" s="3"/>
      <c r="I111" s="212"/>
      <c r="J111" s="3"/>
      <c r="K111" s="26"/>
      <c r="L111" s="286"/>
      <c r="M111" s="287"/>
      <c r="N111" s="287"/>
      <c r="O111" s="287"/>
      <c r="P111" s="26"/>
      <c r="Q111" s="8"/>
      <c r="R111" s="8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3"/>
      <c r="B112" s="569"/>
      <c r="C112" s="229" t="s">
        <v>489</v>
      </c>
      <c r="D112" s="211"/>
      <c r="E112" s="16">
        <v>1</v>
      </c>
      <c r="F112" s="211">
        <v>935000</v>
      </c>
      <c r="G112" s="289">
        <f t="shared" si="9"/>
        <v>935000</v>
      </c>
      <c r="H112" s="3"/>
      <c r="I112" s="212"/>
      <c r="J112" s="3"/>
      <c r="K112" s="26"/>
      <c r="L112" s="286"/>
      <c r="M112" s="287"/>
      <c r="N112" s="287"/>
      <c r="O112" s="287"/>
      <c r="P112" s="26"/>
      <c r="Q112" s="8"/>
      <c r="R112" s="8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3"/>
      <c r="B113" s="569"/>
      <c r="C113" s="229" t="s">
        <v>490</v>
      </c>
      <c r="D113" s="211"/>
      <c r="E113" s="16">
        <v>1</v>
      </c>
      <c r="F113" s="211">
        <v>1873300</v>
      </c>
      <c r="G113" s="289">
        <f t="shared" si="9"/>
        <v>1873300</v>
      </c>
      <c r="H113" s="3"/>
      <c r="I113" s="212"/>
      <c r="J113" s="3"/>
      <c r="K113" s="26"/>
      <c r="L113" s="286"/>
      <c r="M113" s="287"/>
      <c r="N113" s="287"/>
      <c r="O113" s="287"/>
      <c r="P113" s="26"/>
      <c r="Q113" s="8"/>
      <c r="R113" s="8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3"/>
      <c r="B114" s="569"/>
      <c r="C114" s="229"/>
      <c r="D114" s="211"/>
      <c r="E114" s="16">
        <v>1</v>
      </c>
      <c r="F114" s="211"/>
      <c r="G114" s="11">
        <f t="shared" si="9"/>
        <v>0</v>
      </c>
      <c r="H114" s="3"/>
      <c r="I114" s="212"/>
      <c r="J114" s="3"/>
      <c r="K114" s="26"/>
      <c r="L114" s="286"/>
      <c r="M114" s="287"/>
      <c r="N114" s="287"/>
      <c r="O114" s="287"/>
      <c r="P114" s="26"/>
      <c r="Q114" s="8"/>
      <c r="R114" s="8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3"/>
      <c r="B115" s="570" t="s">
        <v>445</v>
      </c>
      <c r="C115" s="229" t="s">
        <v>494</v>
      </c>
      <c r="D115" s="211"/>
      <c r="E115" s="16">
        <v>2</v>
      </c>
      <c r="F115" s="211">
        <v>2332000</v>
      </c>
      <c r="G115" s="289">
        <f t="shared" si="9"/>
        <v>4664000</v>
      </c>
      <c r="H115" s="3"/>
      <c r="I115" s="212"/>
      <c r="J115" s="3"/>
      <c r="K115" s="26"/>
      <c r="L115" s="286"/>
      <c r="M115" s="287"/>
      <c r="N115" s="287"/>
      <c r="O115" s="287"/>
      <c r="P115" s="26"/>
      <c r="Q115" s="8"/>
      <c r="R115" s="8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3"/>
      <c r="B116" s="585"/>
      <c r="C116" s="229" t="s">
        <v>495</v>
      </c>
      <c r="D116" s="211"/>
      <c r="E116" s="211">
        <v>1</v>
      </c>
      <c r="F116" s="211">
        <v>1496000</v>
      </c>
      <c r="G116" s="289">
        <f t="shared" si="9"/>
        <v>1496000</v>
      </c>
      <c r="H116" s="3"/>
      <c r="I116" s="212"/>
      <c r="J116" s="3"/>
      <c r="K116" s="26"/>
      <c r="L116" s="286"/>
      <c r="M116" s="287"/>
      <c r="N116" s="287"/>
      <c r="O116" s="287"/>
      <c r="P116" s="26"/>
      <c r="Q116" s="8"/>
      <c r="R116" s="8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3"/>
      <c r="B117" s="585"/>
      <c r="C117" s="229" t="s">
        <v>491</v>
      </c>
      <c r="D117" s="211"/>
      <c r="E117" s="16">
        <v>1</v>
      </c>
      <c r="F117" s="211">
        <v>643500</v>
      </c>
      <c r="G117" s="289">
        <f t="shared" si="9"/>
        <v>643500</v>
      </c>
      <c r="H117" s="3"/>
      <c r="I117" s="212"/>
      <c r="J117" s="3"/>
      <c r="K117" s="26"/>
      <c r="L117" s="286"/>
      <c r="M117" s="287"/>
      <c r="N117" s="287"/>
      <c r="O117" s="287"/>
      <c r="P117" s="26"/>
      <c r="Q117" s="8"/>
      <c r="R117" s="8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3"/>
      <c r="B118" s="585"/>
      <c r="C118" s="229" t="s">
        <v>492</v>
      </c>
      <c r="D118" s="211"/>
      <c r="E118" s="16">
        <v>1</v>
      </c>
      <c r="F118" s="211">
        <v>1155000</v>
      </c>
      <c r="G118" s="289">
        <f t="shared" si="9"/>
        <v>1155000</v>
      </c>
      <c r="H118" s="3"/>
      <c r="I118" s="212"/>
      <c r="J118" s="3"/>
      <c r="K118" s="26"/>
      <c r="L118" s="286"/>
      <c r="M118" s="287"/>
      <c r="N118" s="287"/>
      <c r="O118" s="287"/>
      <c r="P118" s="26"/>
      <c r="Q118" s="8"/>
      <c r="R118" s="8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3"/>
      <c r="B119" s="585"/>
      <c r="C119" s="229" t="s">
        <v>493</v>
      </c>
      <c r="D119" s="211"/>
      <c r="E119" s="16">
        <v>1</v>
      </c>
      <c r="F119" s="211">
        <v>1925000</v>
      </c>
      <c r="G119" s="289">
        <f t="shared" si="9"/>
        <v>1925000</v>
      </c>
      <c r="H119" s="3"/>
      <c r="I119" s="212"/>
      <c r="J119" s="3"/>
      <c r="K119" s="26"/>
      <c r="L119" s="286"/>
      <c r="M119" s="287"/>
      <c r="N119" s="287"/>
      <c r="O119" s="287"/>
      <c r="P119" s="26"/>
      <c r="Q119" s="8"/>
      <c r="R119" s="8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3"/>
      <c r="B120" s="571"/>
      <c r="C120" s="229"/>
      <c r="D120" s="211"/>
      <c r="E120" s="211"/>
      <c r="F120" s="211"/>
      <c r="G120" s="289"/>
      <c r="H120" s="3"/>
      <c r="I120" s="212"/>
      <c r="J120" s="3"/>
      <c r="K120" s="26"/>
      <c r="L120" s="286"/>
      <c r="M120" s="287"/>
      <c r="N120" s="287"/>
      <c r="O120" s="287"/>
      <c r="P120" s="26"/>
      <c r="Q120" s="8"/>
      <c r="R120" s="8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3"/>
      <c r="B121" s="569" t="s">
        <v>446</v>
      </c>
      <c r="C121" s="229" t="s">
        <v>487</v>
      </c>
      <c r="D121" s="211"/>
      <c r="E121" s="16">
        <v>1</v>
      </c>
      <c r="F121" s="211">
        <v>964480</v>
      </c>
      <c r="G121" s="289">
        <f t="shared" si="9"/>
        <v>964480</v>
      </c>
      <c r="H121" s="3"/>
      <c r="I121" s="212"/>
      <c r="J121" s="3"/>
      <c r="K121" s="26"/>
      <c r="L121" s="286"/>
      <c r="M121" s="287"/>
      <c r="N121" s="287"/>
      <c r="O121" s="287"/>
      <c r="P121" s="26"/>
      <c r="Q121" s="8"/>
      <c r="R121" s="8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3"/>
      <c r="B122" s="569"/>
      <c r="C122" s="229"/>
      <c r="D122" s="211"/>
      <c r="E122" s="16">
        <v>1</v>
      </c>
      <c r="F122" s="211"/>
      <c r="G122" s="11">
        <f t="shared" si="9"/>
        <v>0</v>
      </c>
      <c r="H122" s="3"/>
      <c r="I122" s="212"/>
      <c r="J122" s="3"/>
      <c r="K122" s="26"/>
      <c r="L122" s="286"/>
      <c r="M122" s="287"/>
      <c r="N122" s="287"/>
      <c r="O122" s="287"/>
      <c r="P122" s="26"/>
      <c r="Q122" s="8"/>
      <c r="R122" s="8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3"/>
      <c r="B123" s="569"/>
      <c r="C123" s="229"/>
      <c r="D123" s="211"/>
      <c r="E123" s="16">
        <v>1</v>
      </c>
      <c r="F123" s="211"/>
      <c r="G123" s="11">
        <f t="shared" si="9"/>
        <v>0</v>
      </c>
      <c r="H123" s="3"/>
      <c r="I123" s="212"/>
      <c r="J123" s="3"/>
      <c r="K123" s="26"/>
      <c r="L123" s="286"/>
      <c r="M123" s="287"/>
      <c r="N123" s="287"/>
      <c r="O123" s="287"/>
      <c r="P123" s="26"/>
      <c r="Q123" s="8"/>
      <c r="R123" s="8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3"/>
      <c r="B124" s="569"/>
      <c r="C124" s="229"/>
      <c r="D124" s="211"/>
      <c r="E124" s="16">
        <v>1</v>
      </c>
      <c r="F124" s="211"/>
      <c r="G124" s="11">
        <f t="shared" si="9"/>
        <v>0</v>
      </c>
      <c r="H124" s="3"/>
      <c r="I124" s="212"/>
      <c r="J124" s="3"/>
      <c r="K124" s="26"/>
      <c r="L124" s="286"/>
      <c r="M124" s="287"/>
      <c r="N124" s="287"/>
      <c r="O124" s="287"/>
      <c r="P124" s="26"/>
      <c r="Q124" s="8"/>
      <c r="R124" s="8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3"/>
      <c r="B125" s="569"/>
      <c r="C125" s="229"/>
      <c r="D125" s="211"/>
      <c r="E125" s="16">
        <v>1</v>
      </c>
      <c r="F125" s="211"/>
      <c r="G125" s="11">
        <f t="shared" si="9"/>
        <v>0</v>
      </c>
      <c r="H125" s="3"/>
      <c r="I125" s="212"/>
      <c r="J125" s="3"/>
      <c r="K125" s="26"/>
      <c r="L125" s="286"/>
      <c r="M125" s="287"/>
      <c r="N125" s="287"/>
      <c r="O125" s="287"/>
      <c r="P125" s="26"/>
      <c r="Q125" s="8"/>
      <c r="R125" s="8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3"/>
      <c r="B126" s="569"/>
      <c r="C126" s="229"/>
      <c r="D126" s="211"/>
      <c r="E126" s="16">
        <v>1</v>
      </c>
      <c r="F126" s="211">
        <f>30000000-SUM(G110:G121)</f>
        <v>9136520</v>
      </c>
      <c r="G126" s="11">
        <f>F126*E126-5346550-592500</f>
        <v>3197470</v>
      </c>
      <c r="H126" s="3"/>
      <c r="I126" s="212"/>
      <c r="J126" s="3"/>
      <c r="K126" s="26"/>
      <c r="L126" s="286"/>
      <c r="M126" s="287"/>
      <c r="N126" s="287"/>
      <c r="O126" s="287"/>
      <c r="P126" s="26"/>
      <c r="Q126" s="8"/>
      <c r="R126" s="8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3"/>
      <c r="B127" s="16" t="s">
        <v>22</v>
      </c>
      <c r="C127" s="16"/>
      <c r="D127" s="16"/>
      <c r="E127" s="16"/>
      <c r="F127" s="16"/>
      <c r="G127" s="16">
        <f>SUM(G101:G126)</f>
        <v>72251459</v>
      </c>
      <c r="H127" s="3"/>
      <c r="I127" s="4"/>
      <c r="J127" s="3"/>
      <c r="K127" s="26" t="s">
        <v>139</v>
      </c>
      <c r="L127" s="26">
        <f t="shared" ref="L127:L128" si="10">212838160/2-9460000/2+2700000/2-41546920/2-3000000+85000/2-763000/2-93720/2</f>
        <v>78879760</v>
      </c>
      <c r="M127" s="35"/>
      <c r="N127" s="35"/>
      <c r="O127" s="35"/>
      <c r="P127" s="26">
        <f t="shared" ref="P127:P128" si="11">L127</f>
        <v>78879760</v>
      </c>
      <c r="Q127" s="8" t="s">
        <v>140</v>
      </c>
      <c r="R127" s="8">
        <f>230000000-P127</f>
        <v>151120240</v>
      </c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3"/>
      <c r="B128" s="3"/>
      <c r="C128" s="23"/>
      <c r="D128" s="23"/>
      <c r="E128" s="23"/>
      <c r="F128" s="23"/>
      <c r="G128" s="3"/>
      <c r="H128" s="3"/>
      <c r="I128" s="4"/>
      <c r="J128" s="3"/>
      <c r="K128" s="26" t="s">
        <v>141</v>
      </c>
      <c r="L128" s="26">
        <f t="shared" si="10"/>
        <v>78879760</v>
      </c>
      <c r="M128" s="54"/>
      <c r="N128" s="54"/>
      <c r="O128" s="55"/>
      <c r="P128" s="26">
        <f t="shared" si="11"/>
        <v>78879760</v>
      </c>
      <c r="Q128" s="8" t="s">
        <v>361</v>
      </c>
      <c r="R128" s="8">
        <f>265652200-P128</f>
        <v>186772440</v>
      </c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3"/>
      <c r="B129" s="3"/>
      <c r="C129" s="3"/>
      <c r="D129" s="3"/>
      <c r="E129" s="3"/>
      <c r="F129" s="3"/>
      <c r="G129" s="3"/>
      <c r="H129" s="3"/>
      <c r="I129" s="4"/>
      <c r="J129" s="3"/>
      <c r="K129" s="15" t="s">
        <v>22</v>
      </c>
      <c r="L129" s="18"/>
      <c r="M129" s="18"/>
      <c r="N129" s="18"/>
      <c r="O129" s="29"/>
      <c r="P129" s="11">
        <f>SUM(P127:P128)</f>
        <v>157759520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9" t="s">
        <v>82</v>
      </c>
      <c r="B130" s="9" t="s">
        <v>83</v>
      </c>
      <c r="C130" s="9"/>
      <c r="D130" s="9"/>
      <c r="E130" s="9"/>
      <c r="F130" s="9"/>
      <c r="G130" s="232">
        <f>SUM(G142,G155,G161,G187,G198,G203,G212,G218,G224,G233,G239,G264)</f>
        <v>1177010574</v>
      </c>
      <c r="H130" s="3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3"/>
      <c r="B131" s="3" t="s">
        <v>85</v>
      </c>
      <c r="C131" s="3"/>
      <c r="D131" s="3"/>
      <c r="E131" s="3"/>
      <c r="F131" s="3"/>
      <c r="G131" s="3"/>
      <c r="H131" s="3"/>
      <c r="I131" s="4"/>
      <c r="J131" s="3"/>
      <c r="K131" s="3" t="s">
        <v>142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3"/>
      <c r="B132" s="11" t="s">
        <v>8</v>
      </c>
      <c r="C132" s="11" t="s">
        <v>28</v>
      </c>
      <c r="D132" s="11"/>
      <c r="E132" s="11" t="s">
        <v>40</v>
      </c>
      <c r="F132" s="11" t="s">
        <v>73</v>
      </c>
      <c r="G132" s="11" t="s">
        <v>13</v>
      </c>
      <c r="H132" s="3"/>
      <c r="I132" s="4"/>
      <c r="J132" s="3"/>
      <c r="K132" s="11" t="s">
        <v>8</v>
      </c>
      <c r="L132" s="15" t="s">
        <v>28</v>
      </c>
      <c r="M132" s="18"/>
      <c r="N132" s="18"/>
      <c r="O132" s="29"/>
      <c r="P132" s="11" t="s">
        <v>13</v>
      </c>
      <c r="Q132" s="3"/>
      <c r="R132" s="21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3"/>
      <c r="B133" s="11" t="s">
        <v>143</v>
      </c>
      <c r="C133" s="11" t="s">
        <v>144</v>
      </c>
      <c r="D133" s="27"/>
      <c r="E133" s="27">
        <v>4</v>
      </c>
      <c r="F133" s="31">
        <v>1500000</v>
      </c>
      <c r="G133" s="11">
        <f t="shared" ref="G133:G141" si="12">E133*F133</f>
        <v>6000000</v>
      </c>
      <c r="H133" s="22" t="s">
        <v>145</v>
      </c>
      <c r="I133" s="4"/>
      <c r="J133" s="3"/>
      <c r="K133" s="11"/>
      <c r="L133" s="11"/>
      <c r="M133" s="11"/>
      <c r="N133" s="18"/>
      <c r="O133" s="18"/>
      <c r="P133" s="11"/>
      <c r="Q133" s="3"/>
      <c r="R133" s="21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3"/>
      <c r="B134" s="578" t="s">
        <v>146</v>
      </c>
      <c r="C134" s="11" t="s">
        <v>147</v>
      </c>
      <c r="D134" s="27"/>
      <c r="E134" s="27">
        <v>4</v>
      </c>
      <c r="F134" s="31">
        <v>1000000</v>
      </c>
      <c r="G134" s="11">
        <f t="shared" si="12"/>
        <v>4000000</v>
      </c>
      <c r="H134" s="599" t="s">
        <v>148</v>
      </c>
      <c r="I134" s="7"/>
      <c r="J134" s="3"/>
      <c r="K134" s="11"/>
      <c r="L134" s="18"/>
      <c r="M134" s="11"/>
      <c r="N134" s="18"/>
      <c r="O134" s="18"/>
      <c r="P134" s="11">
        <f t="shared" ref="P134:P135" si="13">M134</f>
        <v>0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3"/>
      <c r="B135" s="581"/>
      <c r="C135" s="11" t="s">
        <v>149</v>
      </c>
      <c r="D135" s="27"/>
      <c r="E135" s="27">
        <v>5</v>
      </c>
      <c r="F135" s="31">
        <v>4000000</v>
      </c>
      <c r="G135" s="11">
        <f t="shared" si="12"/>
        <v>20000000</v>
      </c>
      <c r="H135" s="589"/>
      <c r="I135" s="4"/>
      <c r="J135" s="3"/>
      <c r="K135" s="11"/>
      <c r="L135" s="11"/>
      <c r="M135" s="11"/>
      <c r="N135" s="11"/>
      <c r="O135" s="11"/>
      <c r="P135" s="11">
        <f t="shared" si="13"/>
        <v>0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3"/>
      <c r="B136" s="11" t="s">
        <v>150</v>
      </c>
      <c r="C136" s="11" t="s">
        <v>347</v>
      </c>
      <c r="D136" s="27"/>
      <c r="E136" s="27">
        <f>32+24-22</f>
        <v>34</v>
      </c>
      <c r="F136" s="31">
        <v>2000000</v>
      </c>
      <c r="G136" s="11">
        <f t="shared" si="12"/>
        <v>68000000</v>
      </c>
      <c r="H136" s="8" t="s">
        <v>151</v>
      </c>
      <c r="I136" s="4"/>
      <c r="J136" s="3"/>
      <c r="K136" s="593" t="s">
        <v>22</v>
      </c>
      <c r="L136" s="594"/>
      <c r="M136" s="594"/>
      <c r="N136" s="594"/>
      <c r="O136" s="595"/>
      <c r="P136" s="11">
        <f>SUM(P133:P135)</f>
        <v>0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3"/>
      <c r="B137" s="11" t="s">
        <v>405</v>
      </c>
      <c r="C137" s="11" t="s">
        <v>406</v>
      </c>
      <c r="D137" s="27"/>
      <c r="E137" s="27">
        <v>81</v>
      </c>
      <c r="F137" s="31">
        <v>1000000</v>
      </c>
      <c r="G137" s="11">
        <f t="shared" si="12"/>
        <v>81000000</v>
      </c>
      <c r="H137" s="8"/>
      <c r="I137" s="212"/>
      <c r="J137" s="3"/>
      <c r="K137" s="251"/>
      <c r="L137" s="119"/>
      <c r="M137" s="119"/>
      <c r="N137" s="119"/>
      <c r="O137" s="119"/>
      <c r="P137" s="242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3"/>
      <c r="B138" s="11" t="s">
        <v>152</v>
      </c>
      <c r="C138" s="11" t="s">
        <v>355</v>
      </c>
      <c r="D138" s="27"/>
      <c r="E138" s="27">
        <v>4</v>
      </c>
      <c r="F138" s="31">
        <v>4000000</v>
      </c>
      <c r="G138" s="11">
        <f t="shared" si="12"/>
        <v>16000000</v>
      </c>
      <c r="H138" s="8" t="s">
        <v>1087</v>
      </c>
      <c r="I138" s="4"/>
      <c r="J138" s="3"/>
      <c r="K138" s="8"/>
      <c r="L138" s="8"/>
      <c r="M138" s="8"/>
      <c r="N138" s="8"/>
      <c r="O138" s="8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3"/>
      <c r="B139" s="566" t="s">
        <v>353</v>
      </c>
      <c r="C139" s="11" t="s">
        <v>354</v>
      </c>
      <c r="D139" s="566"/>
      <c r="E139" s="27">
        <v>0</v>
      </c>
      <c r="F139" s="31">
        <v>2500000</v>
      </c>
      <c r="G139" s="11">
        <f t="shared" ref="G139" si="14">E139*F139</f>
        <v>0</v>
      </c>
      <c r="H139" s="8"/>
      <c r="I139" s="212"/>
      <c r="J139" s="3"/>
      <c r="K139" s="8"/>
      <c r="L139" s="8"/>
      <c r="M139" s="8"/>
      <c r="N139" s="8"/>
      <c r="O139" s="8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3"/>
      <c r="B140" s="567"/>
      <c r="C140" s="11" t="s">
        <v>357</v>
      </c>
      <c r="D140" s="567"/>
      <c r="E140" s="27">
        <v>0</v>
      </c>
      <c r="F140" s="31">
        <v>1000000</v>
      </c>
      <c r="G140" s="11">
        <v>0</v>
      </c>
      <c r="H140" s="8"/>
      <c r="I140" s="212"/>
      <c r="J140" s="3"/>
      <c r="K140" s="8"/>
      <c r="L140" s="8"/>
      <c r="M140" s="8"/>
      <c r="N140" s="8"/>
      <c r="O140" s="8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3"/>
      <c r="B141" s="11" t="s">
        <v>153</v>
      </c>
      <c r="C141" s="11" t="s">
        <v>349</v>
      </c>
      <c r="D141" s="27"/>
      <c r="E141" s="27">
        <v>61</v>
      </c>
      <c r="F141" s="31">
        <v>8000000</v>
      </c>
      <c r="G141" s="11">
        <f t="shared" si="12"/>
        <v>488000000</v>
      </c>
      <c r="H141" s="22" t="s">
        <v>154</v>
      </c>
      <c r="I141" s="4"/>
      <c r="J141" s="3"/>
      <c r="K141" s="23"/>
      <c r="L141" s="23"/>
      <c r="M141" s="23"/>
      <c r="N141" s="23"/>
      <c r="O141" s="2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3"/>
      <c r="B142" s="15" t="s">
        <v>22</v>
      </c>
      <c r="C142" s="18"/>
      <c r="D142" s="18"/>
      <c r="E142" s="18"/>
      <c r="F142" s="29"/>
      <c r="G142" s="314">
        <v>636987000</v>
      </c>
      <c r="H142" s="315" t="s">
        <v>615</v>
      </c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3"/>
      <c r="B143" s="3"/>
      <c r="C143" s="3"/>
      <c r="D143" s="3"/>
      <c r="E143" s="3"/>
      <c r="F143" s="3"/>
      <c r="G143" s="3"/>
      <c r="H143" s="3"/>
      <c r="I143" s="4"/>
      <c r="J143" s="3"/>
      <c r="K143" s="608" t="s">
        <v>155</v>
      </c>
      <c r="L143" s="56" t="s">
        <v>156</v>
      </c>
      <c r="M143" s="56">
        <v>12000000</v>
      </c>
      <c r="N143" s="599" t="s">
        <v>134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3"/>
      <c r="B144" s="3" t="s">
        <v>93</v>
      </c>
      <c r="C144" s="3"/>
      <c r="D144" s="3"/>
      <c r="E144" s="3"/>
      <c r="F144" s="3"/>
      <c r="G144" s="3"/>
      <c r="H144" s="3"/>
      <c r="I144" s="4"/>
      <c r="J144" s="3"/>
      <c r="K144" s="581"/>
      <c r="L144" s="11" t="s">
        <v>157</v>
      </c>
      <c r="M144" s="11">
        <v>100000000</v>
      </c>
      <c r="N144" s="589"/>
      <c r="O144" s="586" t="s">
        <v>158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3"/>
      <c r="B145" s="11" t="s">
        <v>8</v>
      </c>
      <c r="C145" s="15" t="s">
        <v>28</v>
      </c>
      <c r="D145" s="18"/>
      <c r="E145" s="18"/>
      <c r="F145" s="29"/>
      <c r="G145" s="11" t="s">
        <v>13</v>
      </c>
      <c r="H145" s="3"/>
      <c r="I145" s="4"/>
      <c r="J145" s="3"/>
      <c r="K145" s="578" t="s">
        <v>159</v>
      </c>
      <c r="L145" s="11" t="s">
        <v>160</v>
      </c>
      <c r="M145" s="11">
        <v>40000000</v>
      </c>
      <c r="N145" s="599" t="s">
        <v>161</v>
      </c>
      <c r="O145" s="587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3"/>
      <c r="B146" s="591" t="s">
        <v>94</v>
      </c>
      <c r="C146" s="11" t="s">
        <v>162</v>
      </c>
      <c r="D146" s="27"/>
      <c r="E146" s="27">
        <v>0</v>
      </c>
      <c r="F146" s="27">
        <v>240000</v>
      </c>
      <c r="G146" s="11">
        <f t="shared" ref="G146:G153" si="15">E146*F146</f>
        <v>0</v>
      </c>
      <c r="H146" s="3"/>
      <c r="I146" s="4"/>
      <c r="J146" s="3"/>
      <c r="K146" s="581"/>
      <c r="L146" s="11" t="s">
        <v>163</v>
      </c>
      <c r="M146" s="11">
        <v>20000000</v>
      </c>
      <c r="N146" s="589"/>
      <c r="O146" s="587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3"/>
      <c r="B147" s="589"/>
      <c r="C147" s="11" t="s">
        <v>164</v>
      </c>
      <c r="D147" s="27"/>
      <c r="E147" s="27">
        <v>0</v>
      </c>
      <c r="F147" s="27">
        <v>100000</v>
      </c>
      <c r="G147" s="11">
        <f t="shared" si="15"/>
        <v>0</v>
      </c>
      <c r="H147" s="3"/>
      <c r="I147" s="4"/>
      <c r="J147" s="3"/>
      <c r="K147" s="56" t="s">
        <v>165</v>
      </c>
      <c r="L147" s="56" t="s">
        <v>166</v>
      </c>
      <c r="M147" s="56">
        <v>4500000</v>
      </c>
      <c r="N147" s="3" t="s">
        <v>167</v>
      </c>
      <c r="O147" s="3"/>
      <c r="P147" s="3"/>
      <c r="Q147" s="3"/>
      <c r="R147" s="3"/>
      <c r="S147" s="21"/>
      <c r="T147" s="3"/>
      <c r="U147" s="3"/>
      <c r="V147" s="3"/>
      <c r="W147" s="3"/>
      <c r="X147" s="3"/>
      <c r="Y147" s="3"/>
      <c r="Z147" s="3"/>
    </row>
    <row r="148" spans="1:26" ht="16.5" customHeight="1">
      <c r="A148" s="3"/>
      <c r="B148" s="589"/>
      <c r="C148" s="289" t="s">
        <v>168</v>
      </c>
      <c r="D148" s="290"/>
      <c r="E148" s="290">
        <v>1</v>
      </c>
      <c r="F148" s="290">
        <f>486205+66667+120000</f>
        <v>672872</v>
      </c>
      <c r="G148" s="289">
        <f t="shared" si="15"/>
        <v>672872</v>
      </c>
      <c r="H148" s="596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21"/>
      <c r="T148" s="3"/>
      <c r="U148" s="3"/>
      <c r="V148" s="3"/>
      <c r="W148" s="3"/>
      <c r="X148" s="3"/>
      <c r="Y148" s="3"/>
      <c r="Z148" s="3"/>
    </row>
    <row r="149" spans="1:26" ht="16.5" customHeight="1">
      <c r="A149" s="3"/>
      <c r="B149" s="589"/>
      <c r="C149" s="289" t="s">
        <v>169</v>
      </c>
      <c r="D149" s="290"/>
      <c r="E149" s="290">
        <v>1</v>
      </c>
      <c r="F149" s="290">
        <f>486205+66667+120000</f>
        <v>672872</v>
      </c>
      <c r="G149" s="289">
        <f t="shared" si="15"/>
        <v>672872</v>
      </c>
      <c r="H149" s="589"/>
      <c r="I149" s="4"/>
      <c r="J149" s="3"/>
      <c r="K149" s="3"/>
      <c r="L149" s="3"/>
      <c r="M149" s="3"/>
      <c r="N149" s="3"/>
      <c r="O149" s="3"/>
      <c r="P149" s="3"/>
      <c r="Q149" s="23"/>
      <c r="R149" s="3"/>
      <c r="S149" s="8"/>
      <c r="T149" s="3"/>
      <c r="U149" s="3"/>
      <c r="V149" s="3"/>
      <c r="W149" s="3"/>
      <c r="X149" s="3"/>
      <c r="Y149" s="3"/>
      <c r="Z149" s="3"/>
    </row>
    <row r="150" spans="1:26" ht="16.5" customHeight="1">
      <c r="A150" s="3"/>
      <c r="B150" s="589"/>
      <c r="C150" s="291" t="s">
        <v>343</v>
      </c>
      <c r="D150" s="296"/>
      <c r="E150" s="294">
        <v>1</v>
      </c>
      <c r="F150" s="289">
        <f>6468000/25+46667+30000*3+1452600*2/25</f>
        <v>511595</v>
      </c>
      <c r="G150" s="289">
        <f t="shared" si="15"/>
        <v>511595</v>
      </c>
      <c r="H150" s="596" t="s">
        <v>514</v>
      </c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3"/>
      <c r="B151" s="589"/>
      <c r="C151" s="291" t="s">
        <v>344</v>
      </c>
      <c r="D151" s="296"/>
      <c r="E151" s="294">
        <v>1</v>
      </c>
      <c r="F151" s="289">
        <f>6468000/25+46667+30000*3+1452600*2/25</f>
        <v>511595</v>
      </c>
      <c r="G151" s="289">
        <f t="shared" si="15"/>
        <v>511595</v>
      </c>
      <c r="H151" s="589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1"/>
      <c r="U151" s="21"/>
      <c r="V151" s="21"/>
      <c r="W151" s="21"/>
      <c r="X151" s="21"/>
      <c r="Y151" s="3"/>
      <c r="Z151" s="3"/>
    </row>
    <row r="152" spans="1:26" ht="16.5" customHeight="1">
      <c r="A152" s="3"/>
      <c r="B152" s="589"/>
      <c r="C152" s="216" t="s">
        <v>498</v>
      </c>
      <c r="D152" s="241"/>
      <c r="E152" s="31">
        <v>1</v>
      </c>
      <c r="F152" s="11">
        <f>615234</f>
        <v>615234</v>
      </c>
      <c r="G152" s="11">
        <f t="shared" si="15"/>
        <v>615234</v>
      </c>
      <c r="H152" s="331" t="s">
        <v>1099</v>
      </c>
      <c r="I152" s="21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1"/>
      <c r="U152" s="21"/>
      <c r="V152" s="21"/>
      <c r="W152" s="21"/>
      <c r="X152" s="21"/>
      <c r="Y152" s="3"/>
      <c r="Z152" s="3"/>
    </row>
    <row r="153" spans="1:26" ht="16.5" customHeight="1">
      <c r="A153" s="3"/>
      <c r="B153" s="589"/>
      <c r="C153" s="11" t="s">
        <v>397</v>
      </c>
      <c r="D153" s="27"/>
      <c r="E153" s="27">
        <v>0</v>
      </c>
      <c r="F153" s="27">
        <f>3500000+716800+504000</f>
        <v>4720800</v>
      </c>
      <c r="G153" s="11">
        <f t="shared" si="15"/>
        <v>0</v>
      </c>
      <c r="H153" s="596" t="s">
        <v>515</v>
      </c>
      <c r="I153" s="4"/>
      <c r="J153" s="3"/>
      <c r="K153" s="600" t="s">
        <v>150</v>
      </c>
      <c r="L153" s="601"/>
      <c r="M153" s="3"/>
      <c r="N153" s="3"/>
      <c r="O153" s="3"/>
      <c r="P153" s="3"/>
      <c r="Q153" s="3"/>
      <c r="R153" s="3"/>
      <c r="S153" s="3"/>
      <c r="T153" s="21"/>
      <c r="U153" s="21"/>
      <c r="V153" s="21"/>
      <c r="W153" s="21"/>
      <c r="X153" s="21"/>
      <c r="Y153" s="3"/>
      <c r="Z153" s="3"/>
    </row>
    <row r="154" spans="1:26" ht="16.5" customHeight="1">
      <c r="A154" s="3"/>
      <c r="B154" s="592"/>
      <c r="C154" s="3"/>
      <c r="D154" s="3"/>
      <c r="E154" s="3"/>
      <c r="F154" s="3"/>
      <c r="G154" s="3"/>
      <c r="H154" s="589"/>
      <c r="I154" s="4"/>
      <c r="J154" s="3"/>
      <c r="K154" s="57" t="s">
        <v>170</v>
      </c>
      <c r="L154" s="58">
        <f>500+400+300+200</f>
        <v>1400</v>
      </c>
      <c r="M154" s="588" t="s">
        <v>171</v>
      </c>
      <c r="N154" s="587"/>
      <c r="O154" s="587"/>
      <c r="P154" s="587"/>
      <c r="Q154" s="3"/>
      <c r="R154" s="3"/>
      <c r="S154" s="3"/>
      <c r="T154" s="8"/>
      <c r="U154" s="8"/>
      <c r="V154" s="8"/>
      <c r="W154" s="8"/>
      <c r="X154" s="8"/>
      <c r="Y154" s="3"/>
      <c r="Z154" s="3"/>
    </row>
    <row r="155" spans="1:26" ht="16.5" customHeight="1">
      <c r="A155" s="3"/>
      <c r="B155" s="15" t="s">
        <v>22</v>
      </c>
      <c r="C155" s="48"/>
      <c r="D155" s="48"/>
      <c r="E155" s="48"/>
      <c r="F155" s="49"/>
      <c r="G155" s="16">
        <f>SUM(G146:G154)</f>
        <v>2984168</v>
      </c>
      <c r="H155" s="41"/>
      <c r="I155" s="4"/>
      <c r="J155" s="3"/>
      <c r="K155" s="58" t="s">
        <v>172</v>
      </c>
      <c r="L155" s="58">
        <f>80*10*4</f>
        <v>3200</v>
      </c>
      <c r="M155" s="588" t="s">
        <v>173</v>
      </c>
      <c r="N155" s="587"/>
      <c r="O155" s="587"/>
      <c r="P155" s="587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3"/>
      <c r="B156" s="3"/>
      <c r="C156" s="3"/>
      <c r="D156" s="3"/>
      <c r="E156" s="3"/>
      <c r="F156" s="3"/>
      <c r="G156" s="3"/>
      <c r="H156" s="41"/>
      <c r="I156" s="4"/>
      <c r="J156" s="3"/>
      <c r="K156" s="58" t="s">
        <v>174</v>
      </c>
      <c r="L156" s="58">
        <v>2500</v>
      </c>
      <c r="M156" s="599" t="s">
        <v>175</v>
      </c>
      <c r="N156" s="587"/>
      <c r="O156" s="587"/>
      <c r="P156" s="587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3"/>
      <c r="B157" s="3" t="s">
        <v>176</v>
      </c>
      <c r="C157" s="3"/>
      <c r="D157" s="3"/>
      <c r="E157" s="3"/>
      <c r="F157" s="3"/>
      <c r="G157" s="3"/>
      <c r="H157" s="45"/>
      <c r="I157" s="4"/>
      <c r="J157" s="3"/>
      <c r="K157" s="58" t="s">
        <v>177</v>
      </c>
      <c r="L157" s="58">
        <f>20*30</f>
        <v>600</v>
      </c>
      <c r="M157" s="599" t="s">
        <v>178</v>
      </c>
      <c r="N157" s="587"/>
      <c r="O157" s="587"/>
      <c r="P157" s="587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3"/>
      <c r="B158" s="11" t="s">
        <v>8</v>
      </c>
      <c r="C158" s="15" t="s">
        <v>28</v>
      </c>
      <c r="D158" s="18"/>
      <c r="E158" s="18"/>
      <c r="F158" s="29"/>
      <c r="G158" s="15" t="s">
        <v>13</v>
      </c>
      <c r="H158" s="45"/>
      <c r="I158" s="4"/>
      <c r="J158" s="3"/>
      <c r="K158" s="58" t="s">
        <v>179</v>
      </c>
      <c r="L158" s="58">
        <v>1300</v>
      </c>
      <c r="M158" s="588" t="s">
        <v>180</v>
      </c>
      <c r="N158" s="587"/>
      <c r="O158" s="587"/>
      <c r="P158" s="587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3"/>
      <c r="B159" s="11" t="s">
        <v>176</v>
      </c>
      <c r="C159" s="28">
        <f>250000*1+300000*1+25000</f>
        <v>575000</v>
      </c>
      <c r="D159" s="42"/>
      <c r="E159" s="42">
        <v>0</v>
      </c>
      <c r="F159" s="42">
        <v>575000</v>
      </c>
      <c r="G159" s="11">
        <f t="shared" ref="G159:G160" si="16">E159*F159</f>
        <v>0</v>
      </c>
      <c r="H159" s="41"/>
      <c r="I159" s="4"/>
      <c r="J159" s="3"/>
      <c r="K159" s="59" t="s">
        <v>181</v>
      </c>
      <c r="L159" s="59">
        <f>SUM(L154:L158)</f>
        <v>9000</v>
      </c>
      <c r="M159" s="588" t="s">
        <v>182</v>
      </c>
      <c r="N159" s="587"/>
      <c r="O159" s="587"/>
      <c r="P159" s="587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3"/>
      <c r="B160" s="219" t="s">
        <v>520</v>
      </c>
      <c r="C160" s="502"/>
      <c r="D160" s="502"/>
      <c r="E160" s="502">
        <f>52+6+1</f>
        <v>59</v>
      </c>
      <c r="F160" s="502">
        <v>19900</v>
      </c>
      <c r="G160" s="11">
        <f t="shared" si="16"/>
        <v>1174100</v>
      </c>
      <c r="H160" s="41" t="s">
        <v>527</v>
      </c>
      <c r="I160" s="212"/>
      <c r="J160" s="3"/>
      <c r="K160" s="393"/>
      <c r="L160" s="393"/>
      <c r="M160" s="251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3"/>
      <c r="B161" s="15" t="s">
        <v>22</v>
      </c>
      <c r="C161" s="18"/>
      <c r="D161" s="18"/>
      <c r="E161" s="18"/>
      <c r="F161" s="29"/>
      <c r="G161" s="11">
        <f>SUM(G159:G160)</f>
        <v>1174100</v>
      </c>
      <c r="H161" s="41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3"/>
      <c r="B162" s="3"/>
      <c r="C162" s="3"/>
      <c r="D162" s="3"/>
      <c r="E162" s="3"/>
      <c r="F162" s="3"/>
      <c r="G162" s="3"/>
      <c r="H162" s="20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3"/>
      <c r="B163" s="3" t="s">
        <v>99</v>
      </c>
      <c r="C163" s="3"/>
      <c r="D163" s="3"/>
      <c r="E163" s="3"/>
      <c r="F163" s="3"/>
      <c r="G163" s="3"/>
      <c r="H163" s="45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3"/>
      <c r="B164" s="11" t="s">
        <v>8</v>
      </c>
      <c r="C164" s="13" t="s">
        <v>28</v>
      </c>
      <c r="D164" s="18"/>
      <c r="E164" s="18"/>
      <c r="F164" s="29"/>
      <c r="G164" s="11" t="s">
        <v>13</v>
      </c>
      <c r="H164" s="30" t="s">
        <v>183</v>
      </c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3"/>
      <c r="B165" s="578" t="s">
        <v>184</v>
      </c>
      <c r="C165" s="11"/>
      <c r="D165" s="3"/>
      <c r="E165" s="3"/>
      <c r="F165" s="3"/>
      <c r="G165" s="11"/>
      <c r="H165" s="30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3"/>
      <c r="B166" s="579"/>
      <c r="C166" s="289" t="s">
        <v>185</v>
      </c>
      <c r="D166" s="290"/>
      <c r="E166" s="290">
        <v>1</v>
      </c>
      <c r="F166" s="290">
        <v>230000</v>
      </c>
      <c r="G166" s="289">
        <f t="shared" ref="G166:G186" si="17">E166*F166</f>
        <v>230000</v>
      </c>
      <c r="H166" s="30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3"/>
      <c r="B167" s="579"/>
      <c r="C167" s="3"/>
      <c r="D167" s="3"/>
      <c r="E167" s="3"/>
      <c r="F167" s="3"/>
      <c r="G167" s="11">
        <f t="shared" si="17"/>
        <v>0</v>
      </c>
      <c r="H167" s="30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3"/>
      <c r="B168" s="579"/>
      <c r="C168" s="291" t="s">
        <v>186</v>
      </c>
      <c r="D168" s="292"/>
      <c r="E168" s="292">
        <v>1</v>
      </c>
      <c r="F168" s="290">
        <v>230000</v>
      </c>
      <c r="G168" s="289">
        <f t="shared" si="17"/>
        <v>230000</v>
      </c>
      <c r="H168" s="30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3"/>
      <c r="B169" s="580"/>
      <c r="C169" s="291" t="s">
        <v>339</v>
      </c>
      <c r="D169" s="394"/>
      <c r="E169" s="292">
        <v>1</v>
      </c>
      <c r="F169" s="290">
        <v>990000</v>
      </c>
      <c r="G169" s="289">
        <f t="shared" si="17"/>
        <v>990000</v>
      </c>
      <c r="H169" s="30" t="s">
        <v>340</v>
      </c>
      <c r="I169" s="21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3"/>
      <c r="B170" s="580"/>
      <c r="C170" s="291" t="s">
        <v>341</v>
      </c>
      <c r="D170" s="394"/>
      <c r="E170" s="292">
        <v>1</v>
      </c>
      <c r="F170" s="290">
        <v>700000</v>
      </c>
      <c r="G170" s="289">
        <f t="shared" si="17"/>
        <v>700000</v>
      </c>
      <c r="H170" s="30" t="s">
        <v>342</v>
      </c>
      <c r="I170" s="21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3"/>
      <c r="B171" s="579"/>
      <c r="C171" s="291" t="s">
        <v>346</v>
      </c>
      <c r="D171" s="293"/>
      <c r="E171" s="294">
        <v>20</v>
      </c>
      <c r="F171" s="289">
        <f>486205-0.5+66667</f>
        <v>552871.5</v>
      </c>
      <c r="G171" s="289">
        <f>E171*F171</f>
        <v>11057430</v>
      </c>
      <c r="H171" s="225" t="s">
        <v>345</v>
      </c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3"/>
      <c r="B172" s="579"/>
      <c r="C172" s="291" t="s">
        <v>348</v>
      </c>
      <c r="D172" s="293"/>
      <c r="E172" s="294">
        <v>23</v>
      </c>
      <c r="F172" s="289">
        <f>(6468000/25)+60000+1452600*2/25</f>
        <v>434928</v>
      </c>
      <c r="G172" s="289">
        <f t="shared" si="17"/>
        <v>10003344</v>
      </c>
      <c r="H172" s="226" t="s">
        <v>516</v>
      </c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3"/>
      <c r="B173" s="579"/>
      <c r="C173" s="295" t="s">
        <v>188</v>
      </c>
      <c r="D173" s="296"/>
      <c r="E173" s="294">
        <v>20</v>
      </c>
      <c r="F173" s="289">
        <v>140000</v>
      </c>
      <c r="G173" s="289">
        <f t="shared" si="17"/>
        <v>2800000</v>
      </c>
      <c r="H173" s="227" t="s">
        <v>189</v>
      </c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3"/>
      <c r="B174" s="581"/>
      <c r="C174" s="295" t="s">
        <v>337</v>
      </c>
      <c r="D174" s="296"/>
      <c r="E174" s="294">
        <v>25</v>
      </c>
      <c r="F174" s="289">
        <v>350000</v>
      </c>
      <c r="G174" s="289">
        <f t="shared" si="17"/>
        <v>8750000</v>
      </c>
      <c r="H174" s="228" t="s">
        <v>352</v>
      </c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3"/>
      <c r="B175" s="582" t="s">
        <v>396</v>
      </c>
      <c r="C175" s="216" t="s">
        <v>401</v>
      </c>
      <c r="D175" s="241"/>
      <c r="E175" s="31">
        <v>0</v>
      </c>
      <c r="F175" s="11">
        <v>1957200</v>
      </c>
      <c r="G175" s="11">
        <f t="shared" si="17"/>
        <v>0</v>
      </c>
      <c r="H175" s="228"/>
      <c r="I175" s="21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3"/>
      <c r="B176" s="583"/>
      <c r="C176" s="216" t="s">
        <v>402</v>
      </c>
      <c r="D176" s="241"/>
      <c r="E176" s="31">
        <v>0</v>
      </c>
      <c r="F176" s="11">
        <v>28000000</v>
      </c>
      <c r="G176" s="11">
        <f t="shared" si="17"/>
        <v>0</v>
      </c>
      <c r="H176" s="228"/>
      <c r="I176" s="21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3"/>
      <c r="B177" s="583"/>
      <c r="C177" s="291" t="s">
        <v>403</v>
      </c>
      <c r="D177" s="293"/>
      <c r="E177" s="294">
        <v>5</v>
      </c>
      <c r="F177" s="289">
        <f>11062500/5</f>
        <v>2212500</v>
      </c>
      <c r="G177" s="289">
        <f t="shared" si="17"/>
        <v>11062500</v>
      </c>
      <c r="H177" s="228"/>
      <c r="I177" s="21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3"/>
      <c r="B178" s="583"/>
      <c r="C178" s="291" t="s">
        <v>413</v>
      </c>
      <c r="D178" s="293"/>
      <c r="E178" s="294">
        <v>5</v>
      </c>
      <c r="F178" s="289">
        <f>128*1400*4</f>
        <v>716800</v>
      </c>
      <c r="G178" s="289">
        <f t="shared" si="17"/>
        <v>3584000</v>
      </c>
      <c r="H178" s="228" t="s">
        <v>499</v>
      </c>
      <c r="I178" s="21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3"/>
      <c r="B179" s="583"/>
      <c r="C179" s="291" t="s">
        <v>467</v>
      </c>
      <c r="D179" s="293"/>
      <c r="E179" s="294">
        <v>4</v>
      </c>
      <c r="F179" s="289">
        <f>504669</f>
        <v>504669</v>
      </c>
      <c r="G179" s="289">
        <f t="shared" si="17"/>
        <v>2018676</v>
      </c>
      <c r="H179" s="228" t="s">
        <v>468</v>
      </c>
      <c r="I179" s="21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3"/>
      <c r="B180" s="583"/>
      <c r="C180" s="291" t="s">
        <v>467</v>
      </c>
      <c r="D180" s="293"/>
      <c r="E180" s="294">
        <v>2</v>
      </c>
      <c r="F180" s="289">
        <v>501199</v>
      </c>
      <c r="G180" s="289">
        <f>E180*F180</f>
        <v>1002398</v>
      </c>
      <c r="H180" s="228"/>
      <c r="I180" s="21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3"/>
      <c r="B181" s="584"/>
      <c r="C181" s="291" t="s">
        <v>469</v>
      </c>
      <c r="D181" s="293"/>
      <c r="E181" s="294">
        <v>3</v>
      </c>
      <c r="F181" s="289">
        <v>30279</v>
      </c>
      <c r="G181" s="289">
        <f>E181*F181</f>
        <v>90837</v>
      </c>
      <c r="H181" s="228"/>
      <c r="I181" s="21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3"/>
      <c r="B182" s="609" t="s">
        <v>190</v>
      </c>
      <c r="C182" s="289" t="s">
        <v>191</v>
      </c>
      <c r="D182" s="296"/>
      <c r="E182" s="290">
        <v>1</v>
      </c>
      <c r="F182" s="294">
        <v>20000000</v>
      </c>
      <c r="G182" s="289">
        <f t="shared" si="17"/>
        <v>20000000</v>
      </c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3"/>
      <c r="B183" s="599"/>
      <c r="C183" s="14" t="s">
        <v>192</v>
      </c>
      <c r="D183" s="43"/>
      <c r="E183" s="27">
        <v>0</v>
      </c>
      <c r="F183" s="31">
        <v>1000000</v>
      </c>
      <c r="G183" s="11">
        <f t="shared" si="17"/>
        <v>0</v>
      </c>
      <c r="H183" s="596" t="s">
        <v>193</v>
      </c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3"/>
      <c r="B184" s="599"/>
      <c r="C184" s="297" t="s">
        <v>338</v>
      </c>
      <c r="D184" s="298"/>
      <c r="E184" s="290">
        <v>1</v>
      </c>
      <c r="F184" s="294">
        <v>516000</v>
      </c>
      <c r="G184" s="289">
        <f t="shared" si="17"/>
        <v>516000</v>
      </c>
      <c r="H184" s="596"/>
      <c r="I184" s="21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3"/>
      <c r="B185" s="599"/>
      <c r="C185" s="216" t="s">
        <v>194</v>
      </c>
      <c r="D185" s="396"/>
      <c r="E185" s="240">
        <v>0</v>
      </c>
      <c r="F185" s="397">
        <v>10000000</v>
      </c>
      <c r="G185" s="216">
        <f t="shared" si="17"/>
        <v>0</v>
      </c>
      <c r="H185" s="589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3"/>
      <c r="B186" s="610"/>
      <c r="C186" s="218" t="s">
        <v>522</v>
      </c>
      <c r="D186" s="231"/>
      <c r="E186" s="267">
        <v>5</v>
      </c>
      <c r="F186" s="231">
        <v>600000</v>
      </c>
      <c r="G186" s="218">
        <f t="shared" si="17"/>
        <v>3000000</v>
      </c>
      <c r="H186" s="597"/>
      <c r="I186" s="21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3"/>
      <c r="B187" s="15" t="s">
        <v>22</v>
      </c>
      <c r="C187" s="398"/>
      <c r="D187" s="398"/>
      <c r="E187" s="398"/>
      <c r="F187" s="229"/>
      <c r="G187" s="211">
        <f>SUM(G165:G186)</f>
        <v>76035185</v>
      </c>
      <c r="H187" s="589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3"/>
      <c r="B188" s="3"/>
      <c r="C188" s="3"/>
      <c r="D188" s="3"/>
      <c r="E188" s="3"/>
      <c r="F188" s="3"/>
      <c r="G188" s="3"/>
      <c r="H188" s="3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3"/>
      <c r="B189" s="3" t="s">
        <v>115</v>
      </c>
      <c r="C189" s="3"/>
      <c r="D189" s="3"/>
      <c r="E189" s="3"/>
      <c r="F189" s="3"/>
      <c r="G189" s="3"/>
      <c r="H189" s="3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3"/>
      <c r="B190" s="11" t="s">
        <v>8</v>
      </c>
      <c r="C190" s="15" t="s">
        <v>28</v>
      </c>
      <c r="D190" s="18"/>
      <c r="E190" s="18"/>
      <c r="F190" s="29"/>
      <c r="G190" s="11" t="s">
        <v>13</v>
      </c>
      <c r="H190" s="3"/>
      <c r="I190" s="4"/>
      <c r="J190" s="3"/>
      <c r="K190" s="3"/>
      <c r="L190" s="3"/>
      <c r="M190" s="3"/>
      <c r="N190" s="3"/>
      <c r="O190" s="3"/>
      <c r="P190" s="3"/>
      <c r="Q190" s="3"/>
      <c r="R190" s="2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3"/>
      <c r="B191" s="578" t="s">
        <v>116</v>
      </c>
      <c r="C191" s="314" t="s">
        <v>117</v>
      </c>
      <c r="D191" s="395"/>
      <c r="E191" s="400">
        <v>500000</v>
      </c>
      <c r="F191" s="314">
        <v>2</v>
      </c>
      <c r="G191" s="314">
        <f>E191*F191-G195-G196</f>
        <v>805000</v>
      </c>
      <c r="H191" s="3" t="s">
        <v>524</v>
      </c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3"/>
      <c r="B192" s="579"/>
      <c r="C192" s="11" t="s">
        <v>118</v>
      </c>
      <c r="D192" s="27"/>
      <c r="E192" s="31">
        <v>50000</v>
      </c>
      <c r="F192" s="11">
        <v>2</v>
      </c>
      <c r="G192" s="11">
        <f t="shared" ref="G192:G197" si="18">E192*F192</f>
        <v>100000</v>
      </c>
      <c r="H192" s="3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3"/>
      <c r="B193" s="580"/>
      <c r="C193" s="289" t="s">
        <v>443</v>
      </c>
      <c r="D193" s="290"/>
      <c r="E193" s="294">
        <v>371600</v>
      </c>
      <c r="F193" s="289">
        <v>1</v>
      </c>
      <c r="G193" s="289">
        <f t="shared" si="18"/>
        <v>371600</v>
      </c>
      <c r="H193" s="3"/>
      <c r="I193" s="21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3"/>
      <c r="B194" s="580"/>
      <c r="C194" s="289" t="s">
        <v>470</v>
      </c>
      <c r="D194" s="290"/>
      <c r="E194" s="294">
        <v>52500</v>
      </c>
      <c r="F194" s="289">
        <v>1</v>
      </c>
      <c r="G194" s="289">
        <f t="shared" si="18"/>
        <v>52500</v>
      </c>
      <c r="H194" s="3"/>
      <c r="I194" s="21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3"/>
      <c r="B195" s="580"/>
      <c r="C195" s="289" t="s">
        <v>443</v>
      </c>
      <c r="D195" s="290"/>
      <c r="E195" s="294">
        <v>96000</v>
      </c>
      <c r="F195" s="289">
        <v>1</v>
      </c>
      <c r="G195" s="289">
        <f t="shared" si="18"/>
        <v>96000</v>
      </c>
      <c r="H195" s="3" t="s">
        <v>521</v>
      </c>
      <c r="I195" s="21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3"/>
      <c r="B196" s="580"/>
      <c r="C196" s="289" t="s">
        <v>526</v>
      </c>
      <c r="D196" s="290"/>
      <c r="E196" s="294">
        <v>99000</v>
      </c>
      <c r="F196" s="289">
        <v>1</v>
      </c>
      <c r="G196" s="289">
        <f t="shared" si="18"/>
        <v>99000</v>
      </c>
      <c r="H196" s="3"/>
      <c r="I196" s="21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3"/>
      <c r="B197" s="581"/>
      <c r="C197" s="26" t="s">
        <v>119</v>
      </c>
      <c r="D197" s="35"/>
      <c r="E197" s="40">
        <v>0</v>
      </c>
      <c r="F197" s="26">
        <v>1</v>
      </c>
      <c r="G197" s="26">
        <f t="shared" si="18"/>
        <v>0</v>
      </c>
      <c r="H197" s="3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3"/>
      <c r="B198" s="15" t="s">
        <v>22</v>
      </c>
      <c r="C198" s="18"/>
      <c r="D198" s="18"/>
      <c r="E198" s="18"/>
      <c r="F198" s="29"/>
      <c r="G198" s="11">
        <f>SUM(G191:G197)</f>
        <v>1524100</v>
      </c>
      <c r="H198" s="3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3"/>
      <c r="B199" s="3"/>
      <c r="C199" s="3"/>
      <c r="D199" s="3"/>
      <c r="E199" s="3"/>
      <c r="F199" s="3"/>
      <c r="G199" s="3"/>
      <c r="H199" s="3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3"/>
      <c r="B200" s="3" t="s">
        <v>195</v>
      </c>
      <c r="C200" s="3"/>
      <c r="D200" s="3"/>
      <c r="E200" s="3"/>
      <c r="F200" s="3"/>
      <c r="G200" s="3"/>
      <c r="H200" s="3"/>
      <c r="I200" s="4"/>
      <c r="J200" s="3"/>
      <c r="K200" s="3"/>
      <c r="L200" s="3"/>
      <c r="M200" s="3"/>
      <c r="N200" s="3"/>
      <c r="O200" s="3"/>
      <c r="P200" s="3"/>
      <c r="Q200" s="3"/>
      <c r="R200" s="47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3"/>
      <c r="B201" s="11" t="s">
        <v>8</v>
      </c>
      <c r="C201" s="15" t="s">
        <v>28</v>
      </c>
      <c r="D201" s="18"/>
      <c r="E201" s="18"/>
      <c r="F201" s="29"/>
      <c r="G201" s="11" t="s">
        <v>13</v>
      </c>
      <c r="H201" s="3"/>
      <c r="I201" s="4"/>
      <c r="J201" s="3"/>
      <c r="K201" s="3"/>
      <c r="L201" s="3"/>
      <c r="M201" s="3"/>
      <c r="N201" s="3"/>
      <c r="O201" s="3"/>
      <c r="P201" s="3"/>
      <c r="Q201" s="3"/>
      <c r="R201" s="47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3"/>
      <c r="B202" s="11" t="s">
        <v>195</v>
      </c>
      <c r="C202" s="28">
        <v>30000</v>
      </c>
      <c r="D202" s="42"/>
      <c r="E202" s="42"/>
      <c r="F202" s="29">
        <v>5</v>
      </c>
      <c r="G202" s="11">
        <f>C202*F202</f>
        <v>150000</v>
      </c>
      <c r="H202" s="3"/>
      <c r="I202" s="4"/>
      <c r="J202" s="3"/>
      <c r="K202" s="3"/>
      <c r="L202" s="3"/>
      <c r="M202" s="3"/>
      <c r="N202" s="3"/>
      <c r="O202" s="3"/>
      <c r="P202" s="3"/>
      <c r="Q202" s="3"/>
      <c r="R202" s="47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3"/>
      <c r="B203" s="15" t="s">
        <v>22</v>
      </c>
      <c r="C203" s="18"/>
      <c r="D203" s="18"/>
      <c r="E203" s="18"/>
      <c r="F203" s="29"/>
      <c r="G203" s="11">
        <f>G202</f>
        <v>150000</v>
      </c>
      <c r="H203" s="3"/>
      <c r="I203" s="4"/>
      <c r="J203" s="3"/>
      <c r="K203" s="3"/>
      <c r="L203" s="3"/>
      <c r="M203" s="3"/>
      <c r="N203" s="3"/>
      <c r="O203" s="3"/>
      <c r="P203" s="3"/>
      <c r="Q203" s="3"/>
      <c r="R203" s="47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3"/>
      <c r="B204" s="3"/>
      <c r="C204" s="3"/>
      <c r="D204" s="3"/>
      <c r="E204" s="3"/>
      <c r="F204" s="3"/>
      <c r="G204" s="3"/>
      <c r="H204" s="3"/>
      <c r="I204" s="4"/>
      <c r="J204" s="3"/>
      <c r="K204" s="3"/>
      <c r="L204" s="3"/>
      <c r="M204" s="3"/>
      <c r="N204" s="3"/>
      <c r="O204" s="3"/>
      <c r="P204" s="3"/>
      <c r="Q204" s="3"/>
      <c r="R204" s="47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3"/>
      <c r="B205" s="3" t="s">
        <v>120</v>
      </c>
      <c r="C205" s="3"/>
      <c r="D205" s="3"/>
      <c r="E205" s="3"/>
      <c r="F205" s="3"/>
      <c r="G205" s="3"/>
      <c r="H205" s="3"/>
      <c r="I205" s="4"/>
      <c r="J205" s="3"/>
      <c r="K205" s="3"/>
      <c r="L205" s="3"/>
      <c r="M205" s="3"/>
      <c r="N205" s="3"/>
      <c r="O205" s="3"/>
      <c r="P205" s="3"/>
      <c r="Q205" s="3"/>
      <c r="R205" s="47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3"/>
      <c r="B206" s="11" t="s">
        <v>8</v>
      </c>
      <c r="C206" s="15" t="s">
        <v>28</v>
      </c>
      <c r="D206" s="18"/>
      <c r="E206" s="18"/>
      <c r="F206" s="29"/>
      <c r="G206" s="11" t="s">
        <v>13</v>
      </c>
      <c r="H206" s="3"/>
      <c r="I206" s="4"/>
      <c r="J206" s="3"/>
      <c r="K206" s="3"/>
      <c r="L206" s="3"/>
      <c r="M206" s="3"/>
      <c r="N206" s="3"/>
      <c r="O206" s="3"/>
      <c r="P206" s="3"/>
      <c r="Q206" s="3"/>
      <c r="R206" s="2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3"/>
      <c r="B207" s="11" t="s">
        <v>123</v>
      </c>
      <c r="C207" s="11" t="s">
        <v>196</v>
      </c>
      <c r="D207" s="27"/>
      <c r="E207" s="27">
        <v>180</v>
      </c>
      <c r="F207" s="11">
        <v>5000</v>
      </c>
      <c r="G207" s="11">
        <f t="shared" ref="G207:G211" si="19">E207*F207</f>
        <v>900000</v>
      </c>
      <c r="H207" s="8" t="s">
        <v>465</v>
      </c>
      <c r="I207" s="4"/>
      <c r="J207" s="3"/>
      <c r="K207" s="3"/>
      <c r="L207" s="3"/>
      <c r="M207" s="3"/>
      <c r="N207" s="3"/>
      <c r="O207" s="3"/>
      <c r="P207" s="3"/>
      <c r="Q207" s="3"/>
      <c r="R207" s="2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3"/>
      <c r="B208" s="11" t="s">
        <v>197</v>
      </c>
      <c r="C208" s="11" t="s">
        <v>198</v>
      </c>
      <c r="D208" s="27"/>
      <c r="E208" s="27">
        <v>2</v>
      </c>
      <c r="F208" s="11">
        <v>50000</v>
      </c>
      <c r="G208" s="11">
        <f t="shared" si="19"/>
        <v>100000</v>
      </c>
      <c r="H208" s="3"/>
      <c r="I208" s="4"/>
      <c r="J208" s="3"/>
      <c r="K208" s="8"/>
      <c r="L208" s="598"/>
      <c r="M208" s="587"/>
      <c r="N208" s="587"/>
      <c r="O208" s="3"/>
      <c r="P208" s="3"/>
      <c r="Q208" s="3"/>
      <c r="R208" s="2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3"/>
      <c r="B209" s="11" t="s">
        <v>199</v>
      </c>
      <c r="C209" s="11" t="s">
        <v>200</v>
      </c>
      <c r="D209" s="27"/>
      <c r="E209" s="27">
        <v>81</v>
      </c>
      <c r="F209" s="11">
        <v>109000</v>
      </c>
      <c r="G209" s="11">
        <f t="shared" si="19"/>
        <v>8829000</v>
      </c>
      <c r="H209" s="3"/>
      <c r="I209" s="4"/>
      <c r="J209" s="3"/>
      <c r="K209" s="8"/>
      <c r="L209" s="587"/>
      <c r="M209" s="587"/>
      <c r="N209" s="587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3"/>
      <c r="B210" s="11" t="s">
        <v>201</v>
      </c>
      <c r="C210" s="11" t="s">
        <v>202</v>
      </c>
      <c r="D210" s="27"/>
      <c r="E210" s="27">
        <v>61</v>
      </c>
      <c r="F210" s="11">
        <v>30000</v>
      </c>
      <c r="G210" s="11">
        <f t="shared" si="19"/>
        <v>1830000</v>
      </c>
      <c r="H210" s="30" t="s">
        <v>154</v>
      </c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3"/>
      <c r="B211" s="219" t="s">
        <v>1173</v>
      </c>
      <c r="C211" s="213"/>
      <c r="D211" s="502"/>
      <c r="E211" s="502">
        <v>1</v>
      </c>
      <c r="F211" s="503">
        <v>3080000</v>
      </c>
      <c r="G211" s="11">
        <f t="shared" si="19"/>
        <v>3080000</v>
      </c>
      <c r="H211" s="242"/>
      <c r="I211" s="21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3"/>
      <c r="B212" s="15" t="s">
        <v>22</v>
      </c>
      <c r="C212" s="18"/>
      <c r="D212" s="18"/>
      <c r="E212" s="18"/>
      <c r="F212" s="29"/>
      <c r="G212" s="11">
        <f>SUM(G207:G211)</f>
        <v>14739000</v>
      </c>
      <c r="H212" s="3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3"/>
      <c r="B213" s="3"/>
      <c r="C213" s="3"/>
      <c r="D213" s="3"/>
      <c r="E213" s="3"/>
      <c r="F213" s="3"/>
      <c r="G213" s="3"/>
      <c r="H213" s="3"/>
      <c r="I213" s="4"/>
      <c r="J213" s="3"/>
      <c r="K213" s="3"/>
      <c r="L213" s="3"/>
      <c r="M213" s="3"/>
      <c r="N213" s="3"/>
      <c r="O213" s="3"/>
      <c r="P213" s="3"/>
      <c r="Q213" s="3"/>
      <c r="R213" s="3"/>
      <c r="S213" s="23"/>
      <c r="T213" s="3"/>
      <c r="U213" s="3"/>
      <c r="V213" s="3"/>
      <c r="W213" s="3"/>
      <c r="X213" s="3"/>
      <c r="Y213" s="3"/>
      <c r="Z213" s="3"/>
    </row>
    <row r="214" spans="1:26" ht="16.5" customHeight="1">
      <c r="A214" s="3"/>
      <c r="B214" s="3" t="s">
        <v>203</v>
      </c>
      <c r="C214" s="3"/>
      <c r="D214" s="3"/>
      <c r="E214" s="3"/>
      <c r="F214" s="3"/>
      <c r="G214" s="3"/>
      <c r="H214" s="3"/>
      <c r="I214" s="4"/>
      <c r="J214" s="3"/>
      <c r="K214" s="3"/>
      <c r="L214" s="3"/>
      <c r="M214" s="3"/>
      <c r="N214" s="3"/>
      <c r="O214" s="3"/>
      <c r="P214" s="3"/>
      <c r="Q214" s="3"/>
      <c r="R214" s="3"/>
      <c r="S214" s="23"/>
      <c r="T214" s="3"/>
      <c r="U214" s="3"/>
      <c r="V214" s="3"/>
      <c r="W214" s="3"/>
      <c r="X214" s="3"/>
      <c r="Y214" s="3"/>
      <c r="Z214" s="3"/>
    </row>
    <row r="215" spans="1:26" ht="16.5" customHeight="1">
      <c r="A215" s="3"/>
      <c r="B215" s="11" t="s">
        <v>8</v>
      </c>
      <c r="C215" s="15" t="s">
        <v>28</v>
      </c>
      <c r="D215" s="18"/>
      <c r="E215" s="18"/>
      <c r="F215" s="29"/>
      <c r="G215" s="11" t="s">
        <v>13</v>
      </c>
      <c r="H215" s="3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23"/>
      <c r="T215" s="3"/>
      <c r="U215" s="3"/>
      <c r="V215" s="3"/>
      <c r="W215" s="3"/>
      <c r="X215" s="3"/>
      <c r="Y215" s="3"/>
      <c r="Z215" s="3"/>
    </row>
    <row r="216" spans="1:26" ht="16.5" customHeight="1">
      <c r="A216" s="3"/>
      <c r="B216" s="11"/>
      <c r="C216" s="27" t="s">
        <v>204</v>
      </c>
      <c r="D216" s="27"/>
      <c r="E216" s="27">
        <v>5</v>
      </c>
      <c r="F216" s="11">
        <v>5000</v>
      </c>
      <c r="G216" s="11">
        <f t="shared" ref="G216:G217" si="20">E216*F216</f>
        <v>25000</v>
      </c>
      <c r="H216" s="3"/>
      <c r="I216" s="4"/>
      <c r="J216" s="3"/>
      <c r="K216" s="3"/>
      <c r="L216" s="3"/>
      <c r="M216" s="3"/>
      <c r="N216" s="3"/>
      <c r="O216" s="3"/>
      <c r="P216" s="3"/>
      <c r="Q216" s="3"/>
      <c r="R216" s="3"/>
      <c r="S216" s="23"/>
      <c r="T216" s="3"/>
      <c r="U216" s="3"/>
      <c r="V216" s="3"/>
      <c r="W216" s="3"/>
      <c r="X216" s="3"/>
      <c r="Y216" s="3"/>
      <c r="Z216" s="3"/>
    </row>
    <row r="217" spans="1:26" ht="16.5" customHeight="1">
      <c r="A217" s="3"/>
      <c r="B217" s="11"/>
      <c r="C217" s="290" t="s">
        <v>205</v>
      </c>
      <c r="D217" s="290"/>
      <c r="E217" s="290">
        <v>1</v>
      </c>
      <c r="F217" s="289">
        <v>2043000</v>
      </c>
      <c r="G217" s="289">
        <f t="shared" si="20"/>
        <v>2043000</v>
      </c>
      <c r="H217" s="3"/>
      <c r="I217" s="4"/>
      <c r="J217" s="3"/>
      <c r="K217" s="3"/>
      <c r="L217" s="3"/>
      <c r="M217" s="3"/>
      <c r="N217" s="3"/>
      <c r="O217" s="3"/>
      <c r="P217" s="3"/>
      <c r="Q217" s="3"/>
      <c r="R217" s="3"/>
      <c r="S217" s="23"/>
      <c r="T217" s="3"/>
      <c r="U217" s="3"/>
      <c r="V217" s="3"/>
      <c r="W217" s="3"/>
      <c r="X217" s="3"/>
      <c r="Y217" s="3"/>
      <c r="Z217" s="3"/>
    </row>
    <row r="218" spans="1:26" ht="16.5" customHeight="1">
      <c r="A218" s="3"/>
      <c r="B218" s="15" t="s">
        <v>22</v>
      </c>
      <c r="C218" s="18"/>
      <c r="D218" s="18"/>
      <c r="E218" s="18"/>
      <c r="F218" s="29"/>
      <c r="G218" s="11">
        <f>SUM(G216:G217)</f>
        <v>2068000</v>
      </c>
      <c r="H218" s="3"/>
      <c r="I218" s="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3"/>
      <c r="B219" s="3"/>
      <c r="C219" s="3"/>
      <c r="D219" s="3"/>
      <c r="E219" s="3"/>
      <c r="F219" s="3"/>
      <c r="G219" s="3"/>
      <c r="H219" s="3"/>
      <c r="I219" s="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3"/>
      <c r="B220" s="3" t="s">
        <v>206</v>
      </c>
      <c r="C220" s="3"/>
      <c r="D220" s="3"/>
      <c r="E220" s="3"/>
      <c r="F220" s="3"/>
      <c r="G220" s="3"/>
      <c r="H220" s="3"/>
      <c r="I220" s="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3"/>
      <c r="B221" s="11" t="s">
        <v>8</v>
      </c>
      <c r="C221" s="15" t="s">
        <v>28</v>
      </c>
      <c r="D221" s="18"/>
      <c r="E221" s="18"/>
      <c r="F221" s="29"/>
      <c r="G221" s="11" t="s">
        <v>13</v>
      </c>
      <c r="H221" s="3"/>
      <c r="I221" s="4"/>
      <c r="J221" s="3"/>
      <c r="K221" s="3"/>
      <c r="L221" s="3"/>
      <c r="M221" s="3"/>
      <c r="N221" s="3"/>
      <c r="O221" s="3"/>
      <c r="P221" s="3"/>
      <c r="Q221" s="3"/>
      <c r="R221" s="3"/>
      <c r="S221" s="23"/>
      <c r="T221" s="3"/>
      <c r="U221" s="3"/>
      <c r="V221" s="3"/>
      <c r="W221" s="3"/>
      <c r="X221" s="3"/>
      <c r="Y221" s="3"/>
      <c r="Z221" s="3"/>
    </row>
    <row r="222" spans="1:26" ht="16.5" customHeight="1">
      <c r="A222" s="3"/>
      <c r="B222" s="314" t="s">
        <v>207</v>
      </c>
      <c r="C222" s="314" t="s">
        <v>208</v>
      </c>
      <c r="D222" s="395"/>
      <c r="E222" s="314">
        <v>0</v>
      </c>
      <c r="F222" s="314">
        <f>696000/20</f>
        <v>34800</v>
      </c>
      <c r="G222" s="314">
        <f>E222*F222</f>
        <v>0</v>
      </c>
      <c r="H222" s="3" t="s">
        <v>1174</v>
      </c>
      <c r="I222" s="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3"/>
      <c r="B223" s="26" t="s">
        <v>209</v>
      </c>
      <c r="C223" s="11" t="s">
        <v>210</v>
      </c>
      <c r="D223" s="11"/>
      <c r="E223" s="11">
        <v>45</v>
      </c>
      <c r="F223" s="11">
        <f>1194800/45</f>
        <v>26551.111111111109</v>
      </c>
      <c r="G223" s="11">
        <f>E223*F223</f>
        <v>1194800</v>
      </c>
      <c r="H223" s="8" t="s">
        <v>528</v>
      </c>
      <c r="I223" s="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3"/>
      <c r="B224" s="15" t="s">
        <v>22</v>
      </c>
      <c r="C224" s="18"/>
      <c r="D224" s="18"/>
      <c r="E224" s="18"/>
      <c r="F224" s="29"/>
      <c r="G224" s="11">
        <f>SUM(G222:G223)</f>
        <v>1194800</v>
      </c>
      <c r="H224" s="8" t="s">
        <v>211</v>
      </c>
      <c r="I224" s="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3"/>
      <c r="B225" s="3"/>
      <c r="C225" s="3"/>
      <c r="D225" s="3"/>
      <c r="E225" s="3"/>
      <c r="F225" s="3"/>
      <c r="G225" s="3"/>
      <c r="H225" s="3"/>
      <c r="I225" s="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3"/>
      <c r="B226" s="304" t="s">
        <v>134</v>
      </c>
      <c r="C226" s="3"/>
      <c r="D226" s="3"/>
      <c r="E226" s="3"/>
      <c r="F226" s="3"/>
      <c r="G226" s="3"/>
      <c r="H226" s="3"/>
      <c r="I226" s="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3"/>
      <c r="B227" s="11" t="s">
        <v>8</v>
      </c>
      <c r="C227" s="28" t="s">
        <v>28</v>
      </c>
      <c r="D227" s="42"/>
      <c r="E227" s="42"/>
      <c r="F227" s="42"/>
      <c r="G227" s="11" t="s">
        <v>13</v>
      </c>
      <c r="H227" s="3"/>
      <c r="I227" s="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3"/>
      <c r="B228" s="289" t="s">
        <v>139</v>
      </c>
      <c r="C228" s="294">
        <f>R127</f>
        <v>151120240</v>
      </c>
      <c r="D228" s="290"/>
      <c r="E228" s="290"/>
      <c r="F228" s="290"/>
      <c r="G228" s="289">
        <f t="shared" ref="G228:G230" si="21">C228</f>
        <v>151120240</v>
      </c>
      <c r="H228" s="3" t="s">
        <v>212</v>
      </c>
      <c r="I228" s="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.25" customHeight="1">
      <c r="A229" s="3"/>
      <c r="B229" s="289" t="s">
        <v>141</v>
      </c>
      <c r="C229" s="299">
        <f>R128</f>
        <v>186772440</v>
      </c>
      <c r="D229" s="292"/>
      <c r="E229" s="292"/>
      <c r="F229" s="292"/>
      <c r="G229" s="291">
        <f t="shared" si="21"/>
        <v>186772440</v>
      </c>
      <c r="H229" s="3" t="s">
        <v>447</v>
      </c>
      <c r="I229" s="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3"/>
      <c r="B230" s="300" t="s">
        <v>156</v>
      </c>
      <c r="C230" s="301">
        <v>12743500</v>
      </c>
      <c r="D230" s="302"/>
      <c r="E230" s="302"/>
      <c r="F230" s="302"/>
      <c r="G230" s="303">
        <f t="shared" si="21"/>
        <v>12743500</v>
      </c>
      <c r="H230" s="220" t="s">
        <v>213</v>
      </c>
      <c r="I230" s="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3"/>
      <c r="B231" s="11" t="s">
        <v>359</v>
      </c>
      <c r="C231" s="230">
        <v>0</v>
      </c>
      <c r="D231" s="288"/>
      <c r="E231" s="288"/>
      <c r="F231" s="288"/>
      <c r="G231" s="211">
        <f t="shared" ref="G231:G232" si="22">C231</f>
        <v>0</v>
      </c>
      <c r="H231" s="220"/>
      <c r="I231" s="21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3"/>
      <c r="B232" s="11" t="s">
        <v>360</v>
      </c>
      <c r="C232" s="31">
        <v>0</v>
      </c>
      <c r="D232" s="27"/>
      <c r="E232" s="27"/>
      <c r="F232" s="27"/>
      <c r="G232" s="11">
        <f t="shared" si="22"/>
        <v>0</v>
      </c>
      <c r="H232" s="220"/>
      <c r="I232" s="21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3"/>
      <c r="B233" s="15" t="s">
        <v>22</v>
      </c>
      <c r="C233" s="18"/>
      <c r="D233" s="18"/>
      <c r="E233" s="18"/>
      <c r="F233" s="29"/>
      <c r="G233" s="11">
        <f>SUM(G228:G232)</f>
        <v>350636180</v>
      </c>
      <c r="H233" s="3"/>
      <c r="I233" s="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3"/>
      <c r="B234" s="242"/>
      <c r="C234" s="242"/>
      <c r="D234" s="242"/>
      <c r="E234" s="242"/>
      <c r="F234" s="242"/>
      <c r="G234" s="242"/>
      <c r="H234" s="3"/>
      <c r="I234" s="21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 t="s">
        <v>104</v>
      </c>
      <c r="C235" s="3"/>
      <c r="D235" s="3"/>
      <c r="E235" s="3"/>
      <c r="F235" s="3"/>
      <c r="G235" s="3"/>
      <c r="H235" s="3"/>
      <c r="I235" s="4"/>
      <c r="J235" s="3"/>
      <c r="K235" s="3"/>
      <c r="L235" s="3"/>
      <c r="M235" s="3"/>
      <c r="N235" s="3"/>
      <c r="O235" s="506">
        <v>121.14</v>
      </c>
      <c r="P235" s="3">
        <f>O235/O258</f>
        <v>3.8926735218509E-2</v>
      </c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" customHeight="1">
      <c r="A236" s="3"/>
      <c r="B236" s="11" t="s">
        <v>8</v>
      </c>
      <c r="C236" s="11" t="s">
        <v>28</v>
      </c>
      <c r="D236" s="11"/>
      <c r="E236" s="11"/>
      <c r="F236" s="11"/>
      <c r="G236" s="11"/>
      <c r="H236" s="3"/>
      <c r="I236" s="4"/>
      <c r="J236" s="3"/>
      <c r="K236" s="3"/>
      <c r="L236" s="3"/>
      <c r="M236" s="3"/>
      <c r="N236" s="3"/>
      <c r="O236" s="506">
        <v>93.36</v>
      </c>
      <c r="P236" s="3" t="e">
        <f t="shared" ref="P236" si="23">O236/O259</f>
        <v>#DIV/0!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.25" customHeight="1">
      <c r="A237" s="3"/>
      <c r="B237" s="11" t="s">
        <v>107</v>
      </c>
      <c r="C237" s="11">
        <v>18480000</v>
      </c>
      <c r="D237" s="11"/>
      <c r="E237" s="11">
        <v>1</v>
      </c>
      <c r="F237" s="11">
        <v>18480000</v>
      </c>
      <c r="G237" s="218">
        <f t="shared" ref="G237:G238" si="24">C237</f>
        <v>18480000</v>
      </c>
      <c r="H237" s="3"/>
      <c r="I237" s="4"/>
      <c r="J237" s="3"/>
      <c r="K237" s="3"/>
      <c r="L237" s="3"/>
      <c r="M237" s="3"/>
      <c r="N237" s="3"/>
      <c r="O237" s="507">
        <v>214.5</v>
      </c>
      <c r="P237" s="3" t="e">
        <f>O237/O264</f>
        <v>#DIV/0!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>
      <c r="A238" s="8"/>
      <c r="B238" s="11" t="s">
        <v>112</v>
      </c>
      <c r="C238" s="11">
        <v>21120000</v>
      </c>
      <c r="D238" s="11"/>
      <c r="E238" s="11">
        <v>1</v>
      </c>
      <c r="F238" s="11">
        <v>21120000</v>
      </c>
      <c r="G238" s="218">
        <f t="shared" si="24"/>
        <v>21120000</v>
      </c>
      <c r="H238" s="8">
        <v>0</v>
      </c>
      <c r="I238" s="4"/>
      <c r="J238" s="3"/>
      <c r="K238" s="3"/>
      <c r="L238" s="3"/>
      <c r="M238" s="3"/>
      <c r="N238" s="3"/>
      <c r="O238" s="506">
        <v>186.8</v>
      </c>
      <c r="P238" s="3" t="e">
        <f>O238/O265</f>
        <v>#DIV/0!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>
      <c r="A239" s="8"/>
      <c r="B239" s="593" t="s">
        <v>22</v>
      </c>
      <c r="C239" s="594"/>
      <c r="D239" s="594"/>
      <c r="E239" s="594"/>
      <c r="F239" s="595"/>
      <c r="G239" s="11">
        <f>SUM(G237,G238)</f>
        <v>39600000</v>
      </c>
      <c r="H239" s="8"/>
      <c r="I239" s="4"/>
      <c r="J239" s="3"/>
      <c r="K239" s="3"/>
      <c r="L239" s="3"/>
      <c r="M239" s="3"/>
      <c r="N239" s="3"/>
      <c r="O239" s="507">
        <v>186.8</v>
      </c>
      <c r="P239" s="3" t="e">
        <f>O239/O266</f>
        <v>#DIV/0!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>
      <c r="A240" s="3"/>
      <c r="B240" s="3"/>
      <c r="C240" s="3"/>
      <c r="D240" s="3"/>
      <c r="E240" s="3"/>
      <c r="F240" s="3"/>
      <c r="G240" s="3"/>
      <c r="I240" s="4"/>
      <c r="J240" s="3"/>
      <c r="K240" s="3"/>
      <c r="L240" s="3"/>
      <c r="M240" s="3"/>
      <c r="N240" s="3"/>
      <c r="O240" s="506">
        <v>1272.51</v>
      </c>
      <c r="P240" s="3" t="e">
        <f>O240/O267</f>
        <v>#DIV/0!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3"/>
      <c r="B241" s="3" t="s">
        <v>142</v>
      </c>
      <c r="C241" s="3"/>
      <c r="D241" s="3"/>
      <c r="E241" s="3"/>
      <c r="F241" s="3"/>
      <c r="G241" s="3"/>
      <c r="H241" s="3"/>
      <c r="I241" s="4"/>
      <c r="J241" s="3"/>
      <c r="K241" s="3"/>
      <c r="L241" s="3"/>
      <c r="M241" s="3"/>
      <c r="N241" s="3"/>
      <c r="O241" s="506">
        <v>30</v>
      </c>
      <c r="P241" s="3" t="e">
        <f>O241/O268</f>
        <v>#DIV/0!</v>
      </c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3"/>
      <c r="B242" s="216" t="s">
        <v>8</v>
      </c>
      <c r="C242" s="217" t="s">
        <v>28</v>
      </c>
      <c r="D242" s="264"/>
      <c r="E242" s="264"/>
      <c r="F242" s="265"/>
      <c r="G242" s="216" t="s">
        <v>13</v>
      </c>
      <c r="H242" s="3"/>
      <c r="I242" s="4"/>
      <c r="J242" s="3"/>
      <c r="K242" s="3"/>
      <c r="L242" s="3"/>
      <c r="M242" s="3"/>
      <c r="N242" s="3"/>
      <c r="O242" s="506">
        <v>108.04</v>
      </c>
      <c r="P242" s="3" t="e">
        <f>O242/O269</f>
        <v>#DIV/0!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3"/>
      <c r="B243" s="575" t="s">
        <v>214</v>
      </c>
      <c r="C243" s="303" t="s">
        <v>433</v>
      </c>
      <c r="D243" s="303"/>
      <c r="E243" s="303">
        <v>1</v>
      </c>
      <c r="F243" s="303">
        <v>290000</v>
      </c>
      <c r="G243" s="303">
        <f t="shared" ref="G243:G255" si="25">E243*F243</f>
        <v>290000</v>
      </c>
      <c r="H243" s="220" t="s">
        <v>218</v>
      </c>
      <c r="I243" s="4"/>
      <c r="J243" s="3"/>
      <c r="K243" s="3"/>
      <c r="L243" s="3"/>
      <c r="M243" s="3"/>
      <c r="N243" s="3"/>
      <c r="O243" s="506">
        <v>678.99</v>
      </c>
      <c r="P243" s="3" t="e">
        <f>O243/O270</f>
        <v>#DIV/0!</v>
      </c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3"/>
      <c r="B244" s="576"/>
      <c r="C244" s="303" t="s">
        <v>434</v>
      </c>
      <c r="D244" s="303"/>
      <c r="E244" s="303">
        <v>1</v>
      </c>
      <c r="F244" s="303">
        <v>290000</v>
      </c>
      <c r="G244" s="303">
        <f t="shared" si="25"/>
        <v>290000</v>
      </c>
      <c r="H244" s="220"/>
      <c r="I244" s="212"/>
      <c r="J244" s="3"/>
      <c r="K244" s="3"/>
      <c r="L244" s="3"/>
      <c r="M244" s="3"/>
      <c r="N244" s="3"/>
      <c r="O244" s="506">
        <v>3.12</v>
      </c>
      <c r="P244" s="3" t="e">
        <f>O244/O271</f>
        <v>#DIV/0!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3"/>
      <c r="B245" s="576"/>
      <c r="C245" s="303" t="s">
        <v>435</v>
      </c>
      <c r="D245" s="303"/>
      <c r="E245" s="303">
        <v>1</v>
      </c>
      <c r="F245" s="303">
        <v>210000</v>
      </c>
      <c r="G245" s="303">
        <f t="shared" si="25"/>
        <v>210000</v>
      </c>
      <c r="H245" s="220"/>
      <c r="I245" s="212"/>
      <c r="J245" s="3"/>
      <c r="K245" s="3"/>
      <c r="L245" s="3"/>
      <c r="M245" s="3"/>
      <c r="N245" s="3"/>
      <c r="O245" s="506">
        <v>0.57999999999999996</v>
      </c>
      <c r="P245" s="3" t="e">
        <f>O245/O272</f>
        <v>#DIV/0!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3"/>
      <c r="B246" s="577"/>
      <c r="C246" s="303" t="s">
        <v>436</v>
      </c>
      <c r="D246" s="303"/>
      <c r="E246" s="303">
        <v>1</v>
      </c>
      <c r="F246" s="303">
        <v>210000</v>
      </c>
      <c r="G246" s="303">
        <f t="shared" si="25"/>
        <v>210000</v>
      </c>
      <c r="H246" s="220"/>
      <c r="I246" s="212"/>
      <c r="J246" s="3"/>
      <c r="K246" s="3"/>
      <c r="L246" s="3"/>
      <c r="M246" s="3"/>
      <c r="N246" s="3"/>
      <c r="O246" s="506">
        <v>77.069999999999993</v>
      </c>
      <c r="P246" s="3" t="e">
        <f>O246/O273</f>
        <v>#DIV/0!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3"/>
      <c r="B247" s="572" t="s">
        <v>426</v>
      </c>
      <c r="C247" s="305" t="s">
        <v>427</v>
      </c>
      <c r="D247" s="305"/>
      <c r="E247" s="305">
        <v>1</v>
      </c>
      <c r="F247" s="305">
        <v>540000</v>
      </c>
      <c r="G247" s="305">
        <f t="shared" si="25"/>
        <v>540000</v>
      </c>
      <c r="H247" s="3"/>
      <c r="I247" s="4"/>
      <c r="J247" s="3"/>
      <c r="K247" s="3"/>
      <c r="L247" s="3"/>
      <c r="M247" s="3"/>
      <c r="N247" s="3"/>
      <c r="O247" s="506">
        <v>0</v>
      </c>
      <c r="P247" s="3" t="e">
        <f>O247/O274</f>
        <v>#DIV/0!</v>
      </c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3"/>
      <c r="B248" s="573"/>
      <c r="C248" s="289" t="s">
        <v>428</v>
      </c>
      <c r="D248" s="289"/>
      <c r="E248" s="289">
        <v>1</v>
      </c>
      <c r="F248" s="289">
        <v>540000</v>
      </c>
      <c r="G248" s="289">
        <f t="shared" si="25"/>
        <v>540000</v>
      </c>
      <c r="H248" s="3"/>
      <c r="I248" s="212"/>
      <c r="J248" s="3"/>
      <c r="K248" s="3"/>
      <c r="L248" s="3"/>
      <c r="M248" s="3"/>
      <c r="N248" s="3"/>
      <c r="O248" s="506">
        <v>1.52</v>
      </c>
      <c r="P248" s="3" t="e">
        <f>O248/O275</f>
        <v>#DIV/0!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3"/>
      <c r="B249" s="573"/>
      <c r="C249" s="289" t="s">
        <v>429</v>
      </c>
      <c r="D249" s="289"/>
      <c r="E249" s="289">
        <v>1</v>
      </c>
      <c r="F249" s="289">
        <v>1260000</v>
      </c>
      <c r="G249" s="289">
        <f t="shared" si="25"/>
        <v>1260000</v>
      </c>
      <c r="H249" s="3"/>
      <c r="I249" s="212"/>
      <c r="J249" s="3"/>
      <c r="K249" s="3"/>
      <c r="L249" s="3"/>
      <c r="M249" s="3"/>
      <c r="N249" s="3"/>
      <c r="O249" s="506">
        <v>0.15</v>
      </c>
      <c r="P249" s="3" t="e">
        <f>O249/O276</f>
        <v>#DIV/0!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3"/>
      <c r="B250" s="574"/>
      <c r="C250" s="289" t="s">
        <v>432</v>
      </c>
      <c r="D250" s="289"/>
      <c r="E250" s="289">
        <v>1</v>
      </c>
      <c r="F250" s="289">
        <v>1260000</v>
      </c>
      <c r="G250" s="289">
        <f t="shared" si="25"/>
        <v>1260000</v>
      </c>
      <c r="H250" s="3"/>
      <c r="I250" s="212"/>
      <c r="J250" s="3"/>
      <c r="K250" s="3"/>
      <c r="L250" s="3"/>
      <c r="M250" s="3"/>
      <c r="N250" s="3"/>
      <c r="O250" s="506">
        <v>11.66</v>
      </c>
      <c r="P250" s="3" t="e">
        <f>O250/O277</f>
        <v>#DIV/0!</v>
      </c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3"/>
      <c r="B251" s="305" t="s">
        <v>430</v>
      </c>
      <c r="C251" s="289" t="s">
        <v>431</v>
      </c>
      <c r="D251" s="289"/>
      <c r="E251" s="289">
        <v>1</v>
      </c>
      <c r="F251" s="289">
        <v>2700000</v>
      </c>
      <c r="G251" s="289">
        <f t="shared" si="25"/>
        <v>2700000</v>
      </c>
      <c r="H251" s="3"/>
      <c r="I251" s="212"/>
      <c r="J251" s="3"/>
      <c r="K251" s="3"/>
      <c r="L251" s="3"/>
      <c r="M251" s="3"/>
      <c r="N251" s="3"/>
      <c r="O251" s="506">
        <v>2.0699999999999998</v>
      </c>
      <c r="P251" s="3" t="e">
        <f>O251/O278</f>
        <v>#DIV/0!</v>
      </c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3"/>
      <c r="B252" s="566" t="s">
        <v>503</v>
      </c>
      <c r="C252" s="11"/>
      <c r="D252" s="11"/>
      <c r="E252" s="11">
        <v>24</v>
      </c>
      <c r="F252" s="11">
        <v>30000</v>
      </c>
      <c r="G252" s="11">
        <f t="shared" si="25"/>
        <v>720000</v>
      </c>
      <c r="H252" s="3"/>
      <c r="I252" s="212"/>
      <c r="J252" s="3"/>
      <c r="K252" s="3"/>
      <c r="L252" s="3"/>
      <c r="M252" s="3"/>
      <c r="N252" s="3"/>
      <c r="O252" s="506">
        <v>350.64</v>
      </c>
      <c r="P252" s="3" t="e">
        <f>O252/O279</f>
        <v>#DIV/0!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3"/>
      <c r="B253" s="568"/>
      <c r="C253" s="11"/>
      <c r="D253" s="11"/>
      <c r="E253" s="11">
        <v>105</v>
      </c>
      <c r="F253" s="11">
        <v>30000</v>
      </c>
      <c r="G253" s="11">
        <f t="shared" si="25"/>
        <v>3150000</v>
      </c>
      <c r="H253" s="3"/>
      <c r="I253" s="212"/>
      <c r="J253" s="3"/>
      <c r="K253" s="3"/>
      <c r="L253" s="3"/>
      <c r="M253" s="3"/>
      <c r="N253" s="3"/>
      <c r="O253" s="506">
        <v>4.62</v>
      </c>
      <c r="P253" s="3" t="e">
        <f>O253/O280</f>
        <v>#DIV/0!</v>
      </c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3"/>
      <c r="B254" s="568"/>
      <c r="C254" s="11"/>
      <c r="D254" s="11"/>
      <c r="E254" s="11">
        <v>50</v>
      </c>
      <c r="F254" s="11">
        <v>0</v>
      </c>
      <c r="G254" s="11">
        <f t="shared" si="25"/>
        <v>0</v>
      </c>
      <c r="H254" s="3"/>
      <c r="I254" s="212"/>
      <c r="J254" s="3"/>
      <c r="K254" s="3"/>
      <c r="L254" s="3"/>
      <c r="M254" s="3"/>
      <c r="N254" s="3"/>
      <c r="O254" s="506">
        <v>14.13</v>
      </c>
      <c r="P254" s="3" t="e">
        <f>O254/O281</f>
        <v>#DIV/0!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3"/>
      <c r="B255" s="568"/>
      <c r="C255" s="11"/>
      <c r="D255" s="11"/>
      <c r="E255" s="11">
        <v>200</v>
      </c>
      <c r="F255" s="11">
        <v>0</v>
      </c>
      <c r="G255" s="11">
        <f t="shared" si="25"/>
        <v>0</v>
      </c>
      <c r="H255" s="3"/>
      <c r="I255" s="212"/>
      <c r="J255" s="3"/>
      <c r="K255" s="3"/>
      <c r="L255" s="3"/>
      <c r="M255" s="3"/>
      <c r="N255" s="3"/>
      <c r="O255" s="507">
        <v>2555.1</v>
      </c>
      <c r="P255" s="3" t="e">
        <f>O255/O282</f>
        <v>#DIV/0!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3"/>
      <c r="B256" s="567"/>
      <c r="C256" s="11"/>
      <c r="D256" s="11"/>
      <c r="E256" s="11"/>
      <c r="F256" s="11"/>
      <c r="G256" s="11"/>
      <c r="H256" s="3"/>
      <c r="I256" s="212"/>
      <c r="J256" s="3"/>
      <c r="K256" s="3"/>
      <c r="L256" s="3"/>
      <c r="M256" s="3"/>
      <c r="N256" s="3"/>
      <c r="O256" s="506">
        <v>155.6</v>
      </c>
      <c r="P256" s="3" t="e">
        <f>O256/O283</f>
        <v>#DIV/0!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3"/>
      <c r="B257" s="566" t="s">
        <v>517</v>
      </c>
      <c r="C257" s="11"/>
      <c r="D257" s="11"/>
      <c r="E257" s="11">
        <v>1</v>
      </c>
      <c r="F257" s="11">
        <v>370000</v>
      </c>
      <c r="G257" s="11">
        <f t="shared" ref="G257:G262" si="26">E257*F257</f>
        <v>370000</v>
      </c>
      <c r="H257" s="3"/>
      <c r="I257" s="212"/>
      <c r="J257" s="3"/>
      <c r="K257" s="3"/>
      <c r="L257" s="3"/>
      <c r="M257" s="3"/>
      <c r="N257" s="3"/>
      <c r="O257" s="507">
        <v>155.6</v>
      </c>
      <c r="P257" s="3" t="e">
        <f>O257/O284</f>
        <v>#DIV/0!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 thickBot="1">
      <c r="A258" s="3"/>
      <c r="B258" s="567"/>
      <c r="C258" s="11"/>
      <c r="D258" s="11"/>
      <c r="E258" s="11">
        <v>1</v>
      </c>
      <c r="F258" s="11">
        <v>370000</v>
      </c>
      <c r="G258" s="11">
        <f t="shared" ref="G258" si="27">E258*F258</f>
        <v>370000</v>
      </c>
      <c r="H258" s="3"/>
      <c r="I258" s="212"/>
      <c r="J258" s="3"/>
      <c r="K258" s="3"/>
      <c r="L258" s="3"/>
      <c r="M258" s="3"/>
      <c r="N258" s="3"/>
      <c r="O258" s="508">
        <v>3112</v>
      </c>
      <c r="P258" s="3" t="e">
        <f>O258/O285</f>
        <v>#DIV/0!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 thickTop="1">
      <c r="A259" s="3"/>
      <c r="B259" s="211" t="s">
        <v>518</v>
      </c>
      <c r="C259" s="11"/>
      <c r="D259" s="11"/>
      <c r="E259" s="11">
        <v>1</v>
      </c>
      <c r="F259" s="11">
        <v>2220000</v>
      </c>
      <c r="G259" s="11">
        <f t="shared" si="26"/>
        <v>2220000</v>
      </c>
      <c r="H259" s="3"/>
      <c r="I259" s="21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3"/>
      <c r="B260" s="566" t="s">
        <v>1233</v>
      </c>
      <c r="C260" s="11" t="s">
        <v>1234</v>
      </c>
      <c r="D260" s="11"/>
      <c r="E260" s="11">
        <v>1</v>
      </c>
      <c r="F260" s="11">
        <v>592500</v>
      </c>
      <c r="G260" s="11">
        <f t="shared" si="26"/>
        <v>592500</v>
      </c>
      <c r="H260" s="3"/>
      <c r="I260" s="21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3"/>
      <c r="B261" s="568"/>
      <c r="C261" s="11" t="s">
        <v>1235</v>
      </c>
      <c r="D261" s="11"/>
      <c r="E261" s="11">
        <v>1</v>
      </c>
      <c r="F261" s="11">
        <v>5346550</v>
      </c>
      <c r="G261" s="11">
        <f t="shared" si="26"/>
        <v>5346550</v>
      </c>
      <c r="H261" s="3"/>
      <c r="I261" s="21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3"/>
      <c r="B262" s="568"/>
      <c r="C262" s="11" t="s">
        <v>1236</v>
      </c>
      <c r="D262" s="11"/>
      <c r="E262" s="11">
        <v>1</v>
      </c>
      <c r="F262" s="11">
        <v>29848991</v>
      </c>
      <c r="G262" s="11">
        <f t="shared" si="26"/>
        <v>29848991</v>
      </c>
      <c r="H262" s="3"/>
      <c r="I262" s="21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3"/>
      <c r="B263" s="567"/>
      <c r="C263" s="11"/>
      <c r="D263" s="11"/>
      <c r="E263" s="11"/>
      <c r="F263" s="11"/>
      <c r="G263" s="11"/>
      <c r="H263" s="3"/>
      <c r="I263" s="21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3"/>
      <c r="B264" s="11" t="s">
        <v>22</v>
      </c>
      <c r="C264" s="11"/>
      <c r="D264" s="11"/>
      <c r="E264" s="11"/>
      <c r="F264" s="11"/>
      <c r="G264" s="11">
        <f>SUM(G243:G262)</f>
        <v>49918041</v>
      </c>
      <c r="H264" s="3"/>
      <c r="I264" s="4"/>
      <c r="J264" s="598"/>
      <c r="K264" s="587"/>
      <c r="L264" s="587"/>
      <c r="M264" s="587"/>
      <c r="N264" s="587"/>
      <c r="O264" s="587"/>
      <c r="P264" s="587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3"/>
      <c r="B265" s="23"/>
      <c r="C265" s="23"/>
      <c r="D265" s="23"/>
      <c r="E265" s="23"/>
      <c r="F265" s="23"/>
      <c r="G265" s="3"/>
      <c r="H265" s="3"/>
      <c r="I265" s="4"/>
      <c r="J265" s="587"/>
      <c r="K265" s="587"/>
      <c r="L265" s="587"/>
      <c r="M265" s="587"/>
      <c r="N265" s="587"/>
      <c r="O265" s="587"/>
      <c r="P265" s="587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3"/>
      <c r="B266" s="3"/>
      <c r="C266" s="3"/>
      <c r="D266" s="3"/>
      <c r="E266" s="3"/>
      <c r="F266" s="3"/>
      <c r="G266" s="3"/>
      <c r="H266" s="3"/>
      <c r="I266" s="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3"/>
      <c r="B267" s="3" t="s">
        <v>219</v>
      </c>
      <c r="C267" s="3">
        <f>C2*0.05</f>
        <v>155600000</v>
      </c>
      <c r="D267" s="3"/>
      <c r="E267" s="3"/>
      <c r="F267" s="3"/>
      <c r="G267" s="3"/>
      <c r="H267" s="3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3"/>
      <c r="B268" s="3"/>
      <c r="C268" s="3"/>
      <c r="D268" s="3"/>
      <c r="E268" s="3"/>
      <c r="F268" s="3"/>
      <c r="G268" s="3"/>
      <c r="H268" s="3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3"/>
      <c r="B269" s="3"/>
      <c r="C269" s="3"/>
      <c r="D269" s="3"/>
      <c r="E269" s="3"/>
      <c r="F269" s="3"/>
      <c r="G269" s="3"/>
      <c r="H269" s="3"/>
      <c r="I269" s="4"/>
      <c r="J269" s="3"/>
      <c r="K269" s="23"/>
      <c r="L269" s="2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3"/>
      <c r="B270" s="3"/>
      <c r="C270" s="3"/>
      <c r="D270" s="3"/>
      <c r="E270" s="3"/>
      <c r="F270" s="3"/>
      <c r="G270" s="3"/>
      <c r="H270" s="3"/>
      <c r="I270" s="2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3"/>
      <c r="B271" s="3"/>
      <c r="C271" s="3"/>
      <c r="D271" s="3"/>
      <c r="E271" s="3"/>
      <c r="F271" s="3"/>
      <c r="G271" s="3"/>
      <c r="H271" s="3"/>
      <c r="I271" s="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3"/>
      <c r="B272" s="3"/>
      <c r="C272" s="3"/>
      <c r="D272" s="3"/>
      <c r="E272" s="3"/>
      <c r="F272" s="3"/>
      <c r="G272" s="3"/>
      <c r="H272" s="3"/>
      <c r="I272" s="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3"/>
      <c r="B273" s="3"/>
      <c r="C273" s="3"/>
      <c r="D273" s="3"/>
      <c r="E273" s="3"/>
      <c r="F273" s="3"/>
      <c r="G273" s="3"/>
      <c r="H273" s="23"/>
      <c r="I273" s="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3"/>
      <c r="B274" s="3"/>
      <c r="C274" s="3"/>
      <c r="D274" s="3"/>
      <c r="E274" s="3"/>
      <c r="F274" s="3"/>
      <c r="G274" s="3"/>
      <c r="H274" s="3"/>
      <c r="I274" s="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3"/>
      <c r="B275" s="3"/>
      <c r="C275" s="3"/>
      <c r="D275" s="3"/>
      <c r="E275" s="3"/>
      <c r="F275" s="3"/>
      <c r="G275" s="3"/>
      <c r="H275" s="3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3"/>
      <c r="B276" s="3"/>
      <c r="C276" s="3"/>
      <c r="D276" s="3"/>
      <c r="E276" s="3"/>
      <c r="F276" s="3"/>
      <c r="G276" s="3"/>
      <c r="H276" s="3"/>
      <c r="I276" s="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3"/>
      <c r="B277" s="3"/>
      <c r="C277" s="3"/>
      <c r="D277" s="3"/>
      <c r="E277" s="3"/>
      <c r="F277" s="3"/>
      <c r="G277" s="3"/>
      <c r="H277" s="3"/>
      <c r="I277" s="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3"/>
      <c r="B278" s="3"/>
      <c r="C278" s="3"/>
      <c r="D278" s="3"/>
      <c r="E278" s="3"/>
      <c r="F278" s="3"/>
      <c r="G278" s="3"/>
      <c r="H278" s="3"/>
      <c r="I278" s="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3"/>
      <c r="B279" s="3"/>
      <c r="C279" s="3"/>
      <c r="D279" s="3"/>
      <c r="E279" s="3"/>
      <c r="F279" s="3"/>
      <c r="G279" s="3"/>
      <c r="H279" s="3"/>
      <c r="I279" s="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3"/>
      <c r="B280" s="3"/>
      <c r="C280" s="23"/>
      <c r="D280" s="23"/>
      <c r="E280" s="23"/>
      <c r="F280" s="23"/>
      <c r="G280" s="3"/>
      <c r="H280" s="3"/>
      <c r="I280" s="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3"/>
      <c r="B281" s="3"/>
      <c r="C281" s="3"/>
      <c r="D281" s="3"/>
      <c r="E281" s="3"/>
      <c r="F281" s="3"/>
      <c r="G281" s="3"/>
      <c r="H281" s="3"/>
      <c r="I281" s="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3"/>
      <c r="B282" s="3"/>
      <c r="C282" s="3"/>
      <c r="D282" s="3"/>
      <c r="E282" s="3"/>
      <c r="F282" s="3"/>
      <c r="G282" s="3"/>
      <c r="H282" s="3"/>
      <c r="I282" s="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3"/>
      <c r="B283" s="23"/>
      <c r="C283" s="23"/>
      <c r="D283" s="23"/>
      <c r="E283" s="23"/>
      <c r="F283" s="23"/>
      <c r="G283" s="3"/>
      <c r="H283" s="3"/>
      <c r="I283" s="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3"/>
      <c r="B284" s="3"/>
      <c r="C284" s="3"/>
      <c r="D284" s="3"/>
      <c r="E284" s="3"/>
      <c r="F284" s="3"/>
      <c r="G284" s="3"/>
      <c r="H284" s="3"/>
      <c r="I284" s="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3"/>
      <c r="B285" s="3"/>
      <c r="C285" s="3"/>
      <c r="D285" s="3"/>
      <c r="E285" s="3"/>
      <c r="F285" s="3"/>
      <c r="G285" s="3"/>
      <c r="H285" s="3"/>
      <c r="I285" s="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3"/>
      <c r="B286" s="3"/>
      <c r="C286" s="3"/>
      <c r="D286" s="3"/>
      <c r="E286" s="3"/>
      <c r="F286" s="3"/>
      <c r="G286" s="3"/>
      <c r="H286" s="3"/>
      <c r="I286" s="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3"/>
      <c r="B287" s="3"/>
      <c r="C287" s="3"/>
      <c r="D287" s="3"/>
      <c r="E287" s="3"/>
      <c r="F287" s="3"/>
      <c r="G287" s="3"/>
      <c r="H287" s="3"/>
      <c r="I287" s="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3"/>
      <c r="B288" s="3"/>
      <c r="C288" s="3"/>
      <c r="D288" s="3"/>
      <c r="E288" s="3"/>
      <c r="F288" s="3"/>
      <c r="G288" s="3"/>
      <c r="H288" s="3"/>
      <c r="I288" s="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3"/>
      <c r="B289" s="3"/>
      <c r="C289" s="3"/>
      <c r="D289" s="3"/>
      <c r="E289" s="3"/>
      <c r="F289" s="3"/>
      <c r="G289" s="3"/>
      <c r="H289" s="3"/>
      <c r="I289" s="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3"/>
      <c r="B290" s="3"/>
      <c r="C290" s="3"/>
      <c r="D290" s="3"/>
      <c r="E290" s="3"/>
      <c r="F290" s="3"/>
      <c r="G290" s="3"/>
      <c r="H290" s="3"/>
      <c r="I290" s="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3"/>
      <c r="B291" s="3"/>
      <c r="C291" s="3"/>
      <c r="D291" s="3"/>
      <c r="E291" s="3"/>
      <c r="F291" s="3"/>
      <c r="G291" s="3"/>
      <c r="H291" s="3"/>
      <c r="I291" s="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3"/>
      <c r="B292" s="3"/>
      <c r="C292" s="3"/>
      <c r="D292" s="3"/>
      <c r="E292" s="3"/>
      <c r="F292" s="3"/>
      <c r="G292" s="3"/>
      <c r="H292" s="3"/>
      <c r="I292" s="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3"/>
      <c r="B293" s="3"/>
      <c r="C293" s="3"/>
      <c r="D293" s="3"/>
      <c r="E293" s="3"/>
      <c r="F293" s="3"/>
      <c r="G293" s="3"/>
      <c r="H293" s="3"/>
      <c r="I293" s="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3"/>
      <c r="B294" s="3"/>
      <c r="C294" s="3"/>
      <c r="D294" s="3"/>
      <c r="E294" s="3"/>
      <c r="F294" s="3"/>
      <c r="G294" s="3"/>
      <c r="H294" s="3"/>
      <c r="I294" s="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3"/>
      <c r="B295" s="3"/>
      <c r="C295" s="3"/>
      <c r="D295" s="3"/>
      <c r="E295" s="3"/>
      <c r="F295" s="3"/>
      <c r="G295" s="3"/>
      <c r="H295" s="3"/>
      <c r="I295" s="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3"/>
      <c r="B296" s="3"/>
      <c r="C296" s="3"/>
      <c r="D296" s="3"/>
      <c r="E296" s="3"/>
      <c r="F296" s="3"/>
      <c r="G296" s="3"/>
      <c r="H296" s="3"/>
      <c r="I296" s="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3"/>
      <c r="B297" s="3"/>
      <c r="C297" s="3"/>
      <c r="D297" s="3"/>
      <c r="E297" s="3"/>
      <c r="F297" s="3"/>
      <c r="G297" s="3"/>
      <c r="H297" s="3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3"/>
      <c r="B298" s="3"/>
      <c r="C298" s="3"/>
      <c r="D298" s="3"/>
      <c r="E298" s="3"/>
      <c r="F298" s="3"/>
      <c r="G298" s="3"/>
      <c r="H298" s="3"/>
      <c r="I298" s="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3"/>
      <c r="B299" s="3"/>
      <c r="C299" s="3"/>
      <c r="D299" s="3"/>
      <c r="E299" s="3"/>
      <c r="F299" s="3"/>
      <c r="G299" s="3"/>
      <c r="H299" s="3"/>
      <c r="I299" s="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3"/>
      <c r="B300" s="3"/>
      <c r="C300" s="3"/>
      <c r="D300" s="3"/>
      <c r="E300" s="3"/>
      <c r="F300" s="3"/>
      <c r="G300" s="3"/>
      <c r="H300" s="3"/>
      <c r="I300" s="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3"/>
      <c r="B301" s="3"/>
      <c r="C301" s="3"/>
      <c r="D301" s="3"/>
      <c r="E301" s="3"/>
      <c r="F301" s="3"/>
      <c r="G301" s="3"/>
      <c r="H301" s="3"/>
      <c r="I301" s="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3"/>
      <c r="B302" s="3"/>
      <c r="C302" s="3"/>
      <c r="D302" s="3"/>
      <c r="E302" s="3"/>
      <c r="F302" s="3"/>
      <c r="G302" s="3"/>
      <c r="H302" s="3"/>
      <c r="I302" s="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3"/>
      <c r="B303" s="3"/>
      <c r="C303" s="3"/>
      <c r="D303" s="3"/>
      <c r="E303" s="3"/>
      <c r="F303" s="3"/>
      <c r="G303" s="3"/>
      <c r="H303" s="3"/>
      <c r="I303" s="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3"/>
      <c r="B304" s="3"/>
      <c r="C304" s="3"/>
      <c r="D304" s="3"/>
      <c r="E304" s="3"/>
      <c r="F304" s="3"/>
      <c r="G304" s="3"/>
      <c r="H304" s="3"/>
      <c r="I304" s="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3"/>
      <c r="B305" s="3"/>
      <c r="C305" s="3"/>
      <c r="D305" s="3"/>
      <c r="E305" s="3"/>
      <c r="F305" s="3"/>
      <c r="G305" s="3"/>
      <c r="H305" s="3"/>
      <c r="I305" s="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3"/>
      <c r="B306" s="3"/>
      <c r="C306" s="3"/>
      <c r="D306" s="3"/>
      <c r="E306" s="3"/>
      <c r="F306" s="3"/>
      <c r="G306" s="3"/>
      <c r="H306" s="3"/>
      <c r="I306" s="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3"/>
      <c r="B307" s="3"/>
      <c r="C307" s="3"/>
      <c r="D307" s="3"/>
      <c r="E307" s="3"/>
      <c r="F307" s="3"/>
      <c r="G307" s="3"/>
      <c r="H307" s="3"/>
      <c r="I307" s="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3"/>
      <c r="B308" s="3"/>
      <c r="C308" s="3"/>
      <c r="D308" s="3"/>
      <c r="E308" s="3"/>
      <c r="F308" s="3"/>
      <c r="G308" s="3"/>
      <c r="H308" s="3"/>
      <c r="I308" s="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3"/>
      <c r="B309" s="3"/>
      <c r="C309" s="3"/>
      <c r="D309" s="3"/>
      <c r="E309" s="3"/>
      <c r="F309" s="3"/>
      <c r="G309" s="3"/>
      <c r="H309" s="3"/>
      <c r="I309" s="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3"/>
      <c r="B310" s="3"/>
      <c r="C310" s="3"/>
      <c r="D310" s="3"/>
      <c r="E310" s="3"/>
      <c r="F310" s="3"/>
      <c r="G310" s="3"/>
      <c r="H310" s="3"/>
      <c r="I310" s="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3"/>
      <c r="B311" s="3"/>
      <c r="C311" s="3"/>
      <c r="D311" s="3"/>
      <c r="E311" s="3"/>
      <c r="F311" s="3"/>
      <c r="G311" s="3"/>
      <c r="H311" s="3"/>
      <c r="I311" s="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3"/>
      <c r="B312" s="3"/>
      <c r="C312" s="3"/>
      <c r="D312" s="3"/>
      <c r="E312" s="3"/>
      <c r="F312" s="3"/>
      <c r="G312" s="3"/>
      <c r="H312" s="3"/>
      <c r="I312" s="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3"/>
      <c r="B313" s="3"/>
      <c r="C313" s="3"/>
      <c r="D313" s="3"/>
      <c r="E313" s="3"/>
      <c r="F313" s="3"/>
      <c r="G313" s="3"/>
      <c r="H313" s="3"/>
      <c r="I313" s="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3"/>
      <c r="B314" s="3"/>
      <c r="C314" s="3"/>
      <c r="D314" s="3"/>
      <c r="E314" s="3"/>
      <c r="F314" s="3"/>
      <c r="G314" s="3"/>
      <c r="H314" s="3"/>
      <c r="I314" s="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3"/>
      <c r="B315" s="3"/>
      <c r="C315" s="3"/>
      <c r="D315" s="3"/>
      <c r="E315" s="3"/>
      <c r="F315" s="3"/>
      <c r="G315" s="3"/>
      <c r="H315" s="3"/>
      <c r="I315" s="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3"/>
      <c r="B316" s="3"/>
      <c r="C316" s="3"/>
      <c r="D316" s="3"/>
      <c r="E316" s="3"/>
      <c r="F316" s="3"/>
      <c r="G316" s="3"/>
      <c r="H316" s="3"/>
      <c r="I316" s="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3"/>
      <c r="B317" s="3"/>
      <c r="C317" s="3"/>
      <c r="D317" s="3"/>
      <c r="E317" s="3"/>
      <c r="F317" s="3"/>
      <c r="G317" s="3"/>
      <c r="H317" s="3"/>
      <c r="I317" s="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3"/>
      <c r="B318" s="3"/>
      <c r="C318" s="3"/>
      <c r="D318" s="3"/>
      <c r="E318" s="3"/>
      <c r="F318" s="3"/>
      <c r="G318" s="3"/>
      <c r="H318" s="3"/>
      <c r="I318" s="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3"/>
      <c r="B319" s="3"/>
      <c r="C319" s="3"/>
      <c r="D319" s="3"/>
      <c r="E319" s="3"/>
      <c r="F319" s="3"/>
      <c r="G319" s="3"/>
      <c r="H319" s="3"/>
      <c r="I319" s="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3"/>
      <c r="B320" s="3"/>
      <c r="C320" s="3"/>
      <c r="D320" s="3"/>
      <c r="E320" s="3"/>
      <c r="F320" s="3"/>
      <c r="G320" s="3"/>
      <c r="H320" s="3"/>
      <c r="I320" s="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3"/>
      <c r="B321" s="3"/>
      <c r="C321" s="3"/>
      <c r="D321" s="3"/>
      <c r="E321" s="3"/>
      <c r="F321" s="3"/>
      <c r="G321" s="3"/>
      <c r="H321" s="3"/>
      <c r="I321" s="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3"/>
      <c r="B322" s="3"/>
      <c r="C322" s="3"/>
      <c r="D322" s="3"/>
      <c r="E322" s="3"/>
      <c r="F322" s="3"/>
      <c r="G322" s="3"/>
      <c r="H322" s="3"/>
      <c r="I322" s="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3"/>
      <c r="B323" s="3"/>
      <c r="C323" s="3"/>
      <c r="D323" s="3"/>
      <c r="E323" s="3"/>
      <c r="F323" s="3"/>
      <c r="G323" s="3"/>
      <c r="H323" s="3"/>
      <c r="I323" s="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23"/>
      <c r="W323" s="3"/>
      <c r="X323" s="3"/>
      <c r="Y323" s="3"/>
      <c r="Z323" s="3"/>
    </row>
    <row r="324" spans="1:26" ht="16.5" customHeight="1">
      <c r="A324" s="3"/>
      <c r="B324" s="3"/>
      <c r="C324" s="3"/>
      <c r="D324" s="3"/>
      <c r="E324" s="3"/>
      <c r="F324" s="3"/>
      <c r="G324" s="3"/>
      <c r="H324" s="3"/>
      <c r="I324" s="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3"/>
      <c r="B325" s="3"/>
      <c r="C325" s="3"/>
      <c r="D325" s="3"/>
      <c r="E325" s="3"/>
      <c r="F325" s="3"/>
      <c r="G325" s="3"/>
      <c r="H325" s="3"/>
      <c r="I325" s="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3"/>
      <c r="B326" s="3"/>
      <c r="C326" s="3"/>
      <c r="D326" s="3"/>
      <c r="E326" s="3"/>
      <c r="F326" s="3"/>
      <c r="G326" s="3"/>
      <c r="H326" s="3"/>
      <c r="I326" s="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3"/>
      <c r="B327" s="3"/>
      <c r="C327" s="3"/>
      <c r="D327" s="3"/>
      <c r="E327" s="3"/>
      <c r="F327" s="3"/>
      <c r="G327" s="3"/>
      <c r="H327" s="3"/>
      <c r="I327" s="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3"/>
      <c r="B328" s="3"/>
      <c r="C328" s="3"/>
      <c r="D328" s="3"/>
      <c r="E328" s="3"/>
      <c r="F328" s="3"/>
      <c r="G328" s="3"/>
      <c r="H328" s="3"/>
      <c r="I328" s="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>
      <c r="A329" s="3"/>
      <c r="B329" s="3"/>
      <c r="C329" s="3"/>
      <c r="D329" s="3"/>
      <c r="E329" s="3"/>
      <c r="F329" s="3"/>
      <c r="G329" s="3"/>
      <c r="H329" s="3"/>
      <c r="I329" s="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3"/>
      <c r="B330" s="3"/>
      <c r="C330" s="3"/>
      <c r="D330" s="3"/>
      <c r="E330" s="3"/>
      <c r="F330" s="3"/>
      <c r="G330" s="3"/>
      <c r="H330" s="3"/>
      <c r="I330" s="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3"/>
      <c r="B331" s="3"/>
      <c r="C331" s="3"/>
      <c r="D331" s="3"/>
      <c r="E331" s="3"/>
      <c r="F331" s="3"/>
      <c r="G331" s="3"/>
      <c r="H331" s="3"/>
      <c r="I331" s="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3"/>
      <c r="B332" s="3"/>
      <c r="C332" s="3"/>
      <c r="D332" s="3"/>
      <c r="E332" s="3"/>
      <c r="F332" s="3"/>
      <c r="G332" s="3"/>
      <c r="H332" s="3"/>
      <c r="I332" s="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3"/>
      <c r="B333" s="3"/>
      <c r="C333" s="3"/>
      <c r="D333" s="3"/>
      <c r="E333" s="3"/>
      <c r="F333" s="3"/>
      <c r="G333" s="3"/>
      <c r="H333" s="3"/>
      <c r="I333" s="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3"/>
      <c r="B334" s="3"/>
      <c r="C334" s="3"/>
      <c r="D334" s="3"/>
      <c r="E334" s="3"/>
      <c r="F334" s="3"/>
      <c r="G334" s="3"/>
      <c r="H334" s="3"/>
      <c r="I334" s="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3"/>
      <c r="B335" s="3"/>
      <c r="C335" s="3"/>
      <c r="D335" s="3"/>
      <c r="E335" s="3"/>
      <c r="F335" s="3"/>
      <c r="G335" s="3"/>
      <c r="H335" s="3"/>
      <c r="I335" s="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3"/>
      <c r="B336" s="3"/>
      <c r="C336" s="3"/>
      <c r="D336" s="3"/>
      <c r="E336" s="3"/>
      <c r="F336" s="3"/>
      <c r="G336" s="3"/>
      <c r="H336" s="3"/>
      <c r="I336" s="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3"/>
      <c r="B337" s="3"/>
      <c r="C337" s="3"/>
      <c r="D337" s="3"/>
      <c r="E337" s="3"/>
      <c r="F337" s="3"/>
      <c r="G337" s="3"/>
      <c r="H337" s="3"/>
      <c r="I337" s="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3"/>
      <c r="B338" s="3"/>
      <c r="C338" s="3"/>
      <c r="D338" s="3"/>
      <c r="E338" s="3"/>
      <c r="F338" s="3"/>
      <c r="G338" s="3"/>
      <c r="H338" s="3"/>
      <c r="I338" s="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3"/>
      <c r="B339" s="3"/>
      <c r="C339" s="3"/>
      <c r="D339" s="3"/>
      <c r="E339" s="3"/>
      <c r="F339" s="3"/>
      <c r="G339" s="3"/>
      <c r="H339" s="3"/>
      <c r="I339" s="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3"/>
      <c r="B340" s="3"/>
      <c r="C340" s="3"/>
      <c r="D340" s="3"/>
      <c r="E340" s="3"/>
      <c r="F340" s="3"/>
      <c r="G340" s="3"/>
      <c r="H340" s="3"/>
      <c r="I340" s="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3"/>
      <c r="B341" s="3"/>
      <c r="C341" s="3"/>
      <c r="D341" s="3"/>
      <c r="E341" s="3"/>
      <c r="F341" s="3"/>
      <c r="G341" s="3"/>
      <c r="H341" s="3"/>
      <c r="I341" s="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3"/>
      <c r="B342" s="3"/>
      <c r="C342" s="3"/>
      <c r="D342" s="3"/>
      <c r="E342" s="3"/>
      <c r="F342" s="3"/>
      <c r="G342" s="3"/>
      <c r="H342" s="3"/>
      <c r="I342" s="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3"/>
      <c r="B343" s="3"/>
      <c r="C343" s="3"/>
      <c r="D343" s="3"/>
      <c r="E343" s="3"/>
      <c r="F343" s="3"/>
      <c r="G343" s="3"/>
      <c r="H343" s="3"/>
      <c r="I343" s="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3"/>
      <c r="B344" s="3"/>
      <c r="C344" s="3"/>
      <c r="D344" s="3"/>
      <c r="E344" s="3"/>
      <c r="F344" s="3"/>
      <c r="G344" s="3"/>
      <c r="H344" s="3"/>
      <c r="I344" s="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3"/>
      <c r="B345" s="3"/>
      <c r="C345" s="3"/>
      <c r="D345" s="3"/>
      <c r="E345" s="3"/>
      <c r="F345" s="3"/>
      <c r="G345" s="3"/>
      <c r="H345" s="3"/>
      <c r="I345" s="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3"/>
      <c r="B346" s="3"/>
      <c r="C346" s="3"/>
      <c r="D346" s="3"/>
      <c r="E346" s="3"/>
      <c r="F346" s="3"/>
      <c r="G346" s="3"/>
      <c r="H346" s="3"/>
      <c r="I346" s="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3"/>
      <c r="B347" s="3"/>
      <c r="C347" s="3"/>
      <c r="D347" s="3"/>
      <c r="E347" s="3"/>
      <c r="F347" s="3"/>
      <c r="G347" s="3"/>
      <c r="H347" s="3"/>
      <c r="I347" s="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3"/>
      <c r="B348" s="3"/>
      <c r="C348" s="3"/>
      <c r="D348" s="3"/>
      <c r="E348" s="3"/>
      <c r="F348" s="3"/>
      <c r="G348" s="3"/>
      <c r="H348" s="3"/>
      <c r="I348" s="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3"/>
      <c r="B349" s="3"/>
      <c r="C349" s="3"/>
      <c r="D349" s="3"/>
      <c r="E349" s="3"/>
      <c r="F349" s="3"/>
      <c r="G349" s="3"/>
      <c r="H349" s="3"/>
      <c r="I349" s="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3"/>
      <c r="B350" s="3"/>
      <c r="C350" s="3"/>
      <c r="D350" s="3"/>
      <c r="E350" s="3"/>
      <c r="F350" s="3"/>
      <c r="G350" s="3"/>
      <c r="H350" s="3"/>
      <c r="I350" s="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3"/>
      <c r="B351" s="3"/>
      <c r="C351" s="3"/>
      <c r="D351" s="3"/>
      <c r="E351" s="3"/>
      <c r="F351" s="3"/>
      <c r="G351" s="3"/>
      <c r="H351" s="3"/>
      <c r="I351" s="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3"/>
      <c r="B352" s="3"/>
      <c r="C352" s="3"/>
      <c r="D352" s="3"/>
      <c r="E352" s="3"/>
      <c r="F352" s="3"/>
      <c r="G352" s="3"/>
      <c r="H352" s="3"/>
      <c r="I352" s="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3"/>
      <c r="B353" s="3"/>
      <c r="C353" s="3"/>
      <c r="D353" s="3"/>
      <c r="E353" s="3"/>
      <c r="F353" s="3"/>
      <c r="G353" s="3"/>
      <c r="H353" s="3"/>
      <c r="I353" s="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3"/>
      <c r="B354" s="3"/>
      <c r="C354" s="3"/>
      <c r="D354" s="3"/>
      <c r="E354" s="3"/>
      <c r="F354" s="3"/>
      <c r="G354" s="3"/>
      <c r="H354" s="3"/>
      <c r="I354" s="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3"/>
      <c r="B355" s="3"/>
      <c r="C355" s="3"/>
      <c r="D355" s="3"/>
      <c r="E355" s="3"/>
      <c r="F355" s="3"/>
      <c r="G355" s="3"/>
      <c r="H355" s="3"/>
      <c r="I355" s="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3"/>
      <c r="B356" s="3"/>
      <c r="C356" s="3"/>
      <c r="D356" s="3"/>
      <c r="E356" s="3"/>
      <c r="F356" s="3"/>
      <c r="G356" s="3"/>
      <c r="H356" s="3"/>
      <c r="I356" s="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3"/>
      <c r="B357" s="3"/>
      <c r="C357" s="3"/>
      <c r="D357" s="3"/>
      <c r="E357" s="3"/>
      <c r="F357" s="3"/>
      <c r="G357" s="3"/>
      <c r="H357" s="3"/>
      <c r="I357" s="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3"/>
      <c r="B358" s="3"/>
      <c r="C358" s="3"/>
      <c r="D358" s="3"/>
      <c r="E358" s="3"/>
      <c r="F358" s="3"/>
      <c r="G358" s="3"/>
      <c r="H358" s="3"/>
      <c r="I358" s="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3"/>
      <c r="B359" s="3"/>
      <c r="C359" s="3"/>
      <c r="D359" s="3"/>
      <c r="E359" s="3"/>
      <c r="F359" s="3"/>
      <c r="G359" s="3"/>
      <c r="H359" s="3"/>
      <c r="I359" s="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3"/>
      <c r="B360" s="3"/>
      <c r="C360" s="3"/>
      <c r="D360" s="3"/>
      <c r="E360" s="3"/>
      <c r="F360" s="3"/>
      <c r="G360" s="3"/>
      <c r="H360" s="3"/>
      <c r="I360" s="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3"/>
      <c r="B361" s="3"/>
      <c r="C361" s="3"/>
      <c r="D361" s="3"/>
      <c r="E361" s="3"/>
      <c r="F361" s="3"/>
      <c r="G361" s="3"/>
      <c r="H361" s="3"/>
      <c r="I361" s="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3"/>
      <c r="B362" s="3"/>
      <c r="C362" s="3"/>
      <c r="D362" s="3"/>
      <c r="E362" s="3"/>
      <c r="F362" s="3"/>
      <c r="G362" s="3"/>
      <c r="H362" s="3"/>
      <c r="I362" s="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3"/>
      <c r="B363" s="3"/>
      <c r="C363" s="3"/>
      <c r="D363" s="3"/>
      <c r="E363" s="3"/>
      <c r="F363" s="3"/>
      <c r="G363" s="3"/>
      <c r="H363" s="3"/>
      <c r="I363" s="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3"/>
      <c r="B364" s="3"/>
      <c r="C364" s="3"/>
      <c r="D364" s="3"/>
      <c r="E364" s="3"/>
      <c r="F364" s="3"/>
      <c r="G364" s="3"/>
      <c r="H364" s="3"/>
      <c r="I364" s="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3"/>
      <c r="B365" s="3"/>
      <c r="C365" s="3"/>
      <c r="D365" s="3"/>
      <c r="E365" s="3"/>
      <c r="F365" s="3"/>
      <c r="G365" s="3"/>
      <c r="H365" s="3"/>
      <c r="I365" s="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3"/>
      <c r="B366" s="3"/>
      <c r="C366" s="3"/>
      <c r="D366" s="3"/>
      <c r="E366" s="3"/>
      <c r="F366" s="3"/>
      <c r="G366" s="3"/>
      <c r="H366" s="3"/>
      <c r="I366" s="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3"/>
      <c r="B367" s="3"/>
      <c r="C367" s="3"/>
      <c r="D367" s="3"/>
      <c r="E367" s="3"/>
      <c r="F367" s="3"/>
      <c r="G367" s="3"/>
      <c r="H367" s="3"/>
      <c r="I367" s="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3"/>
      <c r="B368" s="3"/>
      <c r="C368" s="3"/>
      <c r="D368" s="3"/>
      <c r="E368" s="3"/>
      <c r="F368" s="3"/>
      <c r="G368" s="3"/>
      <c r="H368" s="3"/>
      <c r="I368" s="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3"/>
      <c r="B369" s="3"/>
      <c r="C369" s="3"/>
      <c r="D369" s="3"/>
      <c r="E369" s="3"/>
      <c r="F369" s="3"/>
      <c r="G369" s="3"/>
      <c r="H369" s="3"/>
      <c r="I369" s="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3"/>
      <c r="B370" s="3"/>
      <c r="C370" s="3"/>
      <c r="D370" s="3"/>
      <c r="E370" s="3"/>
      <c r="F370" s="3"/>
      <c r="G370" s="3"/>
      <c r="H370" s="3"/>
      <c r="I370" s="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3"/>
      <c r="B371" s="3"/>
      <c r="C371" s="3"/>
      <c r="D371" s="3"/>
      <c r="E371" s="3"/>
      <c r="F371" s="3"/>
      <c r="G371" s="3"/>
      <c r="H371" s="3"/>
      <c r="I371" s="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3"/>
      <c r="B372" s="3"/>
      <c r="C372" s="3"/>
      <c r="D372" s="3"/>
      <c r="E372" s="3"/>
      <c r="F372" s="3"/>
      <c r="G372" s="3"/>
      <c r="H372" s="3"/>
      <c r="I372" s="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3"/>
      <c r="B373" s="3"/>
      <c r="C373" s="3"/>
      <c r="D373" s="3"/>
      <c r="E373" s="3"/>
      <c r="F373" s="3"/>
      <c r="G373" s="3"/>
      <c r="H373" s="3"/>
      <c r="I373" s="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3"/>
      <c r="B374" s="3"/>
      <c r="C374" s="3"/>
      <c r="D374" s="3"/>
      <c r="E374" s="3"/>
      <c r="F374" s="3"/>
      <c r="G374" s="3"/>
      <c r="H374" s="3"/>
      <c r="I374" s="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3"/>
      <c r="B375" s="3"/>
      <c r="C375" s="3"/>
      <c r="D375" s="3"/>
      <c r="E375" s="3"/>
      <c r="F375" s="3"/>
      <c r="G375" s="3"/>
      <c r="H375" s="3"/>
      <c r="I375" s="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3"/>
      <c r="B376" s="3"/>
      <c r="C376" s="3"/>
      <c r="D376" s="3"/>
      <c r="E376" s="3"/>
      <c r="F376" s="3"/>
      <c r="G376" s="3"/>
      <c r="H376" s="3"/>
      <c r="I376" s="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3"/>
      <c r="B377" s="3"/>
      <c r="C377" s="3"/>
      <c r="D377" s="3"/>
      <c r="E377" s="3"/>
      <c r="F377" s="3"/>
      <c r="G377" s="3"/>
      <c r="H377" s="3"/>
      <c r="I377" s="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3"/>
      <c r="B378" s="3"/>
      <c r="C378" s="3"/>
      <c r="D378" s="3"/>
      <c r="E378" s="3"/>
      <c r="F378" s="3"/>
      <c r="G378" s="3"/>
      <c r="H378" s="3"/>
      <c r="I378" s="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3"/>
      <c r="B379" s="3"/>
      <c r="C379" s="3"/>
      <c r="D379" s="3"/>
      <c r="E379" s="3"/>
      <c r="F379" s="3"/>
      <c r="G379" s="3"/>
      <c r="H379" s="3"/>
      <c r="I379" s="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3"/>
      <c r="B380" s="3"/>
      <c r="C380" s="3"/>
      <c r="D380" s="3"/>
      <c r="E380" s="3"/>
      <c r="F380" s="3"/>
      <c r="G380" s="3"/>
      <c r="H380" s="3"/>
      <c r="I380" s="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3"/>
      <c r="B381" s="3"/>
      <c r="C381" s="3"/>
      <c r="D381" s="3"/>
      <c r="E381" s="3"/>
      <c r="F381" s="3"/>
      <c r="G381" s="3"/>
      <c r="H381" s="3"/>
      <c r="I381" s="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3"/>
      <c r="B382" s="3"/>
      <c r="C382" s="3"/>
      <c r="D382" s="3"/>
      <c r="E382" s="3"/>
      <c r="F382" s="3"/>
      <c r="G382" s="3"/>
      <c r="H382" s="3"/>
      <c r="I382" s="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3"/>
      <c r="B383" s="3"/>
      <c r="C383" s="3"/>
      <c r="D383" s="3"/>
      <c r="E383" s="3"/>
      <c r="F383" s="3"/>
      <c r="G383" s="3"/>
      <c r="H383" s="3"/>
      <c r="I383" s="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3"/>
      <c r="B384" s="3"/>
      <c r="C384" s="3"/>
      <c r="D384" s="3"/>
      <c r="E384" s="3"/>
      <c r="F384" s="3"/>
      <c r="G384" s="3"/>
      <c r="H384" s="3"/>
      <c r="I384" s="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3"/>
      <c r="B385" s="3"/>
      <c r="C385" s="3"/>
      <c r="D385" s="3"/>
      <c r="E385" s="3"/>
      <c r="F385" s="3"/>
      <c r="G385" s="3"/>
      <c r="H385" s="3"/>
      <c r="I385" s="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3"/>
      <c r="B386" s="3"/>
      <c r="C386" s="3"/>
      <c r="D386" s="3"/>
      <c r="E386" s="3"/>
      <c r="F386" s="3"/>
      <c r="G386" s="3"/>
      <c r="H386" s="3"/>
      <c r="I386" s="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3"/>
      <c r="B387" s="3"/>
      <c r="C387" s="3"/>
      <c r="D387" s="3"/>
      <c r="E387" s="3"/>
      <c r="F387" s="3"/>
      <c r="G387" s="3"/>
      <c r="H387" s="3"/>
      <c r="I387" s="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3"/>
      <c r="B388" s="3"/>
      <c r="C388" s="3"/>
      <c r="D388" s="3"/>
      <c r="E388" s="3"/>
      <c r="F388" s="3"/>
      <c r="G388" s="3"/>
      <c r="H388" s="3"/>
      <c r="I388" s="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3"/>
      <c r="B389" s="3"/>
      <c r="C389" s="3"/>
      <c r="D389" s="3"/>
      <c r="E389" s="3"/>
      <c r="F389" s="3"/>
      <c r="G389" s="3"/>
      <c r="H389" s="3"/>
      <c r="I389" s="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3"/>
      <c r="B390" s="3"/>
      <c r="C390" s="3"/>
      <c r="D390" s="3"/>
      <c r="E390" s="3"/>
      <c r="F390" s="3"/>
      <c r="G390" s="3"/>
      <c r="H390" s="3"/>
      <c r="I390" s="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3"/>
      <c r="B391" s="3"/>
      <c r="C391" s="3"/>
      <c r="D391" s="3"/>
      <c r="E391" s="3"/>
      <c r="F391" s="3"/>
      <c r="G391" s="3"/>
      <c r="H391" s="3"/>
      <c r="I391" s="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3"/>
      <c r="B392" s="3"/>
      <c r="C392" s="3"/>
      <c r="D392" s="3"/>
      <c r="E392" s="3"/>
      <c r="F392" s="3"/>
      <c r="G392" s="3"/>
      <c r="H392" s="3"/>
      <c r="I392" s="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3"/>
      <c r="B393" s="3"/>
      <c r="C393" s="3"/>
      <c r="D393" s="3"/>
      <c r="E393" s="3"/>
      <c r="F393" s="3"/>
      <c r="G393" s="3"/>
      <c r="H393" s="3"/>
      <c r="I393" s="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3"/>
      <c r="B394" s="3"/>
      <c r="C394" s="3"/>
      <c r="D394" s="3"/>
      <c r="E394" s="3"/>
      <c r="F394" s="3"/>
      <c r="G394" s="3"/>
      <c r="H394" s="3"/>
      <c r="I394" s="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3"/>
      <c r="B395" s="3"/>
      <c r="C395" s="3"/>
      <c r="D395" s="3"/>
      <c r="E395" s="3"/>
      <c r="F395" s="3"/>
      <c r="G395" s="3"/>
      <c r="H395" s="3"/>
      <c r="I395" s="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3"/>
      <c r="B396" s="3"/>
      <c r="C396" s="3"/>
      <c r="D396" s="3"/>
      <c r="E396" s="3"/>
      <c r="F396" s="3"/>
      <c r="G396" s="3"/>
      <c r="H396" s="3"/>
      <c r="I396" s="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3"/>
      <c r="B397" s="3"/>
      <c r="C397" s="3"/>
      <c r="D397" s="3"/>
      <c r="E397" s="3"/>
      <c r="F397" s="3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3"/>
      <c r="B398" s="3"/>
      <c r="C398" s="3"/>
      <c r="D398" s="3"/>
      <c r="E398" s="3"/>
      <c r="F398" s="3"/>
      <c r="G398" s="3"/>
      <c r="H398" s="3"/>
      <c r="I398" s="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3"/>
      <c r="B399" s="3"/>
      <c r="C399" s="3"/>
      <c r="D399" s="3"/>
      <c r="E399" s="3"/>
      <c r="F399" s="3"/>
      <c r="G399" s="3"/>
      <c r="H399" s="3"/>
      <c r="I399" s="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3"/>
      <c r="B400" s="3"/>
      <c r="C400" s="3"/>
      <c r="D400" s="3"/>
      <c r="E400" s="3"/>
      <c r="F400" s="3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3"/>
      <c r="B401" s="3"/>
      <c r="C401" s="3"/>
      <c r="D401" s="3"/>
      <c r="E401" s="3"/>
      <c r="F401" s="3"/>
      <c r="G401" s="3"/>
      <c r="H401" s="3"/>
      <c r="I401" s="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3"/>
      <c r="B402" s="3"/>
      <c r="C402" s="3"/>
      <c r="D402" s="3"/>
      <c r="E402" s="3"/>
      <c r="F402" s="3"/>
      <c r="G402" s="3"/>
      <c r="H402" s="3"/>
      <c r="I402" s="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3"/>
      <c r="B403" s="3"/>
      <c r="C403" s="3"/>
      <c r="D403" s="3"/>
      <c r="E403" s="3"/>
      <c r="F403" s="3"/>
      <c r="G403" s="3"/>
      <c r="H403" s="3"/>
      <c r="I403" s="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3"/>
      <c r="B404" s="3"/>
      <c r="C404" s="3"/>
      <c r="D404" s="3"/>
      <c r="E404" s="3"/>
      <c r="F404" s="3"/>
      <c r="G404" s="3"/>
      <c r="H404" s="3"/>
      <c r="I404" s="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3"/>
      <c r="B405" s="3"/>
      <c r="C405" s="3"/>
      <c r="D405" s="3"/>
      <c r="E405" s="3"/>
      <c r="F405" s="3"/>
      <c r="G405" s="3"/>
      <c r="H405" s="3"/>
      <c r="I405" s="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3"/>
      <c r="B406" s="3"/>
      <c r="C406" s="3"/>
      <c r="D406" s="3"/>
      <c r="E406" s="3"/>
      <c r="F406" s="3"/>
      <c r="G406" s="3"/>
      <c r="H406" s="3"/>
      <c r="I406" s="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3"/>
      <c r="B407" s="3"/>
      <c r="C407" s="3"/>
      <c r="D407" s="3"/>
      <c r="E407" s="3"/>
      <c r="F407" s="3"/>
      <c r="G407" s="3"/>
      <c r="H407" s="3"/>
      <c r="I407" s="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3"/>
      <c r="B408" s="3"/>
      <c r="C408" s="3"/>
      <c r="D408" s="3"/>
      <c r="E408" s="3"/>
      <c r="F408" s="3"/>
      <c r="G408" s="3"/>
      <c r="H408" s="3"/>
      <c r="I408" s="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3"/>
      <c r="B409" s="3"/>
      <c r="C409" s="3"/>
      <c r="D409" s="3"/>
      <c r="E409" s="3"/>
      <c r="F409" s="3"/>
      <c r="G409" s="3"/>
      <c r="H409" s="3"/>
      <c r="I409" s="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3"/>
      <c r="B410" s="3"/>
      <c r="C410" s="3"/>
      <c r="D410" s="3"/>
      <c r="E410" s="3"/>
      <c r="F410" s="3"/>
      <c r="G410" s="3"/>
      <c r="H410" s="3"/>
      <c r="I410" s="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3"/>
      <c r="B411" s="3"/>
      <c r="C411" s="3"/>
      <c r="D411" s="3"/>
      <c r="E411" s="3"/>
      <c r="F411" s="3"/>
      <c r="G411" s="3"/>
      <c r="H411" s="3"/>
      <c r="I411" s="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3"/>
      <c r="B412" s="3"/>
      <c r="C412" s="3"/>
      <c r="D412" s="3"/>
      <c r="E412" s="3"/>
      <c r="F412" s="3"/>
      <c r="G412" s="3"/>
      <c r="H412" s="3"/>
      <c r="I412" s="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3"/>
      <c r="B413" s="3"/>
      <c r="C413" s="3"/>
      <c r="D413" s="3"/>
      <c r="E413" s="3"/>
      <c r="F413" s="3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3"/>
      <c r="B414" s="3"/>
      <c r="C414" s="3"/>
      <c r="D414" s="3"/>
      <c r="E414" s="3"/>
      <c r="F414" s="3"/>
      <c r="G414" s="3"/>
      <c r="H414" s="3"/>
      <c r="I414" s="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3"/>
      <c r="B415" s="3"/>
      <c r="C415" s="3"/>
      <c r="D415" s="3"/>
      <c r="E415" s="3"/>
      <c r="F415" s="3"/>
      <c r="G415" s="3"/>
      <c r="H415" s="3"/>
      <c r="I415" s="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3"/>
      <c r="B416" s="3"/>
      <c r="C416" s="3"/>
      <c r="D416" s="3"/>
      <c r="E416" s="3"/>
      <c r="F416" s="3"/>
      <c r="G416" s="3"/>
      <c r="H416" s="3"/>
      <c r="I416" s="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3"/>
      <c r="B417" s="3"/>
      <c r="C417" s="3"/>
      <c r="D417" s="3"/>
      <c r="E417" s="3"/>
      <c r="F417" s="3"/>
      <c r="G417" s="3"/>
      <c r="H417" s="3"/>
      <c r="I417" s="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3"/>
      <c r="B418" s="3"/>
      <c r="C418" s="3"/>
      <c r="D418" s="3"/>
      <c r="E418" s="3"/>
      <c r="F418" s="3"/>
      <c r="G418" s="3"/>
      <c r="H418" s="3"/>
      <c r="I418" s="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3"/>
      <c r="B419" s="3"/>
      <c r="C419" s="3"/>
      <c r="D419" s="3"/>
      <c r="E419" s="3"/>
      <c r="F419" s="3"/>
      <c r="G419" s="3"/>
      <c r="H419" s="3"/>
      <c r="I419" s="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3"/>
      <c r="B420" s="3"/>
      <c r="C420" s="3"/>
      <c r="D420" s="3"/>
      <c r="E420" s="3"/>
      <c r="F420" s="3"/>
      <c r="G420" s="3"/>
      <c r="H420" s="3"/>
      <c r="I420" s="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3"/>
      <c r="B421" s="3"/>
      <c r="C421" s="3"/>
      <c r="D421" s="3"/>
      <c r="E421" s="3"/>
      <c r="F421" s="3"/>
      <c r="G421" s="3"/>
      <c r="H421" s="3"/>
      <c r="I421" s="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3"/>
      <c r="B422" s="3"/>
      <c r="C422" s="3"/>
      <c r="D422" s="3"/>
      <c r="E422" s="3"/>
      <c r="F422" s="3"/>
      <c r="G422" s="3"/>
      <c r="H422" s="3"/>
      <c r="I422" s="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3"/>
      <c r="B423" s="3"/>
      <c r="C423" s="3"/>
      <c r="D423" s="3"/>
      <c r="E423" s="3"/>
      <c r="F423" s="3"/>
      <c r="G423" s="3"/>
      <c r="H423" s="3"/>
      <c r="I423" s="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3"/>
      <c r="B424" s="3"/>
      <c r="C424" s="3"/>
      <c r="D424" s="3"/>
      <c r="E424" s="3"/>
      <c r="F424" s="3"/>
      <c r="G424" s="3"/>
      <c r="H424" s="3"/>
      <c r="I424" s="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3"/>
      <c r="B425" s="3"/>
      <c r="C425" s="3"/>
      <c r="D425" s="3"/>
      <c r="E425" s="3"/>
      <c r="F425" s="3"/>
      <c r="G425" s="3"/>
      <c r="H425" s="3"/>
      <c r="I425" s="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3"/>
      <c r="B426" s="3"/>
      <c r="C426" s="3"/>
      <c r="D426" s="3"/>
      <c r="E426" s="3"/>
      <c r="F426" s="3"/>
      <c r="G426" s="3"/>
      <c r="H426" s="3"/>
      <c r="I426" s="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3"/>
      <c r="B427" s="3"/>
      <c r="C427" s="3"/>
      <c r="D427" s="3"/>
      <c r="E427" s="3"/>
      <c r="F427" s="3"/>
      <c r="G427" s="3"/>
      <c r="H427" s="3"/>
      <c r="I427" s="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3"/>
      <c r="B428" s="3"/>
      <c r="C428" s="3"/>
      <c r="D428" s="3"/>
      <c r="E428" s="3"/>
      <c r="F428" s="3"/>
      <c r="G428" s="3"/>
      <c r="H428" s="3"/>
      <c r="I428" s="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3"/>
      <c r="B429" s="3"/>
      <c r="C429" s="3"/>
      <c r="D429" s="3"/>
      <c r="E429" s="3"/>
      <c r="F429" s="3"/>
      <c r="G429" s="3"/>
      <c r="H429" s="3"/>
      <c r="I429" s="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3"/>
      <c r="B430" s="3"/>
      <c r="C430" s="3"/>
      <c r="D430" s="3"/>
      <c r="E430" s="3"/>
      <c r="F430" s="3"/>
      <c r="G430" s="3"/>
      <c r="H430" s="3"/>
      <c r="I430" s="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3"/>
      <c r="B431" s="3"/>
      <c r="C431" s="3"/>
      <c r="D431" s="3"/>
      <c r="E431" s="3"/>
      <c r="F431" s="3"/>
      <c r="G431" s="3"/>
      <c r="H431" s="3"/>
      <c r="I431" s="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3"/>
      <c r="B432" s="3"/>
      <c r="C432" s="3"/>
      <c r="D432" s="3"/>
      <c r="E432" s="3"/>
      <c r="F432" s="3"/>
      <c r="G432" s="3"/>
      <c r="H432" s="3"/>
      <c r="I432" s="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3"/>
      <c r="B433" s="3"/>
      <c r="C433" s="3"/>
      <c r="D433" s="3"/>
      <c r="E433" s="3"/>
      <c r="F433" s="3"/>
      <c r="G433" s="3"/>
      <c r="H433" s="3"/>
      <c r="I433" s="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3"/>
      <c r="B434" s="3"/>
      <c r="C434" s="3"/>
      <c r="D434" s="3"/>
      <c r="E434" s="3"/>
      <c r="F434" s="3"/>
      <c r="G434" s="3"/>
      <c r="H434" s="3"/>
      <c r="I434" s="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3"/>
      <c r="B435" s="3"/>
      <c r="C435" s="3"/>
      <c r="D435" s="3"/>
      <c r="E435" s="3"/>
      <c r="F435" s="3"/>
      <c r="G435" s="3"/>
      <c r="H435" s="3"/>
      <c r="I435" s="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3"/>
      <c r="B436" s="3"/>
      <c r="C436" s="3"/>
      <c r="D436" s="3"/>
      <c r="E436" s="3"/>
      <c r="F436" s="3"/>
      <c r="G436" s="3"/>
      <c r="H436" s="3"/>
      <c r="I436" s="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3"/>
      <c r="B437" s="3"/>
      <c r="C437" s="3"/>
      <c r="D437" s="3"/>
      <c r="E437" s="3"/>
      <c r="F437" s="3"/>
      <c r="G437" s="3"/>
      <c r="H437" s="3"/>
      <c r="I437" s="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3"/>
      <c r="B438" s="3"/>
      <c r="C438" s="3"/>
      <c r="D438" s="3"/>
      <c r="E438" s="3"/>
      <c r="F438" s="3"/>
      <c r="G438" s="3"/>
      <c r="H438" s="3"/>
      <c r="I438" s="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3"/>
      <c r="B439" s="3"/>
      <c r="C439" s="3"/>
      <c r="D439" s="3"/>
      <c r="E439" s="3"/>
      <c r="F439" s="3"/>
      <c r="G439" s="3"/>
      <c r="H439" s="3"/>
      <c r="I439" s="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3"/>
      <c r="B440" s="3"/>
      <c r="C440" s="3"/>
      <c r="D440" s="3"/>
      <c r="E440" s="3"/>
      <c r="F440" s="3"/>
      <c r="G440" s="3"/>
      <c r="H440" s="3"/>
      <c r="I440" s="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3"/>
      <c r="B441" s="3"/>
      <c r="C441" s="3"/>
      <c r="D441" s="3"/>
      <c r="E441" s="3"/>
      <c r="F441" s="3"/>
      <c r="G441" s="3"/>
      <c r="H441" s="3"/>
      <c r="I441" s="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3"/>
      <c r="B442" s="3"/>
      <c r="C442" s="3"/>
      <c r="D442" s="3"/>
      <c r="E442" s="3"/>
      <c r="F442" s="3"/>
      <c r="G442" s="3"/>
      <c r="H442" s="3"/>
      <c r="I442" s="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3"/>
      <c r="B443" s="3"/>
      <c r="C443" s="3"/>
      <c r="D443" s="3"/>
      <c r="E443" s="3"/>
      <c r="F443" s="3"/>
      <c r="G443" s="3"/>
      <c r="H443" s="3"/>
      <c r="I443" s="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3"/>
      <c r="B444" s="3"/>
      <c r="C444" s="3"/>
      <c r="D444" s="3"/>
      <c r="E444" s="3"/>
      <c r="F444" s="3"/>
      <c r="G444" s="3"/>
      <c r="H444" s="3"/>
      <c r="I444" s="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3"/>
      <c r="B445" s="3"/>
      <c r="C445" s="3"/>
      <c r="D445" s="3"/>
      <c r="E445" s="3"/>
      <c r="F445" s="3"/>
      <c r="G445" s="3"/>
      <c r="H445" s="3"/>
      <c r="I445" s="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3"/>
      <c r="B446" s="3"/>
      <c r="C446" s="3"/>
      <c r="D446" s="3"/>
      <c r="E446" s="3"/>
      <c r="F446" s="3"/>
      <c r="G446" s="3"/>
      <c r="H446" s="3"/>
      <c r="I446" s="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3"/>
      <c r="B447" s="3"/>
      <c r="C447" s="3"/>
      <c r="D447" s="3"/>
      <c r="E447" s="3"/>
      <c r="F447" s="3"/>
      <c r="G447" s="3"/>
      <c r="H447" s="3"/>
      <c r="I447" s="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3"/>
      <c r="B448" s="3"/>
      <c r="C448" s="3"/>
      <c r="D448" s="3"/>
      <c r="E448" s="3"/>
      <c r="F448" s="3"/>
      <c r="G448" s="3"/>
      <c r="H448" s="3"/>
      <c r="I448" s="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3"/>
      <c r="B449" s="3"/>
      <c r="C449" s="3"/>
      <c r="D449" s="3"/>
      <c r="E449" s="3"/>
      <c r="F449" s="3"/>
      <c r="G449" s="3"/>
      <c r="H449" s="3"/>
      <c r="I449" s="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3"/>
      <c r="B450" s="3"/>
      <c r="C450" s="3"/>
      <c r="D450" s="3"/>
      <c r="E450" s="3"/>
      <c r="F450" s="3"/>
      <c r="G450" s="3"/>
      <c r="H450" s="3"/>
      <c r="I450" s="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3"/>
      <c r="B451" s="3"/>
      <c r="C451" s="3"/>
      <c r="D451" s="3"/>
      <c r="E451" s="3"/>
      <c r="F451" s="3"/>
      <c r="G451" s="3"/>
      <c r="H451" s="3"/>
      <c r="I451" s="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3"/>
      <c r="B452" s="3"/>
      <c r="C452" s="3"/>
      <c r="D452" s="3"/>
      <c r="E452" s="3"/>
      <c r="F452" s="3"/>
      <c r="G452" s="3"/>
      <c r="H452" s="3"/>
      <c r="I452" s="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3"/>
      <c r="B453" s="3"/>
      <c r="C453" s="3"/>
      <c r="D453" s="3"/>
      <c r="E453" s="3"/>
      <c r="F453" s="3"/>
      <c r="G453" s="3"/>
      <c r="H453" s="3"/>
      <c r="I453" s="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3"/>
      <c r="B454" s="3"/>
      <c r="C454" s="3"/>
      <c r="D454" s="3"/>
      <c r="E454" s="3"/>
      <c r="F454" s="3"/>
      <c r="G454" s="3"/>
      <c r="H454" s="3"/>
      <c r="I454" s="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3"/>
      <c r="B455" s="3"/>
      <c r="C455" s="3"/>
      <c r="D455" s="3"/>
      <c r="E455" s="3"/>
      <c r="F455" s="3"/>
      <c r="G455" s="3"/>
      <c r="H455" s="3"/>
      <c r="I455" s="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3"/>
      <c r="B456" s="3"/>
      <c r="C456" s="3"/>
      <c r="D456" s="3"/>
      <c r="E456" s="3"/>
      <c r="F456" s="3"/>
      <c r="G456" s="3"/>
      <c r="H456" s="3"/>
      <c r="I456" s="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3"/>
      <c r="B457" s="3"/>
      <c r="C457" s="3"/>
      <c r="D457" s="3"/>
      <c r="E457" s="3"/>
      <c r="F457" s="3"/>
      <c r="G457" s="3"/>
      <c r="H457" s="3"/>
      <c r="I457" s="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3"/>
      <c r="B458" s="3"/>
      <c r="C458" s="3"/>
      <c r="D458" s="3"/>
      <c r="E458" s="3"/>
      <c r="F458" s="3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3"/>
      <c r="B459" s="3"/>
      <c r="C459" s="3"/>
      <c r="D459" s="3"/>
      <c r="E459" s="3"/>
      <c r="F459" s="3"/>
      <c r="G459" s="3"/>
      <c r="H459" s="3"/>
      <c r="I459" s="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3"/>
      <c r="B460" s="3"/>
      <c r="C460" s="3"/>
      <c r="D460" s="3"/>
      <c r="E460" s="3"/>
      <c r="F460" s="3"/>
      <c r="G460" s="3"/>
      <c r="H460" s="3"/>
      <c r="I460" s="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3"/>
      <c r="B461" s="3"/>
      <c r="C461" s="3"/>
      <c r="D461" s="3"/>
      <c r="E461" s="3"/>
      <c r="F461" s="3"/>
      <c r="G461" s="3"/>
      <c r="H461" s="3"/>
      <c r="I461" s="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3"/>
      <c r="B462" s="3"/>
      <c r="C462" s="3"/>
      <c r="D462" s="3"/>
      <c r="E462" s="3"/>
      <c r="F462" s="3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3"/>
      <c r="B463" s="3"/>
      <c r="C463" s="3"/>
      <c r="D463" s="3"/>
      <c r="E463" s="3"/>
      <c r="F463" s="3"/>
      <c r="G463" s="3"/>
      <c r="H463" s="3"/>
      <c r="I463" s="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3"/>
      <c r="B464" s="3"/>
      <c r="C464" s="3"/>
      <c r="D464" s="3"/>
      <c r="E464" s="3"/>
      <c r="F464" s="3"/>
      <c r="G464" s="3"/>
      <c r="H464" s="3"/>
      <c r="I464" s="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3"/>
      <c r="B465" s="3"/>
      <c r="C465" s="3"/>
      <c r="D465" s="3"/>
      <c r="E465" s="3"/>
      <c r="F465" s="3"/>
      <c r="G465" s="3"/>
      <c r="H465" s="3"/>
      <c r="I465" s="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3"/>
      <c r="B466" s="3"/>
      <c r="C466" s="3"/>
      <c r="D466" s="3"/>
      <c r="E466" s="3"/>
      <c r="F466" s="3"/>
      <c r="G466" s="3"/>
      <c r="H466" s="3"/>
      <c r="I466" s="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3"/>
      <c r="B467" s="3"/>
      <c r="C467" s="3"/>
      <c r="D467" s="3"/>
      <c r="E467" s="3"/>
      <c r="F467" s="3"/>
      <c r="G467" s="3"/>
      <c r="H467" s="3"/>
      <c r="I467" s="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3"/>
      <c r="B468" s="3"/>
      <c r="C468" s="3"/>
      <c r="D468" s="3"/>
      <c r="E468" s="3"/>
      <c r="F468" s="3"/>
      <c r="G468" s="3"/>
      <c r="H468" s="3"/>
      <c r="I468" s="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3"/>
      <c r="B469" s="3"/>
      <c r="C469" s="3"/>
      <c r="D469" s="3"/>
      <c r="E469" s="3"/>
      <c r="F469" s="3"/>
      <c r="G469" s="3"/>
      <c r="H469" s="3"/>
      <c r="I469" s="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3"/>
      <c r="B470" s="3"/>
      <c r="C470" s="3"/>
      <c r="D470" s="3"/>
      <c r="E470" s="3"/>
      <c r="F470" s="3"/>
      <c r="G470" s="3"/>
      <c r="H470" s="3"/>
      <c r="I470" s="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3"/>
      <c r="B471" s="3"/>
      <c r="C471" s="3"/>
      <c r="D471" s="3"/>
      <c r="E471" s="3"/>
      <c r="F471" s="3"/>
      <c r="G471" s="3"/>
      <c r="H471" s="3"/>
      <c r="I471" s="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3"/>
      <c r="B472" s="3"/>
      <c r="C472" s="3"/>
      <c r="D472" s="3"/>
      <c r="E472" s="3"/>
      <c r="F472" s="3"/>
      <c r="G472" s="3"/>
      <c r="H472" s="3"/>
      <c r="I472" s="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3"/>
      <c r="B473" s="3"/>
      <c r="C473" s="3"/>
      <c r="D473" s="3"/>
      <c r="E473" s="3"/>
      <c r="F473" s="3"/>
      <c r="G473" s="3"/>
      <c r="H473" s="3"/>
      <c r="I473" s="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3"/>
      <c r="B474" s="3"/>
      <c r="C474" s="3"/>
      <c r="D474" s="3"/>
      <c r="E474" s="3"/>
      <c r="F474" s="3"/>
      <c r="G474" s="3"/>
      <c r="H474" s="3"/>
      <c r="I474" s="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3"/>
      <c r="B475" s="3"/>
      <c r="C475" s="3"/>
      <c r="D475" s="3"/>
      <c r="E475" s="3"/>
      <c r="F475" s="3"/>
      <c r="G475" s="3"/>
      <c r="H475" s="3"/>
      <c r="I475" s="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3"/>
      <c r="B476" s="3"/>
      <c r="C476" s="3"/>
      <c r="D476" s="3"/>
      <c r="E476" s="3"/>
      <c r="F476" s="3"/>
      <c r="G476" s="3"/>
      <c r="H476" s="3"/>
      <c r="I476" s="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3"/>
      <c r="B477" s="3"/>
      <c r="C477" s="3"/>
      <c r="D477" s="3"/>
      <c r="E477" s="3"/>
      <c r="F477" s="3"/>
      <c r="G477" s="3"/>
      <c r="H477" s="3"/>
      <c r="I477" s="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3"/>
      <c r="B478" s="3"/>
      <c r="C478" s="3"/>
      <c r="D478" s="3"/>
      <c r="E478" s="3"/>
      <c r="F478" s="3"/>
      <c r="G478" s="3"/>
      <c r="H478" s="3"/>
      <c r="I478" s="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3"/>
      <c r="B479" s="3"/>
      <c r="C479" s="3"/>
      <c r="D479" s="3"/>
      <c r="E479" s="3"/>
      <c r="F479" s="3"/>
      <c r="G479" s="3"/>
      <c r="H479" s="3"/>
      <c r="I479" s="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3"/>
      <c r="B480" s="3"/>
      <c r="C480" s="3"/>
      <c r="D480" s="3"/>
      <c r="E480" s="3"/>
      <c r="F480" s="3"/>
      <c r="G480" s="3"/>
      <c r="H480" s="3"/>
      <c r="I480" s="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3"/>
      <c r="B481" s="3"/>
      <c r="C481" s="3"/>
      <c r="D481" s="3"/>
      <c r="E481" s="3"/>
      <c r="F481" s="3"/>
      <c r="G481" s="3"/>
      <c r="H481" s="3"/>
      <c r="I481" s="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3"/>
      <c r="B482" s="3"/>
      <c r="C482" s="3"/>
      <c r="D482" s="3"/>
      <c r="E482" s="3"/>
      <c r="F482" s="3"/>
      <c r="G482" s="3"/>
      <c r="H482" s="3"/>
      <c r="I482" s="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3"/>
      <c r="B483" s="3"/>
      <c r="C483" s="3"/>
      <c r="D483" s="3"/>
      <c r="E483" s="3"/>
      <c r="F483" s="3"/>
      <c r="G483" s="3"/>
      <c r="H483" s="3"/>
      <c r="I483" s="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3"/>
      <c r="B484" s="3"/>
      <c r="C484" s="3"/>
      <c r="D484" s="3"/>
      <c r="E484" s="3"/>
      <c r="F484" s="3"/>
      <c r="G484" s="3"/>
      <c r="H484" s="3"/>
      <c r="I484" s="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3"/>
      <c r="B485" s="3"/>
      <c r="C485" s="3"/>
      <c r="D485" s="3"/>
      <c r="E485" s="3"/>
      <c r="F485" s="3"/>
      <c r="G485" s="3"/>
      <c r="H485" s="3"/>
      <c r="I485" s="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3"/>
      <c r="B486" s="3"/>
      <c r="C486" s="3"/>
      <c r="D486" s="3"/>
      <c r="E486" s="3"/>
      <c r="F486" s="3"/>
      <c r="G486" s="3"/>
      <c r="H486" s="3"/>
      <c r="I486" s="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3"/>
      <c r="B487" s="3"/>
      <c r="C487" s="3"/>
      <c r="D487" s="3"/>
      <c r="E487" s="3"/>
      <c r="F487" s="3"/>
      <c r="G487" s="3"/>
      <c r="H487" s="3"/>
      <c r="I487" s="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3"/>
      <c r="B488" s="3"/>
      <c r="C488" s="3"/>
      <c r="D488" s="3"/>
      <c r="E488" s="3"/>
      <c r="F488" s="3"/>
      <c r="G488" s="3"/>
      <c r="H488" s="3"/>
      <c r="I488" s="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3"/>
      <c r="B489" s="3"/>
      <c r="C489" s="3"/>
      <c r="D489" s="3"/>
      <c r="E489" s="3"/>
      <c r="F489" s="3"/>
      <c r="G489" s="3"/>
      <c r="H489" s="3"/>
      <c r="I489" s="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3"/>
      <c r="B490" s="3"/>
      <c r="C490" s="3"/>
      <c r="D490" s="3"/>
      <c r="E490" s="3"/>
      <c r="F490" s="3"/>
      <c r="G490" s="3"/>
      <c r="H490" s="3"/>
      <c r="I490" s="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3"/>
      <c r="B491" s="3"/>
      <c r="C491" s="3"/>
      <c r="D491" s="3"/>
      <c r="E491" s="3"/>
      <c r="F491" s="3"/>
      <c r="G491" s="3"/>
      <c r="H491" s="3"/>
      <c r="I491" s="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3"/>
      <c r="B492" s="3"/>
      <c r="C492" s="3"/>
      <c r="D492" s="3"/>
      <c r="E492" s="3"/>
      <c r="F492" s="3"/>
      <c r="G492" s="3"/>
      <c r="H492" s="3"/>
      <c r="I492" s="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3"/>
      <c r="B493" s="3"/>
      <c r="C493" s="3"/>
      <c r="D493" s="3"/>
      <c r="E493" s="3"/>
      <c r="F493" s="3"/>
      <c r="G493" s="3"/>
      <c r="H493" s="3"/>
      <c r="I493" s="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3"/>
      <c r="B494" s="3"/>
      <c r="C494" s="3"/>
      <c r="D494" s="3"/>
      <c r="E494" s="3"/>
      <c r="F494" s="3"/>
      <c r="G494" s="3"/>
      <c r="H494" s="3"/>
      <c r="I494" s="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3"/>
      <c r="B495" s="3"/>
      <c r="C495" s="3"/>
      <c r="D495" s="3"/>
      <c r="E495" s="3"/>
      <c r="F495" s="3"/>
      <c r="G495" s="3"/>
      <c r="H495" s="3"/>
      <c r="I495" s="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3"/>
      <c r="B496" s="3"/>
      <c r="C496" s="3"/>
      <c r="D496" s="3"/>
      <c r="E496" s="3"/>
      <c r="F496" s="3"/>
      <c r="G496" s="3"/>
      <c r="H496" s="3"/>
      <c r="I496" s="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3"/>
      <c r="B497" s="3"/>
      <c r="C497" s="3"/>
      <c r="D497" s="3"/>
      <c r="E497" s="3"/>
      <c r="F497" s="3"/>
      <c r="G497" s="3"/>
      <c r="H497" s="3"/>
      <c r="I497" s="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3"/>
      <c r="B498" s="3"/>
      <c r="C498" s="3"/>
      <c r="D498" s="3"/>
      <c r="E498" s="3"/>
      <c r="F498" s="3"/>
      <c r="G498" s="3"/>
      <c r="H498" s="3"/>
      <c r="I498" s="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3"/>
      <c r="B499" s="3"/>
      <c r="C499" s="3"/>
      <c r="D499" s="3"/>
      <c r="E499" s="3"/>
      <c r="F499" s="3"/>
      <c r="G499" s="3"/>
      <c r="H499" s="3"/>
      <c r="I499" s="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3"/>
      <c r="B500" s="3"/>
      <c r="C500" s="3"/>
      <c r="D500" s="3"/>
      <c r="E500" s="3"/>
      <c r="F500" s="3"/>
      <c r="G500" s="3"/>
      <c r="H500" s="3"/>
      <c r="I500" s="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3"/>
      <c r="B501" s="3"/>
      <c r="C501" s="3"/>
      <c r="D501" s="3"/>
      <c r="E501" s="3"/>
      <c r="F501" s="3"/>
      <c r="G501" s="3"/>
      <c r="H501" s="3"/>
      <c r="I501" s="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3"/>
      <c r="B502" s="3"/>
      <c r="C502" s="3"/>
      <c r="D502" s="3"/>
      <c r="E502" s="3"/>
      <c r="F502" s="3"/>
      <c r="G502" s="3"/>
      <c r="H502" s="3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3"/>
      <c r="B503" s="3"/>
      <c r="C503" s="3"/>
      <c r="D503" s="3"/>
      <c r="E503" s="3"/>
      <c r="F503" s="3"/>
      <c r="G503" s="3"/>
      <c r="H503" s="3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3"/>
      <c r="B504" s="3"/>
      <c r="C504" s="3"/>
      <c r="D504" s="3"/>
      <c r="E504" s="3"/>
      <c r="F504" s="3"/>
      <c r="G504" s="3"/>
      <c r="H504" s="3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3"/>
      <c r="B505" s="3"/>
      <c r="C505" s="3"/>
      <c r="D505" s="3"/>
      <c r="E505" s="3"/>
      <c r="F505" s="3"/>
      <c r="G505" s="3"/>
      <c r="H505" s="3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3"/>
      <c r="B506" s="3"/>
      <c r="C506" s="3"/>
      <c r="D506" s="3"/>
      <c r="E506" s="3"/>
      <c r="F506" s="3"/>
      <c r="G506" s="3"/>
      <c r="H506" s="3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3"/>
      <c r="B507" s="3"/>
      <c r="C507" s="3"/>
      <c r="D507" s="3"/>
      <c r="E507" s="3"/>
      <c r="F507" s="3"/>
      <c r="G507" s="3"/>
      <c r="H507" s="3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3"/>
      <c r="B508" s="3"/>
      <c r="C508" s="3"/>
      <c r="D508" s="3"/>
      <c r="E508" s="3"/>
      <c r="F508" s="3"/>
      <c r="G508" s="3"/>
      <c r="H508" s="3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3"/>
      <c r="B509" s="3"/>
      <c r="C509" s="3"/>
      <c r="D509" s="3"/>
      <c r="E509" s="3"/>
      <c r="F509" s="3"/>
      <c r="G509" s="3"/>
      <c r="H509" s="3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3"/>
      <c r="B510" s="3"/>
      <c r="C510" s="3"/>
      <c r="D510" s="3"/>
      <c r="E510" s="3"/>
      <c r="F510" s="3"/>
      <c r="G510" s="3"/>
      <c r="H510" s="3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3"/>
      <c r="B511" s="3"/>
      <c r="C511" s="3"/>
      <c r="D511" s="3"/>
      <c r="E511" s="3"/>
      <c r="F511" s="3"/>
      <c r="G511" s="3"/>
      <c r="H511" s="3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3"/>
      <c r="B512" s="3"/>
      <c r="C512" s="3"/>
      <c r="D512" s="3"/>
      <c r="E512" s="3"/>
      <c r="F512" s="3"/>
      <c r="G512" s="3"/>
      <c r="H512" s="3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3"/>
      <c r="B513" s="3"/>
      <c r="C513" s="3"/>
      <c r="D513" s="3"/>
      <c r="E513" s="3"/>
      <c r="F513" s="3"/>
      <c r="G513" s="3"/>
      <c r="H513" s="3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3"/>
      <c r="B514" s="3"/>
      <c r="C514" s="3"/>
      <c r="D514" s="3"/>
      <c r="E514" s="3"/>
      <c r="F514" s="3"/>
      <c r="G514" s="3"/>
      <c r="H514" s="3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3"/>
      <c r="B515" s="3"/>
      <c r="C515" s="3"/>
      <c r="D515" s="3"/>
      <c r="E515" s="3"/>
      <c r="F515" s="3"/>
      <c r="G515" s="3"/>
      <c r="H515" s="3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3"/>
      <c r="B516" s="3"/>
      <c r="C516" s="3"/>
      <c r="D516" s="3"/>
      <c r="E516" s="3"/>
      <c r="F516" s="3"/>
      <c r="G516" s="3"/>
      <c r="H516" s="3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3"/>
      <c r="B517" s="3"/>
      <c r="C517" s="3"/>
      <c r="D517" s="3"/>
      <c r="E517" s="3"/>
      <c r="F517" s="3"/>
      <c r="G517" s="3"/>
      <c r="H517" s="3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3"/>
      <c r="B518" s="3"/>
      <c r="C518" s="3"/>
      <c r="D518" s="3"/>
      <c r="E518" s="3"/>
      <c r="F518" s="3"/>
      <c r="G518" s="3"/>
      <c r="H518" s="3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3"/>
      <c r="B519" s="3"/>
      <c r="C519" s="3"/>
      <c r="D519" s="3"/>
      <c r="E519" s="3"/>
      <c r="F519" s="3"/>
      <c r="G519" s="3"/>
      <c r="H519" s="3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3"/>
      <c r="B520" s="3"/>
      <c r="C520" s="3"/>
      <c r="D520" s="3"/>
      <c r="E520" s="3"/>
      <c r="F520" s="3"/>
      <c r="G520" s="3"/>
      <c r="H520" s="3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3"/>
      <c r="B521" s="3"/>
      <c r="C521" s="3"/>
      <c r="D521" s="3"/>
      <c r="E521" s="3"/>
      <c r="F521" s="3"/>
      <c r="G521" s="3"/>
      <c r="H521" s="3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3"/>
      <c r="B522" s="3"/>
      <c r="C522" s="3"/>
      <c r="D522" s="3"/>
      <c r="E522" s="3"/>
      <c r="F522" s="3"/>
      <c r="G522" s="3"/>
      <c r="H522" s="3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3"/>
      <c r="B523" s="3"/>
      <c r="C523" s="3"/>
      <c r="D523" s="3"/>
      <c r="E523" s="3"/>
      <c r="F523" s="3"/>
      <c r="G523" s="3"/>
      <c r="H523" s="3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3"/>
      <c r="B524" s="3"/>
      <c r="C524" s="3"/>
      <c r="D524" s="3"/>
      <c r="E524" s="3"/>
      <c r="F524" s="3"/>
      <c r="G524" s="3"/>
      <c r="H524" s="3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3"/>
      <c r="B525" s="3"/>
      <c r="C525" s="3"/>
      <c r="D525" s="3"/>
      <c r="E525" s="3"/>
      <c r="F525" s="3"/>
      <c r="G525" s="3"/>
      <c r="H525" s="3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3"/>
      <c r="B526" s="3"/>
      <c r="C526" s="3"/>
      <c r="D526" s="3"/>
      <c r="E526" s="3"/>
      <c r="F526" s="3"/>
      <c r="G526" s="3"/>
      <c r="H526" s="3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3"/>
      <c r="B527" s="3"/>
      <c r="C527" s="3"/>
      <c r="D527" s="3"/>
      <c r="E527" s="3"/>
      <c r="F527" s="3"/>
      <c r="G527" s="3"/>
      <c r="H527" s="3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3"/>
      <c r="B528" s="3"/>
      <c r="C528" s="3"/>
      <c r="D528" s="3"/>
      <c r="E528" s="3"/>
      <c r="F528" s="3"/>
      <c r="G528" s="3"/>
      <c r="H528" s="3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3"/>
      <c r="B529" s="3"/>
      <c r="C529" s="3"/>
      <c r="D529" s="3"/>
      <c r="E529" s="3"/>
      <c r="F529" s="3"/>
      <c r="G529" s="3"/>
      <c r="H529" s="3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3"/>
      <c r="B530" s="3"/>
      <c r="C530" s="3"/>
      <c r="D530" s="3"/>
      <c r="E530" s="3"/>
      <c r="F530" s="3"/>
      <c r="G530" s="3"/>
      <c r="H530" s="3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3"/>
      <c r="B531" s="3"/>
      <c r="C531" s="3"/>
      <c r="D531" s="3"/>
      <c r="E531" s="3"/>
      <c r="F531" s="3"/>
      <c r="G531" s="3"/>
      <c r="H531" s="3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3"/>
      <c r="B532" s="3"/>
      <c r="C532" s="3"/>
      <c r="D532" s="3"/>
      <c r="E532" s="3"/>
      <c r="F532" s="3"/>
      <c r="G532" s="3"/>
      <c r="H532" s="3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3"/>
      <c r="B533" s="3"/>
      <c r="C533" s="3"/>
      <c r="D533" s="3"/>
      <c r="E533" s="3"/>
      <c r="F533" s="3"/>
      <c r="G533" s="3"/>
      <c r="H533" s="3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3"/>
      <c r="B534" s="3"/>
      <c r="C534" s="3"/>
      <c r="D534" s="3"/>
      <c r="E534" s="3"/>
      <c r="F534" s="3"/>
      <c r="G534" s="3"/>
      <c r="H534" s="3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3"/>
      <c r="B535" s="3"/>
      <c r="C535" s="3"/>
      <c r="D535" s="3"/>
      <c r="E535" s="3"/>
      <c r="F535" s="3"/>
      <c r="G535" s="3"/>
      <c r="H535" s="3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3"/>
      <c r="B536" s="3"/>
      <c r="C536" s="3"/>
      <c r="D536" s="3"/>
      <c r="E536" s="3"/>
      <c r="F536" s="3"/>
      <c r="G536" s="3"/>
      <c r="H536" s="3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3"/>
      <c r="B537" s="3"/>
      <c r="C537" s="3"/>
      <c r="D537" s="3"/>
      <c r="E537" s="3"/>
      <c r="F537" s="3"/>
      <c r="G537" s="3"/>
      <c r="H537" s="3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3"/>
      <c r="B538" s="3"/>
      <c r="C538" s="3"/>
      <c r="D538" s="3"/>
      <c r="E538" s="3"/>
      <c r="F538" s="3"/>
      <c r="G538" s="3"/>
      <c r="H538" s="3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3"/>
      <c r="B539" s="3"/>
      <c r="C539" s="3"/>
      <c r="D539" s="3"/>
      <c r="E539" s="3"/>
      <c r="F539" s="3"/>
      <c r="G539" s="3"/>
      <c r="H539" s="3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3"/>
      <c r="B540" s="3"/>
      <c r="C540" s="3"/>
      <c r="D540" s="3"/>
      <c r="E540" s="3"/>
      <c r="F540" s="3"/>
      <c r="G540" s="3"/>
      <c r="H540" s="3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3"/>
      <c r="B541" s="3"/>
      <c r="C541" s="3"/>
      <c r="D541" s="3"/>
      <c r="E541" s="3"/>
      <c r="F541" s="3"/>
      <c r="G541" s="3"/>
      <c r="H541" s="3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3"/>
      <c r="B542" s="3"/>
      <c r="C542" s="3"/>
      <c r="D542" s="3"/>
      <c r="E542" s="3"/>
      <c r="F542" s="3"/>
      <c r="G542" s="3"/>
      <c r="H542" s="3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3"/>
      <c r="B543" s="3"/>
      <c r="C543" s="3"/>
      <c r="D543" s="3"/>
      <c r="E543" s="3"/>
      <c r="F543" s="3"/>
      <c r="G543" s="3"/>
      <c r="H543" s="3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3"/>
      <c r="B544" s="3"/>
      <c r="C544" s="3"/>
      <c r="D544" s="3"/>
      <c r="E544" s="3"/>
      <c r="F544" s="3"/>
      <c r="G544" s="3"/>
      <c r="H544" s="3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3"/>
      <c r="B545" s="3"/>
      <c r="C545" s="3"/>
      <c r="D545" s="3"/>
      <c r="E545" s="3"/>
      <c r="F545" s="3"/>
      <c r="G545" s="3"/>
      <c r="H545" s="3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3"/>
      <c r="B546" s="3"/>
      <c r="C546" s="3"/>
      <c r="D546" s="3"/>
      <c r="E546" s="3"/>
      <c r="F546" s="3"/>
      <c r="G546" s="3"/>
      <c r="H546" s="3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3"/>
      <c r="B547" s="3"/>
      <c r="C547" s="3"/>
      <c r="D547" s="3"/>
      <c r="E547" s="3"/>
      <c r="F547" s="3"/>
      <c r="G547" s="3"/>
      <c r="H547" s="3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3"/>
      <c r="B548" s="3"/>
      <c r="C548" s="3"/>
      <c r="D548" s="3"/>
      <c r="E548" s="3"/>
      <c r="F548" s="3"/>
      <c r="G548" s="3"/>
      <c r="H548" s="3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3"/>
      <c r="B549" s="3"/>
      <c r="C549" s="3"/>
      <c r="D549" s="3"/>
      <c r="E549" s="3"/>
      <c r="F549" s="3"/>
      <c r="G549" s="3"/>
      <c r="H549" s="3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3"/>
      <c r="B550" s="3"/>
      <c r="C550" s="3"/>
      <c r="D550" s="3"/>
      <c r="E550" s="3"/>
      <c r="F550" s="3"/>
      <c r="G550" s="3"/>
      <c r="H550" s="3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3"/>
      <c r="B551" s="3"/>
      <c r="C551" s="3"/>
      <c r="D551" s="3"/>
      <c r="E551" s="3"/>
      <c r="F551" s="3"/>
      <c r="G551" s="3"/>
      <c r="H551" s="3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3"/>
      <c r="B552" s="3"/>
      <c r="C552" s="3"/>
      <c r="D552" s="3"/>
      <c r="E552" s="3"/>
      <c r="F552" s="3"/>
      <c r="G552" s="3"/>
      <c r="H552" s="3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3"/>
      <c r="B553" s="3"/>
      <c r="C553" s="3"/>
      <c r="D553" s="3"/>
      <c r="E553" s="3"/>
      <c r="F553" s="3"/>
      <c r="G553" s="3"/>
      <c r="H553" s="3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3"/>
      <c r="B554" s="3"/>
      <c r="C554" s="3"/>
      <c r="D554" s="3"/>
      <c r="E554" s="3"/>
      <c r="F554" s="3"/>
      <c r="G554" s="3"/>
      <c r="H554" s="3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3"/>
      <c r="B555" s="3"/>
      <c r="C555" s="3"/>
      <c r="D555" s="3"/>
      <c r="E555" s="3"/>
      <c r="F555" s="3"/>
      <c r="G555" s="3"/>
      <c r="H555" s="3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3"/>
      <c r="B556" s="3"/>
      <c r="C556" s="3"/>
      <c r="D556" s="3"/>
      <c r="E556" s="3"/>
      <c r="F556" s="3"/>
      <c r="G556" s="3"/>
      <c r="H556" s="3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3"/>
      <c r="B557" s="3"/>
      <c r="C557" s="3"/>
      <c r="D557" s="3"/>
      <c r="E557" s="3"/>
      <c r="F557" s="3"/>
      <c r="G557" s="3"/>
      <c r="H557" s="3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3"/>
      <c r="B558" s="3"/>
      <c r="C558" s="3"/>
      <c r="D558" s="3"/>
      <c r="E558" s="3"/>
      <c r="F558" s="3"/>
      <c r="G558" s="3"/>
      <c r="H558" s="3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3"/>
      <c r="B559" s="3"/>
      <c r="C559" s="3"/>
      <c r="D559" s="3"/>
      <c r="E559" s="3"/>
      <c r="F559" s="3"/>
      <c r="G559" s="3"/>
      <c r="H559" s="3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3"/>
      <c r="B560" s="3"/>
      <c r="C560" s="3"/>
      <c r="D560" s="3"/>
      <c r="E560" s="3"/>
      <c r="F560" s="3"/>
      <c r="G560" s="3"/>
      <c r="H560" s="3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3"/>
      <c r="B561" s="3"/>
      <c r="C561" s="3"/>
      <c r="D561" s="3"/>
      <c r="E561" s="3"/>
      <c r="F561" s="3"/>
      <c r="G561" s="3"/>
      <c r="H561" s="3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3"/>
      <c r="B562" s="3"/>
      <c r="C562" s="3"/>
      <c r="D562" s="3"/>
      <c r="E562" s="3"/>
      <c r="F562" s="3"/>
      <c r="G562" s="3"/>
      <c r="H562" s="3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3"/>
      <c r="B563" s="3"/>
      <c r="C563" s="3"/>
      <c r="D563" s="3"/>
      <c r="E563" s="3"/>
      <c r="F563" s="3"/>
      <c r="G563" s="3"/>
      <c r="H563" s="3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3"/>
      <c r="B564" s="3"/>
      <c r="C564" s="3"/>
      <c r="D564" s="3"/>
      <c r="E564" s="3"/>
      <c r="F564" s="3"/>
      <c r="G564" s="3"/>
      <c r="H564" s="3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3"/>
      <c r="B565" s="3"/>
      <c r="C565" s="3"/>
      <c r="D565" s="3"/>
      <c r="E565" s="3"/>
      <c r="F565" s="3"/>
      <c r="G565" s="3"/>
      <c r="H565" s="3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3"/>
      <c r="B566" s="3"/>
      <c r="C566" s="3"/>
      <c r="D566" s="3"/>
      <c r="E566" s="3"/>
      <c r="F566" s="3"/>
      <c r="G566" s="3"/>
      <c r="H566" s="3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3"/>
      <c r="B567" s="3"/>
      <c r="C567" s="3"/>
      <c r="D567" s="3"/>
      <c r="E567" s="3"/>
      <c r="F567" s="3"/>
      <c r="G567" s="3"/>
      <c r="H567" s="3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3"/>
      <c r="B568" s="3"/>
      <c r="C568" s="3"/>
      <c r="D568" s="3"/>
      <c r="E568" s="3"/>
      <c r="F568" s="3"/>
      <c r="G568" s="3"/>
      <c r="H568" s="3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3"/>
      <c r="B569" s="3"/>
      <c r="C569" s="3"/>
      <c r="D569" s="3"/>
      <c r="E569" s="3"/>
      <c r="F569" s="3"/>
      <c r="G569" s="3"/>
      <c r="H569" s="3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3"/>
      <c r="B570" s="3"/>
      <c r="C570" s="3"/>
      <c r="D570" s="3"/>
      <c r="E570" s="3"/>
      <c r="F570" s="3"/>
      <c r="G570" s="3"/>
      <c r="H570" s="3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3"/>
      <c r="B571" s="3"/>
      <c r="C571" s="3"/>
      <c r="D571" s="3"/>
      <c r="E571" s="3"/>
      <c r="F571" s="3"/>
      <c r="G571" s="3"/>
      <c r="H571" s="3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3"/>
      <c r="B572" s="3"/>
      <c r="C572" s="3"/>
      <c r="D572" s="3"/>
      <c r="E572" s="3"/>
      <c r="F572" s="3"/>
      <c r="G572" s="3"/>
      <c r="H572" s="3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3"/>
      <c r="B573" s="3"/>
      <c r="C573" s="3"/>
      <c r="D573" s="3"/>
      <c r="E573" s="3"/>
      <c r="F573" s="3"/>
      <c r="G573" s="3"/>
      <c r="H573" s="3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3"/>
      <c r="B574" s="3"/>
      <c r="C574" s="3"/>
      <c r="D574" s="3"/>
      <c r="E574" s="3"/>
      <c r="F574" s="3"/>
      <c r="G574" s="3"/>
      <c r="H574" s="3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3"/>
      <c r="B575" s="3"/>
      <c r="C575" s="3"/>
      <c r="D575" s="3"/>
      <c r="E575" s="3"/>
      <c r="F575" s="3"/>
      <c r="G575" s="3"/>
      <c r="H575" s="3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3"/>
      <c r="B576" s="3"/>
      <c r="C576" s="3"/>
      <c r="D576" s="3"/>
      <c r="E576" s="3"/>
      <c r="F576" s="3"/>
      <c r="G576" s="3"/>
      <c r="H576" s="3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3"/>
      <c r="B577" s="3"/>
      <c r="C577" s="3"/>
      <c r="D577" s="3"/>
      <c r="E577" s="3"/>
      <c r="F577" s="3"/>
      <c r="G577" s="3"/>
      <c r="H577" s="3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3"/>
      <c r="B578" s="3"/>
      <c r="C578" s="3"/>
      <c r="D578" s="3"/>
      <c r="E578" s="3"/>
      <c r="F578" s="3"/>
      <c r="G578" s="3"/>
      <c r="H578" s="3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3"/>
      <c r="B579" s="3"/>
      <c r="C579" s="3"/>
      <c r="D579" s="3"/>
      <c r="E579" s="3"/>
      <c r="F579" s="3"/>
      <c r="G579" s="3"/>
      <c r="H579" s="3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3"/>
      <c r="B580" s="3"/>
      <c r="C580" s="3"/>
      <c r="D580" s="3"/>
      <c r="E580" s="3"/>
      <c r="F580" s="3"/>
      <c r="G580" s="3"/>
      <c r="H580" s="3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3"/>
      <c r="B581" s="3"/>
      <c r="C581" s="3"/>
      <c r="D581" s="3"/>
      <c r="E581" s="3"/>
      <c r="F581" s="3"/>
      <c r="G581" s="3"/>
      <c r="H581" s="3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3"/>
      <c r="B582" s="3"/>
      <c r="C582" s="3"/>
      <c r="D582" s="3"/>
      <c r="E582" s="3"/>
      <c r="F582" s="3"/>
      <c r="G582" s="3"/>
      <c r="H582" s="3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3"/>
      <c r="B583" s="3"/>
      <c r="C583" s="3"/>
      <c r="D583" s="3"/>
      <c r="E583" s="3"/>
      <c r="F583" s="3"/>
      <c r="G583" s="3"/>
      <c r="H583" s="3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3"/>
      <c r="B584" s="3"/>
      <c r="C584" s="3"/>
      <c r="D584" s="3"/>
      <c r="E584" s="3"/>
      <c r="F584" s="3"/>
      <c r="G584" s="3"/>
      <c r="H584" s="3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3"/>
      <c r="B585" s="3"/>
      <c r="C585" s="3"/>
      <c r="D585" s="3"/>
      <c r="E585" s="3"/>
      <c r="F585" s="3"/>
      <c r="G585" s="3"/>
      <c r="H585" s="3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3"/>
      <c r="B586" s="3"/>
      <c r="C586" s="3"/>
      <c r="D586" s="3"/>
      <c r="E586" s="3"/>
      <c r="F586" s="3"/>
      <c r="G586" s="3"/>
      <c r="H586" s="3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3"/>
      <c r="B587" s="3"/>
      <c r="C587" s="3"/>
      <c r="D587" s="3"/>
      <c r="E587" s="3"/>
      <c r="F587" s="3"/>
      <c r="G587" s="3"/>
      <c r="H587" s="3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3"/>
      <c r="B588" s="3"/>
      <c r="C588" s="3"/>
      <c r="D588" s="3"/>
      <c r="E588" s="3"/>
      <c r="F588" s="3"/>
      <c r="G588" s="3"/>
      <c r="H588" s="3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3"/>
      <c r="B589" s="3"/>
      <c r="C589" s="3"/>
      <c r="D589" s="3"/>
      <c r="E589" s="3"/>
      <c r="F589" s="3"/>
      <c r="G589" s="3"/>
      <c r="H589" s="3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3"/>
      <c r="B590" s="3"/>
      <c r="C590" s="3"/>
      <c r="D590" s="3"/>
      <c r="E590" s="3"/>
      <c r="F590" s="3"/>
      <c r="G590" s="3"/>
      <c r="H590" s="3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3"/>
      <c r="B591" s="3"/>
      <c r="C591" s="3"/>
      <c r="D591" s="3"/>
      <c r="E591" s="3"/>
      <c r="F591" s="3"/>
      <c r="G591" s="3"/>
      <c r="H591" s="3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3"/>
      <c r="B592" s="3"/>
      <c r="C592" s="3"/>
      <c r="D592" s="3"/>
      <c r="E592" s="3"/>
      <c r="F592" s="3"/>
      <c r="G592" s="3"/>
      <c r="H592" s="3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3"/>
      <c r="B593" s="3"/>
      <c r="C593" s="3"/>
      <c r="D593" s="3"/>
      <c r="E593" s="3"/>
      <c r="F593" s="3"/>
      <c r="G593" s="3"/>
      <c r="H593" s="3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3"/>
      <c r="B594" s="3"/>
      <c r="C594" s="3"/>
      <c r="D594" s="3"/>
      <c r="E594" s="3"/>
      <c r="F594" s="3"/>
      <c r="G594" s="3"/>
      <c r="H594" s="3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3"/>
      <c r="B595" s="3"/>
      <c r="C595" s="3"/>
      <c r="D595" s="3"/>
      <c r="E595" s="3"/>
      <c r="F595" s="3"/>
      <c r="G595" s="3"/>
      <c r="H595" s="3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3"/>
      <c r="B596" s="3"/>
      <c r="C596" s="3"/>
      <c r="D596" s="3"/>
      <c r="E596" s="3"/>
      <c r="F596" s="3"/>
      <c r="G596" s="3"/>
      <c r="H596" s="3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3"/>
      <c r="B597" s="3"/>
      <c r="C597" s="3"/>
      <c r="D597" s="3"/>
      <c r="E597" s="3"/>
      <c r="F597" s="3"/>
      <c r="G597" s="3"/>
      <c r="H597" s="3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3"/>
      <c r="B598" s="3"/>
      <c r="C598" s="3"/>
      <c r="D598" s="3"/>
      <c r="E598" s="3"/>
      <c r="F598" s="3"/>
      <c r="G598" s="3"/>
      <c r="H598" s="3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3"/>
      <c r="B599" s="3"/>
      <c r="C599" s="3"/>
      <c r="D599" s="3"/>
      <c r="E599" s="3"/>
      <c r="F599" s="3"/>
      <c r="G599" s="3"/>
      <c r="H599" s="3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3"/>
      <c r="B600" s="3"/>
      <c r="C600" s="3"/>
      <c r="D600" s="3"/>
      <c r="E600" s="3"/>
      <c r="F600" s="3"/>
      <c r="G600" s="3"/>
      <c r="H600" s="3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3"/>
      <c r="B601" s="3"/>
      <c r="C601" s="3"/>
      <c r="D601" s="3"/>
      <c r="E601" s="3"/>
      <c r="F601" s="3"/>
      <c r="G601" s="3"/>
      <c r="H601" s="3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3"/>
      <c r="B602" s="3"/>
      <c r="C602" s="3"/>
      <c r="D602" s="3"/>
      <c r="E602" s="3"/>
      <c r="F602" s="3"/>
      <c r="G602" s="3"/>
      <c r="H602" s="3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3"/>
      <c r="B603" s="3"/>
      <c r="C603" s="3"/>
      <c r="D603" s="3"/>
      <c r="E603" s="3"/>
      <c r="F603" s="3"/>
      <c r="G603" s="3"/>
      <c r="H603" s="3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3"/>
      <c r="B604" s="3"/>
      <c r="C604" s="3"/>
      <c r="D604" s="3"/>
      <c r="E604" s="3"/>
      <c r="F604" s="3"/>
      <c r="G604" s="3"/>
      <c r="H604" s="3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3"/>
      <c r="B605" s="3"/>
      <c r="C605" s="3"/>
      <c r="D605" s="3"/>
      <c r="E605" s="3"/>
      <c r="F605" s="3"/>
      <c r="G605" s="3"/>
      <c r="H605" s="3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3"/>
      <c r="B606" s="3"/>
      <c r="C606" s="3"/>
      <c r="D606" s="3"/>
      <c r="E606" s="3"/>
      <c r="F606" s="3"/>
      <c r="G606" s="3"/>
      <c r="H606" s="3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3"/>
      <c r="B607" s="3"/>
      <c r="C607" s="3"/>
      <c r="D607" s="3"/>
      <c r="E607" s="3"/>
      <c r="F607" s="3"/>
      <c r="G607" s="3"/>
      <c r="H607" s="3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3"/>
      <c r="B608" s="3"/>
      <c r="C608" s="3"/>
      <c r="D608" s="3"/>
      <c r="E608" s="3"/>
      <c r="F608" s="3"/>
      <c r="G608" s="3"/>
      <c r="H608" s="3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3"/>
      <c r="B609" s="3"/>
      <c r="C609" s="3"/>
      <c r="D609" s="3"/>
      <c r="E609" s="3"/>
      <c r="F609" s="3"/>
      <c r="G609" s="3"/>
      <c r="H609" s="3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3"/>
      <c r="B610" s="3"/>
      <c r="C610" s="3"/>
      <c r="D610" s="3"/>
      <c r="E610" s="3"/>
      <c r="F610" s="3"/>
      <c r="G610" s="3"/>
      <c r="H610" s="3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3"/>
      <c r="B611" s="3"/>
      <c r="C611" s="3"/>
      <c r="D611" s="3"/>
      <c r="E611" s="3"/>
      <c r="F611" s="3"/>
      <c r="G611" s="3"/>
      <c r="H611" s="3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3"/>
      <c r="B612" s="3"/>
      <c r="C612" s="3"/>
      <c r="D612" s="3"/>
      <c r="E612" s="3"/>
      <c r="F612" s="3"/>
      <c r="G612" s="3"/>
      <c r="H612" s="3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3"/>
      <c r="B613" s="3"/>
      <c r="C613" s="3"/>
      <c r="D613" s="3"/>
      <c r="E613" s="3"/>
      <c r="F613" s="3"/>
      <c r="G613" s="3"/>
      <c r="H613" s="3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3"/>
      <c r="B614" s="3"/>
      <c r="C614" s="3"/>
      <c r="D614" s="3"/>
      <c r="E614" s="3"/>
      <c r="F614" s="3"/>
      <c r="G614" s="3"/>
      <c r="H614" s="3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3"/>
      <c r="B615" s="3"/>
      <c r="C615" s="3"/>
      <c r="D615" s="3"/>
      <c r="E615" s="3"/>
      <c r="F615" s="3"/>
      <c r="G615" s="3"/>
      <c r="H615" s="3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3"/>
      <c r="B616" s="3"/>
      <c r="C616" s="3"/>
      <c r="D616" s="3"/>
      <c r="E616" s="3"/>
      <c r="F616" s="3"/>
      <c r="G616" s="3"/>
      <c r="H616" s="3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3"/>
      <c r="B617" s="3"/>
      <c r="C617" s="3"/>
      <c r="D617" s="3"/>
      <c r="E617" s="3"/>
      <c r="F617" s="3"/>
      <c r="G617" s="3"/>
      <c r="H617" s="3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3"/>
      <c r="B618" s="3"/>
      <c r="C618" s="3"/>
      <c r="D618" s="3"/>
      <c r="E618" s="3"/>
      <c r="F618" s="3"/>
      <c r="G618" s="3"/>
      <c r="H618" s="3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3"/>
      <c r="B619" s="3"/>
      <c r="C619" s="3"/>
      <c r="D619" s="3"/>
      <c r="E619" s="3"/>
      <c r="F619" s="3"/>
      <c r="G619" s="3"/>
      <c r="H619" s="3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3"/>
      <c r="B620" s="3"/>
      <c r="C620" s="3"/>
      <c r="D620" s="3"/>
      <c r="E620" s="3"/>
      <c r="F620" s="3"/>
      <c r="G620" s="3"/>
      <c r="H620" s="3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3"/>
      <c r="B621" s="3"/>
      <c r="C621" s="3"/>
      <c r="D621" s="3"/>
      <c r="E621" s="3"/>
      <c r="F621" s="3"/>
      <c r="G621" s="3"/>
      <c r="H621" s="3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3"/>
      <c r="B622" s="3"/>
      <c r="C622" s="3"/>
      <c r="D622" s="3"/>
      <c r="E622" s="3"/>
      <c r="F622" s="3"/>
      <c r="G622" s="3"/>
      <c r="H622" s="3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3"/>
      <c r="B623" s="3"/>
      <c r="C623" s="3"/>
      <c r="D623" s="3"/>
      <c r="E623" s="3"/>
      <c r="F623" s="3"/>
      <c r="G623" s="3"/>
      <c r="H623" s="3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3"/>
      <c r="B624" s="3"/>
      <c r="C624" s="3"/>
      <c r="D624" s="3"/>
      <c r="E624" s="3"/>
      <c r="F624" s="3"/>
      <c r="G624" s="3"/>
      <c r="H624" s="3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3"/>
      <c r="B625" s="3"/>
      <c r="C625" s="3"/>
      <c r="D625" s="3"/>
      <c r="E625" s="3"/>
      <c r="F625" s="3"/>
      <c r="G625" s="3"/>
      <c r="H625" s="3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3"/>
      <c r="B626" s="3"/>
      <c r="C626" s="3"/>
      <c r="D626" s="3"/>
      <c r="E626" s="3"/>
      <c r="F626" s="3"/>
      <c r="G626" s="3"/>
      <c r="H626" s="3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3"/>
      <c r="B627" s="3"/>
      <c r="C627" s="3"/>
      <c r="D627" s="3"/>
      <c r="E627" s="3"/>
      <c r="F627" s="3"/>
      <c r="G627" s="3"/>
      <c r="H627" s="3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3"/>
      <c r="B628" s="3"/>
      <c r="C628" s="3"/>
      <c r="D628" s="3"/>
      <c r="E628" s="3"/>
      <c r="F628" s="3"/>
      <c r="G628" s="3"/>
      <c r="H628" s="3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3"/>
      <c r="B629" s="3"/>
      <c r="C629" s="3"/>
      <c r="D629" s="3"/>
      <c r="E629" s="3"/>
      <c r="F629" s="3"/>
      <c r="G629" s="3"/>
      <c r="H629" s="3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3"/>
      <c r="B630" s="3"/>
      <c r="C630" s="3"/>
      <c r="D630" s="3"/>
      <c r="E630" s="3"/>
      <c r="F630" s="3"/>
      <c r="G630" s="3"/>
      <c r="H630" s="3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3"/>
      <c r="B631" s="3"/>
      <c r="C631" s="3"/>
      <c r="D631" s="3"/>
      <c r="E631" s="3"/>
      <c r="F631" s="3"/>
      <c r="G631" s="3"/>
      <c r="H631" s="3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3"/>
      <c r="B632" s="3"/>
      <c r="C632" s="3"/>
      <c r="D632" s="3"/>
      <c r="E632" s="3"/>
      <c r="F632" s="3"/>
      <c r="G632" s="3"/>
      <c r="H632" s="3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3"/>
      <c r="B633" s="3"/>
      <c r="C633" s="3"/>
      <c r="D633" s="3"/>
      <c r="E633" s="3"/>
      <c r="F633" s="3"/>
      <c r="G633" s="3"/>
      <c r="H633" s="3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3"/>
      <c r="B634" s="3"/>
      <c r="C634" s="3"/>
      <c r="D634" s="3"/>
      <c r="E634" s="3"/>
      <c r="F634" s="3"/>
      <c r="G634" s="3"/>
      <c r="H634" s="3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3"/>
      <c r="B635" s="3"/>
      <c r="C635" s="3"/>
      <c r="D635" s="3"/>
      <c r="E635" s="3"/>
      <c r="F635" s="3"/>
      <c r="G635" s="3"/>
      <c r="H635" s="3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3"/>
      <c r="B636" s="3"/>
      <c r="C636" s="3"/>
      <c r="D636" s="3"/>
      <c r="E636" s="3"/>
      <c r="F636" s="3"/>
      <c r="G636" s="3"/>
      <c r="H636" s="3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3"/>
      <c r="B637" s="3"/>
      <c r="C637" s="3"/>
      <c r="D637" s="3"/>
      <c r="E637" s="3"/>
      <c r="F637" s="3"/>
      <c r="G637" s="3"/>
      <c r="H637" s="3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3"/>
      <c r="B638" s="3"/>
      <c r="C638" s="3"/>
      <c r="D638" s="3"/>
      <c r="E638" s="3"/>
      <c r="F638" s="3"/>
      <c r="G638" s="3"/>
      <c r="H638" s="3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3"/>
      <c r="B639" s="3"/>
      <c r="C639" s="3"/>
      <c r="D639" s="3"/>
      <c r="E639" s="3"/>
      <c r="F639" s="3"/>
      <c r="G639" s="3"/>
      <c r="H639" s="3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3"/>
      <c r="B640" s="3"/>
      <c r="C640" s="3"/>
      <c r="D640" s="3"/>
      <c r="E640" s="3"/>
      <c r="F640" s="3"/>
      <c r="G640" s="3"/>
      <c r="H640" s="3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3"/>
      <c r="B641" s="3"/>
      <c r="C641" s="3"/>
      <c r="D641" s="3"/>
      <c r="E641" s="3"/>
      <c r="F641" s="3"/>
      <c r="G641" s="3"/>
      <c r="H641" s="3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3"/>
      <c r="B642" s="3"/>
      <c r="C642" s="3"/>
      <c r="D642" s="3"/>
      <c r="E642" s="3"/>
      <c r="F642" s="3"/>
      <c r="G642" s="3"/>
      <c r="H642" s="3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3"/>
      <c r="B643" s="3"/>
      <c r="C643" s="3"/>
      <c r="D643" s="3"/>
      <c r="E643" s="3"/>
      <c r="F643" s="3"/>
      <c r="G643" s="3"/>
      <c r="H643" s="3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3"/>
      <c r="B644" s="3"/>
      <c r="C644" s="3"/>
      <c r="D644" s="3"/>
      <c r="E644" s="3"/>
      <c r="F644" s="3"/>
      <c r="G644" s="3"/>
      <c r="H644" s="3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3"/>
      <c r="B645" s="3"/>
      <c r="C645" s="3"/>
      <c r="D645" s="3"/>
      <c r="E645" s="3"/>
      <c r="F645" s="3"/>
      <c r="G645" s="3"/>
      <c r="H645" s="3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3"/>
      <c r="B646" s="3"/>
      <c r="C646" s="3"/>
      <c r="D646" s="3"/>
      <c r="E646" s="3"/>
      <c r="F646" s="3"/>
      <c r="G646" s="3"/>
      <c r="H646" s="3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3"/>
      <c r="B647" s="3"/>
      <c r="C647" s="3"/>
      <c r="D647" s="3"/>
      <c r="E647" s="3"/>
      <c r="F647" s="3"/>
      <c r="G647" s="3"/>
      <c r="H647" s="3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3"/>
      <c r="B648" s="3"/>
      <c r="C648" s="3"/>
      <c r="D648" s="3"/>
      <c r="E648" s="3"/>
      <c r="F648" s="3"/>
      <c r="G648" s="3"/>
      <c r="H648" s="3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3"/>
      <c r="B649" s="3"/>
      <c r="C649" s="3"/>
      <c r="D649" s="3"/>
      <c r="E649" s="3"/>
      <c r="F649" s="3"/>
      <c r="G649" s="3"/>
      <c r="H649" s="3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3"/>
      <c r="B650" s="3"/>
      <c r="C650" s="3"/>
      <c r="D650" s="3"/>
      <c r="E650" s="3"/>
      <c r="F650" s="3"/>
      <c r="G650" s="3"/>
      <c r="H650" s="3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3"/>
      <c r="B651" s="3"/>
      <c r="C651" s="3"/>
      <c r="D651" s="3"/>
      <c r="E651" s="3"/>
      <c r="F651" s="3"/>
      <c r="G651" s="3"/>
      <c r="H651" s="3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3"/>
      <c r="B652" s="3"/>
      <c r="C652" s="3"/>
      <c r="D652" s="3"/>
      <c r="E652" s="3"/>
      <c r="F652" s="3"/>
      <c r="G652" s="3"/>
      <c r="H652" s="3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3"/>
      <c r="B653" s="3"/>
      <c r="C653" s="3"/>
      <c r="D653" s="3"/>
      <c r="E653" s="3"/>
      <c r="F653" s="3"/>
      <c r="G653" s="3"/>
      <c r="H653" s="3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3"/>
      <c r="B654" s="3"/>
      <c r="C654" s="3"/>
      <c r="D654" s="3"/>
      <c r="E654" s="3"/>
      <c r="F654" s="3"/>
      <c r="G654" s="3"/>
      <c r="H654" s="3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3"/>
      <c r="B655" s="3"/>
      <c r="C655" s="3"/>
      <c r="D655" s="3"/>
      <c r="E655" s="3"/>
      <c r="F655" s="3"/>
      <c r="G655" s="3"/>
      <c r="H655" s="3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3"/>
      <c r="B656" s="3"/>
      <c r="C656" s="3"/>
      <c r="D656" s="3"/>
      <c r="E656" s="3"/>
      <c r="F656" s="3"/>
      <c r="G656" s="3"/>
      <c r="H656" s="3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3"/>
      <c r="B657" s="3"/>
      <c r="C657" s="3"/>
      <c r="D657" s="3"/>
      <c r="E657" s="3"/>
      <c r="F657" s="3"/>
      <c r="G657" s="3"/>
      <c r="H657" s="3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3"/>
      <c r="B658" s="3"/>
      <c r="C658" s="3"/>
      <c r="D658" s="3"/>
      <c r="E658" s="3"/>
      <c r="F658" s="3"/>
      <c r="G658" s="3"/>
      <c r="H658" s="3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3"/>
      <c r="B659" s="3"/>
      <c r="C659" s="3"/>
      <c r="D659" s="3"/>
      <c r="E659" s="3"/>
      <c r="F659" s="3"/>
      <c r="G659" s="3"/>
      <c r="H659" s="3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3"/>
      <c r="B660" s="3"/>
      <c r="C660" s="3"/>
      <c r="D660" s="3"/>
      <c r="E660" s="3"/>
      <c r="F660" s="3"/>
      <c r="G660" s="3"/>
      <c r="H660" s="3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3"/>
      <c r="B661" s="3"/>
      <c r="C661" s="3"/>
      <c r="D661" s="3"/>
      <c r="E661" s="3"/>
      <c r="F661" s="3"/>
      <c r="G661" s="3"/>
      <c r="H661" s="3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3"/>
      <c r="B662" s="3"/>
      <c r="C662" s="3"/>
      <c r="D662" s="3"/>
      <c r="E662" s="3"/>
      <c r="F662" s="3"/>
      <c r="G662" s="3"/>
      <c r="H662" s="3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3"/>
      <c r="B663" s="3"/>
      <c r="C663" s="3"/>
      <c r="D663" s="3"/>
      <c r="E663" s="3"/>
      <c r="F663" s="3"/>
      <c r="G663" s="3"/>
      <c r="H663" s="3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3"/>
      <c r="B664" s="3"/>
      <c r="C664" s="3"/>
      <c r="D664" s="3"/>
      <c r="E664" s="3"/>
      <c r="F664" s="3"/>
      <c r="G664" s="3"/>
      <c r="H664" s="3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3"/>
      <c r="B665" s="3"/>
      <c r="C665" s="3"/>
      <c r="D665" s="3"/>
      <c r="E665" s="3"/>
      <c r="F665" s="3"/>
      <c r="G665" s="3"/>
      <c r="H665" s="3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3"/>
      <c r="B666" s="3"/>
      <c r="C666" s="3"/>
      <c r="D666" s="3"/>
      <c r="E666" s="3"/>
      <c r="F666" s="3"/>
      <c r="G666" s="3"/>
      <c r="H666" s="3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3"/>
      <c r="B667" s="3"/>
      <c r="C667" s="3"/>
      <c r="D667" s="3"/>
      <c r="E667" s="3"/>
      <c r="F667" s="3"/>
      <c r="G667" s="3"/>
      <c r="H667" s="3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3"/>
      <c r="B668" s="3"/>
      <c r="C668" s="3"/>
      <c r="D668" s="3"/>
      <c r="E668" s="3"/>
      <c r="F668" s="3"/>
      <c r="G668" s="3"/>
      <c r="H668" s="3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3"/>
      <c r="B669" s="3"/>
      <c r="C669" s="3"/>
      <c r="D669" s="3"/>
      <c r="E669" s="3"/>
      <c r="F669" s="3"/>
      <c r="G669" s="3"/>
      <c r="H669" s="3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3"/>
      <c r="B670" s="3"/>
      <c r="C670" s="3"/>
      <c r="D670" s="3"/>
      <c r="E670" s="3"/>
      <c r="F670" s="3"/>
      <c r="G670" s="3"/>
      <c r="H670" s="3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3"/>
      <c r="B671" s="3"/>
      <c r="C671" s="3"/>
      <c r="D671" s="3"/>
      <c r="E671" s="3"/>
      <c r="F671" s="3"/>
      <c r="G671" s="3"/>
      <c r="H671" s="3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3"/>
      <c r="B672" s="3"/>
      <c r="C672" s="3"/>
      <c r="D672" s="3"/>
      <c r="E672" s="3"/>
      <c r="F672" s="3"/>
      <c r="G672" s="3"/>
      <c r="H672" s="3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3"/>
      <c r="B673" s="3"/>
      <c r="C673" s="3"/>
      <c r="D673" s="3"/>
      <c r="E673" s="3"/>
      <c r="F673" s="3"/>
      <c r="G673" s="3"/>
      <c r="H673" s="3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3"/>
      <c r="B674" s="3"/>
      <c r="C674" s="3"/>
      <c r="D674" s="3"/>
      <c r="E674" s="3"/>
      <c r="F674" s="3"/>
      <c r="G674" s="3"/>
      <c r="H674" s="3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3"/>
      <c r="B675" s="3"/>
      <c r="C675" s="3"/>
      <c r="D675" s="3"/>
      <c r="E675" s="3"/>
      <c r="F675" s="3"/>
      <c r="G675" s="3"/>
      <c r="H675" s="3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3"/>
      <c r="B676" s="3"/>
      <c r="C676" s="3"/>
      <c r="D676" s="3"/>
      <c r="E676" s="3"/>
      <c r="F676" s="3"/>
      <c r="G676" s="3"/>
      <c r="H676" s="3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3"/>
      <c r="B677" s="3"/>
      <c r="C677" s="3"/>
      <c r="D677" s="3"/>
      <c r="E677" s="3"/>
      <c r="F677" s="3"/>
      <c r="G677" s="3"/>
      <c r="H677" s="3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3"/>
      <c r="B678" s="3"/>
      <c r="C678" s="3"/>
      <c r="D678" s="3"/>
      <c r="E678" s="3"/>
      <c r="F678" s="3"/>
      <c r="G678" s="3"/>
      <c r="H678" s="3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3"/>
      <c r="B679" s="3"/>
      <c r="C679" s="3"/>
      <c r="D679" s="3"/>
      <c r="E679" s="3"/>
      <c r="F679" s="3"/>
      <c r="G679" s="3"/>
      <c r="H679" s="3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3"/>
      <c r="B680" s="3"/>
      <c r="C680" s="3"/>
      <c r="D680" s="3"/>
      <c r="E680" s="3"/>
      <c r="F680" s="3"/>
      <c r="G680" s="3"/>
      <c r="H680" s="3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3"/>
      <c r="B681" s="3"/>
      <c r="C681" s="3"/>
      <c r="D681" s="3"/>
      <c r="E681" s="3"/>
      <c r="F681" s="3"/>
      <c r="G681" s="3"/>
      <c r="H681" s="3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3"/>
      <c r="B682" s="3"/>
      <c r="C682" s="3"/>
      <c r="D682" s="3"/>
      <c r="E682" s="3"/>
      <c r="F682" s="3"/>
      <c r="G682" s="3"/>
      <c r="H682" s="3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3"/>
      <c r="B683" s="3"/>
      <c r="C683" s="3"/>
      <c r="D683" s="3"/>
      <c r="E683" s="3"/>
      <c r="F683" s="3"/>
      <c r="G683" s="3"/>
      <c r="H683" s="3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3"/>
      <c r="B684" s="3"/>
      <c r="C684" s="3"/>
      <c r="D684" s="3"/>
      <c r="E684" s="3"/>
      <c r="F684" s="3"/>
      <c r="G684" s="3"/>
      <c r="H684" s="3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3"/>
      <c r="B685" s="3"/>
      <c r="C685" s="3"/>
      <c r="D685" s="3"/>
      <c r="E685" s="3"/>
      <c r="F685" s="3"/>
      <c r="G685" s="3"/>
      <c r="H685" s="3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3"/>
      <c r="B686" s="3"/>
      <c r="C686" s="3"/>
      <c r="D686" s="3"/>
      <c r="E686" s="3"/>
      <c r="F686" s="3"/>
      <c r="G686" s="3"/>
      <c r="H686" s="3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3"/>
      <c r="B687" s="3"/>
      <c r="C687" s="3"/>
      <c r="D687" s="3"/>
      <c r="E687" s="3"/>
      <c r="F687" s="3"/>
      <c r="G687" s="3"/>
      <c r="H687" s="3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3"/>
      <c r="B688" s="3"/>
      <c r="C688" s="3"/>
      <c r="D688" s="3"/>
      <c r="E688" s="3"/>
      <c r="F688" s="3"/>
      <c r="G688" s="3"/>
      <c r="H688" s="3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3"/>
      <c r="B689" s="3"/>
      <c r="C689" s="3"/>
      <c r="D689" s="3"/>
      <c r="E689" s="3"/>
      <c r="F689" s="3"/>
      <c r="G689" s="3"/>
      <c r="H689" s="3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3"/>
      <c r="B690" s="3"/>
      <c r="C690" s="3"/>
      <c r="D690" s="3"/>
      <c r="E690" s="3"/>
      <c r="F690" s="3"/>
      <c r="G690" s="3"/>
      <c r="H690" s="3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3"/>
      <c r="B691" s="3"/>
      <c r="C691" s="3"/>
      <c r="D691" s="3"/>
      <c r="E691" s="3"/>
      <c r="F691" s="3"/>
      <c r="G691" s="3"/>
      <c r="H691" s="3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3"/>
      <c r="B692" s="3"/>
      <c r="C692" s="3"/>
      <c r="D692" s="3"/>
      <c r="E692" s="3"/>
      <c r="F692" s="3"/>
      <c r="G692" s="3"/>
      <c r="H692" s="3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3"/>
      <c r="B693" s="3"/>
      <c r="C693" s="3"/>
      <c r="D693" s="3"/>
      <c r="E693" s="3"/>
      <c r="F693" s="3"/>
      <c r="G693" s="3"/>
      <c r="H693" s="3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3"/>
      <c r="B694" s="3"/>
      <c r="C694" s="3"/>
      <c r="D694" s="3"/>
      <c r="E694" s="3"/>
      <c r="F694" s="3"/>
      <c r="G694" s="3"/>
      <c r="H694" s="3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3"/>
      <c r="B695" s="3"/>
      <c r="C695" s="3"/>
      <c r="D695" s="3"/>
      <c r="E695" s="3"/>
      <c r="F695" s="3"/>
      <c r="G695" s="3"/>
      <c r="H695" s="3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3"/>
      <c r="B696" s="3"/>
      <c r="C696" s="3"/>
      <c r="D696" s="3"/>
      <c r="E696" s="3"/>
      <c r="F696" s="3"/>
      <c r="G696" s="3"/>
      <c r="H696" s="3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3"/>
      <c r="B697" s="3"/>
      <c r="C697" s="3"/>
      <c r="D697" s="3"/>
      <c r="E697" s="3"/>
      <c r="F697" s="3"/>
      <c r="G697" s="3"/>
      <c r="H697" s="3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3"/>
      <c r="B698" s="3"/>
      <c r="C698" s="3"/>
      <c r="D698" s="3"/>
      <c r="E698" s="3"/>
      <c r="F698" s="3"/>
      <c r="G698" s="3"/>
      <c r="H698" s="3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3"/>
      <c r="B699" s="3"/>
      <c r="C699" s="3"/>
      <c r="D699" s="3"/>
      <c r="E699" s="3"/>
      <c r="F699" s="3"/>
      <c r="G699" s="3"/>
      <c r="H699" s="3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3"/>
      <c r="B700" s="3"/>
      <c r="C700" s="3"/>
      <c r="D700" s="3"/>
      <c r="E700" s="3"/>
      <c r="F700" s="3"/>
      <c r="G700" s="3"/>
      <c r="H700" s="3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3"/>
      <c r="B701" s="3"/>
      <c r="C701" s="3"/>
      <c r="D701" s="3"/>
      <c r="E701" s="3"/>
      <c r="F701" s="3"/>
      <c r="G701" s="3"/>
      <c r="H701" s="3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3"/>
      <c r="B702" s="3"/>
      <c r="C702" s="3"/>
      <c r="D702" s="3"/>
      <c r="E702" s="3"/>
      <c r="F702" s="3"/>
      <c r="G702" s="3"/>
      <c r="H702" s="3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3"/>
      <c r="B703" s="3"/>
      <c r="C703" s="3"/>
      <c r="D703" s="3"/>
      <c r="E703" s="3"/>
      <c r="F703" s="3"/>
      <c r="G703" s="3"/>
      <c r="H703" s="3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3"/>
      <c r="B704" s="3"/>
      <c r="C704" s="3"/>
      <c r="D704" s="3"/>
      <c r="E704" s="3"/>
      <c r="F704" s="3"/>
      <c r="G704" s="3"/>
      <c r="H704" s="3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3"/>
      <c r="B705" s="3"/>
      <c r="C705" s="3"/>
      <c r="D705" s="3"/>
      <c r="E705" s="3"/>
      <c r="F705" s="3"/>
      <c r="G705" s="3"/>
      <c r="H705" s="3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3"/>
      <c r="B706" s="3"/>
      <c r="C706" s="3"/>
      <c r="D706" s="3"/>
      <c r="E706" s="3"/>
      <c r="F706" s="3"/>
      <c r="G706" s="3"/>
      <c r="H706" s="3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3"/>
      <c r="B707" s="3"/>
      <c r="C707" s="3"/>
      <c r="D707" s="3"/>
      <c r="E707" s="3"/>
      <c r="F707" s="3"/>
      <c r="G707" s="3"/>
      <c r="H707" s="3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3"/>
      <c r="B708" s="3"/>
      <c r="C708" s="3"/>
      <c r="D708" s="3"/>
      <c r="E708" s="3"/>
      <c r="F708" s="3"/>
      <c r="G708" s="3"/>
      <c r="H708" s="3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3"/>
      <c r="B709" s="3"/>
      <c r="C709" s="3"/>
      <c r="D709" s="3"/>
      <c r="E709" s="3"/>
      <c r="F709" s="3"/>
      <c r="G709" s="3"/>
      <c r="H709" s="3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3"/>
      <c r="B710" s="3"/>
      <c r="C710" s="3"/>
      <c r="D710" s="3"/>
      <c r="E710" s="3"/>
      <c r="F710" s="3"/>
      <c r="G710" s="3"/>
      <c r="H710" s="3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3"/>
      <c r="B711" s="3"/>
      <c r="C711" s="3"/>
      <c r="D711" s="3"/>
      <c r="E711" s="3"/>
      <c r="F711" s="3"/>
      <c r="G711" s="3"/>
      <c r="H711" s="3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3"/>
      <c r="B712" s="3"/>
      <c r="C712" s="3"/>
      <c r="D712" s="3"/>
      <c r="E712" s="3"/>
      <c r="F712" s="3"/>
      <c r="G712" s="3"/>
      <c r="H712" s="3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3"/>
      <c r="B713" s="3"/>
      <c r="C713" s="3"/>
      <c r="D713" s="3"/>
      <c r="E713" s="3"/>
      <c r="F713" s="3"/>
      <c r="G713" s="3"/>
      <c r="H713" s="3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3"/>
      <c r="B714" s="3"/>
      <c r="C714" s="3"/>
      <c r="D714" s="3"/>
      <c r="E714" s="3"/>
      <c r="F714" s="3"/>
      <c r="G714" s="3"/>
      <c r="H714" s="3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3"/>
      <c r="B715" s="3"/>
      <c r="C715" s="3"/>
      <c r="D715" s="3"/>
      <c r="E715" s="3"/>
      <c r="F715" s="3"/>
      <c r="G715" s="3"/>
      <c r="H715" s="3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3"/>
      <c r="B716" s="3"/>
      <c r="C716" s="3"/>
      <c r="D716" s="3"/>
      <c r="E716" s="3"/>
      <c r="F716" s="3"/>
      <c r="G716" s="3"/>
      <c r="H716" s="3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3"/>
      <c r="B717" s="3"/>
      <c r="C717" s="3"/>
      <c r="D717" s="3"/>
      <c r="E717" s="3"/>
      <c r="F717" s="3"/>
      <c r="G717" s="3"/>
      <c r="H717" s="3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3"/>
      <c r="B718" s="3"/>
      <c r="C718" s="3"/>
      <c r="D718" s="3"/>
      <c r="E718" s="3"/>
      <c r="F718" s="3"/>
      <c r="G718" s="3"/>
      <c r="H718" s="3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3"/>
      <c r="B719" s="3"/>
      <c r="C719" s="3"/>
      <c r="D719" s="3"/>
      <c r="E719" s="3"/>
      <c r="F719" s="3"/>
      <c r="G719" s="3"/>
      <c r="H719" s="3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3"/>
      <c r="B720" s="3"/>
      <c r="C720" s="3"/>
      <c r="D720" s="3"/>
      <c r="E720" s="3"/>
      <c r="F720" s="3"/>
      <c r="G720" s="3"/>
      <c r="H720" s="3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3"/>
      <c r="B721" s="3"/>
      <c r="C721" s="3"/>
      <c r="D721" s="3"/>
      <c r="E721" s="3"/>
      <c r="F721" s="3"/>
      <c r="G721" s="3"/>
      <c r="H721" s="3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3"/>
      <c r="B722" s="3"/>
      <c r="C722" s="3"/>
      <c r="D722" s="3"/>
      <c r="E722" s="3"/>
      <c r="F722" s="3"/>
      <c r="G722" s="3"/>
      <c r="H722" s="3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3"/>
      <c r="B723" s="3"/>
      <c r="C723" s="3"/>
      <c r="D723" s="3"/>
      <c r="E723" s="3"/>
      <c r="F723" s="3"/>
      <c r="G723" s="3"/>
      <c r="H723" s="3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3"/>
      <c r="B724" s="3"/>
      <c r="C724" s="3"/>
      <c r="D724" s="3"/>
      <c r="E724" s="3"/>
      <c r="F724" s="3"/>
      <c r="G724" s="3"/>
      <c r="H724" s="3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3"/>
      <c r="B725" s="3"/>
      <c r="C725" s="3"/>
      <c r="D725" s="3"/>
      <c r="E725" s="3"/>
      <c r="F725" s="3"/>
      <c r="G725" s="3"/>
      <c r="H725" s="3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3"/>
      <c r="B726" s="3"/>
      <c r="C726" s="3"/>
      <c r="D726" s="3"/>
      <c r="E726" s="3"/>
      <c r="F726" s="3"/>
      <c r="G726" s="3"/>
      <c r="H726" s="3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3"/>
      <c r="B727" s="3"/>
      <c r="C727" s="3"/>
      <c r="D727" s="3"/>
      <c r="E727" s="3"/>
      <c r="F727" s="3"/>
      <c r="G727" s="3"/>
      <c r="H727" s="3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3"/>
      <c r="B728" s="3"/>
      <c r="C728" s="3"/>
      <c r="D728" s="3"/>
      <c r="E728" s="3"/>
      <c r="F728" s="3"/>
      <c r="G728" s="3"/>
      <c r="H728" s="3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3"/>
      <c r="B729" s="3"/>
      <c r="C729" s="3"/>
      <c r="D729" s="3"/>
      <c r="E729" s="3"/>
      <c r="F729" s="3"/>
      <c r="G729" s="3"/>
      <c r="H729" s="3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3"/>
      <c r="B730" s="3"/>
      <c r="C730" s="3"/>
      <c r="D730" s="3"/>
      <c r="E730" s="3"/>
      <c r="F730" s="3"/>
      <c r="G730" s="3"/>
      <c r="H730" s="3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3"/>
      <c r="B731" s="3"/>
      <c r="C731" s="3"/>
      <c r="D731" s="3"/>
      <c r="E731" s="3"/>
      <c r="F731" s="3"/>
      <c r="G731" s="3"/>
      <c r="H731" s="3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3"/>
      <c r="B732" s="3"/>
      <c r="C732" s="3"/>
      <c r="D732" s="3"/>
      <c r="E732" s="3"/>
      <c r="F732" s="3"/>
      <c r="G732" s="3"/>
      <c r="H732" s="3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3"/>
      <c r="B733" s="3"/>
      <c r="C733" s="3"/>
      <c r="D733" s="3"/>
      <c r="E733" s="3"/>
      <c r="F733" s="3"/>
      <c r="G733" s="3"/>
      <c r="H733" s="3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3"/>
      <c r="B734" s="3"/>
      <c r="C734" s="3"/>
      <c r="D734" s="3"/>
      <c r="E734" s="3"/>
      <c r="F734" s="3"/>
      <c r="G734" s="3"/>
      <c r="H734" s="3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3"/>
      <c r="B735" s="3"/>
      <c r="C735" s="3"/>
      <c r="D735" s="3"/>
      <c r="E735" s="3"/>
      <c r="F735" s="3"/>
      <c r="G735" s="3"/>
      <c r="H735" s="3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3"/>
      <c r="B736" s="3"/>
      <c r="C736" s="3"/>
      <c r="D736" s="3"/>
      <c r="E736" s="3"/>
      <c r="F736" s="3"/>
      <c r="G736" s="3"/>
      <c r="H736" s="3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3"/>
      <c r="B737" s="3"/>
      <c r="C737" s="3"/>
      <c r="D737" s="3"/>
      <c r="E737" s="3"/>
      <c r="F737" s="3"/>
      <c r="G737" s="3"/>
      <c r="H737" s="3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3"/>
      <c r="B738" s="3"/>
      <c r="C738" s="3"/>
      <c r="D738" s="3"/>
      <c r="E738" s="3"/>
      <c r="F738" s="3"/>
      <c r="G738" s="3"/>
      <c r="H738" s="3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3"/>
      <c r="B739" s="3"/>
      <c r="C739" s="3"/>
      <c r="D739" s="3"/>
      <c r="E739" s="3"/>
      <c r="F739" s="3"/>
      <c r="G739" s="3"/>
      <c r="H739" s="3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3"/>
      <c r="B740" s="3"/>
      <c r="C740" s="3"/>
      <c r="D740" s="3"/>
      <c r="E740" s="3"/>
      <c r="F740" s="3"/>
      <c r="G740" s="3"/>
      <c r="H740" s="3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3"/>
      <c r="B741" s="3"/>
      <c r="C741" s="3"/>
      <c r="D741" s="3"/>
      <c r="E741" s="3"/>
      <c r="F741" s="3"/>
      <c r="G741" s="3"/>
      <c r="H741" s="3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3"/>
      <c r="B742" s="3"/>
      <c r="C742" s="3"/>
      <c r="D742" s="3"/>
      <c r="E742" s="3"/>
      <c r="F742" s="3"/>
      <c r="G742" s="3"/>
      <c r="H742" s="3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3"/>
      <c r="B743" s="3"/>
      <c r="C743" s="3"/>
      <c r="D743" s="3"/>
      <c r="E743" s="3"/>
      <c r="F743" s="3"/>
      <c r="G743" s="3"/>
      <c r="H743" s="3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3"/>
      <c r="B744" s="3"/>
      <c r="C744" s="3"/>
      <c r="D744" s="3"/>
      <c r="E744" s="3"/>
      <c r="F744" s="3"/>
      <c r="G744" s="3"/>
      <c r="H744" s="3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3"/>
      <c r="B745" s="3"/>
      <c r="C745" s="3"/>
      <c r="D745" s="3"/>
      <c r="E745" s="3"/>
      <c r="F745" s="3"/>
      <c r="G745" s="3"/>
      <c r="H745" s="3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3"/>
      <c r="B746" s="3"/>
      <c r="C746" s="3"/>
      <c r="D746" s="3"/>
      <c r="E746" s="3"/>
      <c r="F746" s="3"/>
      <c r="G746" s="3"/>
      <c r="H746" s="3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3"/>
      <c r="B747" s="3"/>
      <c r="C747" s="3"/>
      <c r="D747" s="3"/>
      <c r="E747" s="3"/>
      <c r="F747" s="3"/>
      <c r="G747" s="3"/>
      <c r="H747" s="3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3"/>
      <c r="B748" s="3"/>
      <c r="C748" s="3"/>
      <c r="D748" s="3"/>
      <c r="E748" s="3"/>
      <c r="F748" s="3"/>
      <c r="G748" s="3"/>
      <c r="H748" s="3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3"/>
      <c r="B749" s="3"/>
      <c r="C749" s="3"/>
      <c r="D749" s="3"/>
      <c r="E749" s="3"/>
      <c r="F749" s="3"/>
      <c r="G749" s="3"/>
      <c r="H749" s="3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3"/>
      <c r="B750" s="3"/>
      <c r="C750" s="3"/>
      <c r="D750" s="3"/>
      <c r="E750" s="3"/>
      <c r="F750" s="3"/>
      <c r="G750" s="3"/>
      <c r="H750" s="3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3"/>
      <c r="B751" s="3"/>
      <c r="C751" s="3"/>
      <c r="D751" s="3"/>
      <c r="E751" s="3"/>
      <c r="F751" s="3"/>
      <c r="G751" s="3"/>
      <c r="H751" s="3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3"/>
      <c r="B752" s="3"/>
      <c r="C752" s="3"/>
      <c r="D752" s="3"/>
      <c r="E752" s="3"/>
      <c r="F752" s="3"/>
      <c r="G752" s="3"/>
      <c r="H752" s="3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3"/>
      <c r="B753" s="3"/>
      <c r="C753" s="3"/>
      <c r="D753" s="3"/>
      <c r="E753" s="3"/>
      <c r="F753" s="3"/>
      <c r="G753" s="3"/>
      <c r="H753" s="3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3"/>
      <c r="B754" s="3"/>
      <c r="C754" s="3"/>
      <c r="D754" s="3"/>
      <c r="E754" s="3"/>
      <c r="F754" s="3"/>
      <c r="G754" s="3"/>
      <c r="H754" s="3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3"/>
      <c r="B755" s="3"/>
      <c r="C755" s="3"/>
      <c r="D755" s="3"/>
      <c r="E755" s="3"/>
      <c r="F755" s="3"/>
      <c r="G755" s="3"/>
      <c r="H755" s="3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3"/>
      <c r="B756" s="3"/>
      <c r="C756" s="3"/>
      <c r="D756" s="3"/>
      <c r="E756" s="3"/>
      <c r="F756" s="3"/>
      <c r="G756" s="3"/>
      <c r="H756" s="3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3"/>
      <c r="B757" s="3"/>
      <c r="C757" s="3"/>
      <c r="D757" s="3"/>
      <c r="E757" s="3"/>
      <c r="F757" s="3"/>
      <c r="G757" s="3"/>
      <c r="H757" s="3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3"/>
      <c r="B758" s="3"/>
      <c r="C758" s="3"/>
      <c r="D758" s="3"/>
      <c r="E758" s="3"/>
      <c r="F758" s="3"/>
      <c r="G758" s="3"/>
      <c r="H758" s="3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3"/>
      <c r="B759" s="3"/>
      <c r="C759" s="3"/>
      <c r="D759" s="3"/>
      <c r="E759" s="3"/>
      <c r="F759" s="3"/>
      <c r="G759" s="3"/>
      <c r="H759" s="3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3"/>
      <c r="B760" s="3"/>
      <c r="C760" s="3"/>
      <c r="D760" s="3"/>
      <c r="E760" s="3"/>
      <c r="F760" s="3"/>
      <c r="G760" s="3"/>
      <c r="H760" s="3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3"/>
      <c r="B761" s="3"/>
      <c r="C761" s="3"/>
      <c r="D761" s="3"/>
      <c r="E761" s="3"/>
      <c r="F761" s="3"/>
      <c r="G761" s="3"/>
      <c r="H761" s="3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3"/>
      <c r="B762" s="3"/>
      <c r="C762" s="3"/>
      <c r="D762" s="3"/>
      <c r="E762" s="3"/>
      <c r="F762" s="3"/>
      <c r="G762" s="3"/>
      <c r="H762" s="3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3"/>
      <c r="B763" s="3"/>
      <c r="C763" s="3"/>
      <c r="D763" s="3"/>
      <c r="E763" s="3"/>
      <c r="F763" s="3"/>
      <c r="G763" s="3"/>
      <c r="H763" s="3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3"/>
      <c r="B764" s="3"/>
      <c r="C764" s="3"/>
      <c r="D764" s="3"/>
      <c r="E764" s="3"/>
      <c r="F764" s="3"/>
      <c r="G764" s="3"/>
      <c r="H764" s="3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3"/>
      <c r="B765" s="3"/>
      <c r="C765" s="3"/>
      <c r="D765" s="3"/>
      <c r="E765" s="3"/>
      <c r="F765" s="3"/>
      <c r="G765" s="3"/>
      <c r="H765" s="3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3"/>
      <c r="B766" s="3"/>
      <c r="C766" s="3"/>
      <c r="D766" s="3"/>
      <c r="E766" s="3"/>
      <c r="F766" s="3"/>
      <c r="G766" s="3"/>
      <c r="H766" s="3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3"/>
      <c r="B767" s="3"/>
      <c r="C767" s="3"/>
      <c r="D767" s="3"/>
      <c r="E767" s="3"/>
      <c r="F767" s="3"/>
      <c r="G767" s="3"/>
      <c r="H767" s="3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3"/>
      <c r="B768" s="3"/>
      <c r="C768" s="3"/>
      <c r="D768" s="3"/>
      <c r="E768" s="3"/>
      <c r="F768" s="3"/>
      <c r="G768" s="3"/>
      <c r="H768" s="3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3"/>
      <c r="B769" s="3"/>
      <c r="C769" s="3"/>
      <c r="D769" s="3"/>
      <c r="E769" s="3"/>
      <c r="F769" s="3"/>
      <c r="G769" s="3"/>
      <c r="H769" s="3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3"/>
      <c r="B770" s="3"/>
      <c r="C770" s="3"/>
      <c r="D770" s="3"/>
      <c r="E770" s="3"/>
      <c r="F770" s="3"/>
      <c r="G770" s="3"/>
      <c r="H770" s="3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3"/>
      <c r="B771" s="3"/>
      <c r="C771" s="3"/>
      <c r="D771" s="3"/>
      <c r="E771" s="3"/>
      <c r="F771" s="3"/>
      <c r="G771" s="3"/>
      <c r="H771" s="3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3"/>
      <c r="B772" s="3"/>
      <c r="C772" s="3"/>
      <c r="D772" s="3"/>
      <c r="E772" s="3"/>
      <c r="F772" s="3"/>
      <c r="G772" s="3"/>
      <c r="H772" s="3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3"/>
      <c r="B773" s="3"/>
      <c r="C773" s="3"/>
      <c r="D773" s="3"/>
      <c r="E773" s="3"/>
      <c r="F773" s="3"/>
      <c r="G773" s="3"/>
      <c r="H773" s="3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3"/>
      <c r="B774" s="3"/>
      <c r="C774" s="3"/>
      <c r="D774" s="3"/>
      <c r="E774" s="3"/>
      <c r="F774" s="3"/>
      <c r="G774" s="3"/>
      <c r="H774" s="3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3"/>
      <c r="B775" s="3"/>
      <c r="C775" s="3"/>
      <c r="D775" s="3"/>
      <c r="E775" s="3"/>
      <c r="F775" s="3"/>
      <c r="G775" s="3"/>
      <c r="H775" s="3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3"/>
      <c r="B776" s="3"/>
      <c r="C776" s="3"/>
      <c r="D776" s="3"/>
      <c r="E776" s="3"/>
      <c r="F776" s="3"/>
      <c r="G776" s="3"/>
      <c r="H776" s="3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3"/>
      <c r="B777" s="3"/>
      <c r="C777" s="3"/>
      <c r="D777" s="3"/>
      <c r="E777" s="3"/>
      <c r="F777" s="3"/>
      <c r="G777" s="3"/>
      <c r="H777" s="3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3"/>
      <c r="B778" s="3"/>
      <c r="C778" s="3"/>
      <c r="D778" s="3"/>
      <c r="E778" s="3"/>
      <c r="F778" s="3"/>
      <c r="G778" s="3"/>
      <c r="H778" s="3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3"/>
      <c r="B779" s="3"/>
      <c r="C779" s="3"/>
      <c r="D779" s="3"/>
      <c r="E779" s="3"/>
      <c r="F779" s="3"/>
      <c r="G779" s="3"/>
      <c r="H779" s="3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3"/>
      <c r="B780" s="3"/>
      <c r="C780" s="3"/>
      <c r="D780" s="3"/>
      <c r="E780" s="3"/>
      <c r="F780" s="3"/>
      <c r="G780" s="3"/>
      <c r="H780" s="3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3"/>
      <c r="B781" s="3"/>
      <c r="C781" s="3"/>
      <c r="D781" s="3"/>
      <c r="E781" s="3"/>
      <c r="F781" s="3"/>
      <c r="G781" s="3"/>
      <c r="H781" s="3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3"/>
      <c r="B782" s="3"/>
      <c r="C782" s="3"/>
      <c r="D782" s="3"/>
      <c r="E782" s="3"/>
      <c r="F782" s="3"/>
      <c r="G782" s="3"/>
      <c r="H782" s="3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3"/>
      <c r="B783" s="3"/>
      <c r="C783" s="3"/>
      <c r="D783" s="3"/>
      <c r="E783" s="3"/>
      <c r="F783" s="3"/>
      <c r="G783" s="3"/>
      <c r="H783" s="3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3"/>
      <c r="B784" s="3"/>
      <c r="C784" s="3"/>
      <c r="D784" s="3"/>
      <c r="E784" s="3"/>
      <c r="F784" s="3"/>
      <c r="G784" s="3"/>
      <c r="H784" s="3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3"/>
      <c r="B785" s="3"/>
      <c r="C785" s="3"/>
      <c r="D785" s="3"/>
      <c r="E785" s="3"/>
      <c r="F785" s="3"/>
      <c r="G785" s="3"/>
      <c r="H785" s="3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3"/>
      <c r="B786" s="3"/>
      <c r="C786" s="3"/>
      <c r="D786" s="3"/>
      <c r="E786" s="3"/>
      <c r="F786" s="3"/>
      <c r="G786" s="3"/>
      <c r="H786" s="3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3"/>
      <c r="B787" s="3"/>
      <c r="C787" s="3"/>
      <c r="D787" s="3"/>
      <c r="E787" s="3"/>
      <c r="F787" s="3"/>
      <c r="G787" s="3"/>
      <c r="H787" s="3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3"/>
      <c r="B788" s="3"/>
      <c r="C788" s="3"/>
      <c r="D788" s="3"/>
      <c r="E788" s="3"/>
      <c r="F788" s="3"/>
      <c r="G788" s="3"/>
      <c r="H788" s="3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3"/>
      <c r="B789" s="3"/>
      <c r="C789" s="3"/>
      <c r="D789" s="3"/>
      <c r="E789" s="3"/>
      <c r="F789" s="3"/>
      <c r="G789" s="3"/>
      <c r="H789" s="3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3"/>
      <c r="B790" s="3"/>
      <c r="C790" s="3"/>
      <c r="D790" s="3"/>
      <c r="E790" s="3"/>
      <c r="F790" s="3"/>
      <c r="G790" s="3"/>
      <c r="H790" s="3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3"/>
      <c r="B791" s="3"/>
      <c r="C791" s="3"/>
      <c r="D791" s="3"/>
      <c r="E791" s="3"/>
      <c r="F791" s="3"/>
      <c r="G791" s="3"/>
      <c r="H791" s="3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3"/>
      <c r="B792" s="3"/>
      <c r="C792" s="3"/>
      <c r="D792" s="3"/>
      <c r="E792" s="3"/>
      <c r="F792" s="3"/>
      <c r="G792" s="3"/>
      <c r="H792" s="3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3"/>
      <c r="B793" s="3"/>
      <c r="C793" s="3"/>
      <c r="D793" s="3"/>
      <c r="E793" s="3"/>
      <c r="F793" s="3"/>
      <c r="G793" s="3"/>
      <c r="H793" s="3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3"/>
      <c r="B794" s="3"/>
      <c r="C794" s="3"/>
      <c r="D794" s="3"/>
      <c r="E794" s="3"/>
      <c r="F794" s="3"/>
      <c r="G794" s="3"/>
      <c r="H794" s="3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3"/>
      <c r="B795" s="3"/>
      <c r="C795" s="3"/>
      <c r="D795" s="3"/>
      <c r="E795" s="3"/>
      <c r="F795" s="3"/>
      <c r="G795" s="3"/>
      <c r="H795" s="3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3"/>
      <c r="B796" s="3"/>
      <c r="C796" s="3"/>
      <c r="D796" s="3"/>
      <c r="E796" s="3"/>
      <c r="F796" s="3"/>
      <c r="G796" s="3"/>
      <c r="H796" s="3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3"/>
      <c r="B797" s="3"/>
      <c r="C797" s="3"/>
      <c r="D797" s="3"/>
      <c r="E797" s="3"/>
      <c r="F797" s="3"/>
      <c r="G797" s="3"/>
      <c r="H797" s="3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3"/>
      <c r="B798" s="3"/>
      <c r="C798" s="3"/>
      <c r="D798" s="3"/>
      <c r="E798" s="3"/>
      <c r="F798" s="3"/>
      <c r="G798" s="3"/>
      <c r="H798" s="3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3"/>
      <c r="B799" s="3"/>
      <c r="C799" s="3"/>
      <c r="D799" s="3"/>
      <c r="E799" s="3"/>
      <c r="F799" s="3"/>
      <c r="G799" s="3"/>
      <c r="H799" s="3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3"/>
      <c r="B800" s="3"/>
      <c r="C800" s="3"/>
      <c r="D800" s="3"/>
      <c r="E800" s="3"/>
      <c r="F800" s="3"/>
      <c r="G800" s="3"/>
      <c r="H800" s="3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3"/>
      <c r="B801" s="3"/>
      <c r="C801" s="3"/>
      <c r="D801" s="3"/>
      <c r="E801" s="3"/>
      <c r="F801" s="3"/>
      <c r="G801" s="3"/>
      <c r="H801" s="3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3"/>
      <c r="B802" s="3"/>
      <c r="C802" s="3"/>
      <c r="D802" s="3"/>
      <c r="E802" s="3"/>
      <c r="F802" s="3"/>
      <c r="G802" s="3"/>
      <c r="H802" s="3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3"/>
      <c r="B803" s="3"/>
      <c r="C803" s="3"/>
      <c r="D803" s="3"/>
      <c r="E803" s="3"/>
      <c r="F803" s="3"/>
      <c r="G803" s="3"/>
      <c r="H803" s="3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3"/>
      <c r="B804" s="3"/>
      <c r="C804" s="3"/>
      <c r="D804" s="3"/>
      <c r="E804" s="3"/>
      <c r="F804" s="3"/>
      <c r="G804" s="3"/>
      <c r="H804" s="3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3"/>
      <c r="B805" s="3"/>
      <c r="C805" s="3"/>
      <c r="D805" s="3"/>
      <c r="E805" s="3"/>
      <c r="F805" s="3"/>
      <c r="G805" s="3"/>
      <c r="H805" s="3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3"/>
      <c r="B806" s="3"/>
      <c r="C806" s="3"/>
      <c r="D806" s="3"/>
      <c r="E806" s="3"/>
      <c r="F806" s="3"/>
      <c r="G806" s="3"/>
      <c r="H806" s="3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3"/>
      <c r="B807" s="3"/>
      <c r="C807" s="3"/>
      <c r="D807" s="3"/>
      <c r="E807" s="3"/>
      <c r="F807" s="3"/>
      <c r="G807" s="3"/>
      <c r="H807" s="3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3"/>
      <c r="B808" s="3"/>
      <c r="C808" s="3"/>
      <c r="D808" s="3"/>
      <c r="E808" s="3"/>
      <c r="F808" s="3"/>
      <c r="G808" s="3"/>
      <c r="H808" s="3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3"/>
      <c r="B809" s="3"/>
      <c r="C809" s="3"/>
      <c r="D809" s="3"/>
      <c r="E809" s="3"/>
      <c r="F809" s="3"/>
      <c r="G809" s="3"/>
      <c r="H809" s="3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3"/>
      <c r="B810" s="3"/>
      <c r="C810" s="3"/>
      <c r="D810" s="3"/>
      <c r="E810" s="3"/>
      <c r="F810" s="3"/>
      <c r="G810" s="3"/>
      <c r="H810" s="3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3"/>
      <c r="B811" s="3"/>
      <c r="C811" s="3"/>
      <c r="D811" s="3"/>
      <c r="E811" s="3"/>
      <c r="F811" s="3"/>
      <c r="G811" s="3"/>
      <c r="H811" s="3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3"/>
      <c r="B812" s="3"/>
      <c r="C812" s="3"/>
      <c r="D812" s="3"/>
      <c r="E812" s="3"/>
      <c r="F812" s="3"/>
      <c r="G812" s="3"/>
      <c r="H812" s="3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3"/>
      <c r="B813" s="3"/>
      <c r="C813" s="3"/>
      <c r="D813" s="3"/>
      <c r="E813" s="3"/>
      <c r="F813" s="3"/>
      <c r="G813" s="3"/>
      <c r="H813" s="3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3"/>
      <c r="B814" s="3"/>
      <c r="C814" s="3"/>
      <c r="D814" s="3"/>
      <c r="E814" s="3"/>
      <c r="F814" s="3"/>
      <c r="G814" s="3"/>
      <c r="H814" s="3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3"/>
      <c r="B815" s="3"/>
      <c r="C815" s="3"/>
      <c r="D815" s="3"/>
      <c r="E815" s="3"/>
      <c r="F815" s="3"/>
      <c r="G815" s="3"/>
      <c r="H815" s="3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3"/>
      <c r="B816" s="3"/>
      <c r="C816" s="3"/>
      <c r="D816" s="3"/>
      <c r="E816" s="3"/>
      <c r="F816" s="3"/>
      <c r="G816" s="3"/>
      <c r="H816" s="3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3"/>
      <c r="B817" s="3"/>
      <c r="C817" s="3"/>
      <c r="D817" s="3"/>
      <c r="E817" s="3"/>
      <c r="F817" s="3"/>
      <c r="G817" s="3"/>
      <c r="H817" s="3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3"/>
      <c r="B818" s="3"/>
      <c r="C818" s="3"/>
      <c r="D818" s="3"/>
      <c r="E818" s="3"/>
      <c r="F818" s="3"/>
      <c r="G818" s="3"/>
      <c r="H818" s="3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3"/>
      <c r="B819" s="3"/>
      <c r="C819" s="3"/>
      <c r="D819" s="3"/>
      <c r="E819" s="3"/>
      <c r="F819" s="3"/>
      <c r="G819" s="3"/>
      <c r="H819" s="3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3"/>
      <c r="B820" s="3"/>
      <c r="C820" s="3"/>
      <c r="D820" s="3"/>
      <c r="E820" s="3"/>
      <c r="F820" s="3"/>
      <c r="G820" s="3"/>
      <c r="H820" s="3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3"/>
      <c r="B821" s="3"/>
      <c r="C821" s="3"/>
      <c r="D821" s="3"/>
      <c r="E821" s="3"/>
      <c r="F821" s="3"/>
      <c r="G821" s="3"/>
      <c r="H821" s="3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3"/>
      <c r="B822" s="3"/>
      <c r="C822" s="3"/>
      <c r="D822" s="3"/>
      <c r="E822" s="3"/>
      <c r="F822" s="3"/>
      <c r="G822" s="3"/>
      <c r="H822" s="3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3"/>
      <c r="B823" s="3"/>
      <c r="C823" s="3"/>
      <c r="D823" s="3"/>
      <c r="E823" s="3"/>
      <c r="F823" s="3"/>
      <c r="G823" s="3"/>
      <c r="H823" s="3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3"/>
      <c r="B824" s="3"/>
      <c r="C824" s="3"/>
      <c r="D824" s="3"/>
      <c r="E824" s="3"/>
      <c r="F824" s="3"/>
      <c r="G824" s="3"/>
      <c r="H824" s="3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3"/>
      <c r="B825" s="3"/>
      <c r="C825" s="3"/>
      <c r="D825" s="3"/>
      <c r="E825" s="3"/>
      <c r="F825" s="3"/>
      <c r="G825" s="3"/>
      <c r="H825" s="3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3"/>
      <c r="B826" s="3"/>
      <c r="C826" s="3"/>
      <c r="D826" s="3"/>
      <c r="E826" s="3"/>
      <c r="F826" s="3"/>
      <c r="G826" s="3"/>
      <c r="H826" s="3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3"/>
      <c r="B827" s="3"/>
      <c r="C827" s="3"/>
      <c r="D827" s="3"/>
      <c r="E827" s="3"/>
      <c r="F827" s="3"/>
      <c r="G827" s="3"/>
      <c r="H827" s="3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3"/>
      <c r="B828" s="3"/>
      <c r="C828" s="3"/>
      <c r="D828" s="3"/>
      <c r="E828" s="3"/>
      <c r="F828" s="3"/>
      <c r="G828" s="3"/>
      <c r="H828" s="3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3"/>
      <c r="B829" s="3"/>
      <c r="C829" s="3"/>
      <c r="D829" s="3"/>
      <c r="E829" s="3"/>
      <c r="F829" s="3"/>
      <c r="G829" s="3"/>
      <c r="H829" s="3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3"/>
      <c r="B830" s="3"/>
      <c r="C830" s="3"/>
      <c r="D830" s="3"/>
      <c r="E830" s="3"/>
      <c r="F830" s="3"/>
      <c r="G830" s="3"/>
      <c r="H830" s="3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3"/>
      <c r="B831" s="3"/>
      <c r="C831" s="3"/>
      <c r="D831" s="3"/>
      <c r="E831" s="3"/>
      <c r="F831" s="3"/>
      <c r="G831" s="3"/>
      <c r="H831" s="3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3"/>
      <c r="B832" s="3"/>
      <c r="C832" s="3"/>
      <c r="D832" s="3"/>
      <c r="E832" s="3"/>
      <c r="F832" s="3"/>
      <c r="G832" s="3"/>
      <c r="H832" s="3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3"/>
      <c r="B833" s="3"/>
      <c r="C833" s="3"/>
      <c r="D833" s="3"/>
      <c r="E833" s="3"/>
      <c r="F833" s="3"/>
      <c r="G833" s="3"/>
      <c r="H833" s="3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3"/>
      <c r="B834" s="3"/>
      <c r="C834" s="3"/>
      <c r="D834" s="3"/>
      <c r="E834" s="3"/>
      <c r="F834" s="3"/>
      <c r="G834" s="3"/>
      <c r="H834" s="3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3"/>
      <c r="B835" s="3"/>
      <c r="C835" s="3"/>
      <c r="D835" s="3"/>
      <c r="E835" s="3"/>
      <c r="F835" s="3"/>
      <c r="G835" s="3"/>
      <c r="H835" s="3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3"/>
      <c r="B836" s="3"/>
      <c r="C836" s="3"/>
      <c r="D836" s="3"/>
      <c r="E836" s="3"/>
      <c r="F836" s="3"/>
      <c r="G836" s="3"/>
      <c r="H836" s="3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3"/>
      <c r="B837" s="3"/>
      <c r="C837" s="3"/>
      <c r="D837" s="3"/>
      <c r="E837" s="3"/>
      <c r="F837" s="3"/>
      <c r="G837" s="3"/>
      <c r="H837" s="3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3"/>
      <c r="B838" s="3"/>
      <c r="C838" s="3"/>
      <c r="D838" s="3"/>
      <c r="E838" s="3"/>
      <c r="F838" s="3"/>
      <c r="G838" s="3"/>
      <c r="H838" s="3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3"/>
      <c r="B839" s="3"/>
      <c r="C839" s="3"/>
      <c r="D839" s="3"/>
      <c r="E839" s="3"/>
      <c r="F839" s="3"/>
      <c r="G839" s="3"/>
      <c r="H839" s="3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3"/>
      <c r="B840" s="3"/>
      <c r="C840" s="3"/>
      <c r="D840" s="3"/>
      <c r="E840" s="3"/>
      <c r="F840" s="3"/>
      <c r="G840" s="3"/>
      <c r="H840" s="3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3"/>
      <c r="B841" s="3"/>
      <c r="C841" s="3"/>
      <c r="D841" s="3"/>
      <c r="E841" s="3"/>
      <c r="F841" s="3"/>
      <c r="G841" s="3"/>
      <c r="H841" s="3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3"/>
      <c r="B842" s="3"/>
      <c r="C842" s="3"/>
      <c r="D842" s="3"/>
      <c r="E842" s="3"/>
      <c r="F842" s="3"/>
      <c r="G842" s="3"/>
      <c r="H842" s="3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3"/>
      <c r="B843" s="3"/>
      <c r="C843" s="3"/>
      <c r="D843" s="3"/>
      <c r="E843" s="3"/>
      <c r="F843" s="3"/>
      <c r="G843" s="3"/>
      <c r="H843" s="3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3"/>
      <c r="B844" s="3"/>
      <c r="C844" s="3"/>
      <c r="D844" s="3"/>
      <c r="E844" s="3"/>
      <c r="F844" s="3"/>
      <c r="G844" s="3"/>
      <c r="H844" s="3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3"/>
      <c r="B845" s="3"/>
      <c r="C845" s="3"/>
      <c r="D845" s="3"/>
      <c r="E845" s="3"/>
      <c r="F845" s="3"/>
      <c r="G845" s="3"/>
      <c r="H845" s="3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3"/>
      <c r="B846" s="3"/>
      <c r="C846" s="3"/>
      <c r="D846" s="3"/>
      <c r="E846" s="3"/>
      <c r="F846" s="3"/>
      <c r="G846" s="3"/>
      <c r="H846" s="3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3"/>
      <c r="B847" s="3"/>
      <c r="C847" s="3"/>
      <c r="D847" s="3"/>
      <c r="E847" s="3"/>
      <c r="F847" s="3"/>
      <c r="G847" s="3"/>
      <c r="H847" s="3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3"/>
      <c r="B848" s="3"/>
      <c r="C848" s="3"/>
      <c r="D848" s="3"/>
      <c r="E848" s="3"/>
      <c r="F848" s="3"/>
      <c r="G848" s="3"/>
      <c r="H848" s="3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3"/>
      <c r="B849" s="3"/>
      <c r="C849" s="3"/>
      <c r="D849" s="3"/>
      <c r="E849" s="3"/>
      <c r="F849" s="3"/>
      <c r="G849" s="3"/>
      <c r="H849" s="3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3"/>
      <c r="B850" s="3"/>
      <c r="C850" s="3"/>
      <c r="D850" s="3"/>
      <c r="E850" s="3"/>
      <c r="F850" s="3"/>
      <c r="G850" s="3"/>
      <c r="H850" s="3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3"/>
      <c r="B851" s="3"/>
      <c r="C851" s="3"/>
      <c r="D851" s="3"/>
      <c r="E851" s="3"/>
      <c r="F851" s="3"/>
      <c r="G851" s="3"/>
      <c r="H851" s="3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3"/>
      <c r="B852" s="3"/>
      <c r="C852" s="3"/>
      <c r="D852" s="3"/>
      <c r="E852" s="3"/>
      <c r="F852" s="3"/>
      <c r="G852" s="3"/>
      <c r="H852" s="3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3"/>
      <c r="B853" s="3"/>
      <c r="C853" s="3"/>
      <c r="D853" s="3"/>
      <c r="E853" s="3"/>
      <c r="F853" s="3"/>
      <c r="G853" s="3"/>
      <c r="H853" s="3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3"/>
      <c r="B854" s="3"/>
      <c r="C854" s="3"/>
      <c r="D854" s="3"/>
      <c r="E854" s="3"/>
      <c r="F854" s="3"/>
      <c r="G854" s="3"/>
      <c r="H854" s="3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3"/>
      <c r="B855" s="3"/>
      <c r="C855" s="3"/>
      <c r="D855" s="3"/>
      <c r="E855" s="3"/>
      <c r="F855" s="3"/>
      <c r="G855" s="3"/>
      <c r="H855" s="3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3"/>
      <c r="B856" s="3"/>
      <c r="C856" s="3"/>
      <c r="D856" s="3"/>
      <c r="E856" s="3"/>
      <c r="F856" s="3"/>
      <c r="G856" s="3"/>
      <c r="H856" s="3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3"/>
      <c r="B857" s="3"/>
      <c r="C857" s="3"/>
      <c r="D857" s="3"/>
      <c r="E857" s="3"/>
      <c r="F857" s="3"/>
      <c r="G857" s="3"/>
      <c r="H857" s="3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3"/>
      <c r="B858" s="3"/>
      <c r="C858" s="3"/>
      <c r="D858" s="3"/>
      <c r="E858" s="3"/>
      <c r="F858" s="3"/>
      <c r="G858" s="3"/>
      <c r="H858" s="3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3"/>
      <c r="B859" s="3"/>
      <c r="C859" s="3"/>
      <c r="D859" s="3"/>
      <c r="E859" s="3"/>
      <c r="F859" s="3"/>
      <c r="G859" s="3"/>
      <c r="H859" s="3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3"/>
      <c r="B860" s="3"/>
      <c r="C860" s="3"/>
      <c r="D860" s="3"/>
      <c r="E860" s="3"/>
      <c r="F860" s="3"/>
      <c r="G860" s="3"/>
      <c r="H860" s="3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3"/>
      <c r="B861" s="3"/>
      <c r="C861" s="3"/>
      <c r="D861" s="3"/>
      <c r="E861" s="3"/>
      <c r="F861" s="3"/>
      <c r="G861" s="3"/>
      <c r="H861" s="3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3"/>
      <c r="B862" s="3"/>
      <c r="C862" s="3"/>
      <c r="D862" s="3"/>
      <c r="E862" s="3"/>
      <c r="F862" s="3"/>
      <c r="G862" s="3"/>
      <c r="H862" s="3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3"/>
      <c r="B863" s="3"/>
      <c r="C863" s="3"/>
      <c r="D863" s="3"/>
      <c r="E863" s="3"/>
      <c r="F863" s="3"/>
      <c r="G863" s="3"/>
      <c r="H863" s="3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3"/>
      <c r="B864" s="3"/>
      <c r="C864" s="3"/>
      <c r="D864" s="3"/>
      <c r="E864" s="3"/>
      <c r="F864" s="3"/>
      <c r="G864" s="3"/>
      <c r="H864" s="3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3"/>
      <c r="B865" s="3"/>
      <c r="C865" s="3"/>
      <c r="D865" s="3"/>
      <c r="E865" s="3"/>
      <c r="F865" s="3"/>
      <c r="G865" s="3"/>
      <c r="H865" s="3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3"/>
      <c r="B866" s="3"/>
      <c r="C866" s="3"/>
      <c r="D866" s="3"/>
      <c r="E866" s="3"/>
      <c r="F866" s="3"/>
      <c r="G866" s="3"/>
      <c r="H866" s="3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3"/>
      <c r="B867" s="3"/>
      <c r="C867" s="3"/>
      <c r="D867" s="3"/>
      <c r="E867" s="3"/>
      <c r="F867" s="3"/>
      <c r="G867" s="3"/>
      <c r="H867" s="3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3"/>
      <c r="B868" s="3"/>
      <c r="C868" s="3"/>
      <c r="D868" s="3"/>
      <c r="E868" s="3"/>
      <c r="F868" s="3"/>
      <c r="G868" s="3"/>
      <c r="H868" s="3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3"/>
      <c r="B869" s="3"/>
      <c r="C869" s="3"/>
      <c r="D869" s="3"/>
      <c r="E869" s="3"/>
      <c r="F869" s="3"/>
      <c r="G869" s="3"/>
      <c r="H869" s="3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3"/>
      <c r="B870" s="3"/>
      <c r="C870" s="3"/>
      <c r="D870" s="3"/>
      <c r="E870" s="3"/>
      <c r="F870" s="3"/>
      <c r="G870" s="3"/>
      <c r="H870" s="3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3"/>
      <c r="B871" s="3"/>
      <c r="C871" s="3"/>
      <c r="D871" s="3"/>
      <c r="E871" s="3"/>
      <c r="F871" s="3"/>
      <c r="G871" s="3"/>
      <c r="H871" s="3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3"/>
      <c r="B872" s="3"/>
      <c r="C872" s="3"/>
      <c r="D872" s="3"/>
      <c r="E872" s="3"/>
      <c r="F872" s="3"/>
      <c r="G872" s="3"/>
      <c r="H872" s="3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3"/>
      <c r="B873" s="3"/>
      <c r="C873" s="3"/>
      <c r="D873" s="3"/>
      <c r="E873" s="3"/>
      <c r="F873" s="3"/>
      <c r="G873" s="3"/>
      <c r="H873" s="3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3"/>
      <c r="B874" s="3"/>
      <c r="C874" s="3"/>
      <c r="D874" s="3"/>
      <c r="E874" s="3"/>
      <c r="F874" s="3"/>
      <c r="G874" s="3"/>
      <c r="H874" s="3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3"/>
      <c r="B875" s="3"/>
      <c r="C875" s="3"/>
      <c r="D875" s="3"/>
      <c r="E875" s="3"/>
      <c r="F875" s="3"/>
      <c r="G875" s="3"/>
      <c r="H875" s="3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3"/>
      <c r="B876" s="3"/>
      <c r="C876" s="3"/>
      <c r="D876" s="3"/>
      <c r="E876" s="3"/>
      <c r="F876" s="3"/>
      <c r="G876" s="3"/>
      <c r="H876" s="3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3"/>
      <c r="B877" s="3"/>
      <c r="C877" s="3"/>
      <c r="D877" s="3"/>
      <c r="E877" s="3"/>
      <c r="F877" s="3"/>
      <c r="G877" s="3"/>
      <c r="H877" s="3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3"/>
      <c r="B878" s="3"/>
      <c r="C878" s="3"/>
      <c r="D878" s="3"/>
      <c r="E878" s="3"/>
      <c r="F878" s="3"/>
      <c r="G878" s="3"/>
      <c r="H878" s="3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3"/>
      <c r="B879" s="3"/>
      <c r="C879" s="3"/>
      <c r="D879" s="3"/>
      <c r="E879" s="3"/>
      <c r="F879" s="3"/>
      <c r="G879" s="3"/>
      <c r="H879" s="3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3"/>
      <c r="B880" s="3"/>
      <c r="C880" s="3"/>
      <c r="D880" s="3"/>
      <c r="E880" s="3"/>
      <c r="F880" s="3"/>
      <c r="G880" s="3"/>
      <c r="H880" s="3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3"/>
      <c r="B881" s="3"/>
      <c r="C881" s="3"/>
      <c r="D881" s="3"/>
      <c r="E881" s="3"/>
      <c r="F881" s="3"/>
      <c r="G881" s="3"/>
      <c r="H881" s="3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3"/>
      <c r="B882" s="3"/>
      <c r="C882" s="3"/>
      <c r="D882" s="3"/>
      <c r="E882" s="3"/>
      <c r="F882" s="3"/>
      <c r="G882" s="3"/>
      <c r="H882" s="3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3"/>
      <c r="B883" s="3"/>
      <c r="C883" s="3"/>
      <c r="D883" s="3"/>
      <c r="E883" s="3"/>
      <c r="F883" s="3"/>
      <c r="G883" s="3"/>
      <c r="H883" s="3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3"/>
      <c r="B884" s="3"/>
      <c r="C884" s="3"/>
      <c r="D884" s="3"/>
      <c r="E884" s="3"/>
      <c r="F884" s="3"/>
      <c r="G884" s="3"/>
      <c r="H884" s="3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3"/>
      <c r="B885" s="3"/>
      <c r="C885" s="3"/>
      <c r="D885" s="3"/>
      <c r="E885" s="3"/>
      <c r="F885" s="3"/>
      <c r="G885" s="3"/>
      <c r="H885" s="3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3"/>
      <c r="B886" s="3"/>
      <c r="C886" s="3"/>
      <c r="D886" s="3"/>
      <c r="E886" s="3"/>
      <c r="F886" s="3"/>
      <c r="G886" s="3"/>
      <c r="H886" s="3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3"/>
      <c r="B887" s="3"/>
      <c r="C887" s="3"/>
      <c r="D887" s="3"/>
      <c r="E887" s="3"/>
      <c r="F887" s="3"/>
      <c r="G887" s="3"/>
      <c r="H887" s="3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3"/>
      <c r="B888" s="3"/>
      <c r="C888" s="3"/>
      <c r="D888" s="3"/>
      <c r="E888" s="3"/>
      <c r="F888" s="3"/>
      <c r="G888" s="3"/>
      <c r="H888" s="3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3"/>
      <c r="B889" s="3"/>
      <c r="C889" s="3"/>
      <c r="D889" s="3"/>
      <c r="E889" s="3"/>
      <c r="F889" s="3"/>
      <c r="G889" s="3"/>
      <c r="H889" s="3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3"/>
      <c r="B890" s="3"/>
      <c r="C890" s="3"/>
      <c r="D890" s="3"/>
      <c r="E890" s="3"/>
      <c r="F890" s="3"/>
      <c r="G890" s="3"/>
      <c r="H890" s="3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3"/>
      <c r="B891" s="3"/>
      <c r="C891" s="3"/>
      <c r="D891" s="3"/>
      <c r="E891" s="3"/>
      <c r="F891" s="3"/>
      <c r="G891" s="3"/>
      <c r="H891" s="3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3"/>
      <c r="B892" s="3"/>
      <c r="C892" s="3"/>
      <c r="D892" s="3"/>
      <c r="E892" s="3"/>
      <c r="F892" s="3"/>
      <c r="G892" s="3"/>
      <c r="H892" s="3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3"/>
      <c r="B893" s="3"/>
      <c r="C893" s="3"/>
      <c r="D893" s="3"/>
      <c r="E893" s="3"/>
      <c r="F893" s="3"/>
      <c r="G893" s="3"/>
      <c r="H893" s="3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3"/>
      <c r="B894" s="3"/>
      <c r="C894" s="3"/>
      <c r="D894" s="3"/>
      <c r="E894" s="3"/>
      <c r="F894" s="3"/>
      <c r="G894" s="3"/>
      <c r="H894" s="3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3"/>
      <c r="B895" s="3"/>
      <c r="C895" s="3"/>
      <c r="D895" s="3"/>
      <c r="E895" s="3"/>
      <c r="F895" s="3"/>
      <c r="G895" s="3"/>
      <c r="H895" s="3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3"/>
      <c r="B896" s="3"/>
      <c r="C896" s="3"/>
      <c r="D896" s="3"/>
      <c r="E896" s="3"/>
      <c r="F896" s="3"/>
      <c r="G896" s="3"/>
      <c r="H896" s="3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3"/>
      <c r="B897" s="3"/>
      <c r="C897" s="3"/>
      <c r="D897" s="3"/>
      <c r="E897" s="3"/>
      <c r="F897" s="3"/>
      <c r="G897" s="3"/>
      <c r="H897" s="3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3"/>
      <c r="B898" s="3"/>
      <c r="C898" s="3"/>
      <c r="D898" s="3"/>
      <c r="E898" s="3"/>
      <c r="F898" s="3"/>
      <c r="G898" s="3"/>
      <c r="H898" s="3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3"/>
      <c r="B899" s="3"/>
      <c r="C899" s="3"/>
      <c r="D899" s="3"/>
      <c r="E899" s="3"/>
      <c r="F899" s="3"/>
      <c r="G899" s="3"/>
      <c r="H899" s="3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3"/>
      <c r="B900" s="3"/>
      <c r="C900" s="3"/>
      <c r="D900" s="3"/>
      <c r="E900" s="3"/>
      <c r="F900" s="3"/>
      <c r="G900" s="3"/>
      <c r="H900" s="3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3"/>
      <c r="B901" s="3"/>
      <c r="C901" s="3"/>
      <c r="D901" s="3"/>
      <c r="E901" s="3"/>
      <c r="F901" s="3"/>
      <c r="G901" s="3"/>
      <c r="H901" s="3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3"/>
      <c r="B902" s="3"/>
      <c r="C902" s="3"/>
      <c r="D902" s="3"/>
      <c r="E902" s="3"/>
      <c r="F902" s="3"/>
      <c r="G902" s="3"/>
      <c r="H902" s="3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3"/>
      <c r="B903" s="3"/>
      <c r="C903" s="3"/>
      <c r="D903" s="3"/>
      <c r="E903" s="3"/>
      <c r="F903" s="3"/>
      <c r="G903" s="3"/>
      <c r="H903" s="3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3"/>
      <c r="B904" s="3"/>
      <c r="C904" s="3"/>
      <c r="D904" s="3"/>
      <c r="E904" s="3"/>
      <c r="F904" s="3"/>
      <c r="G904" s="3"/>
      <c r="H904" s="3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3"/>
      <c r="B905" s="3"/>
      <c r="C905" s="3"/>
      <c r="D905" s="3"/>
      <c r="E905" s="3"/>
      <c r="F905" s="3"/>
      <c r="G905" s="3"/>
      <c r="H905" s="3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3"/>
      <c r="B906" s="3"/>
      <c r="C906" s="3"/>
      <c r="D906" s="3"/>
      <c r="E906" s="3"/>
      <c r="F906" s="3"/>
      <c r="G906" s="3"/>
      <c r="H906" s="3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3"/>
      <c r="B907" s="3"/>
      <c r="C907" s="3"/>
      <c r="D907" s="3"/>
      <c r="E907" s="3"/>
      <c r="F907" s="3"/>
      <c r="G907" s="3"/>
      <c r="H907" s="3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3"/>
      <c r="B908" s="3"/>
      <c r="C908" s="3"/>
      <c r="D908" s="3"/>
      <c r="E908" s="3"/>
      <c r="F908" s="3"/>
      <c r="G908" s="3"/>
      <c r="H908" s="3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3"/>
      <c r="B909" s="3"/>
      <c r="C909" s="3"/>
      <c r="D909" s="3"/>
      <c r="E909" s="3"/>
      <c r="F909" s="3"/>
      <c r="G909" s="3"/>
      <c r="H909" s="3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3"/>
      <c r="B910" s="3"/>
      <c r="C910" s="3"/>
      <c r="D910" s="3"/>
      <c r="E910" s="3"/>
      <c r="F910" s="3"/>
      <c r="G910" s="3"/>
      <c r="H910" s="3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3"/>
      <c r="B911" s="3"/>
      <c r="C911" s="3"/>
      <c r="D911" s="3"/>
      <c r="E911" s="3"/>
      <c r="F911" s="3"/>
      <c r="G911" s="3"/>
      <c r="H911" s="3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3"/>
      <c r="B912" s="3"/>
      <c r="C912" s="3"/>
      <c r="D912" s="3"/>
      <c r="E912" s="3"/>
      <c r="F912" s="3"/>
      <c r="G912" s="3"/>
      <c r="H912" s="3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3"/>
      <c r="B913" s="3"/>
      <c r="C913" s="3"/>
      <c r="D913" s="3"/>
      <c r="E913" s="3"/>
      <c r="F913" s="3"/>
      <c r="G913" s="3"/>
      <c r="H913" s="3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3"/>
      <c r="B914" s="3"/>
      <c r="C914" s="3"/>
      <c r="D914" s="3"/>
      <c r="E914" s="3"/>
      <c r="F914" s="3"/>
      <c r="G914" s="3"/>
      <c r="H914" s="3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3"/>
      <c r="B915" s="3"/>
      <c r="C915" s="3"/>
      <c r="D915" s="3"/>
      <c r="E915" s="3"/>
      <c r="F915" s="3"/>
      <c r="G915" s="3"/>
      <c r="H915" s="3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3"/>
      <c r="B916" s="3"/>
      <c r="C916" s="3"/>
      <c r="D916" s="3"/>
      <c r="E916" s="3"/>
      <c r="F916" s="3"/>
      <c r="G916" s="3"/>
      <c r="H916" s="3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3"/>
      <c r="B917" s="3"/>
      <c r="C917" s="3"/>
      <c r="D917" s="3"/>
      <c r="E917" s="3"/>
      <c r="F917" s="3"/>
      <c r="G917" s="3"/>
      <c r="H917" s="3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3"/>
      <c r="B918" s="3"/>
      <c r="C918" s="3"/>
      <c r="D918" s="3"/>
      <c r="E918" s="3"/>
      <c r="F918" s="3"/>
      <c r="G918" s="3"/>
      <c r="H918" s="3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3"/>
      <c r="B919" s="3"/>
      <c r="C919" s="3"/>
      <c r="D919" s="3"/>
      <c r="E919" s="3"/>
      <c r="F919" s="3"/>
      <c r="G919" s="3"/>
      <c r="H919" s="3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3"/>
      <c r="B920" s="3"/>
      <c r="C920" s="3"/>
      <c r="D920" s="3"/>
      <c r="E920" s="3"/>
      <c r="F920" s="3"/>
      <c r="G920" s="3"/>
      <c r="H920" s="3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3"/>
      <c r="B921" s="3"/>
      <c r="C921" s="3"/>
      <c r="D921" s="3"/>
      <c r="E921" s="3"/>
      <c r="F921" s="3"/>
      <c r="G921" s="3"/>
      <c r="H921" s="3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3"/>
      <c r="B922" s="3"/>
      <c r="C922" s="3"/>
      <c r="D922" s="3"/>
      <c r="E922" s="3"/>
      <c r="F922" s="3"/>
      <c r="G922" s="3"/>
      <c r="H922" s="3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3"/>
      <c r="B923" s="3"/>
      <c r="C923" s="3"/>
      <c r="D923" s="3"/>
      <c r="E923" s="3"/>
      <c r="F923" s="3"/>
      <c r="G923" s="3"/>
      <c r="H923" s="3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3"/>
      <c r="B924" s="3"/>
      <c r="C924" s="3"/>
      <c r="D924" s="3"/>
      <c r="E924" s="3"/>
      <c r="F924" s="3"/>
      <c r="G924" s="3"/>
      <c r="H924" s="3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3"/>
      <c r="B925" s="3"/>
      <c r="C925" s="3"/>
      <c r="D925" s="3"/>
      <c r="E925" s="3"/>
      <c r="F925" s="3"/>
      <c r="G925" s="3"/>
      <c r="H925" s="3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3"/>
      <c r="B926" s="3"/>
      <c r="C926" s="3"/>
      <c r="D926" s="3"/>
      <c r="E926" s="3"/>
      <c r="F926" s="3"/>
      <c r="G926" s="3"/>
      <c r="H926" s="3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3"/>
      <c r="B927" s="3"/>
      <c r="C927" s="3"/>
      <c r="D927" s="3"/>
      <c r="E927" s="3"/>
      <c r="F927" s="3"/>
      <c r="G927" s="3"/>
      <c r="H927" s="3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3"/>
      <c r="B928" s="3"/>
      <c r="C928" s="3"/>
      <c r="D928" s="3"/>
      <c r="E928" s="3"/>
      <c r="F928" s="3"/>
      <c r="G928" s="3"/>
      <c r="H928" s="3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3"/>
      <c r="B929" s="3"/>
      <c r="C929" s="3"/>
      <c r="D929" s="3"/>
      <c r="E929" s="3"/>
      <c r="F929" s="3"/>
      <c r="G929" s="3"/>
      <c r="H929" s="3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3"/>
      <c r="B930" s="3"/>
      <c r="C930" s="3"/>
      <c r="D930" s="3"/>
      <c r="E930" s="3"/>
      <c r="F930" s="3"/>
      <c r="G930" s="3"/>
      <c r="H930" s="3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3"/>
      <c r="B931" s="3"/>
      <c r="C931" s="3"/>
      <c r="D931" s="3"/>
      <c r="E931" s="3"/>
      <c r="F931" s="3"/>
      <c r="G931" s="3"/>
      <c r="H931" s="3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3"/>
      <c r="B932" s="3"/>
      <c r="C932" s="3"/>
      <c r="D932" s="3"/>
      <c r="E932" s="3"/>
      <c r="F932" s="3"/>
      <c r="G932" s="3"/>
      <c r="H932" s="3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3"/>
      <c r="B933" s="3"/>
      <c r="C933" s="3"/>
      <c r="D933" s="3"/>
      <c r="E933" s="3"/>
      <c r="F933" s="3"/>
      <c r="G933" s="3"/>
      <c r="H933" s="3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3"/>
      <c r="B934" s="3"/>
      <c r="C934" s="3"/>
      <c r="D934" s="3"/>
      <c r="E934" s="3"/>
      <c r="F934" s="3"/>
      <c r="G934" s="3"/>
      <c r="H934" s="3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3"/>
      <c r="B935" s="3"/>
      <c r="C935" s="3"/>
      <c r="D935" s="3"/>
      <c r="E935" s="3"/>
      <c r="F935" s="3"/>
      <c r="G935" s="3"/>
      <c r="H935" s="3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3"/>
      <c r="B936" s="3"/>
      <c r="C936" s="3"/>
      <c r="D936" s="3"/>
      <c r="E936" s="3"/>
      <c r="F936" s="3"/>
      <c r="G936" s="3"/>
      <c r="H936" s="3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3"/>
      <c r="B937" s="3"/>
      <c r="C937" s="3"/>
      <c r="D937" s="3"/>
      <c r="E937" s="3"/>
      <c r="F937" s="3"/>
      <c r="G937" s="3"/>
      <c r="H937" s="3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3"/>
      <c r="B938" s="3"/>
      <c r="C938" s="3"/>
      <c r="D938" s="3"/>
      <c r="E938" s="3"/>
      <c r="F938" s="3"/>
      <c r="G938" s="3"/>
      <c r="H938" s="3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3"/>
      <c r="B939" s="3"/>
      <c r="C939" s="3"/>
      <c r="D939" s="3"/>
      <c r="E939" s="3"/>
      <c r="F939" s="3"/>
      <c r="G939" s="3"/>
      <c r="H939" s="3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3"/>
      <c r="B940" s="3"/>
      <c r="C940" s="3"/>
      <c r="D940" s="3"/>
      <c r="E940" s="3"/>
      <c r="F940" s="3"/>
      <c r="G940" s="3"/>
      <c r="H940" s="3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3"/>
      <c r="B941" s="3"/>
      <c r="C941" s="3"/>
      <c r="D941" s="3"/>
      <c r="E941" s="3"/>
      <c r="F941" s="3"/>
      <c r="G941" s="3"/>
      <c r="H941" s="3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3"/>
      <c r="B942" s="3"/>
      <c r="C942" s="3"/>
      <c r="D942" s="3"/>
      <c r="E942" s="3"/>
      <c r="F942" s="3"/>
      <c r="G942" s="3"/>
      <c r="H942" s="3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3"/>
      <c r="B943" s="3"/>
      <c r="C943" s="3"/>
      <c r="D943" s="3"/>
      <c r="E943" s="3"/>
      <c r="F943" s="3"/>
      <c r="G943" s="3"/>
      <c r="H943" s="3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3"/>
      <c r="B944" s="3"/>
      <c r="C944" s="3"/>
      <c r="D944" s="3"/>
      <c r="E944" s="3"/>
      <c r="F944" s="3"/>
      <c r="G944" s="3"/>
      <c r="H944" s="3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3"/>
      <c r="B945" s="3"/>
      <c r="C945" s="3"/>
      <c r="D945" s="3"/>
      <c r="E945" s="3"/>
      <c r="F945" s="3"/>
      <c r="G945" s="3"/>
      <c r="H945" s="3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3"/>
      <c r="B946" s="3"/>
      <c r="C946" s="3"/>
      <c r="D946" s="3"/>
      <c r="E946" s="3"/>
      <c r="F946" s="3"/>
      <c r="G946" s="3"/>
      <c r="H946" s="3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3"/>
      <c r="B947" s="3"/>
      <c r="C947" s="3"/>
      <c r="D947" s="3"/>
      <c r="E947" s="3"/>
      <c r="F947" s="3"/>
      <c r="G947" s="3"/>
      <c r="H947" s="3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3"/>
      <c r="B948" s="3"/>
      <c r="C948" s="3"/>
      <c r="D948" s="3"/>
      <c r="E948" s="3"/>
      <c r="F948" s="3"/>
      <c r="G948" s="3"/>
      <c r="H948" s="3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3"/>
      <c r="B949" s="3"/>
      <c r="C949" s="3"/>
      <c r="D949" s="3"/>
      <c r="E949" s="3"/>
      <c r="F949" s="3"/>
      <c r="G949" s="3"/>
      <c r="H949" s="3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3"/>
      <c r="B950" s="3"/>
      <c r="C950" s="3"/>
      <c r="D950" s="3"/>
      <c r="E950" s="3"/>
      <c r="F950" s="3"/>
      <c r="G950" s="3"/>
      <c r="H950" s="3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3"/>
      <c r="B951" s="3"/>
      <c r="C951" s="3"/>
      <c r="D951" s="3"/>
      <c r="E951" s="3"/>
      <c r="F951" s="3"/>
      <c r="G951" s="3"/>
      <c r="H951" s="3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3"/>
      <c r="B952" s="3"/>
      <c r="C952" s="3"/>
      <c r="D952" s="3"/>
      <c r="E952" s="3"/>
      <c r="F952" s="3"/>
      <c r="G952" s="3"/>
      <c r="H952" s="3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3"/>
      <c r="B953" s="3"/>
      <c r="C953" s="3"/>
      <c r="D953" s="3"/>
      <c r="E953" s="3"/>
      <c r="F953" s="3"/>
      <c r="G953" s="3"/>
      <c r="H953" s="3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3"/>
      <c r="B954" s="3"/>
      <c r="C954" s="3"/>
      <c r="D954" s="3"/>
      <c r="E954" s="3"/>
      <c r="F954" s="3"/>
      <c r="G954" s="3"/>
      <c r="H954" s="3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3"/>
      <c r="B955" s="3"/>
      <c r="C955" s="3"/>
      <c r="D955" s="3"/>
      <c r="E955" s="3"/>
      <c r="F955" s="3"/>
      <c r="G955" s="3"/>
      <c r="H955" s="3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3"/>
      <c r="B956" s="3"/>
      <c r="C956" s="3"/>
      <c r="D956" s="3"/>
      <c r="E956" s="3"/>
      <c r="F956" s="3"/>
      <c r="G956" s="3"/>
      <c r="H956" s="3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3"/>
      <c r="B957" s="3"/>
      <c r="C957" s="3"/>
      <c r="D957" s="3"/>
      <c r="E957" s="3"/>
      <c r="F957" s="3"/>
      <c r="G957" s="3"/>
      <c r="H957" s="3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3"/>
      <c r="B958" s="3"/>
      <c r="C958" s="3"/>
      <c r="D958" s="3"/>
      <c r="E958" s="3"/>
      <c r="F958" s="3"/>
      <c r="G958" s="3"/>
      <c r="H958" s="3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3"/>
      <c r="B959" s="3"/>
      <c r="C959" s="3"/>
      <c r="D959" s="3"/>
      <c r="E959" s="3"/>
      <c r="F959" s="3"/>
      <c r="G959" s="3"/>
      <c r="H959" s="3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3"/>
      <c r="B960" s="3"/>
      <c r="C960" s="3"/>
      <c r="D960" s="3"/>
      <c r="E960" s="3"/>
      <c r="F960" s="3"/>
      <c r="G960" s="3"/>
      <c r="H960" s="3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3"/>
      <c r="B961" s="3"/>
      <c r="C961" s="3"/>
      <c r="D961" s="3"/>
      <c r="E961" s="3"/>
      <c r="F961" s="3"/>
      <c r="G961" s="3"/>
      <c r="H961" s="3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3"/>
      <c r="B962" s="3"/>
      <c r="C962" s="3"/>
      <c r="D962" s="3"/>
      <c r="E962" s="3"/>
      <c r="F962" s="3"/>
      <c r="G962" s="3"/>
      <c r="H962" s="3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3"/>
      <c r="B963" s="3"/>
      <c r="C963" s="3"/>
      <c r="D963" s="3"/>
      <c r="E963" s="3"/>
      <c r="F963" s="3"/>
      <c r="G963" s="3"/>
      <c r="H963" s="3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3"/>
      <c r="B964" s="3"/>
      <c r="C964" s="3"/>
      <c r="D964" s="3"/>
      <c r="E964" s="3"/>
      <c r="F964" s="3"/>
      <c r="G964" s="3"/>
      <c r="H964" s="3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3"/>
      <c r="B965" s="3"/>
      <c r="C965" s="3"/>
      <c r="D965" s="3"/>
      <c r="E965" s="3"/>
      <c r="F965" s="3"/>
      <c r="G965" s="3"/>
      <c r="H965" s="3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3"/>
      <c r="B966" s="3"/>
      <c r="C966" s="3"/>
      <c r="D966" s="3"/>
      <c r="E966" s="3"/>
      <c r="F966" s="3"/>
      <c r="G966" s="3"/>
      <c r="H966" s="3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3"/>
      <c r="B967" s="3"/>
      <c r="C967" s="3"/>
      <c r="D967" s="3"/>
      <c r="E967" s="3"/>
      <c r="F967" s="3"/>
      <c r="G967" s="3"/>
      <c r="H967" s="3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3"/>
      <c r="B968" s="3"/>
      <c r="C968" s="3"/>
      <c r="D968" s="3"/>
      <c r="E968" s="3"/>
      <c r="F968" s="3"/>
      <c r="G968" s="3"/>
      <c r="H968" s="3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3"/>
      <c r="B969" s="3"/>
      <c r="C969" s="3"/>
      <c r="D969" s="3"/>
      <c r="E969" s="3"/>
      <c r="F969" s="3"/>
      <c r="G969" s="3"/>
      <c r="H969" s="3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3"/>
      <c r="B970" s="3"/>
      <c r="C970" s="3"/>
      <c r="D970" s="3"/>
      <c r="E970" s="3"/>
      <c r="F970" s="3"/>
      <c r="G970" s="3"/>
      <c r="H970" s="3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3"/>
      <c r="B971" s="3"/>
      <c r="C971" s="3"/>
      <c r="D971" s="3"/>
      <c r="E971" s="3"/>
      <c r="F971" s="3"/>
      <c r="G971" s="3"/>
      <c r="H971" s="3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3"/>
      <c r="B972" s="3"/>
      <c r="C972" s="3"/>
      <c r="D972" s="3"/>
      <c r="E972" s="3"/>
      <c r="F972" s="3"/>
      <c r="G972" s="3"/>
      <c r="H972" s="3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3"/>
      <c r="B973" s="3"/>
      <c r="C973" s="3"/>
      <c r="D973" s="3"/>
      <c r="E973" s="3"/>
      <c r="F973" s="3"/>
      <c r="G973" s="3"/>
      <c r="H973" s="3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3"/>
      <c r="B974" s="3"/>
      <c r="C974" s="3"/>
      <c r="D974" s="3"/>
      <c r="E974" s="3"/>
      <c r="F974" s="3"/>
      <c r="G974" s="3"/>
      <c r="H974" s="3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3"/>
      <c r="B975" s="3"/>
      <c r="C975" s="3"/>
      <c r="D975" s="3"/>
      <c r="E975" s="3"/>
      <c r="F975" s="3"/>
      <c r="G975" s="3"/>
      <c r="H975" s="3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3"/>
      <c r="B976" s="3"/>
      <c r="C976" s="3"/>
      <c r="D976" s="3"/>
      <c r="E976" s="3"/>
      <c r="F976" s="3"/>
      <c r="G976" s="3"/>
      <c r="H976" s="3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3"/>
      <c r="B977" s="3"/>
      <c r="C977" s="3"/>
      <c r="D977" s="3"/>
      <c r="E977" s="3"/>
      <c r="F977" s="3"/>
      <c r="G977" s="3"/>
      <c r="H977" s="3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3"/>
      <c r="B978" s="3"/>
      <c r="C978" s="3"/>
      <c r="D978" s="3"/>
      <c r="E978" s="3"/>
      <c r="F978" s="3"/>
      <c r="G978" s="3"/>
      <c r="H978" s="3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3"/>
      <c r="B979" s="3"/>
      <c r="C979" s="3"/>
      <c r="D979" s="3"/>
      <c r="E979" s="3"/>
      <c r="F979" s="3"/>
      <c r="G979" s="3"/>
      <c r="H979" s="3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3"/>
      <c r="B980" s="3"/>
      <c r="C980" s="3"/>
      <c r="D980" s="3"/>
      <c r="E980" s="3"/>
      <c r="F980" s="3"/>
      <c r="G980" s="3"/>
      <c r="H980" s="3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3"/>
      <c r="B981" s="3"/>
      <c r="C981" s="3"/>
      <c r="D981" s="3"/>
      <c r="E981" s="3"/>
      <c r="F981" s="3"/>
      <c r="G981" s="3"/>
      <c r="H981" s="3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3"/>
      <c r="B982" s="3"/>
      <c r="C982" s="3"/>
      <c r="D982" s="3"/>
      <c r="E982" s="3"/>
      <c r="F982" s="3"/>
      <c r="G982" s="3"/>
      <c r="H982" s="3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3"/>
      <c r="B983" s="3"/>
      <c r="C983" s="3"/>
      <c r="D983" s="3"/>
      <c r="E983" s="3"/>
      <c r="F983" s="3"/>
      <c r="G983" s="3"/>
      <c r="H983" s="3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3"/>
      <c r="B984" s="3"/>
      <c r="C984" s="3"/>
      <c r="D984" s="3"/>
      <c r="E984" s="3"/>
      <c r="F984" s="3"/>
      <c r="G984" s="3"/>
      <c r="H984" s="3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3"/>
      <c r="B985" s="3"/>
      <c r="C985" s="3"/>
      <c r="D985" s="3"/>
      <c r="E985" s="3"/>
      <c r="F985" s="3"/>
      <c r="G985" s="3"/>
      <c r="H985" s="3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3"/>
      <c r="B986" s="3"/>
      <c r="C986" s="3"/>
      <c r="D986" s="3"/>
      <c r="E986" s="3"/>
      <c r="F986" s="3"/>
      <c r="G986" s="3"/>
      <c r="H986" s="3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3"/>
      <c r="B987" s="3"/>
      <c r="C987" s="3"/>
      <c r="D987" s="3"/>
      <c r="E987" s="3"/>
      <c r="F987" s="3"/>
      <c r="G987" s="3"/>
      <c r="H987" s="3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3"/>
      <c r="B988" s="3"/>
      <c r="C988" s="3"/>
      <c r="D988" s="3"/>
      <c r="E988" s="3"/>
      <c r="F988" s="3"/>
      <c r="G988" s="3"/>
      <c r="H988" s="3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3"/>
      <c r="B989" s="3"/>
      <c r="C989" s="3"/>
      <c r="D989" s="3"/>
      <c r="E989" s="3"/>
      <c r="F989" s="3"/>
      <c r="G989" s="3"/>
      <c r="H989" s="3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3"/>
      <c r="B990" s="3"/>
      <c r="C990" s="3"/>
      <c r="D990" s="3"/>
      <c r="E990" s="3"/>
      <c r="F990" s="3"/>
      <c r="G990" s="3"/>
      <c r="H990" s="3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3"/>
      <c r="B991" s="3"/>
      <c r="C991" s="3"/>
      <c r="D991" s="3"/>
      <c r="E991" s="3"/>
      <c r="F991" s="3"/>
      <c r="G991" s="3"/>
      <c r="H991" s="3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3"/>
      <c r="B992" s="3"/>
      <c r="C992" s="3"/>
      <c r="D992" s="3"/>
      <c r="E992" s="3"/>
      <c r="F992" s="3"/>
      <c r="G992" s="3"/>
      <c r="H992" s="3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3"/>
      <c r="B993" s="3"/>
      <c r="C993" s="3"/>
      <c r="D993" s="3"/>
      <c r="E993" s="3"/>
      <c r="F993" s="3"/>
      <c r="G993" s="3"/>
      <c r="H993" s="3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3"/>
      <c r="B994" s="3"/>
      <c r="C994" s="3"/>
      <c r="D994" s="3"/>
      <c r="E994" s="3"/>
      <c r="F994" s="3"/>
      <c r="G994" s="3"/>
      <c r="H994" s="3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3"/>
      <c r="B995" s="3"/>
      <c r="C995" s="3"/>
      <c r="D995" s="3"/>
      <c r="E995" s="3"/>
      <c r="F995" s="3"/>
      <c r="G995" s="3"/>
      <c r="H995" s="3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3"/>
      <c r="B996" s="3"/>
      <c r="C996" s="3"/>
      <c r="D996" s="3"/>
      <c r="E996" s="3"/>
      <c r="F996" s="3"/>
      <c r="G996" s="3"/>
      <c r="H996" s="3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3"/>
      <c r="B997" s="3"/>
      <c r="C997" s="3"/>
      <c r="D997" s="3"/>
      <c r="E997" s="3"/>
      <c r="F997" s="3"/>
      <c r="G997" s="3"/>
      <c r="H997" s="3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3"/>
      <c r="B998" s="3"/>
      <c r="C998" s="3"/>
      <c r="D998" s="3"/>
      <c r="E998" s="3"/>
      <c r="F998" s="3"/>
      <c r="G998" s="3"/>
      <c r="H998" s="3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3"/>
      <c r="B999" s="3"/>
      <c r="C999" s="3"/>
      <c r="D999" s="3"/>
      <c r="E999" s="3"/>
      <c r="F999" s="3"/>
      <c r="G999" s="3"/>
      <c r="H999" s="3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>
      <c r="A1000" s="3"/>
      <c r="B1000" s="3"/>
      <c r="C1000" s="3"/>
      <c r="D1000" s="3"/>
      <c r="E1000" s="3"/>
      <c r="F1000" s="3"/>
      <c r="G1000" s="3"/>
      <c r="H1000" s="3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6.5" customHeight="1">
      <c r="A1001" s="3"/>
      <c r="B1001" s="3"/>
      <c r="C1001" s="3"/>
      <c r="D1001" s="3"/>
      <c r="E1001" s="3"/>
      <c r="F1001" s="3"/>
      <c r="G1001" s="3"/>
      <c r="H1001" s="3"/>
      <c r="I1001" s="4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6.5" customHeight="1">
      <c r="A1002" s="3"/>
      <c r="B1002" s="3"/>
      <c r="C1002" s="3"/>
      <c r="D1002" s="3"/>
      <c r="E1002" s="3"/>
      <c r="F1002" s="3"/>
      <c r="G1002" s="3"/>
      <c r="H1002" s="3"/>
      <c r="I1002" s="4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6.5" customHeight="1">
      <c r="A1003" s="3"/>
      <c r="B1003" s="3"/>
      <c r="C1003" s="3"/>
      <c r="D1003" s="3"/>
      <c r="E1003" s="3"/>
      <c r="F1003" s="3"/>
      <c r="G1003" s="3"/>
      <c r="H1003" s="3"/>
      <c r="I1003" s="4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6.5" customHeight="1">
      <c r="A1004" s="3"/>
      <c r="B1004" s="3"/>
      <c r="C1004" s="3"/>
      <c r="D1004" s="3"/>
      <c r="E1004" s="3"/>
      <c r="F1004" s="3"/>
      <c r="G1004" s="3"/>
      <c r="H1004" s="3"/>
      <c r="I1004" s="4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6.5" customHeight="1">
      <c r="A1005" s="3"/>
      <c r="B1005" s="3"/>
      <c r="C1005" s="3"/>
      <c r="D1005" s="3"/>
      <c r="E1005" s="3"/>
      <c r="F1005" s="3"/>
      <c r="G1005" s="3"/>
      <c r="H1005" s="3"/>
      <c r="I1005" s="4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6.5" customHeight="1">
      <c r="A1006" s="3"/>
      <c r="B1006" s="3"/>
      <c r="C1006" s="3"/>
      <c r="D1006" s="3"/>
      <c r="E1006" s="3"/>
      <c r="F1006" s="3"/>
      <c r="G1006" s="3"/>
      <c r="H1006" s="3"/>
      <c r="I1006" s="4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6.5" customHeight="1">
      <c r="A1007" s="3"/>
      <c r="B1007" s="3"/>
      <c r="C1007" s="3"/>
      <c r="D1007" s="3"/>
      <c r="E1007" s="3"/>
      <c r="F1007" s="3"/>
      <c r="G1007" s="3"/>
      <c r="H1007" s="3"/>
      <c r="I1007" s="4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6.5" customHeight="1">
      <c r="A1008" s="3"/>
      <c r="B1008" s="3"/>
      <c r="C1008" s="3"/>
      <c r="D1008" s="3"/>
      <c r="E1008" s="3"/>
      <c r="F1008" s="3"/>
      <c r="G1008" s="3"/>
      <c r="H1008" s="3"/>
      <c r="I1008" s="4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6.5" customHeight="1">
      <c r="A1009" s="3"/>
      <c r="B1009" s="3"/>
      <c r="C1009" s="3"/>
      <c r="D1009" s="3"/>
      <c r="E1009" s="3"/>
      <c r="F1009" s="3"/>
      <c r="G1009" s="3"/>
      <c r="H1009" s="3"/>
      <c r="I1009" s="4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6.5" customHeight="1">
      <c r="A1010" s="3"/>
      <c r="B1010" s="3"/>
      <c r="C1010" s="3"/>
      <c r="D1010" s="3"/>
      <c r="E1010" s="3"/>
      <c r="F1010" s="3"/>
      <c r="G1010" s="3"/>
      <c r="H1010" s="3"/>
      <c r="I1010" s="4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6.5" customHeight="1">
      <c r="A1011" s="3"/>
      <c r="B1011" s="3"/>
      <c r="C1011" s="3"/>
      <c r="D1011" s="3"/>
      <c r="E1011" s="3"/>
      <c r="F1011" s="3"/>
      <c r="G1011" s="3"/>
      <c r="H1011" s="3"/>
      <c r="I1011" s="4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6.5" customHeight="1">
      <c r="A1012" s="3"/>
      <c r="B1012" s="3"/>
      <c r="C1012" s="3"/>
      <c r="D1012" s="3"/>
      <c r="E1012" s="3"/>
      <c r="F1012" s="3"/>
      <c r="G1012" s="3"/>
      <c r="H1012" s="3"/>
      <c r="I1012" s="4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6.5" customHeight="1">
      <c r="A1013" s="3"/>
      <c r="B1013" s="3"/>
      <c r="C1013" s="3"/>
      <c r="D1013" s="3"/>
      <c r="E1013" s="3"/>
      <c r="F1013" s="3"/>
      <c r="G1013" s="3"/>
      <c r="H1013" s="3"/>
      <c r="I1013" s="4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6.5" customHeight="1">
      <c r="A1014" s="3"/>
      <c r="B1014" s="3"/>
      <c r="C1014" s="3"/>
      <c r="D1014" s="3"/>
      <c r="E1014" s="3"/>
      <c r="F1014" s="3"/>
      <c r="G1014" s="3"/>
      <c r="H1014" s="3"/>
      <c r="I1014" s="4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6.5" customHeight="1">
      <c r="A1015" s="3"/>
      <c r="B1015" s="3"/>
      <c r="C1015" s="3"/>
      <c r="D1015" s="3"/>
      <c r="E1015" s="3"/>
      <c r="F1015" s="3"/>
      <c r="G1015" s="3"/>
      <c r="H1015" s="3"/>
      <c r="I1015" s="4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6.5" customHeight="1">
      <c r="A1016" s="3"/>
      <c r="B1016" s="3"/>
      <c r="C1016" s="3"/>
      <c r="D1016" s="3"/>
      <c r="E1016" s="3"/>
      <c r="F1016" s="3"/>
      <c r="G1016" s="3"/>
      <c r="H1016" s="3"/>
      <c r="I1016" s="4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6.5" customHeight="1">
      <c r="A1017" s="3"/>
      <c r="B1017" s="3"/>
      <c r="C1017" s="3"/>
      <c r="D1017" s="3"/>
      <c r="E1017" s="3"/>
      <c r="F1017" s="3"/>
      <c r="G1017" s="3"/>
      <c r="H1017" s="3"/>
      <c r="I1017" s="4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6.5" customHeight="1">
      <c r="A1018" s="3"/>
      <c r="B1018" s="3"/>
      <c r="C1018" s="3"/>
      <c r="D1018" s="3"/>
      <c r="E1018" s="3"/>
      <c r="F1018" s="3"/>
      <c r="G1018" s="3"/>
      <c r="H1018" s="3"/>
      <c r="I1018" s="4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6.5" customHeight="1">
      <c r="A1019" s="3"/>
      <c r="B1019" s="3"/>
      <c r="C1019" s="3"/>
      <c r="D1019" s="3"/>
      <c r="E1019" s="3"/>
      <c r="F1019" s="3"/>
      <c r="G1019" s="3"/>
      <c r="H1019" s="3"/>
      <c r="I1019" s="4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6.5" customHeight="1">
      <c r="A1020" s="3"/>
      <c r="B1020" s="3"/>
      <c r="C1020" s="3"/>
      <c r="D1020" s="3"/>
      <c r="E1020" s="3"/>
      <c r="F1020" s="3"/>
      <c r="G1020" s="3"/>
      <c r="H1020" s="3"/>
      <c r="I1020" s="4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6.5" customHeight="1">
      <c r="A1021" s="3"/>
      <c r="B1021" s="3"/>
      <c r="C1021" s="3"/>
      <c r="D1021" s="3"/>
      <c r="E1021" s="3"/>
      <c r="F1021" s="3"/>
      <c r="G1021" s="3"/>
      <c r="H1021" s="3"/>
      <c r="I1021" s="4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6.5" customHeight="1">
      <c r="A1022" s="3"/>
      <c r="B1022" s="3"/>
      <c r="C1022" s="3"/>
      <c r="D1022" s="3"/>
      <c r="E1022" s="3"/>
      <c r="F1022" s="3"/>
      <c r="G1022" s="3"/>
      <c r="H1022" s="3"/>
      <c r="I1022" s="4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6.5" customHeight="1">
      <c r="A1023" s="3"/>
      <c r="B1023" s="3"/>
      <c r="C1023" s="3"/>
      <c r="D1023" s="3"/>
      <c r="E1023" s="3"/>
      <c r="F1023" s="3"/>
      <c r="G1023" s="3"/>
      <c r="H1023" s="3"/>
      <c r="I1023" s="4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6.5" customHeight="1">
      <c r="A1024" s="3"/>
      <c r="B1024" s="3"/>
      <c r="C1024" s="3"/>
      <c r="D1024" s="3"/>
      <c r="E1024" s="3"/>
      <c r="F1024" s="3"/>
      <c r="G1024" s="3"/>
      <c r="H1024" s="3"/>
      <c r="I1024" s="4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6.5" customHeight="1">
      <c r="A1025" s="3"/>
      <c r="B1025" s="3"/>
      <c r="C1025" s="3"/>
      <c r="D1025" s="3"/>
      <c r="E1025" s="3"/>
      <c r="F1025" s="3"/>
      <c r="G1025" s="3"/>
      <c r="H1025" s="3"/>
      <c r="I1025" s="4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6.5" customHeight="1">
      <c r="A1026" s="3"/>
      <c r="B1026" s="3"/>
      <c r="C1026" s="3"/>
      <c r="D1026" s="3"/>
      <c r="E1026" s="3"/>
      <c r="F1026" s="3"/>
      <c r="G1026" s="3"/>
      <c r="H1026" s="3"/>
      <c r="I1026" s="4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6.5" customHeight="1">
      <c r="A1027" s="3"/>
      <c r="B1027" s="3"/>
      <c r="C1027" s="3"/>
      <c r="D1027" s="3"/>
      <c r="E1027" s="3"/>
      <c r="F1027" s="3"/>
      <c r="G1027" s="3"/>
      <c r="H1027" s="3"/>
      <c r="I1027" s="4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6.5" customHeight="1">
      <c r="A1028" s="3"/>
      <c r="B1028" s="3"/>
      <c r="C1028" s="3"/>
      <c r="D1028" s="3"/>
      <c r="E1028" s="3"/>
      <c r="F1028" s="3"/>
      <c r="G1028" s="3"/>
      <c r="H1028" s="3"/>
      <c r="I1028" s="4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6.5" customHeight="1">
      <c r="A1029" s="3"/>
      <c r="B1029" s="3"/>
      <c r="C1029" s="3"/>
      <c r="D1029" s="3"/>
      <c r="E1029" s="3"/>
      <c r="F1029" s="3"/>
      <c r="G1029" s="3"/>
      <c r="H1029" s="3"/>
      <c r="I1029" s="4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6.5" customHeight="1">
      <c r="A1030" s="3"/>
      <c r="B1030" s="3"/>
      <c r="C1030" s="3"/>
      <c r="D1030" s="3"/>
      <c r="E1030" s="3"/>
      <c r="F1030" s="3"/>
      <c r="G1030" s="3"/>
      <c r="H1030" s="3"/>
      <c r="I1030" s="4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6.5" customHeight="1">
      <c r="A1031" s="3"/>
      <c r="B1031" s="3"/>
      <c r="C1031" s="3"/>
      <c r="D1031" s="3"/>
      <c r="E1031" s="3"/>
      <c r="F1031" s="3"/>
      <c r="G1031" s="3"/>
      <c r="H1031" s="3"/>
      <c r="I1031" s="4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6.5" customHeight="1">
      <c r="A1032" s="3"/>
      <c r="B1032" s="3"/>
      <c r="C1032" s="3"/>
      <c r="D1032" s="3"/>
      <c r="E1032" s="3"/>
      <c r="F1032" s="3"/>
      <c r="G1032" s="3"/>
      <c r="H1032" s="3"/>
      <c r="I1032" s="4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6.5" customHeight="1">
      <c r="A1033" s="3"/>
      <c r="B1033" s="3"/>
      <c r="C1033" s="3"/>
      <c r="D1033" s="3"/>
      <c r="E1033" s="3"/>
      <c r="F1033" s="3"/>
      <c r="G1033" s="3"/>
      <c r="H1033" s="3"/>
      <c r="I1033" s="4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6.5" customHeight="1">
      <c r="A1034" s="3"/>
      <c r="B1034" s="3"/>
      <c r="C1034" s="3"/>
      <c r="D1034" s="3"/>
      <c r="E1034" s="3"/>
      <c r="F1034" s="3"/>
      <c r="G1034" s="3"/>
      <c r="H1034" s="3"/>
      <c r="I1034" s="4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6.5" customHeight="1">
      <c r="A1035" s="3"/>
      <c r="B1035" s="3"/>
      <c r="C1035" s="3"/>
      <c r="D1035" s="3"/>
      <c r="E1035" s="3"/>
      <c r="F1035" s="3"/>
      <c r="G1035" s="3"/>
      <c r="H1035" s="3"/>
      <c r="I1035" s="4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6.5" customHeight="1">
      <c r="A1036" s="3"/>
      <c r="B1036" s="3"/>
      <c r="C1036" s="3"/>
      <c r="D1036" s="3"/>
      <c r="E1036" s="3"/>
      <c r="F1036" s="3"/>
      <c r="G1036" s="3"/>
      <c r="H1036" s="3"/>
      <c r="I1036" s="4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6.5" customHeight="1">
      <c r="A1037" s="3"/>
      <c r="B1037" s="3"/>
      <c r="C1037" s="3"/>
      <c r="D1037" s="3"/>
      <c r="E1037" s="3"/>
      <c r="F1037" s="3"/>
      <c r="G1037" s="3"/>
      <c r="H1037" s="3"/>
      <c r="I1037" s="4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6.5" customHeight="1">
      <c r="A1038" s="3"/>
      <c r="B1038" s="3"/>
      <c r="C1038" s="3"/>
      <c r="D1038" s="3"/>
      <c r="E1038" s="3"/>
      <c r="F1038" s="3"/>
      <c r="G1038" s="3"/>
      <c r="H1038" s="3"/>
      <c r="I1038" s="4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6.5" customHeight="1">
      <c r="A1039" s="3"/>
      <c r="B1039" s="3"/>
      <c r="C1039" s="3"/>
      <c r="D1039" s="3"/>
      <c r="E1039" s="3"/>
      <c r="F1039" s="3"/>
      <c r="G1039" s="3"/>
      <c r="H1039" s="3"/>
      <c r="I1039" s="4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6.5" customHeight="1">
      <c r="A1040" s="3"/>
      <c r="B1040" s="3"/>
      <c r="C1040" s="3"/>
      <c r="D1040" s="3"/>
      <c r="E1040" s="3"/>
      <c r="F1040" s="3"/>
      <c r="G1040" s="3"/>
      <c r="H1040" s="3"/>
      <c r="I1040" s="4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6.5" customHeight="1">
      <c r="A1041" s="3"/>
      <c r="B1041" s="3"/>
      <c r="C1041" s="3"/>
      <c r="D1041" s="3"/>
      <c r="E1041" s="3"/>
      <c r="F1041" s="3"/>
      <c r="G1041" s="3"/>
      <c r="H1041" s="3"/>
      <c r="I1041" s="4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6.5" customHeight="1">
      <c r="A1042" s="3"/>
      <c r="B1042" s="3"/>
      <c r="C1042" s="3"/>
      <c r="D1042" s="3"/>
      <c r="E1042" s="3"/>
      <c r="F1042" s="3"/>
      <c r="G1042" s="3"/>
      <c r="H1042" s="3"/>
      <c r="I1042" s="4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6.5" customHeight="1">
      <c r="A1043" s="3"/>
      <c r="B1043" s="3"/>
      <c r="C1043" s="3"/>
      <c r="D1043" s="3"/>
      <c r="E1043" s="3"/>
      <c r="F1043" s="3"/>
      <c r="G1043" s="3"/>
      <c r="H1043" s="3"/>
      <c r="I1043" s="4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6.5" customHeight="1">
      <c r="A1044" s="3"/>
      <c r="B1044" s="3"/>
      <c r="C1044" s="3"/>
      <c r="D1044" s="3"/>
      <c r="E1044" s="3"/>
      <c r="F1044" s="3"/>
      <c r="G1044" s="3"/>
      <c r="H1044" s="3"/>
      <c r="I1044" s="4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6.5" customHeight="1">
      <c r="A1045" s="3"/>
      <c r="B1045" s="3"/>
      <c r="C1045" s="3"/>
      <c r="D1045" s="3"/>
      <c r="E1045" s="3"/>
      <c r="F1045" s="3"/>
      <c r="G1045" s="3"/>
      <c r="H1045" s="3"/>
      <c r="I1045" s="4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6.5" customHeight="1">
      <c r="A1046" s="3"/>
      <c r="B1046" s="3"/>
      <c r="C1046" s="3"/>
      <c r="D1046" s="3"/>
      <c r="E1046" s="3"/>
      <c r="F1046" s="3"/>
      <c r="G1046" s="3"/>
      <c r="H1046" s="3"/>
      <c r="I1046" s="4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6.5" customHeight="1">
      <c r="A1047" s="3"/>
      <c r="B1047" s="3"/>
      <c r="C1047" s="3"/>
      <c r="D1047" s="3"/>
      <c r="E1047" s="3"/>
      <c r="F1047" s="3"/>
      <c r="G1047" s="3"/>
      <c r="H1047" s="3"/>
      <c r="I1047" s="4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6.5" customHeight="1">
      <c r="A1048" s="3"/>
      <c r="B1048" s="3"/>
      <c r="C1048" s="3"/>
      <c r="D1048" s="3"/>
      <c r="E1048" s="3"/>
      <c r="F1048" s="3"/>
      <c r="G1048" s="3"/>
      <c r="H1048" s="3"/>
      <c r="I1048" s="4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6.5" customHeight="1">
      <c r="A1049" s="3"/>
      <c r="B1049" s="3"/>
      <c r="C1049" s="3"/>
      <c r="D1049" s="3"/>
      <c r="E1049" s="3"/>
      <c r="F1049" s="3"/>
      <c r="G1049" s="3"/>
      <c r="H1049" s="3"/>
      <c r="I1049" s="4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6.5" customHeight="1">
      <c r="A1050" s="3"/>
      <c r="B1050" s="3"/>
      <c r="C1050" s="3"/>
      <c r="D1050" s="3"/>
      <c r="E1050" s="3"/>
      <c r="F1050" s="3"/>
      <c r="G1050" s="3"/>
      <c r="H1050" s="3"/>
      <c r="I1050" s="4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6.5" customHeight="1">
      <c r="A1051" s="3"/>
      <c r="B1051" s="3"/>
      <c r="C1051" s="3"/>
      <c r="D1051" s="3"/>
      <c r="E1051" s="3"/>
      <c r="F1051" s="3"/>
      <c r="G1051" s="3"/>
      <c r="H1051" s="3"/>
      <c r="I1051" s="4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6.5" customHeight="1">
      <c r="A1052" s="3"/>
      <c r="B1052" s="3"/>
      <c r="C1052" s="3"/>
      <c r="D1052" s="3"/>
      <c r="E1052" s="3"/>
      <c r="F1052" s="3"/>
      <c r="G1052" s="3"/>
      <c r="H1052" s="3"/>
      <c r="I1052" s="4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6.5" customHeight="1">
      <c r="A1053" s="3"/>
      <c r="B1053" s="3"/>
      <c r="C1053" s="3"/>
      <c r="D1053" s="3"/>
      <c r="E1053" s="3"/>
      <c r="F1053" s="3"/>
      <c r="G1053" s="3"/>
      <c r="H1053" s="3"/>
      <c r="I1053" s="4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6.5" customHeight="1">
      <c r="A1054" s="3"/>
      <c r="B1054" s="3"/>
      <c r="C1054" s="3"/>
      <c r="D1054" s="3"/>
      <c r="E1054" s="3"/>
      <c r="F1054" s="3"/>
      <c r="G1054" s="3"/>
      <c r="H1054" s="3"/>
      <c r="I1054" s="4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6.5" customHeight="1">
      <c r="A1055" s="3"/>
      <c r="B1055" s="3"/>
      <c r="C1055" s="3"/>
      <c r="D1055" s="3"/>
      <c r="E1055" s="3"/>
      <c r="F1055" s="3"/>
      <c r="G1055" s="3"/>
      <c r="H1055" s="3"/>
      <c r="I1055" s="4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6.5" customHeight="1">
      <c r="A1056" s="3"/>
      <c r="B1056" s="3"/>
      <c r="C1056" s="3"/>
      <c r="D1056" s="3"/>
      <c r="E1056" s="3"/>
      <c r="F1056" s="3"/>
      <c r="G1056" s="3"/>
      <c r="H1056" s="3"/>
      <c r="I1056" s="4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6.5" customHeight="1">
      <c r="A1057" s="3"/>
      <c r="B1057" s="3"/>
      <c r="C1057" s="3"/>
      <c r="D1057" s="3"/>
      <c r="E1057" s="3"/>
      <c r="F1057" s="3"/>
      <c r="G1057" s="3"/>
      <c r="H1057" s="3"/>
      <c r="I1057" s="4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6.5" customHeight="1">
      <c r="A1058" s="3"/>
      <c r="B1058" s="3"/>
      <c r="C1058" s="3"/>
      <c r="D1058" s="3"/>
      <c r="E1058" s="3"/>
      <c r="F1058" s="3"/>
      <c r="G1058" s="3"/>
      <c r="H1058" s="3"/>
      <c r="I1058" s="4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6.5" customHeight="1">
      <c r="A1059" s="3"/>
      <c r="B1059" s="3"/>
      <c r="C1059" s="3"/>
      <c r="D1059" s="3"/>
      <c r="E1059" s="3"/>
      <c r="F1059" s="3"/>
      <c r="G1059" s="3"/>
      <c r="H1059" s="3"/>
      <c r="I1059" s="4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6.5" customHeight="1">
      <c r="A1060" s="3"/>
      <c r="B1060" s="3"/>
      <c r="C1060" s="3"/>
      <c r="D1060" s="3"/>
      <c r="E1060" s="3"/>
      <c r="F1060" s="3"/>
      <c r="G1060" s="3"/>
      <c r="H1060" s="3"/>
      <c r="I1060" s="4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6.5" customHeight="1">
      <c r="A1061" s="3"/>
      <c r="B1061" s="3"/>
      <c r="C1061" s="3"/>
      <c r="D1061" s="3"/>
      <c r="E1061" s="3"/>
      <c r="F1061" s="3"/>
      <c r="G1061" s="3"/>
      <c r="H1061" s="3"/>
      <c r="I1061" s="4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6.5" customHeight="1">
      <c r="A1062" s="3"/>
      <c r="B1062" s="3"/>
      <c r="C1062" s="3"/>
      <c r="D1062" s="3"/>
      <c r="E1062" s="3"/>
      <c r="F1062" s="3"/>
      <c r="G1062" s="3"/>
      <c r="H1062" s="3"/>
      <c r="I1062" s="4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6.5" customHeight="1">
      <c r="A1063" s="3"/>
      <c r="B1063" s="3"/>
      <c r="C1063" s="3"/>
      <c r="D1063" s="3"/>
      <c r="E1063" s="3"/>
      <c r="F1063" s="3"/>
      <c r="G1063" s="3"/>
      <c r="H1063" s="3"/>
      <c r="I1063" s="4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6.5" customHeight="1">
      <c r="A1064" s="3"/>
      <c r="B1064" s="3"/>
      <c r="C1064" s="3"/>
      <c r="D1064" s="3"/>
      <c r="E1064" s="3"/>
      <c r="F1064" s="3"/>
      <c r="G1064" s="3"/>
      <c r="H1064" s="3"/>
      <c r="I1064" s="4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6.5" customHeight="1">
      <c r="A1065" s="3"/>
      <c r="B1065" s="3"/>
      <c r="C1065" s="3"/>
      <c r="D1065" s="3"/>
      <c r="E1065" s="3"/>
      <c r="F1065" s="3"/>
      <c r="G1065" s="3"/>
      <c r="H1065" s="3"/>
      <c r="I1065" s="4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6.5" customHeight="1">
      <c r="A1066" s="3"/>
      <c r="B1066" s="3"/>
      <c r="C1066" s="3"/>
      <c r="D1066" s="3"/>
      <c r="E1066" s="3"/>
      <c r="F1066" s="3"/>
      <c r="G1066" s="3"/>
      <c r="H1066" s="3"/>
      <c r="I1066" s="4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6.5" customHeight="1">
      <c r="A1067" s="3"/>
      <c r="B1067" s="3"/>
      <c r="C1067" s="3"/>
      <c r="D1067" s="3"/>
      <c r="E1067" s="3"/>
      <c r="F1067" s="3"/>
      <c r="G1067" s="3"/>
      <c r="H1067" s="3"/>
      <c r="I1067" s="4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6.5" customHeight="1">
      <c r="A1068" s="3"/>
      <c r="B1068" s="3"/>
      <c r="C1068" s="3"/>
      <c r="D1068" s="3"/>
      <c r="E1068" s="3"/>
      <c r="F1068" s="3"/>
      <c r="G1068" s="3"/>
      <c r="H1068" s="3"/>
      <c r="I1068" s="4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6.5" customHeight="1">
      <c r="A1069" s="3"/>
      <c r="B1069" s="3"/>
      <c r="C1069" s="3"/>
      <c r="D1069" s="3"/>
      <c r="E1069" s="3"/>
      <c r="F1069" s="3"/>
      <c r="G1069" s="3"/>
      <c r="H1069" s="3"/>
      <c r="I1069" s="4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6.5" customHeight="1">
      <c r="A1070" s="3"/>
      <c r="B1070" s="3"/>
      <c r="C1070" s="3"/>
      <c r="D1070" s="3"/>
      <c r="E1070" s="3"/>
      <c r="F1070" s="3"/>
      <c r="G1070" s="3"/>
      <c r="H1070" s="3"/>
      <c r="I1070" s="4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6.5" customHeight="1">
      <c r="A1071" s="3"/>
      <c r="B1071" s="3"/>
      <c r="C1071" s="3"/>
      <c r="D1071" s="3"/>
      <c r="E1071" s="3"/>
      <c r="F1071" s="3"/>
      <c r="G1071" s="3"/>
      <c r="H1071" s="3"/>
      <c r="I1071" s="4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6.5" customHeight="1">
      <c r="A1072" s="3"/>
      <c r="B1072" s="3"/>
      <c r="C1072" s="3"/>
      <c r="D1072" s="3"/>
      <c r="E1072" s="3"/>
      <c r="F1072" s="3"/>
      <c r="G1072" s="3"/>
      <c r="H1072" s="3"/>
      <c r="I1072" s="4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6.5" customHeight="1">
      <c r="A1073" s="3"/>
      <c r="B1073" s="3"/>
      <c r="C1073" s="3"/>
      <c r="D1073" s="3"/>
      <c r="E1073" s="3"/>
      <c r="F1073" s="3"/>
      <c r="G1073" s="3"/>
      <c r="H1073" s="3"/>
      <c r="I1073" s="4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6.5" customHeight="1">
      <c r="A1074" s="3"/>
      <c r="B1074" s="3"/>
      <c r="C1074" s="3"/>
      <c r="D1074" s="3"/>
      <c r="E1074" s="3"/>
      <c r="F1074" s="3"/>
      <c r="G1074" s="3"/>
      <c r="H1074" s="3"/>
      <c r="I1074" s="4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6.5" customHeight="1">
      <c r="A1075" s="3"/>
      <c r="B1075" s="3"/>
      <c r="C1075" s="3"/>
      <c r="D1075" s="3"/>
      <c r="E1075" s="3"/>
      <c r="F1075" s="3"/>
      <c r="G1075" s="3"/>
      <c r="H1075" s="3"/>
      <c r="I1075" s="4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6.5" customHeight="1">
      <c r="A1076" s="3"/>
      <c r="B1076" s="3"/>
      <c r="C1076" s="3"/>
      <c r="D1076" s="3"/>
      <c r="E1076" s="3"/>
      <c r="F1076" s="3"/>
      <c r="G1076" s="3"/>
      <c r="H1076" s="3"/>
      <c r="I1076" s="4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" customHeight="1">
      <c r="B1077" s="3"/>
      <c r="C1077" s="3"/>
      <c r="D1077" s="3"/>
      <c r="E1077" s="3"/>
      <c r="F1077" s="3"/>
      <c r="G1077" s="3"/>
    </row>
    <row r="1078" spans="1:26" ht="15" customHeight="1">
      <c r="B1078" s="3"/>
      <c r="C1078" s="3"/>
      <c r="D1078" s="3"/>
      <c r="E1078" s="3"/>
      <c r="F1078" s="3"/>
      <c r="G1078" s="3"/>
    </row>
    <row r="1079" spans="1:26" ht="15" customHeight="1">
      <c r="B1079" s="3"/>
      <c r="C1079" s="3"/>
      <c r="D1079" s="3"/>
      <c r="E1079" s="3"/>
      <c r="F1079" s="3"/>
      <c r="G1079" s="3"/>
    </row>
    <row r="1080" spans="1:26" ht="15" customHeight="1">
      <c r="B1080" s="3"/>
      <c r="C1080" s="3"/>
      <c r="D1080" s="3"/>
      <c r="E1080" s="3"/>
      <c r="F1080" s="3"/>
      <c r="G1080" s="3"/>
    </row>
    <row r="1081" spans="1:26" ht="15" customHeight="1">
      <c r="B1081" s="3"/>
      <c r="C1081" s="3"/>
      <c r="D1081" s="3"/>
      <c r="E1081" s="3"/>
      <c r="F1081" s="3"/>
      <c r="G1081" s="3"/>
    </row>
  </sheetData>
  <mergeCells count="86">
    <mergeCell ref="B260:B263"/>
    <mergeCell ref="H29:H30"/>
    <mergeCell ref="B56:B64"/>
    <mergeCell ref="C64:F64"/>
    <mergeCell ref="B65:F65"/>
    <mergeCell ref="B102:B106"/>
    <mergeCell ref="C55:F55"/>
    <mergeCell ref="H32:H33"/>
    <mergeCell ref="H60:H61"/>
    <mergeCell ref="H90:H91"/>
    <mergeCell ref="H71:H72"/>
    <mergeCell ref="H73:H74"/>
    <mergeCell ref="B15:F15"/>
    <mergeCell ref="C18:F18"/>
    <mergeCell ref="B20:F20"/>
    <mergeCell ref="B29:B55"/>
    <mergeCell ref="B239:F239"/>
    <mergeCell ref="B139:B140"/>
    <mergeCell ref="D139:D140"/>
    <mergeCell ref="B146:B154"/>
    <mergeCell ref="B165:B174"/>
    <mergeCell ref="B71:B79"/>
    <mergeCell ref="C23:F23"/>
    <mergeCell ref="B25:F25"/>
    <mergeCell ref="B110:B114"/>
    <mergeCell ref="B107:B108"/>
    <mergeCell ref="B182:B186"/>
    <mergeCell ref="K97:O97"/>
    <mergeCell ref="K103:O103"/>
    <mergeCell ref="K136:O136"/>
    <mergeCell ref="N143:N144"/>
    <mergeCell ref="O144:O146"/>
    <mergeCell ref="N145:N146"/>
    <mergeCell ref="K143:K144"/>
    <mergeCell ref="K145:K146"/>
    <mergeCell ref="J264:P265"/>
    <mergeCell ref="M158:P158"/>
    <mergeCell ref="M159:P159"/>
    <mergeCell ref="M155:P155"/>
    <mergeCell ref="M156:P156"/>
    <mergeCell ref="M157:P157"/>
    <mergeCell ref="K84:O84"/>
    <mergeCell ref="K74:K83"/>
    <mergeCell ref="K94:K96"/>
    <mergeCell ref="K55:O55"/>
    <mergeCell ref="K62:O62"/>
    <mergeCell ref="K66:K69"/>
    <mergeCell ref="K70:O70"/>
    <mergeCell ref="A1:H1"/>
    <mergeCell ref="J1:Q1"/>
    <mergeCell ref="B7:B14"/>
    <mergeCell ref="H7:H8"/>
    <mergeCell ref="K7:K11"/>
    <mergeCell ref="L11:O11"/>
    <mergeCell ref="K14:O14"/>
    <mergeCell ref="C14:F14"/>
    <mergeCell ref="K32:O32"/>
    <mergeCell ref="H36:H37"/>
    <mergeCell ref="H38:H39"/>
    <mergeCell ref="K42:O42"/>
    <mergeCell ref="K49:O49"/>
    <mergeCell ref="H42:H54"/>
    <mergeCell ref="H183:H187"/>
    <mergeCell ref="L208:N209"/>
    <mergeCell ref="B134:B135"/>
    <mergeCell ref="H153:H154"/>
    <mergeCell ref="H134:H135"/>
    <mergeCell ref="H148:H149"/>
    <mergeCell ref="H150:H151"/>
    <mergeCell ref="K153:L153"/>
    <mergeCell ref="M154:P154"/>
    <mergeCell ref="W86:Y86"/>
    <mergeCell ref="W87:Y87"/>
    <mergeCell ref="Q88:Q89"/>
    <mergeCell ref="R88:R89"/>
    <mergeCell ref="B89:B90"/>
    <mergeCell ref="K90:O90"/>
    <mergeCell ref="B257:B258"/>
    <mergeCell ref="B252:B256"/>
    <mergeCell ref="B121:B126"/>
    <mergeCell ref="B81:B82"/>
    <mergeCell ref="B247:B250"/>
    <mergeCell ref="B243:B246"/>
    <mergeCell ref="B191:B197"/>
    <mergeCell ref="B175:B181"/>
    <mergeCell ref="B115:B120"/>
  </mergeCells>
  <phoneticPr fontId="27" type="noConversion"/>
  <pageMargins left="0.7" right="0.7" top="0.75" bottom="0.75" header="0" footer="0"/>
  <pageSetup paperSize="9" orientation="portrait"/>
  <ignoredErrors>
    <ignoredError sqref="G71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074"/>
  <sheetViews>
    <sheetView zoomScaleNormal="100" workbookViewId="0">
      <pane ySplit="3" topLeftCell="A4" activePane="bottomLeft" state="frozen"/>
      <selection pane="bottomLeft" activeCell="H14" sqref="H14"/>
    </sheetView>
  </sheetViews>
  <sheetFormatPr defaultColWidth="12.5703125" defaultRowHeight="15" customHeight="1"/>
  <cols>
    <col min="1" max="1" width="36.140625" customWidth="1"/>
    <col min="2" max="2" width="32" bestFit="1" customWidth="1"/>
    <col min="3" max="3" width="36.5703125" customWidth="1"/>
    <col min="4" max="4" width="23" bestFit="1" customWidth="1"/>
    <col min="5" max="5" width="15" bestFit="1" customWidth="1"/>
    <col min="6" max="6" width="14" bestFit="1" customWidth="1"/>
    <col min="7" max="7" width="12.28515625" customWidth="1"/>
    <col min="8" max="8" width="21" bestFit="1" customWidth="1"/>
    <col min="9" max="9" width="12.85546875" bestFit="1" customWidth="1"/>
    <col min="10" max="10" width="14.42578125" customWidth="1"/>
    <col min="11" max="11" width="17.42578125" bestFit="1" customWidth="1"/>
    <col min="12" max="14" width="7.5703125" customWidth="1"/>
    <col min="15" max="15" width="19.140625" bestFit="1" customWidth="1"/>
    <col min="16" max="16" width="15.28515625" bestFit="1" customWidth="1"/>
    <col min="17" max="17" width="9.5703125" bestFit="1" customWidth="1"/>
    <col min="18" max="18" width="15.28515625" bestFit="1" customWidth="1"/>
    <col min="19" max="19" width="9.5703125" bestFit="1" customWidth="1"/>
    <col min="20" max="20" width="17.28515625" bestFit="1" customWidth="1"/>
    <col min="21" max="21" width="9.5703125" bestFit="1" customWidth="1"/>
    <col min="22" max="22" width="15.28515625" bestFit="1" customWidth="1"/>
    <col min="23" max="23" width="9.5703125" bestFit="1" customWidth="1"/>
    <col min="24" max="24" width="17.28515625" bestFit="1" customWidth="1"/>
    <col min="25" max="25" width="9.5703125" bestFit="1" customWidth="1"/>
    <col min="26" max="26" width="21" bestFit="1" customWidth="1"/>
    <col min="27" max="27" width="11.5703125" bestFit="1" customWidth="1"/>
    <col min="28" max="29" width="7.5703125" customWidth="1"/>
    <col min="30" max="33" width="17.85546875" bestFit="1" customWidth="1"/>
    <col min="34" max="37" width="19.5703125" bestFit="1" customWidth="1"/>
    <col min="38" max="39" width="17.85546875" bestFit="1" customWidth="1"/>
    <col min="40" max="41" width="19.5703125" bestFit="1" customWidth="1"/>
    <col min="42" max="42" width="35.85546875" bestFit="1" customWidth="1"/>
    <col min="43" max="43" width="19.5703125" bestFit="1" customWidth="1"/>
  </cols>
  <sheetData>
    <row r="1" spans="1:43" ht="31.5">
      <c r="A1" s="646" t="s">
        <v>271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O1" s="60" t="s">
        <v>220</v>
      </c>
      <c r="P1" s="61"/>
      <c r="Q1" s="62"/>
      <c r="R1" s="61"/>
      <c r="S1" s="62"/>
      <c r="T1" s="61"/>
      <c r="U1" s="62"/>
      <c r="V1" s="61"/>
      <c r="W1" s="62"/>
      <c r="X1" s="61"/>
      <c r="Y1" s="62"/>
      <c r="Z1" s="61"/>
      <c r="AA1" s="62"/>
      <c r="AD1" s="246" t="s">
        <v>222</v>
      </c>
      <c r="AE1" s="246" t="s">
        <v>223</v>
      </c>
      <c r="AF1" s="246" t="s">
        <v>224</v>
      </c>
      <c r="AG1" s="246" t="s">
        <v>225</v>
      </c>
      <c r="AH1" s="246" t="s">
        <v>226</v>
      </c>
      <c r="AI1" s="246" t="s">
        <v>227</v>
      </c>
      <c r="AJ1" s="246" t="s">
        <v>228</v>
      </c>
      <c r="AK1" s="246" t="s">
        <v>229</v>
      </c>
      <c r="AL1" s="246" t="s">
        <v>230</v>
      </c>
      <c r="AM1" s="246" t="s">
        <v>231</v>
      </c>
      <c r="AN1" s="246" t="s">
        <v>232</v>
      </c>
      <c r="AO1" s="246" t="s">
        <v>233</v>
      </c>
      <c r="AP1" s="246" t="s">
        <v>234</v>
      </c>
      <c r="AQ1" s="246" t="s">
        <v>235</v>
      </c>
    </row>
    <row r="2" spans="1:43" ht="32.25" customHeight="1">
      <c r="A2" s="65">
        <f>예산!C3</f>
        <v>2956400000</v>
      </c>
      <c r="B2" s="44"/>
      <c r="C2" s="66"/>
      <c r="D2" s="44"/>
      <c r="E2" s="61"/>
      <c r="F2" s="44"/>
      <c r="G2" s="44"/>
      <c r="H2" s="61"/>
      <c r="I2" s="67"/>
      <c r="J2" s="68" t="s">
        <v>236</v>
      </c>
      <c r="K2" s="62"/>
      <c r="O2" s="69" t="s">
        <v>237</v>
      </c>
      <c r="P2" s="647" t="s">
        <v>7</v>
      </c>
      <c r="Q2" s="595"/>
      <c r="R2" s="647" t="s">
        <v>238</v>
      </c>
      <c r="S2" s="595"/>
      <c r="T2" s="647" t="s">
        <v>31</v>
      </c>
      <c r="U2" s="595"/>
      <c r="V2" s="647" t="s">
        <v>71</v>
      </c>
      <c r="W2" s="595"/>
      <c r="X2" s="647" t="s">
        <v>83</v>
      </c>
      <c r="Y2" s="595"/>
      <c r="Z2" s="647" t="s">
        <v>239</v>
      </c>
      <c r="AA2" s="595"/>
      <c r="AD2" s="247">
        <f t="shared" ref="AD2:AO2" si="0">SUMIF($G4:$G187, AD1, $H4:$H187)</f>
        <v>14600000</v>
      </c>
      <c r="AE2" s="247">
        <f t="shared" si="0"/>
        <v>17381628</v>
      </c>
      <c r="AF2" s="247">
        <f t="shared" si="0"/>
        <v>75237443</v>
      </c>
      <c r="AG2" s="247">
        <f t="shared" si="0"/>
        <v>31124560</v>
      </c>
      <c r="AH2" s="247">
        <f t="shared" si="0"/>
        <v>429067730</v>
      </c>
      <c r="AI2" s="247">
        <f t="shared" si="0"/>
        <v>36033827</v>
      </c>
      <c r="AJ2" s="247">
        <f t="shared" si="0"/>
        <v>258031129</v>
      </c>
      <c r="AK2" s="247">
        <f t="shared" si="0"/>
        <v>231273623</v>
      </c>
      <c r="AL2" s="247">
        <f t="shared" si="0"/>
        <v>666484119</v>
      </c>
      <c r="AM2" s="247">
        <f t="shared" si="0"/>
        <v>46437689</v>
      </c>
      <c r="AN2" s="247">
        <f t="shared" si="0"/>
        <v>501632689</v>
      </c>
      <c r="AO2" s="247">
        <f t="shared" si="0"/>
        <v>436940689</v>
      </c>
      <c r="AP2" s="247">
        <f>SUM(AD2:AO2)</f>
        <v>2744245126</v>
      </c>
      <c r="AQ2" s="248">
        <f>$A$2-$AP$2</f>
        <v>212154874</v>
      </c>
    </row>
    <row r="3" spans="1:43" ht="16.5" customHeight="1">
      <c r="A3" s="72" t="s">
        <v>240</v>
      </c>
      <c r="B3" s="73" t="s">
        <v>241</v>
      </c>
      <c r="C3" s="74" t="s">
        <v>0</v>
      </c>
      <c r="D3" s="662" t="s">
        <v>242</v>
      </c>
      <c r="E3" s="663"/>
      <c r="F3" s="664"/>
      <c r="G3" s="73" t="s">
        <v>272</v>
      </c>
      <c r="H3" s="75" t="s">
        <v>273</v>
      </c>
      <c r="I3" s="76" t="s">
        <v>245</v>
      </c>
      <c r="J3" s="77" t="s">
        <v>246</v>
      </c>
      <c r="K3" s="78" t="s">
        <v>247</v>
      </c>
      <c r="O3" s="79" t="s">
        <v>248</v>
      </c>
      <c r="P3" s="80">
        <f>H18</f>
        <v>240639599</v>
      </c>
      <c r="Q3" s="81">
        <f>K18</f>
        <v>1.1133976996167649</v>
      </c>
      <c r="R3" s="80">
        <f>H31</f>
        <v>186800000</v>
      </c>
      <c r="S3" s="81">
        <f>K31</f>
        <v>1.0435754189944133</v>
      </c>
      <c r="T3" s="80">
        <f>H48</f>
        <v>1154900740</v>
      </c>
      <c r="U3" s="81">
        <f>K48</f>
        <v>1.0011355847048495</v>
      </c>
      <c r="V3" s="80">
        <f>H68</f>
        <v>43226509</v>
      </c>
      <c r="W3" s="81">
        <f>K68</f>
        <v>0.59827870050347354</v>
      </c>
      <c r="X3" s="80">
        <f>H197</f>
        <v>1141074289</v>
      </c>
      <c r="Y3" s="81">
        <f>K197</f>
        <v>0.96946817148985098</v>
      </c>
      <c r="Z3" s="82">
        <f>H198</f>
        <v>2766641137</v>
      </c>
      <c r="AA3" s="83">
        <f>K198</f>
        <v>0.988798185713474</v>
      </c>
      <c r="AD3" s="249">
        <f>AD2/$A$2</f>
        <v>4.9384386415911247E-3</v>
      </c>
      <c r="AE3" s="249">
        <f t="shared" ref="AE3:AO3" si="1">AE2/$A$2+AD3</f>
        <v>1.0817760790150184E-2</v>
      </c>
      <c r="AF3" s="249">
        <f t="shared" si="1"/>
        <v>3.6266767352185092E-2</v>
      </c>
      <c r="AG3" s="249">
        <f t="shared" si="1"/>
        <v>4.6794625558111216E-2</v>
      </c>
      <c r="AH3" s="249">
        <f t="shared" si="1"/>
        <v>0.19192645142741172</v>
      </c>
      <c r="AI3" s="249">
        <f t="shared" si="1"/>
        <v>0.20411486537680962</v>
      </c>
      <c r="AJ3" s="249">
        <f t="shared" si="1"/>
        <v>0.29139369401975374</v>
      </c>
      <c r="AK3" s="249">
        <f t="shared" si="1"/>
        <v>0.36962181707482072</v>
      </c>
      <c r="AL3" s="249">
        <f t="shared" si="1"/>
        <v>0.59505955181978076</v>
      </c>
      <c r="AM3" s="249">
        <f t="shared" si="1"/>
        <v>0.61076706399675273</v>
      </c>
      <c r="AN3" s="249">
        <f t="shared" si="1"/>
        <v>0.78044393079420904</v>
      </c>
      <c r="AO3" s="249">
        <f t="shared" si="1"/>
        <v>0.92823877892030837</v>
      </c>
      <c r="AP3" s="249">
        <f t="shared" ref="AP3:AQ3" si="2">AP2/$A$2</f>
        <v>0.92823877892030848</v>
      </c>
      <c r="AQ3" s="249">
        <f t="shared" si="2"/>
        <v>7.1761221079691517E-2</v>
      </c>
    </row>
    <row r="4" spans="1:43" ht="16.5" customHeight="1">
      <c r="A4" s="624" t="s">
        <v>7</v>
      </c>
      <c r="B4" s="625" t="s">
        <v>249</v>
      </c>
      <c r="C4" s="649">
        <f>예산!G15</f>
        <v>122770857</v>
      </c>
      <c r="D4" s="85" t="s">
        <v>15</v>
      </c>
      <c r="E4" s="660">
        <f>예산!G7</f>
        <v>5871208</v>
      </c>
      <c r="F4" s="595"/>
      <c r="G4" s="85" t="s">
        <v>223</v>
      </c>
      <c r="H4" s="86">
        <f>1192128+예산!E8</f>
        <v>2781628</v>
      </c>
      <c r="I4" s="87">
        <v>45776</v>
      </c>
      <c r="J4" s="85"/>
      <c r="K4" s="651"/>
      <c r="O4" s="60">
        <v>45788</v>
      </c>
      <c r="P4" s="61">
        <v>2781628</v>
      </c>
      <c r="Q4" s="62">
        <v>1.5020954171344377E-2</v>
      </c>
      <c r="R4" s="61">
        <v>14600000</v>
      </c>
      <c r="S4" s="62">
        <v>7.1921182266009853E-2</v>
      </c>
      <c r="T4" s="61">
        <v>0</v>
      </c>
      <c r="U4" s="62">
        <v>0</v>
      </c>
      <c r="V4" s="61">
        <v>0</v>
      </c>
      <c r="W4" s="62">
        <v>0</v>
      </c>
      <c r="X4" s="61">
        <v>5500000</v>
      </c>
      <c r="Y4" s="62">
        <v>4.4688636370576029E-3</v>
      </c>
      <c r="Z4" s="61">
        <v>22881628</v>
      </c>
      <c r="AA4" s="62">
        <v>7.7396928697064001E-3</v>
      </c>
    </row>
    <row r="5" spans="1:43" ht="16.5" customHeight="1">
      <c r="A5" s="579"/>
      <c r="B5" s="579"/>
      <c r="C5" s="579"/>
      <c r="D5" s="236" t="s">
        <v>19</v>
      </c>
      <c r="E5" s="661">
        <f>예산!G8</f>
        <v>4768500</v>
      </c>
      <c r="F5" s="612"/>
      <c r="G5" s="85" t="s">
        <v>224</v>
      </c>
      <c r="H5" s="86">
        <f>예산!E7+예산!E8</f>
        <v>3405260</v>
      </c>
      <c r="I5" s="87"/>
      <c r="J5" s="85"/>
      <c r="K5" s="579"/>
      <c r="O5" s="60"/>
      <c r="P5" s="61"/>
      <c r="Q5" s="62"/>
      <c r="R5" s="61"/>
      <c r="S5" s="62"/>
      <c r="T5" s="61"/>
      <c r="U5" s="62"/>
      <c r="V5" s="61"/>
      <c r="W5" s="62"/>
      <c r="X5" s="61"/>
      <c r="Y5" s="62"/>
      <c r="Z5" s="61"/>
      <c r="AA5" s="62"/>
      <c r="AD5" s="228" t="s">
        <v>389</v>
      </c>
    </row>
    <row r="6" spans="1:43" ht="16.5" customHeight="1">
      <c r="A6" s="579"/>
      <c r="B6" s="579"/>
      <c r="C6" s="589"/>
      <c r="D6" s="238" t="s">
        <v>351</v>
      </c>
      <c r="E6" s="661">
        <f>예산!G9</f>
        <v>14705304</v>
      </c>
      <c r="F6" s="612"/>
      <c r="G6" s="235" t="s">
        <v>225</v>
      </c>
      <c r="H6" s="86">
        <f>SUM(예산!$E$7:$E$8)</f>
        <v>3405260</v>
      </c>
      <c r="I6" s="87"/>
      <c r="J6" s="85"/>
      <c r="K6" s="579"/>
      <c r="O6" s="60"/>
      <c r="P6" s="61"/>
      <c r="Q6" s="62"/>
      <c r="R6" s="61"/>
      <c r="S6" s="62"/>
      <c r="T6" s="61"/>
      <c r="U6" s="62"/>
      <c r="V6" s="61"/>
      <c r="W6" s="62"/>
      <c r="X6" s="61"/>
      <c r="Y6" s="62"/>
      <c r="Z6" s="61"/>
      <c r="AA6" s="62"/>
      <c r="AD6" s="64" t="s">
        <v>222</v>
      </c>
      <c r="AE6" s="64" t="s">
        <v>223</v>
      </c>
      <c r="AF6" s="64" t="s">
        <v>224</v>
      </c>
      <c r="AG6" s="64" t="s">
        <v>225</v>
      </c>
      <c r="AH6" s="64" t="s">
        <v>226</v>
      </c>
      <c r="AI6" s="64" t="s">
        <v>227</v>
      </c>
      <c r="AJ6" s="64" t="s">
        <v>228</v>
      </c>
      <c r="AK6" s="64" t="s">
        <v>229</v>
      </c>
      <c r="AL6" s="64" t="s">
        <v>230</v>
      </c>
      <c r="AM6" s="64" t="s">
        <v>231</v>
      </c>
      <c r="AN6" s="64" t="s">
        <v>232</v>
      </c>
      <c r="AO6" s="64" t="s">
        <v>233</v>
      </c>
      <c r="AP6" s="64" t="s">
        <v>234</v>
      </c>
    </row>
    <row r="7" spans="1:43" ht="16.5" customHeight="1">
      <c r="A7" s="579"/>
      <c r="B7" s="579"/>
      <c r="C7" s="589"/>
      <c r="D7" s="237" t="s">
        <v>330</v>
      </c>
      <c r="E7" s="650">
        <f>예산!G11</f>
        <v>37350216</v>
      </c>
      <c r="F7" s="607"/>
      <c r="G7" s="235" t="s">
        <v>226</v>
      </c>
      <c r="H7" s="86">
        <f>SUM(예산!$E$9:$E$11)</f>
        <v>10387490</v>
      </c>
      <c r="I7" s="87"/>
      <c r="J7" s="85"/>
      <c r="K7" s="579"/>
      <c r="O7" s="60"/>
      <c r="P7" s="61"/>
      <c r="Q7" s="62"/>
      <c r="R7" s="61"/>
      <c r="S7" s="62"/>
      <c r="T7" s="61"/>
      <c r="U7" s="62"/>
      <c r="V7" s="61"/>
      <c r="W7" s="62"/>
      <c r="X7" s="61"/>
      <c r="Y7" s="62"/>
      <c r="Z7" s="61"/>
      <c r="AA7" s="62"/>
      <c r="AD7" s="70">
        <f t="shared" ref="AD7:AO7" si="3">SUMIF($G$69:$G$113, AD$6, $H$69:$H$113)</f>
        <v>0</v>
      </c>
      <c r="AE7" s="70">
        <f t="shared" si="3"/>
        <v>0</v>
      </c>
      <c r="AF7" s="70">
        <f t="shared" si="3"/>
        <v>6500000</v>
      </c>
      <c r="AG7" s="70">
        <f t="shared" si="3"/>
        <v>1000000</v>
      </c>
      <c r="AH7" s="70">
        <f t="shared" si="3"/>
        <v>207800000</v>
      </c>
      <c r="AI7" s="70">
        <f t="shared" si="3"/>
        <v>0</v>
      </c>
      <c r="AJ7" s="70">
        <f t="shared" si="3"/>
        <v>2000000</v>
      </c>
      <c r="AK7" s="70">
        <f t="shared" si="3"/>
        <v>113838000</v>
      </c>
      <c r="AL7" s="70">
        <f t="shared" si="3"/>
        <v>18700000</v>
      </c>
      <c r="AM7" s="70">
        <f t="shared" si="3"/>
        <v>6000000</v>
      </c>
      <c r="AN7" s="70">
        <f t="shared" si="3"/>
        <v>6000000</v>
      </c>
      <c r="AO7" s="70">
        <f t="shared" si="3"/>
        <v>310000000</v>
      </c>
      <c r="AP7" s="70">
        <f>SUM(AD7:AO7)</f>
        <v>671838000</v>
      </c>
    </row>
    <row r="8" spans="1:43" ht="16.5" customHeight="1">
      <c r="A8" s="579"/>
      <c r="B8" s="579"/>
      <c r="C8" s="589"/>
      <c r="D8" s="237" t="s">
        <v>378</v>
      </c>
      <c r="E8" s="658">
        <f>예산!G12</f>
        <v>32681439</v>
      </c>
      <c r="F8" s="659"/>
      <c r="G8" s="235" t="s">
        <v>227</v>
      </c>
      <c r="H8" s="86">
        <f>SUM(예산!$E$9:$E$12)+1047560</f>
        <v>16103827</v>
      </c>
      <c r="I8" s="87"/>
      <c r="J8" s="85"/>
      <c r="K8" s="579"/>
      <c r="O8" s="60"/>
      <c r="P8" s="61"/>
      <c r="Q8" s="62"/>
      <c r="R8" s="61"/>
      <c r="S8" s="62"/>
      <c r="T8" s="61"/>
      <c r="U8" s="62"/>
      <c r="V8" s="61"/>
      <c r="W8" s="62"/>
      <c r="X8" s="61"/>
      <c r="Y8" s="62"/>
      <c r="Z8" s="61"/>
      <c r="AA8" s="62"/>
      <c r="AD8" s="70">
        <f>SUMIF($G$69:$G$113, AD$6, $H$69:$H$113)</f>
        <v>0</v>
      </c>
      <c r="AE8" s="70">
        <f t="shared" ref="AE8:AO8" si="4">SUMIF($G$69:$G$113, AE$6, $H$69:$H$113)+AD8</f>
        <v>0</v>
      </c>
      <c r="AF8" s="70">
        <f t="shared" si="4"/>
        <v>6500000</v>
      </c>
      <c r="AG8" s="70">
        <f t="shared" si="4"/>
        <v>7500000</v>
      </c>
      <c r="AH8" s="70">
        <f t="shared" si="4"/>
        <v>215300000</v>
      </c>
      <c r="AI8" s="70">
        <f t="shared" si="4"/>
        <v>215300000</v>
      </c>
      <c r="AJ8" s="70">
        <f t="shared" si="4"/>
        <v>217300000</v>
      </c>
      <c r="AK8" s="70">
        <f t="shared" si="4"/>
        <v>331138000</v>
      </c>
      <c r="AL8" s="70">
        <f t="shared" si="4"/>
        <v>349838000</v>
      </c>
      <c r="AM8" s="70">
        <f t="shared" si="4"/>
        <v>355838000</v>
      </c>
      <c r="AN8" s="70">
        <f t="shared" si="4"/>
        <v>361838000</v>
      </c>
      <c r="AO8" s="70">
        <f t="shared" si="4"/>
        <v>671838000</v>
      </c>
      <c r="AP8" s="70"/>
    </row>
    <row r="9" spans="1:43" ht="16.5" customHeight="1">
      <c r="A9" s="579"/>
      <c r="B9" s="579"/>
      <c r="C9" s="579"/>
      <c r="D9" s="237" t="s">
        <v>404</v>
      </c>
      <c r="E9" s="658">
        <f>예산!G13</f>
        <v>20858532</v>
      </c>
      <c r="F9" s="659"/>
      <c r="G9" s="85" t="s">
        <v>228</v>
      </c>
      <c r="H9" s="86">
        <f>SUM(예산!$E$9:$E$13)</f>
        <v>18532689</v>
      </c>
      <c r="I9" s="87"/>
      <c r="J9" s="85"/>
      <c r="K9" s="579"/>
      <c r="O9" s="60"/>
      <c r="P9" s="61"/>
      <c r="Q9" s="62"/>
      <c r="R9" s="61"/>
      <c r="S9" s="62"/>
      <c r="T9" s="61"/>
      <c r="U9" s="62"/>
      <c r="V9" s="61"/>
      <c r="W9" s="62"/>
      <c r="X9" s="61"/>
      <c r="Y9" s="62"/>
      <c r="Z9" s="61"/>
      <c r="AA9" s="62"/>
      <c r="AD9" s="84">
        <f>AD7/$E$114</f>
        <v>0</v>
      </c>
      <c r="AE9" s="84">
        <f t="shared" ref="AE9:AO9" si="5">AE7/$E$114+AD9</f>
        <v>0</v>
      </c>
      <c r="AF9" s="84">
        <f t="shared" si="5"/>
        <v>1.020428988346701E-2</v>
      </c>
      <c r="AG9" s="84">
        <f t="shared" si="5"/>
        <v>1.1774180634769626E-2</v>
      </c>
      <c r="AH9" s="84">
        <f t="shared" si="5"/>
        <v>0.33799747875545344</v>
      </c>
      <c r="AI9" s="84">
        <f t="shared" si="5"/>
        <v>0.33799747875545344</v>
      </c>
      <c r="AJ9" s="84">
        <f t="shared" si="5"/>
        <v>0.34113726025805868</v>
      </c>
      <c r="AK9" s="84">
        <f t="shared" si="5"/>
        <v>0.51985048360484598</v>
      </c>
      <c r="AL9" s="84">
        <f t="shared" si="5"/>
        <v>0.5492074406542049</v>
      </c>
      <c r="AM9" s="84">
        <f t="shared" si="5"/>
        <v>0.55862678516202058</v>
      </c>
      <c r="AN9" s="84">
        <f t="shared" si="5"/>
        <v>0.56804612966983625</v>
      </c>
      <c r="AO9" s="84">
        <f t="shared" si="5"/>
        <v>1.0547122625736476</v>
      </c>
      <c r="AP9" s="84">
        <f>AP7/$A$2</f>
        <v>0.22724868082803409</v>
      </c>
    </row>
    <row r="10" spans="1:43" ht="16.5" customHeight="1">
      <c r="A10" s="579"/>
      <c r="B10" s="579"/>
      <c r="C10" s="579"/>
      <c r="D10" s="652"/>
      <c r="E10" s="653"/>
      <c r="F10" s="654"/>
      <c r="G10" s="85" t="s">
        <v>229</v>
      </c>
      <c r="H10" s="86">
        <f>SUM(예산!$E$9:$E$13)</f>
        <v>18532689</v>
      </c>
      <c r="I10" s="87"/>
      <c r="J10" s="85"/>
      <c r="K10" s="579"/>
      <c r="O10" s="60"/>
      <c r="P10" s="61"/>
      <c r="Q10" s="62"/>
      <c r="R10" s="61"/>
      <c r="S10" s="62"/>
      <c r="T10" s="61"/>
      <c r="U10" s="62"/>
      <c r="V10" s="61"/>
      <c r="W10" s="62"/>
      <c r="X10" s="61"/>
      <c r="Y10" s="62"/>
      <c r="Z10" s="61"/>
      <c r="AA10" s="62"/>
    </row>
    <row r="11" spans="1:43" ht="16.5" customHeight="1">
      <c r="A11" s="579"/>
      <c r="B11" s="579"/>
      <c r="C11" s="579"/>
      <c r="D11" s="652"/>
      <c r="E11" s="653"/>
      <c r="F11" s="654"/>
      <c r="G11" s="85" t="s">
        <v>230</v>
      </c>
      <c r="H11" s="86">
        <f>SUM(예산!$E$9:$E$13)</f>
        <v>18532689</v>
      </c>
      <c r="I11" s="87"/>
      <c r="J11" s="85"/>
      <c r="K11" s="579"/>
      <c r="O11" s="60"/>
      <c r="P11" s="61"/>
      <c r="Q11" s="62"/>
      <c r="R11" s="61"/>
      <c r="S11" s="62"/>
      <c r="T11" s="61"/>
      <c r="U11" s="62"/>
      <c r="V11" s="61"/>
      <c r="W11" s="62"/>
      <c r="X11" s="61"/>
      <c r="Y11" s="62"/>
      <c r="Z11" s="61"/>
      <c r="AA11" s="62"/>
    </row>
    <row r="12" spans="1:43" ht="16.5" customHeight="1">
      <c r="A12" s="579"/>
      <c r="B12" s="579"/>
      <c r="C12" s="579"/>
      <c r="D12" s="652"/>
      <c r="E12" s="653"/>
      <c r="F12" s="654"/>
      <c r="G12" s="85" t="s">
        <v>231</v>
      </c>
      <c r="H12" s="86">
        <f>SUM(예산!$E$9:$E$13)</f>
        <v>18532689</v>
      </c>
      <c r="I12" s="87"/>
      <c r="J12" s="85"/>
      <c r="K12" s="579"/>
      <c r="O12" s="60"/>
      <c r="P12" s="61"/>
      <c r="Q12" s="62"/>
      <c r="R12" s="61"/>
      <c r="S12" s="62"/>
      <c r="T12" s="61"/>
      <c r="U12" s="62"/>
      <c r="V12" s="61"/>
      <c r="W12" s="62"/>
      <c r="X12" s="61"/>
      <c r="Y12" s="62"/>
      <c r="Z12" s="61"/>
      <c r="AA12" s="62"/>
    </row>
    <row r="13" spans="1:43" ht="16.5" customHeight="1">
      <c r="A13" s="579"/>
      <c r="B13" s="579"/>
      <c r="C13" s="579"/>
      <c r="D13" s="652"/>
      <c r="E13" s="653"/>
      <c r="F13" s="654"/>
      <c r="G13" s="85" t="s">
        <v>232</v>
      </c>
      <c r="H13" s="86">
        <f>SUM(예산!$E$9:$E$13)</f>
        <v>18532689</v>
      </c>
      <c r="I13" s="87"/>
      <c r="J13" s="85"/>
      <c r="K13" s="579"/>
      <c r="O13" s="60"/>
      <c r="P13" s="61"/>
      <c r="Q13" s="62"/>
      <c r="R13" s="61"/>
      <c r="S13" s="62"/>
      <c r="T13" s="61"/>
      <c r="U13" s="62"/>
      <c r="V13" s="61"/>
      <c r="W13" s="62"/>
      <c r="X13" s="61"/>
      <c r="Y13" s="62"/>
      <c r="Z13" s="61"/>
      <c r="AA13" s="62"/>
    </row>
    <row r="14" spans="1:43" ht="16.5" customHeight="1">
      <c r="A14" s="579"/>
      <c r="B14" s="581"/>
      <c r="C14" s="581"/>
      <c r="D14" s="655"/>
      <c r="E14" s="656"/>
      <c r="F14" s="657"/>
      <c r="G14" s="85" t="s">
        <v>233</v>
      </c>
      <c r="H14" s="86">
        <f>SUM(예산!$E$9:$E$13)</f>
        <v>18532689</v>
      </c>
      <c r="I14" s="87"/>
      <c r="J14" s="85"/>
      <c r="K14" s="581"/>
      <c r="O14" s="60"/>
      <c r="P14" s="61"/>
      <c r="Q14" s="62"/>
      <c r="R14" s="61"/>
      <c r="S14" s="62"/>
      <c r="T14" s="61"/>
      <c r="U14" s="62"/>
      <c r="V14" s="61"/>
      <c r="W14" s="62"/>
      <c r="X14" s="61"/>
      <c r="Y14" s="62"/>
      <c r="Z14" s="61"/>
      <c r="AA14" s="62"/>
    </row>
    <row r="15" spans="1:43" ht="16.5" customHeight="1">
      <c r="A15" s="579"/>
      <c r="B15" s="613" t="s">
        <v>21</v>
      </c>
      <c r="C15" s="594"/>
      <c r="D15" s="595"/>
      <c r="E15" s="88">
        <f>SUM(E4:E14)</f>
        <v>116235199</v>
      </c>
      <c r="F15" s="89"/>
      <c r="G15" s="89"/>
      <c r="H15" s="88">
        <f>SUM(H4:H14)</f>
        <v>147279599</v>
      </c>
      <c r="I15" s="90"/>
      <c r="J15" s="89"/>
      <c r="K15" s="91"/>
      <c r="O15" s="60"/>
      <c r="P15" s="61"/>
      <c r="Q15" s="62"/>
      <c r="R15" s="61"/>
      <c r="S15" s="62"/>
      <c r="T15" s="61"/>
      <c r="U15" s="62"/>
      <c r="V15" s="61"/>
      <c r="W15" s="62"/>
      <c r="X15" s="61"/>
      <c r="Y15" s="62"/>
      <c r="Z15" s="61"/>
      <c r="AA15" s="62"/>
    </row>
    <row r="16" spans="1:43" ht="16.5" customHeight="1">
      <c r="A16" s="579"/>
      <c r="B16" s="85" t="s">
        <v>26</v>
      </c>
      <c r="C16" s="92">
        <f>예산!G20</f>
        <v>93360000</v>
      </c>
      <c r="D16" s="85"/>
      <c r="E16" s="86"/>
      <c r="F16" s="85"/>
      <c r="G16" s="85" t="s">
        <v>233</v>
      </c>
      <c r="H16" s="86">
        <f>C16</f>
        <v>93360000</v>
      </c>
      <c r="I16" s="87"/>
      <c r="J16" s="85"/>
      <c r="K16" s="93"/>
      <c r="O16" s="60"/>
      <c r="P16" s="61"/>
      <c r="Q16" s="62"/>
      <c r="R16" s="61"/>
      <c r="S16" s="62"/>
      <c r="T16" s="61"/>
      <c r="U16" s="62"/>
      <c r="V16" s="61"/>
      <c r="W16" s="62"/>
      <c r="X16" s="61"/>
      <c r="Y16" s="62"/>
      <c r="Z16" s="61"/>
      <c r="AA16" s="62"/>
    </row>
    <row r="17" spans="1:27" ht="16.5" customHeight="1">
      <c r="A17" s="581"/>
      <c r="B17" s="613" t="s">
        <v>21</v>
      </c>
      <c r="C17" s="594"/>
      <c r="D17" s="595"/>
      <c r="E17" s="88">
        <f>$C16</f>
        <v>93360000</v>
      </c>
      <c r="F17" s="94"/>
      <c r="G17" s="89"/>
      <c r="H17" s="95">
        <f>SUM(H16)</f>
        <v>93360000</v>
      </c>
      <c r="I17" s="90"/>
      <c r="J17" s="89"/>
      <c r="K17" s="91"/>
      <c r="O17" s="60"/>
      <c r="P17" s="61"/>
      <c r="Q17" s="62"/>
      <c r="R17" s="61"/>
      <c r="S17" s="62"/>
      <c r="T17" s="61"/>
      <c r="U17" s="62"/>
      <c r="V17" s="61"/>
      <c r="W17" s="62"/>
      <c r="X17" s="61"/>
      <c r="Y17" s="62"/>
      <c r="Z17" s="61"/>
      <c r="AA17" s="62"/>
    </row>
    <row r="18" spans="1:27" ht="16.5" customHeight="1">
      <c r="A18" s="629" t="s">
        <v>251</v>
      </c>
      <c r="B18" s="594"/>
      <c r="C18" s="96">
        <f>C4+C16</f>
        <v>216130857</v>
      </c>
      <c r="D18" s="97"/>
      <c r="E18" s="98">
        <f>C18</f>
        <v>216130857</v>
      </c>
      <c r="F18" s="99"/>
      <c r="G18" s="100"/>
      <c r="H18" s="101">
        <f>H15+H17</f>
        <v>240639599</v>
      </c>
      <c r="I18" s="648"/>
      <c r="J18" s="595"/>
      <c r="K18" s="102">
        <f>H18/C18</f>
        <v>1.1133976996167649</v>
      </c>
      <c r="O18" s="60"/>
      <c r="P18" s="61"/>
      <c r="Q18" s="62"/>
      <c r="R18" s="61"/>
      <c r="S18" s="62"/>
      <c r="T18" s="61"/>
      <c r="U18" s="62"/>
      <c r="V18" s="61"/>
      <c r="W18" s="62"/>
      <c r="X18" s="61"/>
      <c r="Y18" s="62"/>
      <c r="Z18" s="61"/>
      <c r="AA18" s="62"/>
    </row>
    <row r="19" spans="1:27" ht="16.5" customHeight="1">
      <c r="A19" s="624" t="s">
        <v>238</v>
      </c>
      <c r="B19" s="85" t="s">
        <v>238</v>
      </c>
      <c r="C19" s="103">
        <f>예산!G27</f>
        <v>179000000</v>
      </c>
      <c r="D19" s="85"/>
      <c r="E19" s="86"/>
      <c r="F19" s="85"/>
      <c r="G19" s="85" t="s">
        <v>222</v>
      </c>
      <c r="H19" s="104">
        <f t="shared" ref="H19:H21" si="6">1300000*5+900000*9</f>
        <v>14600000</v>
      </c>
      <c r="I19" s="87">
        <v>45778</v>
      </c>
      <c r="J19" s="85"/>
      <c r="K19" s="93"/>
      <c r="O19" s="60"/>
      <c r="P19" s="61"/>
      <c r="Q19" s="62"/>
      <c r="R19" s="61"/>
      <c r="S19" s="62"/>
      <c r="T19" s="61"/>
      <c r="U19" s="62"/>
      <c r="V19" s="61"/>
      <c r="W19" s="62"/>
      <c r="X19" s="61"/>
      <c r="Y19" s="62"/>
      <c r="Z19" s="61"/>
      <c r="AA19" s="62"/>
    </row>
    <row r="20" spans="1:27" ht="16.5" customHeight="1">
      <c r="A20" s="579"/>
      <c r="B20" s="85"/>
      <c r="C20" s="103"/>
      <c r="D20" s="85"/>
      <c r="E20" s="86"/>
      <c r="F20" s="85"/>
      <c r="G20" s="85" t="s">
        <v>223</v>
      </c>
      <c r="H20" s="104">
        <f t="shared" si="6"/>
        <v>14600000</v>
      </c>
      <c r="I20" s="87"/>
      <c r="J20" s="85"/>
      <c r="K20" s="93"/>
      <c r="O20" s="60"/>
      <c r="P20" s="61"/>
      <c r="Q20" s="62"/>
      <c r="R20" s="61"/>
      <c r="S20" s="62"/>
      <c r="T20" s="61"/>
      <c r="U20" s="62"/>
      <c r="V20" s="61"/>
      <c r="W20" s="62"/>
      <c r="X20" s="61"/>
      <c r="Y20" s="62"/>
      <c r="Z20" s="61"/>
      <c r="AA20" s="62"/>
    </row>
    <row r="21" spans="1:27" ht="16.5" customHeight="1">
      <c r="A21" s="579"/>
      <c r="B21" s="85"/>
      <c r="C21" s="92"/>
      <c r="D21" s="85"/>
      <c r="E21" s="86"/>
      <c r="F21" s="85"/>
      <c r="G21" s="85" t="s">
        <v>224</v>
      </c>
      <c r="H21" s="104">
        <f t="shared" si="6"/>
        <v>14600000</v>
      </c>
      <c r="I21" s="87"/>
      <c r="J21" s="85"/>
      <c r="K21" s="93"/>
      <c r="O21" s="60"/>
      <c r="P21" s="61"/>
      <c r="Q21" s="62"/>
      <c r="R21" s="61"/>
      <c r="S21" s="62"/>
      <c r="T21" s="61"/>
      <c r="U21" s="62"/>
      <c r="V21" s="61"/>
      <c r="W21" s="62"/>
      <c r="X21" s="61"/>
      <c r="Y21" s="62"/>
      <c r="Z21" s="61"/>
      <c r="AA21" s="62"/>
    </row>
    <row r="22" spans="1:27" ht="16.5" customHeight="1">
      <c r="A22" s="579"/>
      <c r="B22" s="85"/>
      <c r="C22" s="92"/>
      <c r="D22" s="85"/>
      <c r="E22" s="86"/>
      <c r="F22" s="85"/>
      <c r="G22" s="85" t="s">
        <v>225</v>
      </c>
      <c r="H22" s="104">
        <f>1300000*5+900000*7+1300000*2</f>
        <v>15400000</v>
      </c>
      <c r="I22" s="87"/>
      <c r="J22" s="85"/>
      <c r="K22" s="93"/>
      <c r="O22" s="60"/>
      <c r="P22" s="61"/>
      <c r="Q22" s="62"/>
      <c r="R22" s="61"/>
      <c r="S22" s="62"/>
      <c r="T22" s="61"/>
      <c r="U22" s="62"/>
      <c r="V22" s="61"/>
      <c r="W22" s="62"/>
      <c r="X22" s="61"/>
      <c r="Y22" s="62"/>
      <c r="Z22" s="61"/>
      <c r="AA22" s="62"/>
    </row>
    <row r="23" spans="1:27" ht="16.5" customHeight="1">
      <c r="A23" s="579"/>
      <c r="B23" s="85"/>
      <c r="C23" s="92"/>
      <c r="D23" s="85"/>
      <c r="E23" s="86"/>
      <c r="F23" s="85"/>
      <c r="G23" s="85" t="s">
        <v>226</v>
      </c>
      <c r="H23" s="104">
        <f t="shared" ref="H23:H24" si="7">1300000*5+900000*6</f>
        <v>11900000</v>
      </c>
      <c r="I23" s="87"/>
      <c r="J23" s="85"/>
      <c r="K23" s="93"/>
      <c r="O23" s="60"/>
      <c r="P23" s="61"/>
      <c r="Q23" s="62"/>
      <c r="R23" s="61"/>
      <c r="S23" s="62"/>
      <c r="T23" s="61"/>
      <c r="U23" s="62"/>
      <c r="V23" s="61"/>
      <c r="W23" s="62"/>
      <c r="X23" s="61"/>
      <c r="Y23" s="62"/>
      <c r="Z23" s="61"/>
      <c r="AA23" s="62"/>
    </row>
    <row r="24" spans="1:27" ht="16.5" customHeight="1">
      <c r="A24" s="579"/>
      <c r="B24" s="85"/>
      <c r="C24" s="92"/>
      <c r="D24" s="85"/>
      <c r="E24" s="86"/>
      <c r="F24" s="85"/>
      <c r="G24" s="85" t="s">
        <v>227</v>
      </c>
      <c r="H24" s="104">
        <f t="shared" si="7"/>
        <v>11900000</v>
      </c>
      <c r="I24" s="87"/>
      <c r="J24" s="85"/>
      <c r="K24" s="93"/>
      <c r="O24" s="60"/>
      <c r="P24" s="61"/>
      <c r="Q24" s="62"/>
      <c r="R24" s="61"/>
      <c r="S24" s="62"/>
      <c r="T24" s="61"/>
      <c r="U24" s="62"/>
      <c r="V24" s="61"/>
      <c r="W24" s="62"/>
      <c r="X24" s="61"/>
      <c r="Y24" s="62"/>
      <c r="Z24" s="61"/>
      <c r="AA24" s="62"/>
    </row>
    <row r="25" spans="1:27" ht="16.5" customHeight="1">
      <c r="A25" s="579"/>
      <c r="B25" s="85"/>
      <c r="C25" s="92"/>
      <c r="D25" s="85"/>
      <c r="E25" s="86"/>
      <c r="F25" s="85"/>
      <c r="G25" s="85" t="s">
        <v>228</v>
      </c>
      <c r="H25" s="104">
        <f>1300000*5+900000*16</f>
        <v>20900000</v>
      </c>
      <c r="I25" s="87"/>
      <c r="J25" s="85"/>
      <c r="K25" s="93"/>
      <c r="O25" s="60"/>
      <c r="P25" s="61"/>
      <c r="Q25" s="62"/>
      <c r="R25" s="61"/>
      <c r="S25" s="62"/>
      <c r="T25" s="61"/>
      <c r="U25" s="62"/>
      <c r="V25" s="61"/>
      <c r="W25" s="62"/>
      <c r="X25" s="61"/>
      <c r="Y25" s="62"/>
      <c r="Z25" s="61"/>
      <c r="AA25" s="62"/>
    </row>
    <row r="26" spans="1:27" ht="16.5" customHeight="1">
      <c r="A26" s="579"/>
      <c r="B26" s="85"/>
      <c r="C26" s="92"/>
      <c r="D26" s="85"/>
      <c r="E26" s="86"/>
      <c r="F26" s="85"/>
      <c r="G26" s="85" t="s">
        <v>229</v>
      </c>
      <c r="H26" s="104">
        <f t="shared" ref="H26:H28" si="8">1300000*5+900000*16</f>
        <v>20900000</v>
      </c>
      <c r="I26" s="87"/>
      <c r="J26" s="85"/>
      <c r="K26" s="93"/>
      <c r="O26" s="60"/>
      <c r="P26" s="61"/>
      <c r="Q26" s="62"/>
      <c r="R26" s="61"/>
      <c r="S26" s="62"/>
      <c r="T26" s="61"/>
      <c r="U26" s="62"/>
      <c r="V26" s="61"/>
      <c r="W26" s="62"/>
      <c r="X26" s="61"/>
      <c r="Y26" s="62"/>
      <c r="Z26" s="61"/>
      <c r="AA26" s="62"/>
    </row>
    <row r="27" spans="1:27" ht="16.5" customHeight="1">
      <c r="A27" s="579"/>
      <c r="B27" s="85"/>
      <c r="C27" s="92"/>
      <c r="D27" s="85"/>
      <c r="E27" s="86"/>
      <c r="F27" s="85"/>
      <c r="G27" s="85" t="s">
        <v>230</v>
      </c>
      <c r="H27" s="104">
        <f t="shared" si="8"/>
        <v>20900000</v>
      </c>
      <c r="I27" s="87"/>
      <c r="J27" s="85"/>
      <c r="K27" s="93"/>
      <c r="O27" s="60"/>
      <c r="P27" s="61"/>
      <c r="Q27" s="62"/>
      <c r="R27" s="61"/>
      <c r="S27" s="62"/>
      <c r="T27" s="61"/>
      <c r="U27" s="62"/>
      <c r="V27" s="61"/>
      <c r="W27" s="62"/>
      <c r="X27" s="61"/>
      <c r="Y27" s="62"/>
      <c r="Z27" s="61"/>
      <c r="AA27" s="62"/>
    </row>
    <row r="28" spans="1:27" ht="16.5" customHeight="1">
      <c r="A28" s="579"/>
      <c r="B28" s="85"/>
      <c r="C28" s="92"/>
      <c r="D28" s="85"/>
      <c r="E28" s="86"/>
      <c r="F28" s="85"/>
      <c r="G28" s="85" t="s">
        <v>231</v>
      </c>
      <c r="H28" s="104">
        <f t="shared" si="8"/>
        <v>20900000</v>
      </c>
      <c r="I28" s="87"/>
      <c r="J28" s="85"/>
      <c r="K28" s="93"/>
      <c r="O28" s="60"/>
      <c r="P28" s="61"/>
      <c r="Q28" s="62"/>
      <c r="R28" s="61"/>
      <c r="S28" s="62"/>
      <c r="T28" s="61"/>
      <c r="U28" s="62"/>
      <c r="V28" s="61"/>
      <c r="W28" s="62"/>
      <c r="X28" s="61"/>
      <c r="Y28" s="62"/>
      <c r="Z28" s="61"/>
      <c r="AA28" s="62"/>
    </row>
    <row r="29" spans="1:27" ht="16.5" customHeight="1">
      <c r="A29" s="579"/>
      <c r="B29" s="85"/>
      <c r="C29" s="92"/>
      <c r="D29" s="85"/>
      <c r="E29" s="86"/>
      <c r="F29" s="85"/>
      <c r="G29" s="85" t="s">
        <v>232</v>
      </c>
      <c r="H29" s="104">
        <f>1300000*5+900000*4</f>
        <v>10100000</v>
      </c>
      <c r="I29" s="87"/>
      <c r="J29" s="85"/>
      <c r="K29" s="93"/>
      <c r="O29" s="60"/>
      <c r="P29" s="61"/>
      <c r="Q29" s="62"/>
      <c r="R29" s="61"/>
      <c r="S29" s="62"/>
      <c r="T29" s="61"/>
      <c r="U29" s="62"/>
      <c r="V29" s="61"/>
      <c r="W29" s="62"/>
      <c r="X29" s="61"/>
      <c r="Y29" s="62"/>
      <c r="Z29" s="61"/>
      <c r="AA29" s="62"/>
    </row>
    <row r="30" spans="1:27" ht="16.5" customHeight="1">
      <c r="A30" s="581"/>
      <c r="B30" s="85"/>
      <c r="C30" s="105"/>
      <c r="D30" s="85"/>
      <c r="E30" s="86"/>
      <c r="F30" s="85"/>
      <c r="G30" s="85" t="s">
        <v>233</v>
      </c>
      <c r="H30" s="104">
        <f>1300000*5+900000*4</f>
        <v>10100000</v>
      </c>
      <c r="I30" s="87"/>
      <c r="J30" s="85"/>
      <c r="K30" s="93"/>
      <c r="O30" s="60"/>
      <c r="P30" s="61"/>
      <c r="Q30" s="62"/>
      <c r="R30" s="61"/>
      <c r="S30" s="62"/>
      <c r="T30" s="61"/>
      <c r="U30" s="62"/>
      <c r="V30" s="61"/>
      <c r="W30" s="62"/>
      <c r="X30" s="61"/>
      <c r="Y30" s="62"/>
      <c r="Z30" s="61"/>
      <c r="AA30" s="62"/>
    </row>
    <row r="31" spans="1:27" ht="16.5" customHeight="1" thickBot="1">
      <c r="A31" s="629" t="s">
        <v>252</v>
      </c>
      <c r="B31" s="594"/>
      <c r="C31" s="96">
        <f>C19</f>
        <v>179000000</v>
      </c>
      <c r="D31" s="97"/>
      <c r="E31" s="98">
        <f>C31</f>
        <v>179000000</v>
      </c>
      <c r="F31" s="99"/>
      <c r="G31" s="100"/>
      <c r="H31" s="101">
        <f>SUM(H19:H30)</f>
        <v>186800000</v>
      </c>
      <c r="I31" s="648"/>
      <c r="J31" s="595"/>
      <c r="K31" s="102">
        <f>H31/C31</f>
        <v>1.0435754189944133</v>
      </c>
      <c r="O31" s="60"/>
      <c r="P31" s="61"/>
      <c r="Q31" s="62"/>
      <c r="R31" s="61"/>
      <c r="S31" s="62"/>
      <c r="T31" s="61"/>
      <c r="U31" s="62"/>
      <c r="V31" s="61"/>
      <c r="W31" s="62"/>
      <c r="X31" s="61"/>
      <c r="Y31" s="62"/>
      <c r="Z31" s="61"/>
      <c r="AA31" s="62"/>
    </row>
    <row r="32" spans="1:27" ht="16.5" customHeight="1">
      <c r="A32" s="630" t="s">
        <v>31</v>
      </c>
      <c r="B32" s="625" t="s">
        <v>253</v>
      </c>
      <c r="C32" s="11" t="s">
        <v>46</v>
      </c>
      <c r="D32" s="85" t="s">
        <v>476</v>
      </c>
      <c r="E32" s="86">
        <f>예산!G70</f>
        <v>253044000</v>
      </c>
      <c r="F32" s="85"/>
      <c r="G32" s="85" t="s">
        <v>385</v>
      </c>
      <c r="H32" s="104">
        <f>E32</f>
        <v>253044000</v>
      </c>
      <c r="I32" s="87"/>
      <c r="J32" s="85"/>
      <c r="K32" s="93"/>
      <c r="O32" s="60"/>
      <c r="P32" s="61"/>
      <c r="Q32" s="62"/>
      <c r="R32" s="61"/>
      <c r="S32" s="62"/>
      <c r="T32" s="61"/>
      <c r="U32" s="62"/>
      <c r="V32" s="61"/>
      <c r="W32" s="62"/>
      <c r="X32" s="61"/>
      <c r="Y32" s="62"/>
      <c r="Z32" s="61"/>
      <c r="AA32" s="62"/>
    </row>
    <row r="33" spans="1:27" ht="16.5" customHeight="1">
      <c r="A33" s="631"/>
      <c r="B33" s="643"/>
      <c r="C33" s="11"/>
      <c r="D33" s="85" t="s">
        <v>477</v>
      </c>
      <c r="E33" s="86">
        <f>+예산!G71</f>
        <v>157056190</v>
      </c>
      <c r="F33" s="85"/>
      <c r="G33" s="85" t="s">
        <v>385</v>
      </c>
      <c r="H33" s="104">
        <f>E33</f>
        <v>157056190</v>
      </c>
      <c r="I33" s="87"/>
      <c r="J33" s="85"/>
      <c r="K33" s="93"/>
      <c r="O33" s="60"/>
      <c r="P33" s="61"/>
      <c r="Q33" s="62"/>
      <c r="R33" s="61"/>
      <c r="S33" s="62"/>
      <c r="T33" s="61"/>
      <c r="U33" s="62"/>
      <c r="V33" s="61"/>
      <c r="W33" s="62"/>
      <c r="X33" s="61"/>
      <c r="Y33" s="62"/>
      <c r="Z33" s="61"/>
      <c r="AA33" s="62"/>
    </row>
    <row r="34" spans="1:27" ht="16.5" customHeight="1">
      <c r="A34" s="631"/>
      <c r="B34" s="579"/>
      <c r="C34" s="11" t="s">
        <v>98</v>
      </c>
      <c r="D34" s="85"/>
      <c r="E34" s="86">
        <f>예산!G72</f>
        <v>29920000</v>
      </c>
      <c r="F34" s="85"/>
      <c r="G34" s="85" t="s">
        <v>368</v>
      </c>
      <c r="H34" s="104">
        <f t="shared" ref="H34:H41" si="9">E34</f>
        <v>29920000</v>
      </c>
      <c r="I34" s="87"/>
      <c r="J34" s="85"/>
      <c r="K34" s="93"/>
      <c r="O34" s="60"/>
      <c r="P34" s="61"/>
      <c r="Q34" s="62"/>
      <c r="R34" s="61"/>
      <c r="S34" s="62"/>
      <c r="T34" s="61"/>
      <c r="U34" s="62"/>
      <c r="V34" s="61"/>
      <c r="W34" s="62"/>
      <c r="X34" s="61"/>
      <c r="Y34" s="62"/>
      <c r="Z34" s="61"/>
      <c r="AA34" s="62"/>
    </row>
    <row r="35" spans="1:27" ht="16.5" customHeight="1">
      <c r="A35" s="631"/>
      <c r="B35" s="579"/>
      <c r="C35" s="11" t="s">
        <v>100</v>
      </c>
      <c r="D35" s="85"/>
      <c r="E35" s="86">
        <f>예산!G73</f>
        <v>95705550</v>
      </c>
      <c r="F35" s="85"/>
      <c r="G35" s="85" t="s">
        <v>385</v>
      </c>
      <c r="H35" s="104">
        <f t="shared" si="9"/>
        <v>95705550</v>
      </c>
      <c r="I35" s="87"/>
      <c r="J35" s="85"/>
      <c r="K35" s="93"/>
      <c r="O35" s="60"/>
      <c r="P35" s="61"/>
      <c r="Q35" s="62"/>
      <c r="R35" s="61"/>
      <c r="S35" s="62"/>
      <c r="T35" s="61"/>
      <c r="U35" s="62"/>
      <c r="V35" s="61"/>
      <c r="W35" s="62"/>
      <c r="X35" s="61"/>
      <c r="Y35" s="62"/>
      <c r="Z35" s="61"/>
      <c r="AA35" s="62"/>
    </row>
    <row r="36" spans="1:27" ht="16.5" customHeight="1">
      <c r="A36" s="631"/>
      <c r="B36" s="579"/>
      <c r="C36" s="11" t="s">
        <v>102</v>
      </c>
      <c r="D36" s="85"/>
      <c r="E36" s="86">
        <f>예산!G74</f>
        <v>96997000</v>
      </c>
      <c r="F36" s="85"/>
      <c r="G36" s="85" t="s">
        <v>385</v>
      </c>
      <c r="H36" s="104">
        <f t="shared" si="9"/>
        <v>96997000</v>
      </c>
      <c r="I36" s="87"/>
      <c r="J36" s="85" t="s">
        <v>398</v>
      </c>
      <c r="K36" s="93">
        <f>SUM(H32:H36,H40:H41)/A2</f>
        <v>0.224175598701123</v>
      </c>
      <c r="O36" s="60"/>
      <c r="P36" s="61"/>
      <c r="Q36" s="62"/>
      <c r="R36" s="61"/>
      <c r="S36" s="62"/>
      <c r="T36" s="61"/>
      <c r="U36" s="62"/>
      <c r="V36" s="61"/>
      <c r="W36" s="62"/>
      <c r="X36" s="61"/>
      <c r="Y36" s="62"/>
      <c r="Z36" s="61"/>
      <c r="AA36" s="62"/>
    </row>
    <row r="37" spans="1:27" ht="16.5" customHeight="1">
      <c r="A37" s="631"/>
      <c r="B37" s="580"/>
      <c r="C37" s="11" t="s">
        <v>334</v>
      </c>
      <c r="D37" s="85"/>
      <c r="E37" s="86">
        <v>352000000</v>
      </c>
      <c r="F37" s="85"/>
      <c r="G37" s="85" t="s">
        <v>374</v>
      </c>
      <c r="H37" s="104">
        <f t="shared" si="9"/>
        <v>352000000</v>
      </c>
      <c r="I37" s="87"/>
      <c r="J37" s="85"/>
      <c r="K37" s="93"/>
      <c r="O37" s="60"/>
      <c r="P37" s="61"/>
      <c r="Q37" s="62"/>
      <c r="R37" s="61"/>
      <c r="S37" s="62"/>
      <c r="T37" s="61"/>
      <c r="U37" s="62"/>
      <c r="V37" s="61"/>
      <c r="W37" s="62"/>
      <c r="X37" s="61"/>
      <c r="Y37" s="62"/>
      <c r="Z37" s="61"/>
      <c r="AA37" s="62"/>
    </row>
    <row r="38" spans="1:27" ht="16.5" customHeight="1">
      <c r="A38" s="631"/>
      <c r="B38" s="580"/>
      <c r="C38" s="11" t="s">
        <v>333</v>
      </c>
      <c r="D38" s="85"/>
      <c r="E38" s="86">
        <v>95000000</v>
      </c>
      <c r="F38" s="85"/>
      <c r="G38" s="85" t="s">
        <v>374</v>
      </c>
      <c r="H38" s="104">
        <f t="shared" si="9"/>
        <v>95000000</v>
      </c>
      <c r="I38" s="87"/>
      <c r="J38" s="85" t="s">
        <v>399</v>
      </c>
      <c r="K38" s="93">
        <f>SUM(H37:H39)/A2</f>
        <v>0.16574144229468271</v>
      </c>
      <c r="O38" s="60"/>
      <c r="P38" s="61"/>
      <c r="Q38" s="62"/>
      <c r="R38" s="61"/>
      <c r="S38" s="62"/>
      <c r="T38" s="61"/>
      <c r="U38" s="62"/>
      <c r="V38" s="61"/>
      <c r="W38" s="62"/>
      <c r="X38" s="61"/>
      <c r="Y38" s="62"/>
      <c r="Z38" s="61"/>
      <c r="AA38" s="62"/>
    </row>
    <row r="39" spans="1:27" ht="16.5" customHeight="1">
      <c r="A39" s="631"/>
      <c r="B39" s="580"/>
      <c r="C39" s="11" t="s">
        <v>371</v>
      </c>
      <c r="D39" s="85"/>
      <c r="E39" s="86">
        <v>42998000</v>
      </c>
      <c r="F39" s="85"/>
      <c r="G39" s="85" t="s">
        <v>369</v>
      </c>
      <c r="H39" s="104">
        <f t="shared" si="9"/>
        <v>42998000</v>
      </c>
      <c r="I39" s="87"/>
      <c r="J39" s="85"/>
      <c r="K39" s="93"/>
      <c r="O39" s="60"/>
      <c r="P39" s="61"/>
      <c r="Q39" s="62"/>
      <c r="R39" s="61"/>
      <c r="S39" s="62"/>
      <c r="T39" s="61"/>
      <c r="U39" s="62"/>
      <c r="V39" s="61"/>
      <c r="W39" s="62"/>
      <c r="X39" s="61"/>
      <c r="Y39" s="62"/>
      <c r="Z39" s="61"/>
      <c r="AA39" s="62"/>
    </row>
    <row r="40" spans="1:27" ht="16.5" customHeight="1">
      <c r="A40" s="631"/>
      <c r="B40" s="580"/>
      <c r="C40" s="11" t="s">
        <v>372</v>
      </c>
      <c r="D40" s="85"/>
      <c r="E40" s="86">
        <v>22000000</v>
      </c>
      <c r="F40" s="85"/>
      <c r="G40" s="85" t="s">
        <v>376</v>
      </c>
      <c r="H40" s="104">
        <f t="shared" si="9"/>
        <v>22000000</v>
      </c>
      <c r="I40" s="87"/>
      <c r="J40" s="85"/>
      <c r="K40" s="93"/>
      <c r="O40" s="60"/>
      <c r="P40" s="61"/>
      <c r="Q40" s="62"/>
      <c r="R40" s="61"/>
      <c r="S40" s="62"/>
      <c r="T40" s="61"/>
      <c r="U40" s="62"/>
      <c r="V40" s="61"/>
      <c r="W40" s="62"/>
      <c r="X40" s="61"/>
      <c r="Y40" s="62"/>
      <c r="Z40" s="61"/>
      <c r="AA40" s="62"/>
    </row>
    <row r="41" spans="1:27" ht="16.5" customHeight="1">
      <c r="A41" s="631"/>
      <c r="B41" s="581"/>
      <c r="C41" s="244" t="s">
        <v>373</v>
      </c>
      <c r="D41" s="85"/>
      <c r="E41" s="86">
        <v>8030000</v>
      </c>
      <c r="F41" s="85"/>
      <c r="G41" s="85" t="s">
        <v>394</v>
      </c>
      <c r="H41" s="104">
        <f t="shared" si="9"/>
        <v>8030000</v>
      </c>
      <c r="I41" s="87"/>
      <c r="J41" s="85"/>
      <c r="K41" s="93"/>
      <c r="O41" s="60"/>
      <c r="P41" s="61"/>
      <c r="Q41" s="62"/>
      <c r="R41" s="61"/>
      <c r="S41" s="62"/>
      <c r="T41" s="61"/>
      <c r="U41" s="62"/>
      <c r="V41" s="61"/>
      <c r="W41" s="62"/>
      <c r="X41" s="61"/>
      <c r="Y41" s="62"/>
      <c r="Z41" s="61"/>
      <c r="AA41" s="62"/>
    </row>
    <row r="42" spans="1:27" ht="16.5" customHeight="1">
      <c r="A42" s="631"/>
      <c r="B42" s="613" t="s">
        <v>21</v>
      </c>
      <c r="C42" s="594"/>
      <c r="D42" s="595"/>
      <c r="E42" s="88"/>
      <c r="F42" s="94"/>
      <c r="G42" s="89"/>
      <c r="H42" s="88">
        <f>SUM(H32:H41)</f>
        <v>1152750740</v>
      </c>
      <c r="I42" s="90"/>
      <c r="J42" s="89"/>
      <c r="K42" s="91"/>
      <c r="O42" s="60"/>
      <c r="P42" s="61"/>
      <c r="Q42" s="62"/>
      <c r="R42" s="61"/>
      <c r="S42" s="62"/>
      <c r="T42" s="61"/>
      <c r="U42" s="62"/>
      <c r="V42" s="61"/>
      <c r="W42" s="62"/>
      <c r="X42" s="61"/>
      <c r="Y42" s="62"/>
      <c r="Z42" s="61"/>
      <c r="AA42" s="62"/>
    </row>
    <row r="43" spans="1:27" ht="16.5" customHeight="1">
      <c r="A43" s="631"/>
      <c r="B43" s="625" t="s">
        <v>69</v>
      </c>
      <c r="C43" s="29" t="s">
        <v>106</v>
      </c>
      <c r="D43" s="85"/>
      <c r="E43" s="86">
        <f>예산!G88</f>
        <v>0</v>
      </c>
      <c r="F43" s="85"/>
      <c r="G43" s="85"/>
      <c r="H43" s="86"/>
      <c r="I43" s="87"/>
      <c r="J43" s="85"/>
      <c r="K43" s="93"/>
      <c r="O43" s="60"/>
      <c r="P43" s="61"/>
      <c r="Q43" s="62"/>
      <c r="R43" s="61"/>
      <c r="S43" s="62"/>
      <c r="T43" s="61"/>
      <c r="U43" s="62"/>
      <c r="V43" s="61"/>
      <c r="W43" s="62"/>
      <c r="X43" s="61"/>
      <c r="Y43" s="62"/>
      <c r="Z43" s="61"/>
      <c r="AA43" s="62"/>
    </row>
    <row r="44" spans="1:27" ht="16.5" customHeight="1">
      <c r="A44" s="631"/>
      <c r="B44" s="579"/>
      <c r="C44" s="11" t="s">
        <v>111</v>
      </c>
      <c r="D44" s="85"/>
      <c r="E44" s="86">
        <f>예산!G89</f>
        <v>0</v>
      </c>
      <c r="F44" s="85"/>
      <c r="G44" s="85"/>
      <c r="H44" s="86"/>
      <c r="I44" s="87"/>
      <c r="J44" s="85"/>
      <c r="K44" s="93"/>
      <c r="O44" s="60"/>
      <c r="P44" s="61"/>
      <c r="Q44" s="62"/>
      <c r="R44" s="61"/>
      <c r="S44" s="62"/>
      <c r="T44" s="61"/>
      <c r="U44" s="62"/>
      <c r="V44" s="61"/>
      <c r="W44" s="62"/>
      <c r="X44" s="61"/>
      <c r="Y44" s="62"/>
      <c r="Z44" s="61"/>
      <c r="AA44" s="62"/>
    </row>
    <row r="45" spans="1:27" ht="16.5" customHeight="1">
      <c r="A45" s="631"/>
      <c r="B45" s="581"/>
      <c r="C45" s="11" t="s">
        <v>113</v>
      </c>
      <c r="D45" s="85"/>
      <c r="E45" s="86">
        <f>예산!G90</f>
        <v>2000000</v>
      </c>
      <c r="F45" s="85"/>
      <c r="G45" s="85" t="s">
        <v>376</v>
      </c>
      <c r="H45" s="86">
        <f t="shared" ref="H45" si="10">E45</f>
        <v>2000000</v>
      </c>
      <c r="I45" s="87"/>
      <c r="J45" s="85"/>
      <c r="K45" s="93"/>
      <c r="O45" s="60"/>
      <c r="P45" s="61"/>
      <c r="Q45" s="62"/>
      <c r="R45" s="61"/>
      <c r="S45" s="62"/>
      <c r="T45" s="61"/>
      <c r="U45" s="62"/>
      <c r="V45" s="61"/>
      <c r="W45" s="62"/>
      <c r="X45" s="61"/>
      <c r="Y45" s="62"/>
      <c r="Z45" s="61"/>
      <c r="AA45" s="62"/>
    </row>
    <row r="46" spans="1:27" ht="16.5" customHeight="1">
      <c r="A46" s="631"/>
      <c r="B46" s="627" t="s">
        <v>21</v>
      </c>
      <c r="C46" s="628"/>
      <c r="D46" s="612"/>
      <c r="E46" s="95"/>
      <c r="F46" s="275"/>
      <c r="G46" s="275"/>
      <c r="H46" s="95">
        <f>SUM(H43:H45)</f>
        <v>2000000</v>
      </c>
      <c r="I46" s="276"/>
      <c r="J46" s="275"/>
      <c r="K46" s="277"/>
      <c r="O46" s="60"/>
      <c r="P46" s="61"/>
      <c r="Q46" s="62"/>
      <c r="R46" s="61"/>
      <c r="S46" s="62"/>
      <c r="T46" s="61"/>
      <c r="U46" s="62"/>
      <c r="V46" s="61"/>
      <c r="W46" s="62"/>
      <c r="X46" s="61"/>
      <c r="Y46" s="62"/>
      <c r="Z46" s="61"/>
      <c r="AA46" s="62"/>
    </row>
    <row r="47" spans="1:27" ht="16.5" customHeight="1">
      <c r="A47" s="632"/>
      <c r="B47" s="278" t="s">
        <v>439</v>
      </c>
      <c r="C47" s="281" t="s">
        <v>438</v>
      </c>
      <c r="D47" s="266"/>
      <c r="E47" s="263">
        <v>150000</v>
      </c>
      <c r="F47" s="237"/>
      <c r="G47" s="237" t="s">
        <v>376</v>
      </c>
      <c r="H47" s="263">
        <v>150000</v>
      </c>
      <c r="I47" s="279"/>
      <c r="J47" s="237"/>
      <c r="K47" s="280"/>
      <c r="O47" s="60"/>
      <c r="P47" s="61"/>
      <c r="Q47" s="62"/>
      <c r="R47" s="61"/>
      <c r="S47" s="62"/>
      <c r="T47" s="61"/>
      <c r="U47" s="62"/>
      <c r="V47" s="61"/>
      <c r="W47" s="62"/>
      <c r="X47" s="61"/>
      <c r="Y47" s="62"/>
      <c r="Z47" s="61"/>
      <c r="AA47" s="62"/>
    </row>
    <row r="48" spans="1:27" ht="16.5" customHeight="1" thickBot="1">
      <c r="A48" s="629" t="s">
        <v>254</v>
      </c>
      <c r="B48" s="601"/>
      <c r="C48" s="268">
        <f>예산!G67</f>
        <v>1153590740</v>
      </c>
      <c r="D48" s="269"/>
      <c r="E48" s="270"/>
      <c r="F48" s="271"/>
      <c r="G48" s="272"/>
      <c r="H48" s="273">
        <f>H42+H46+H47</f>
        <v>1154900740</v>
      </c>
      <c r="I48" s="626"/>
      <c r="J48" s="603"/>
      <c r="K48" s="274">
        <f>H48/C48</f>
        <v>1.0011355847048495</v>
      </c>
      <c r="O48" s="60"/>
      <c r="P48" s="61"/>
      <c r="Q48" s="62"/>
      <c r="R48" s="61"/>
      <c r="S48" s="62"/>
      <c r="T48" s="61"/>
      <c r="U48" s="62"/>
      <c r="V48" s="61"/>
      <c r="W48" s="62"/>
      <c r="X48" s="61"/>
      <c r="Y48" s="62"/>
      <c r="Z48" s="61"/>
      <c r="AA48" s="62"/>
    </row>
    <row r="49" spans="1:27" ht="16.5" customHeight="1">
      <c r="A49" s="630" t="s">
        <v>71</v>
      </c>
      <c r="B49" s="625" t="s">
        <v>274</v>
      </c>
      <c r="C49" s="103" t="s">
        <v>256</v>
      </c>
      <c r="D49" s="85"/>
      <c r="E49" s="86">
        <f>예산!$G101</f>
        <v>3075509</v>
      </c>
      <c r="F49" s="85"/>
      <c r="G49" s="85" t="s">
        <v>224</v>
      </c>
      <c r="H49" s="86">
        <f>예산!$G101</f>
        <v>3075509</v>
      </c>
      <c r="I49" s="87"/>
      <c r="J49" s="85"/>
      <c r="K49" s="93"/>
      <c r="O49" s="60"/>
      <c r="P49" s="61"/>
      <c r="Q49" s="62"/>
      <c r="R49" s="61"/>
      <c r="S49" s="62"/>
      <c r="T49" s="61"/>
      <c r="U49" s="62"/>
      <c r="V49" s="61"/>
      <c r="W49" s="62"/>
      <c r="X49" s="61"/>
      <c r="Y49" s="62"/>
      <c r="Z49" s="61"/>
      <c r="AA49" s="62"/>
    </row>
    <row r="50" spans="1:27" ht="16.5" customHeight="1">
      <c r="A50" s="631"/>
      <c r="B50" s="579"/>
      <c r="C50" s="103" t="s">
        <v>257</v>
      </c>
      <c r="D50" s="85"/>
      <c r="E50" s="86">
        <f>예산!$G105+예산!$G106</f>
        <v>9608500</v>
      </c>
      <c r="F50" s="85"/>
      <c r="G50" s="85" t="s">
        <v>225</v>
      </c>
      <c r="H50" s="86">
        <f>예산!$G105+예산!$G106</f>
        <v>9608500</v>
      </c>
      <c r="I50" s="87"/>
      <c r="J50" s="85"/>
      <c r="K50" s="93"/>
      <c r="O50" s="60"/>
      <c r="P50" s="61"/>
      <c r="Q50" s="62"/>
      <c r="R50" s="61"/>
      <c r="S50" s="62"/>
      <c r="T50" s="61"/>
      <c r="U50" s="62"/>
      <c r="V50" s="61"/>
      <c r="W50" s="62"/>
      <c r="X50" s="61"/>
      <c r="Y50" s="62"/>
      <c r="Z50" s="61"/>
      <c r="AA50" s="62"/>
    </row>
    <row r="51" spans="1:27" ht="16.5" customHeight="1">
      <c r="A51" s="631"/>
      <c r="B51" s="579"/>
      <c r="C51" s="92" t="s">
        <v>258</v>
      </c>
      <c r="D51" s="85"/>
      <c r="E51" s="86">
        <f>예산!$G109</f>
        <v>19250000</v>
      </c>
      <c r="F51" s="85"/>
      <c r="G51" s="85" t="s">
        <v>224</v>
      </c>
      <c r="H51" s="86">
        <f>예산!$G109</f>
        <v>19250000</v>
      </c>
      <c r="I51" s="87"/>
      <c r="J51" s="85"/>
      <c r="K51" s="93"/>
      <c r="O51" s="60"/>
      <c r="P51" s="61"/>
      <c r="Q51" s="62"/>
      <c r="R51" s="61"/>
      <c r="S51" s="62"/>
      <c r="T51" s="61"/>
      <c r="U51" s="62"/>
      <c r="V51" s="61"/>
      <c r="W51" s="62"/>
      <c r="X51" s="61"/>
      <c r="Y51" s="62"/>
      <c r="Z51" s="61"/>
      <c r="AA51" s="62"/>
    </row>
    <row r="52" spans="1:27" ht="16.5" customHeight="1">
      <c r="A52" s="631"/>
      <c r="B52" s="581"/>
      <c r="C52" s="92"/>
      <c r="D52" s="85"/>
      <c r="E52" s="86"/>
      <c r="F52" s="85"/>
      <c r="G52" s="85"/>
      <c r="H52" s="86"/>
      <c r="I52" s="87"/>
      <c r="J52" s="85"/>
      <c r="K52" s="93"/>
      <c r="O52" s="60"/>
      <c r="P52" s="61"/>
      <c r="Q52" s="62"/>
      <c r="R52" s="61"/>
      <c r="S52" s="62"/>
      <c r="T52" s="61"/>
      <c r="U52" s="62"/>
      <c r="V52" s="61"/>
      <c r="W52" s="62"/>
      <c r="X52" s="61"/>
      <c r="Y52" s="62"/>
      <c r="Z52" s="61"/>
      <c r="AA52" s="62"/>
    </row>
    <row r="53" spans="1:27" ht="16.5" customHeight="1">
      <c r="A53" s="631"/>
      <c r="B53" s="633" t="s">
        <v>259</v>
      </c>
      <c r="C53" s="621" t="s">
        <v>260</v>
      </c>
      <c r="D53" s="85"/>
      <c r="E53" s="86">
        <f>예산!$G107-10640000</f>
        <v>-5023500</v>
      </c>
      <c r="F53" s="85"/>
      <c r="G53" s="85" t="s">
        <v>230</v>
      </c>
      <c r="H53" s="86">
        <f>E53</f>
        <v>-5023500</v>
      </c>
      <c r="I53" s="87"/>
      <c r="J53" s="85"/>
      <c r="K53" s="93"/>
      <c r="O53" s="60"/>
      <c r="P53" s="61"/>
      <c r="Q53" s="62"/>
      <c r="R53" s="61"/>
      <c r="S53" s="62"/>
      <c r="T53" s="61"/>
      <c r="U53" s="62"/>
      <c r="V53" s="61"/>
      <c r="W53" s="62"/>
      <c r="X53" s="61"/>
      <c r="Y53" s="62"/>
      <c r="Z53" s="61"/>
      <c r="AA53" s="62"/>
    </row>
    <row r="54" spans="1:27" ht="16.5" customHeight="1">
      <c r="A54" s="631"/>
      <c r="B54" s="634"/>
      <c r="C54" s="623"/>
      <c r="D54" s="85"/>
      <c r="E54" s="86">
        <v>10640000</v>
      </c>
      <c r="F54" s="85"/>
      <c r="G54" s="85" t="s">
        <v>368</v>
      </c>
      <c r="H54" s="86">
        <f>E54</f>
        <v>10640000</v>
      </c>
      <c r="I54" s="87"/>
      <c r="J54" s="85"/>
      <c r="K54" s="93"/>
      <c r="O54" s="60"/>
      <c r="P54" s="61"/>
      <c r="Q54" s="62"/>
      <c r="R54" s="61"/>
      <c r="S54" s="62"/>
      <c r="T54" s="61"/>
      <c r="U54" s="62"/>
      <c r="V54" s="61"/>
      <c r="W54" s="62"/>
      <c r="X54" s="61"/>
      <c r="Y54" s="62"/>
      <c r="Z54" s="61"/>
      <c r="AA54" s="62"/>
    </row>
    <row r="55" spans="1:27" ht="16.5" customHeight="1">
      <c r="A55" s="631"/>
      <c r="B55" s="634"/>
      <c r="C55" s="636" t="s">
        <v>138</v>
      </c>
      <c r="D55" s="639" t="s">
        <v>481</v>
      </c>
      <c r="E55" s="86">
        <f>예산!$G110</f>
        <v>5676000</v>
      </c>
      <c r="F55" s="85"/>
      <c r="G55" s="85" t="s">
        <v>376</v>
      </c>
      <c r="H55" s="86">
        <f>예산!$G110</f>
        <v>5676000</v>
      </c>
      <c r="I55" s="87"/>
      <c r="J55" s="85"/>
      <c r="K55" s="93"/>
      <c r="O55" s="60"/>
      <c r="P55" s="61"/>
      <c r="Q55" s="62"/>
      <c r="R55" s="61"/>
      <c r="S55" s="62"/>
      <c r="T55" s="61"/>
      <c r="U55" s="62"/>
      <c r="V55" s="61"/>
      <c r="W55" s="62"/>
      <c r="X55" s="61"/>
      <c r="Y55" s="62"/>
      <c r="Z55" s="61"/>
      <c r="AA55" s="62"/>
    </row>
    <row r="56" spans="1:27" ht="16.5" customHeight="1">
      <c r="A56" s="631"/>
      <c r="B56" s="634"/>
      <c r="C56" s="637"/>
      <c r="D56" s="640"/>
      <c r="E56" s="86"/>
      <c r="F56" s="85"/>
      <c r="G56" s="252"/>
      <c r="H56" s="86">
        <f>예산!$G111</f>
        <v>1531200</v>
      </c>
      <c r="I56" s="325"/>
      <c r="J56" s="235"/>
      <c r="K56" s="93"/>
      <c r="O56" s="60"/>
      <c r="P56" s="61"/>
      <c r="Q56" s="62"/>
      <c r="R56" s="61"/>
      <c r="S56" s="62"/>
      <c r="T56" s="61"/>
      <c r="U56" s="62"/>
      <c r="V56" s="61"/>
      <c r="W56" s="62"/>
      <c r="X56" s="61"/>
      <c r="Y56" s="62"/>
      <c r="Z56" s="61"/>
      <c r="AA56" s="62"/>
    </row>
    <row r="57" spans="1:27" ht="16.5" customHeight="1">
      <c r="A57" s="631"/>
      <c r="B57" s="634"/>
      <c r="C57" s="637"/>
      <c r="D57" s="640"/>
      <c r="E57" s="86"/>
      <c r="F57" s="85"/>
      <c r="G57" s="252"/>
      <c r="H57" s="86">
        <f>예산!$G112</f>
        <v>935000</v>
      </c>
      <c r="I57" s="325"/>
      <c r="J57" s="235"/>
      <c r="K57" s="93"/>
      <c r="O57" s="60"/>
      <c r="P57" s="61"/>
      <c r="Q57" s="62"/>
      <c r="R57" s="61"/>
      <c r="S57" s="62"/>
      <c r="T57" s="61"/>
      <c r="U57" s="62"/>
      <c r="V57" s="61"/>
      <c r="W57" s="62"/>
      <c r="X57" s="61"/>
      <c r="Y57" s="62"/>
      <c r="Z57" s="61"/>
      <c r="AA57" s="62"/>
    </row>
    <row r="58" spans="1:27" ht="16.5" customHeight="1">
      <c r="A58" s="631"/>
      <c r="B58" s="634"/>
      <c r="C58" s="637"/>
      <c r="D58" s="641"/>
      <c r="E58" s="86"/>
      <c r="F58" s="85"/>
      <c r="G58" s="252"/>
      <c r="H58" s="86">
        <f>예산!$G113</f>
        <v>1873300</v>
      </c>
      <c r="I58" s="325"/>
      <c r="J58" s="235"/>
      <c r="K58" s="93"/>
      <c r="O58" s="60"/>
      <c r="P58" s="61"/>
      <c r="Q58" s="62"/>
      <c r="R58" s="61"/>
      <c r="S58" s="62"/>
      <c r="T58" s="61"/>
      <c r="U58" s="62"/>
      <c r="V58" s="61"/>
      <c r="W58" s="62"/>
      <c r="X58" s="61"/>
      <c r="Y58" s="62"/>
      <c r="Z58" s="61"/>
      <c r="AA58" s="62"/>
    </row>
    <row r="59" spans="1:27" ht="16.5" customHeight="1">
      <c r="A59" s="631"/>
      <c r="B59" s="634"/>
      <c r="C59" s="637"/>
      <c r="D59" s="639" t="s">
        <v>482</v>
      </c>
      <c r="E59" s="86"/>
      <c r="F59" s="85"/>
      <c r="G59" s="252"/>
      <c r="H59" s="86">
        <f>예산!$G114</f>
        <v>0</v>
      </c>
      <c r="I59" s="325"/>
      <c r="J59" s="235"/>
      <c r="K59" s="93"/>
      <c r="O59" s="60"/>
      <c r="P59" s="61"/>
      <c r="Q59" s="62"/>
      <c r="R59" s="61"/>
      <c r="S59" s="62"/>
      <c r="T59" s="61"/>
      <c r="U59" s="62"/>
      <c r="V59" s="61"/>
      <c r="W59" s="62"/>
      <c r="X59" s="61"/>
      <c r="Y59" s="62"/>
      <c r="Z59" s="61"/>
      <c r="AA59" s="62"/>
    </row>
    <row r="60" spans="1:27" ht="16.5" customHeight="1">
      <c r="A60" s="631"/>
      <c r="B60" s="634"/>
      <c r="C60" s="637"/>
      <c r="D60" s="640"/>
      <c r="E60" s="86"/>
      <c r="F60" s="85"/>
      <c r="G60" s="252"/>
      <c r="H60" s="86">
        <f>예산!$G115</f>
        <v>4664000</v>
      </c>
      <c r="I60" s="325"/>
      <c r="J60" s="235"/>
      <c r="K60" s="93"/>
      <c r="O60" s="60"/>
      <c r="P60" s="61"/>
      <c r="Q60" s="62"/>
      <c r="R60" s="61"/>
      <c r="S60" s="62"/>
      <c r="T60" s="61"/>
      <c r="U60" s="62"/>
      <c r="V60" s="61"/>
      <c r="W60" s="62"/>
      <c r="X60" s="61"/>
      <c r="Y60" s="62"/>
      <c r="Z60" s="61"/>
      <c r="AA60" s="62"/>
    </row>
    <row r="61" spans="1:27" ht="16.5" customHeight="1">
      <c r="A61" s="631"/>
      <c r="B61" s="634"/>
      <c r="C61" s="637"/>
      <c r="D61" s="640"/>
      <c r="E61" s="86"/>
      <c r="F61" s="85"/>
      <c r="G61" s="252"/>
      <c r="H61" s="86">
        <f>예산!$G117</f>
        <v>643500</v>
      </c>
      <c r="I61" s="325"/>
      <c r="J61" s="235"/>
      <c r="K61" s="93"/>
      <c r="O61" s="60"/>
      <c r="P61" s="61"/>
      <c r="Q61" s="62"/>
      <c r="R61" s="61"/>
      <c r="S61" s="62"/>
      <c r="T61" s="61"/>
      <c r="U61" s="62"/>
      <c r="V61" s="61"/>
      <c r="W61" s="62"/>
      <c r="X61" s="61"/>
      <c r="Y61" s="62"/>
      <c r="Z61" s="61"/>
      <c r="AA61" s="62"/>
    </row>
    <row r="62" spans="1:27" ht="16.5" customHeight="1">
      <c r="A62" s="631"/>
      <c r="B62" s="634"/>
      <c r="C62" s="637"/>
      <c r="D62" s="640"/>
      <c r="E62" s="86"/>
      <c r="F62" s="85"/>
      <c r="G62" s="252"/>
      <c r="H62" s="86">
        <f>예산!$G118</f>
        <v>1155000</v>
      </c>
      <c r="I62" s="325"/>
      <c r="J62" s="235"/>
      <c r="K62" s="93"/>
      <c r="O62" s="60"/>
      <c r="P62" s="61"/>
      <c r="Q62" s="62"/>
      <c r="R62" s="61"/>
      <c r="S62" s="62"/>
      <c r="T62" s="61"/>
      <c r="U62" s="62"/>
      <c r="V62" s="61"/>
      <c r="W62" s="62"/>
      <c r="X62" s="61"/>
      <c r="Y62" s="62"/>
      <c r="Z62" s="61"/>
      <c r="AA62" s="62"/>
    </row>
    <row r="63" spans="1:27" ht="16.5" customHeight="1">
      <c r="A63" s="631"/>
      <c r="B63" s="634"/>
      <c r="C63" s="637"/>
      <c r="D63" s="641"/>
      <c r="E63" s="86"/>
      <c r="F63" s="85"/>
      <c r="G63" s="252"/>
      <c r="H63" s="86">
        <f>예산!$G119</f>
        <v>1925000</v>
      </c>
      <c r="I63" s="325"/>
      <c r="J63" s="235"/>
      <c r="K63" s="93"/>
      <c r="O63" s="60"/>
      <c r="P63" s="61"/>
      <c r="Q63" s="62"/>
      <c r="R63" s="61"/>
      <c r="S63" s="62"/>
      <c r="T63" s="61"/>
      <c r="U63" s="62"/>
      <c r="V63" s="61"/>
      <c r="W63" s="62"/>
      <c r="X63" s="61"/>
      <c r="Y63" s="62"/>
      <c r="Z63" s="61"/>
      <c r="AA63" s="62"/>
    </row>
    <row r="64" spans="1:27" ht="16.5" customHeight="1">
      <c r="A64" s="631"/>
      <c r="B64" s="634"/>
      <c r="C64" s="637"/>
      <c r="D64" s="639" t="s">
        <v>483</v>
      </c>
      <c r="E64" s="86"/>
      <c r="F64" s="85"/>
      <c r="G64" s="252"/>
      <c r="H64" s="86">
        <f>예산!$G121</f>
        <v>964480</v>
      </c>
      <c r="I64" s="325"/>
      <c r="J64" s="235"/>
      <c r="K64" s="93"/>
      <c r="O64" s="60"/>
      <c r="P64" s="61"/>
      <c r="Q64" s="62"/>
      <c r="R64" s="61"/>
      <c r="S64" s="62"/>
      <c r="T64" s="61"/>
      <c r="U64" s="62"/>
      <c r="V64" s="61"/>
      <c r="W64" s="62"/>
      <c r="X64" s="61"/>
      <c r="Y64" s="62"/>
      <c r="Z64" s="61"/>
      <c r="AA64" s="62"/>
    </row>
    <row r="65" spans="1:27" ht="16.5" customHeight="1">
      <c r="A65" s="631"/>
      <c r="B65" s="634"/>
      <c r="C65" s="637"/>
      <c r="D65" s="640"/>
      <c r="E65" s="86"/>
      <c r="F65" s="85"/>
      <c r="G65" s="252"/>
      <c r="H65" s="86">
        <f>예산!$G122</f>
        <v>0</v>
      </c>
      <c r="I65" s="325"/>
      <c r="J65" s="235"/>
      <c r="K65" s="93"/>
      <c r="O65" s="60"/>
      <c r="P65" s="61"/>
      <c r="Q65" s="62"/>
      <c r="R65" s="61"/>
      <c r="S65" s="62"/>
      <c r="T65" s="61"/>
      <c r="U65" s="62"/>
      <c r="V65" s="61"/>
      <c r="W65" s="62"/>
      <c r="X65" s="61"/>
      <c r="Y65" s="62"/>
      <c r="Z65" s="61"/>
      <c r="AA65" s="62"/>
    </row>
    <row r="66" spans="1:27" ht="16.5" customHeight="1">
      <c r="A66" s="631"/>
      <c r="B66" s="634"/>
      <c r="C66" s="637"/>
      <c r="D66" s="640"/>
      <c r="E66" s="86"/>
      <c r="F66" s="85"/>
      <c r="G66" s="252"/>
      <c r="H66" s="86">
        <f>예산!$G123</f>
        <v>0</v>
      </c>
      <c r="I66" s="325"/>
      <c r="J66" s="235"/>
      <c r="K66" s="93"/>
      <c r="O66" s="60"/>
      <c r="P66" s="61"/>
      <c r="Q66" s="62"/>
      <c r="R66" s="61"/>
      <c r="S66" s="62"/>
      <c r="T66" s="61"/>
      <c r="U66" s="62"/>
      <c r="V66" s="61"/>
      <c r="W66" s="62"/>
      <c r="X66" s="61"/>
      <c r="Y66" s="62"/>
      <c r="Z66" s="61"/>
      <c r="AA66" s="62"/>
    </row>
    <row r="67" spans="1:27" ht="16.5" customHeight="1" thickBot="1">
      <c r="A67" s="632"/>
      <c r="B67" s="635"/>
      <c r="C67" s="638"/>
      <c r="D67" s="641"/>
      <c r="E67" s="86"/>
      <c r="F67" s="85"/>
      <c r="G67" s="252"/>
      <c r="H67" s="86">
        <f>예산!$G124</f>
        <v>0</v>
      </c>
      <c r="I67" s="325"/>
      <c r="J67" s="235"/>
      <c r="K67" s="93"/>
      <c r="O67" s="60"/>
      <c r="P67" s="61"/>
      <c r="Q67" s="62"/>
      <c r="R67" s="61"/>
      <c r="S67" s="62"/>
      <c r="T67" s="61"/>
      <c r="U67" s="62"/>
      <c r="V67" s="61"/>
      <c r="W67" s="62"/>
      <c r="X67" s="61"/>
      <c r="Y67" s="62"/>
      <c r="Z67" s="61"/>
      <c r="AA67" s="62"/>
    </row>
    <row r="68" spans="1:27" ht="16.5" customHeight="1" thickBot="1">
      <c r="A68" s="616" t="s">
        <v>261</v>
      </c>
      <c r="B68" s="617"/>
      <c r="C68" s="96">
        <f>예산!G98</f>
        <v>72251459</v>
      </c>
      <c r="D68" s="97"/>
      <c r="E68" s="98"/>
      <c r="F68" s="99"/>
      <c r="G68" s="100"/>
      <c r="H68" s="101">
        <f>SUM(H49:H55)</f>
        <v>43226509</v>
      </c>
      <c r="I68" s="618"/>
      <c r="J68" s="619"/>
      <c r="K68" s="102">
        <f>H68/C68</f>
        <v>0.59827870050347354</v>
      </c>
      <c r="O68" s="60"/>
      <c r="P68" s="61"/>
      <c r="Q68" s="62"/>
      <c r="R68" s="61"/>
      <c r="S68" s="62"/>
      <c r="T68" s="61"/>
      <c r="U68" s="62"/>
      <c r="V68" s="61"/>
      <c r="W68" s="62"/>
      <c r="X68" s="61"/>
      <c r="Y68" s="62"/>
      <c r="Z68" s="61"/>
      <c r="AA68" s="62"/>
    </row>
    <row r="69" spans="1:27" ht="16.5" customHeight="1">
      <c r="A69" s="624" t="s">
        <v>83</v>
      </c>
      <c r="B69" s="642" t="s">
        <v>262</v>
      </c>
      <c r="C69" s="103" t="s">
        <v>263</v>
      </c>
      <c r="D69" s="85" t="s">
        <v>264</v>
      </c>
      <c r="E69" s="86">
        <v>5500000</v>
      </c>
      <c r="F69" s="85"/>
      <c r="G69" s="85" t="s">
        <v>224</v>
      </c>
      <c r="H69" s="104">
        <f>E69</f>
        <v>5500000</v>
      </c>
      <c r="I69" s="87"/>
      <c r="J69" s="85"/>
      <c r="K69" s="93"/>
      <c r="O69" s="60"/>
      <c r="P69" s="61"/>
      <c r="Q69" s="62"/>
      <c r="R69" s="61"/>
      <c r="S69" s="62"/>
      <c r="T69" s="61"/>
      <c r="U69" s="62"/>
      <c r="V69" s="61"/>
      <c r="W69" s="62"/>
      <c r="X69" s="61"/>
      <c r="Y69" s="62"/>
      <c r="Z69" s="61"/>
      <c r="AA69" s="62"/>
    </row>
    <row r="70" spans="1:27" ht="16.5" customHeight="1">
      <c r="A70" s="579"/>
      <c r="B70" s="643"/>
      <c r="C70" s="621" t="s">
        <v>365</v>
      </c>
      <c r="D70" s="85" t="s">
        <v>366</v>
      </c>
      <c r="E70" s="86">
        <v>5000000</v>
      </c>
      <c r="F70" s="85"/>
      <c r="G70" s="85" t="s">
        <v>368</v>
      </c>
      <c r="H70" s="104">
        <f t="shared" ref="H70:H102" si="11">E70</f>
        <v>5000000</v>
      </c>
      <c r="I70" s="87"/>
      <c r="J70" s="85"/>
      <c r="K70" s="93"/>
      <c r="O70" s="60"/>
      <c r="P70" s="61"/>
      <c r="Q70" s="62"/>
      <c r="R70" s="61"/>
      <c r="S70" s="62"/>
      <c r="T70" s="61"/>
      <c r="U70" s="62"/>
      <c r="V70" s="61"/>
      <c r="W70" s="62"/>
      <c r="X70" s="61"/>
      <c r="Y70" s="62"/>
      <c r="Z70" s="61"/>
      <c r="AA70" s="62"/>
    </row>
    <row r="71" spans="1:27" ht="16.5" customHeight="1">
      <c r="A71" s="579"/>
      <c r="B71" s="643"/>
      <c r="C71" s="622"/>
      <c r="D71" s="85" t="s">
        <v>390</v>
      </c>
      <c r="E71" s="86">
        <v>5000000</v>
      </c>
      <c r="F71" s="85"/>
      <c r="G71" s="85" t="s">
        <v>368</v>
      </c>
      <c r="H71" s="104">
        <f t="shared" si="11"/>
        <v>5000000</v>
      </c>
      <c r="I71" s="87"/>
      <c r="J71" s="85"/>
      <c r="K71" s="93"/>
      <c r="O71" s="60"/>
      <c r="P71" s="61"/>
      <c r="Q71" s="62"/>
      <c r="R71" s="61"/>
      <c r="S71" s="62"/>
      <c r="T71" s="61"/>
      <c r="U71" s="62"/>
      <c r="V71" s="61"/>
      <c r="W71" s="62"/>
      <c r="X71" s="61"/>
      <c r="Y71" s="62"/>
      <c r="Z71" s="61"/>
      <c r="AA71" s="62"/>
    </row>
    <row r="72" spans="1:27" ht="16.5" customHeight="1">
      <c r="A72" s="579"/>
      <c r="B72" s="643"/>
      <c r="C72" s="622"/>
      <c r="D72" s="85" t="s">
        <v>367</v>
      </c>
      <c r="E72" s="86">
        <v>800000</v>
      </c>
      <c r="F72" s="85"/>
      <c r="G72" s="85" t="s">
        <v>368</v>
      </c>
      <c r="H72" s="104">
        <f t="shared" si="11"/>
        <v>800000</v>
      </c>
      <c r="I72" s="87"/>
      <c r="J72" s="85"/>
      <c r="K72" s="93"/>
      <c r="O72" s="60"/>
      <c r="P72" s="61"/>
      <c r="Q72" s="62"/>
      <c r="R72" s="61"/>
      <c r="S72" s="62"/>
      <c r="T72" s="61"/>
      <c r="U72" s="62"/>
      <c r="V72" s="61"/>
      <c r="W72" s="62"/>
      <c r="X72" s="61"/>
      <c r="Y72" s="62"/>
      <c r="Z72" s="61"/>
      <c r="AA72" s="62"/>
    </row>
    <row r="73" spans="1:27" ht="16.5" customHeight="1">
      <c r="A73" s="580"/>
      <c r="B73" s="643"/>
      <c r="C73" s="622"/>
      <c r="D73" s="85" t="s">
        <v>421</v>
      </c>
      <c r="E73" s="307">
        <v>2674000</v>
      </c>
      <c r="F73" s="85"/>
      <c r="G73" s="85" t="s">
        <v>369</v>
      </c>
      <c r="H73" s="104">
        <f>E73</f>
        <v>2674000</v>
      </c>
      <c r="I73" s="87"/>
      <c r="J73" s="85"/>
      <c r="K73" s="93"/>
      <c r="O73" s="60"/>
      <c r="P73" s="61"/>
      <c r="Q73" s="62"/>
      <c r="R73" s="61"/>
      <c r="S73" s="62"/>
      <c r="T73" s="61"/>
      <c r="U73" s="62"/>
      <c r="V73" s="61"/>
      <c r="W73" s="62"/>
      <c r="X73" s="61"/>
      <c r="Y73" s="62"/>
      <c r="Z73" s="61"/>
      <c r="AA73" s="62"/>
    </row>
    <row r="74" spans="1:27" ht="16.5" customHeight="1">
      <c r="A74" s="580"/>
      <c r="B74" s="643"/>
      <c r="C74" s="622"/>
      <c r="D74" s="85" t="s">
        <v>422</v>
      </c>
      <c r="E74" s="307">
        <v>2914000</v>
      </c>
      <c r="F74" s="85"/>
      <c r="G74" s="85" t="s">
        <v>369</v>
      </c>
      <c r="H74" s="245">
        <f>E74</f>
        <v>2914000</v>
      </c>
      <c r="I74" s="87"/>
      <c r="J74" s="85"/>
      <c r="K74" s="93"/>
      <c r="O74" s="60"/>
      <c r="P74" s="61"/>
      <c r="Q74" s="62"/>
      <c r="R74" s="61"/>
      <c r="S74" s="62"/>
      <c r="T74" s="61"/>
      <c r="U74" s="62"/>
      <c r="V74" s="61"/>
      <c r="W74" s="62"/>
      <c r="X74" s="61"/>
      <c r="Y74" s="62"/>
      <c r="Z74" s="61"/>
      <c r="AA74" s="62"/>
    </row>
    <row r="75" spans="1:27" ht="16.5" customHeight="1">
      <c r="A75" s="580"/>
      <c r="B75" s="643"/>
      <c r="C75" s="622"/>
      <c r="D75" s="85" t="s">
        <v>420</v>
      </c>
      <c r="E75" s="307">
        <v>4500000</v>
      </c>
      <c r="F75" s="85"/>
      <c r="G75" s="85" t="s">
        <v>369</v>
      </c>
      <c r="H75" s="245">
        <f>E75</f>
        <v>4500000</v>
      </c>
      <c r="I75" s="87"/>
      <c r="J75" s="85"/>
      <c r="K75" s="93"/>
      <c r="O75" s="60"/>
      <c r="P75" s="61"/>
      <c r="Q75" s="62"/>
      <c r="R75" s="61"/>
      <c r="S75" s="62"/>
      <c r="T75" s="61"/>
      <c r="U75" s="62"/>
      <c r="V75" s="61"/>
      <c r="W75" s="62"/>
      <c r="X75" s="61"/>
      <c r="Y75" s="62"/>
      <c r="Z75" s="61"/>
      <c r="AA75" s="62"/>
    </row>
    <row r="76" spans="1:27" ht="16.5" customHeight="1">
      <c r="A76" s="580"/>
      <c r="B76" s="643"/>
      <c r="C76" s="622"/>
      <c r="D76" s="236" t="s">
        <v>419</v>
      </c>
      <c r="E76" s="310">
        <v>6000000</v>
      </c>
      <c r="F76" s="236"/>
      <c r="G76" s="236" t="s">
        <v>375</v>
      </c>
      <c r="H76" s="312">
        <f>E76</f>
        <v>6000000</v>
      </c>
      <c r="I76" s="87"/>
      <c r="J76" s="85"/>
      <c r="K76" s="93"/>
      <c r="O76" s="60"/>
      <c r="P76" s="61"/>
      <c r="Q76" s="62"/>
      <c r="R76" s="61"/>
      <c r="S76" s="62"/>
      <c r="T76" s="61"/>
      <c r="U76" s="62"/>
      <c r="V76" s="61"/>
      <c r="W76" s="62"/>
      <c r="X76" s="61"/>
      <c r="Y76" s="62"/>
      <c r="Z76" s="61"/>
      <c r="AA76" s="62"/>
    </row>
    <row r="77" spans="1:27" ht="16.5" customHeight="1">
      <c r="A77" s="580"/>
      <c r="B77" s="643"/>
      <c r="C77" s="644"/>
      <c r="D77" s="237" t="s">
        <v>379</v>
      </c>
      <c r="E77" s="316">
        <v>6000000</v>
      </c>
      <c r="F77" s="237"/>
      <c r="G77" s="237" t="s">
        <v>374</v>
      </c>
      <c r="H77" s="263">
        <f>E77</f>
        <v>6000000</v>
      </c>
      <c r="I77" s="255"/>
      <c r="J77" s="85"/>
      <c r="K77" s="93"/>
      <c r="O77" s="60"/>
      <c r="P77" s="61"/>
      <c r="Q77" s="62"/>
      <c r="R77" s="61"/>
      <c r="S77" s="62"/>
      <c r="T77" s="61"/>
      <c r="U77" s="62"/>
      <c r="V77" s="61"/>
      <c r="W77" s="62"/>
      <c r="X77" s="61"/>
      <c r="Y77" s="62"/>
      <c r="Z77" s="61"/>
      <c r="AA77" s="62"/>
    </row>
    <row r="78" spans="1:27" ht="16.5" customHeight="1">
      <c r="A78" s="580"/>
      <c r="B78" s="643"/>
      <c r="C78" s="645"/>
      <c r="D78" s="261"/>
      <c r="E78" s="261"/>
      <c r="F78" s="261"/>
      <c r="G78" s="261"/>
      <c r="H78" s="261"/>
      <c r="I78" s="255"/>
      <c r="J78" s="85"/>
      <c r="K78" s="93"/>
      <c r="O78" s="60"/>
      <c r="P78" s="61"/>
      <c r="Q78" s="62"/>
      <c r="R78" s="61"/>
      <c r="S78" s="62"/>
      <c r="T78" s="61"/>
      <c r="U78" s="62"/>
      <c r="V78" s="61"/>
      <c r="W78" s="62"/>
      <c r="X78" s="61"/>
      <c r="Y78" s="62"/>
      <c r="Z78" s="61"/>
      <c r="AA78" s="62"/>
    </row>
    <row r="79" spans="1:27" ht="16.5" customHeight="1">
      <c r="A79" s="580"/>
      <c r="B79" s="643"/>
      <c r="C79" s="621" t="s">
        <v>377</v>
      </c>
      <c r="D79" s="313" t="s">
        <v>379</v>
      </c>
      <c r="E79" s="245">
        <v>3300000</v>
      </c>
      <c r="F79" s="313"/>
      <c r="G79" s="313" t="s">
        <v>368</v>
      </c>
      <c r="H79" s="245">
        <f t="shared" si="11"/>
        <v>3300000</v>
      </c>
      <c r="I79" s="87"/>
      <c r="J79" s="85"/>
      <c r="K79" s="93"/>
      <c r="O79" s="60"/>
      <c r="P79" s="61"/>
      <c r="Q79" s="62"/>
      <c r="R79" s="61"/>
      <c r="S79" s="62"/>
      <c r="T79" s="61"/>
      <c r="U79" s="62"/>
      <c r="V79" s="61"/>
      <c r="W79" s="62"/>
      <c r="X79" s="61"/>
      <c r="Y79" s="62"/>
      <c r="Z79" s="61"/>
      <c r="AA79" s="62"/>
    </row>
    <row r="80" spans="1:27" ht="16.5" customHeight="1">
      <c r="A80" s="580"/>
      <c r="B80" s="643"/>
      <c r="C80" s="622"/>
      <c r="D80" s="85" t="s">
        <v>363</v>
      </c>
      <c r="E80" s="86">
        <v>3300000</v>
      </c>
      <c r="F80" s="85"/>
      <c r="G80" s="85" t="s">
        <v>368</v>
      </c>
      <c r="H80" s="245">
        <f t="shared" si="11"/>
        <v>3300000</v>
      </c>
      <c r="I80" s="87"/>
      <c r="J80" s="85"/>
      <c r="K80" s="93"/>
      <c r="O80" s="60"/>
      <c r="P80" s="61"/>
      <c r="Q80" s="62"/>
      <c r="R80" s="61"/>
      <c r="S80" s="62"/>
      <c r="T80" s="61"/>
      <c r="U80" s="62"/>
      <c r="V80" s="61"/>
      <c r="W80" s="62"/>
      <c r="X80" s="61"/>
      <c r="Y80" s="62"/>
      <c r="Z80" s="61"/>
      <c r="AA80" s="62"/>
    </row>
    <row r="81" spans="1:27" ht="16.5" customHeight="1">
      <c r="A81" s="580"/>
      <c r="B81" s="643"/>
      <c r="C81" s="622"/>
      <c r="D81" s="85" t="s">
        <v>380</v>
      </c>
      <c r="E81" s="86">
        <v>800000</v>
      </c>
      <c r="F81" s="85"/>
      <c r="G81" s="85" t="s">
        <v>368</v>
      </c>
      <c r="H81" s="245">
        <f t="shared" si="11"/>
        <v>800000</v>
      </c>
      <c r="I81" s="87"/>
      <c r="J81" s="85"/>
      <c r="K81" s="93"/>
      <c r="O81" s="60"/>
      <c r="P81" s="61"/>
      <c r="Q81" s="62"/>
      <c r="R81" s="61"/>
      <c r="S81" s="62"/>
      <c r="T81" s="61"/>
      <c r="U81" s="62"/>
      <c r="V81" s="61"/>
      <c r="W81" s="62"/>
      <c r="X81" s="61"/>
      <c r="Y81" s="62"/>
      <c r="Z81" s="61"/>
      <c r="AA81" s="62"/>
    </row>
    <row r="82" spans="1:27" ht="16.5" customHeight="1">
      <c r="A82" s="580"/>
      <c r="B82" s="643"/>
      <c r="C82" s="622"/>
      <c r="D82" s="85" t="s">
        <v>381</v>
      </c>
      <c r="E82" s="86">
        <v>2300000</v>
      </c>
      <c r="F82" s="85"/>
      <c r="G82" s="85" t="s">
        <v>368</v>
      </c>
      <c r="H82" s="245">
        <f t="shared" si="11"/>
        <v>2300000</v>
      </c>
      <c r="I82" s="87"/>
      <c r="J82" s="85"/>
      <c r="K82" s="93"/>
      <c r="O82" s="60"/>
      <c r="P82" s="61"/>
      <c r="Q82" s="62"/>
      <c r="R82" s="61"/>
      <c r="S82" s="62"/>
      <c r="T82" s="61"/>
      <c r="U82" s="62"/>
      <c r="V82" s="61"/>
      <c r="W82" s="62"/>
      <c r="X82" s="61"/>
      <c r="Y82" s="62"/>
      <c r="Z82" s="61"/>
      <c r="AA82" s="62"/>
    </row>
    <row r="83" spans="1:27" ht="16.5" customHeight="1">
      <c r="A83" s="580"/>
      <c r="B83" s="643"/>
      <c r="C83" s="623"/>
      <c r="D83" s="85" t="s">
        <v>382</v>
      </c>
      <c r="E83" s="86">
        <v>2300000</v>
      </c>
      <c r="F83" s="85"/>
      <c r="G83" s="85" t="s">
        <v>368</v>
      </c>
      <c r="H83" s="245">
        <f t="shared" si="11"/>
        <v>2300000</v>
      </c>
      <c r="I83" s="87"/>
      <c r="J83" s="85"/>
      <c r="K83" s="93"/>
      <c r="O83" s="60"/>
      <c r="P83" s="61"/>
      <c r="Q83" s="62"/>
      <c r="R83" s="61"/>
      <c r="S83" s="62"/>
      <c r="T83" s="61"/>
      <c r="U83" s="62"/>
      <c r="V83" s="61"/>
      <c r="W83" s="62"/>
      <c r="X83" s="61"/>
      <c r="Y83" s="62"/>
      <c r="Z83" s="61"/>
      <c r="AA83" s="62"/>
    </row>
    <row r="84" spans="1:27" ht="16.5" customHeight="1">
      <c r="A84" s="580"/>
      <c r="B84" s="643"/>
      <c r="C84" s="621" t="s">
        <v>423</v>
      </c>
      <c r="D84" s="85" t="s">
        <v>442</v>
      </c>
      <c r="E84" s="307">
        <f>600000*22</f>
        <v>13200000</v>
      </c>
      <c r="F84" s="85"/>
      <c r="G84" s="85" t="s">
        <v>385</v>
      </c>
      <c r="H84" s="245">
        <f t="shared" si="11"/>
        <v>13200000</v>
      </c>
      <c r="I84" s="87"/>
      <c r="J84" s="85"/>
      <c r="K84" s="93"/>
      <c r="O84" s="60"/>
      <c r="P84" s="61"/>
      <c r="Q84" s="62"/>
      <c r="R84" s="61"/>
      <c r="S84" s="62"/>
      <c r="T84" s="61"/>
      <c r="U84" s="62"/>
      <c r="V84" s="61"/>
      <c r="W84" s="62"/>
      <c r="X84" s="61"/>
      <c r="Y84" s="62"/>
      <c r="Z84" s="61"/>
      <c r="AA84" s="62"/>
    </row>
    <row r="85" spans="1:27" ht="16.5" customHeight="1">
      <c r="A85" s="580"/>
      <c r="B85" s="643"/>
      <c r="C85" s="622"/>
      <c r="D85" s="85" t="s">
        <v>424</v>
      </c>
      <c r="E85" s="307">
        <v>2000000</v>
      </c>
      <c r="F85" s="85"/>
      <c r="G85" s="85" t="s">
        <v>385</v>
      </c>
      <c r="H85" s="245">
        <f t="shared" si="11"/>
        <v>2000000</v>
      </c>
      <c r="I85" s="87"/>
      <c r="J85" s="85"/>
      <c r="K85" s="93"/>
      <c r="O85" s="60"/>
      <c r="P85" s="61"/>
      <c r="Q85" s="62"/>
      <c r="R85" s="61"/>
      <c r="S85" s="62"/>
      <c r="T85" s="61"/>
      <c r="U85" s="62"/>
      <c r="V85" s="61"/>
      <c r="W85" s="62"/>
      <c r="X85" s="61"/>
      <c r="Y85" s="62"/>
      <c r="Z85" s="61"/>
      <c r="AA85" s="62"/>
    </row>
    <row r="86" spans="1:27" ht="16.5" customHeight="1">
      <c r="A86" s="580"/>
      <c r="B86" s="643"/>
      <c r="C86" s="622"/>
      <c r="D86" s="85" t="s">
        <v>425</v>
      </c>
      <c r="E86" s="307">
        <f>2*1000000</f>
        <v>2000000</v>
      </c>
      <c r="F86" s="85"/>
      <c r="G86" s="85" t="s">
        <v>385</v>
      </c>
      <c r="H86" s="245">
        <f t="shared" si="11"/>
        <v>2000000</v>
      </c>
      <c r="I86" s="87"/>
      <c r="J86" s="85"/>
      <c r="K86" s="93"/>
      <c r="O86" s="60"/>
      <c r="P86" s="61"/>
      <c r="Q86" s="62"/>
      <c r="R86" s="61"/>
      <c r="S86" s="62"/>
      <c r="T86" s="61"/>
      <c r="U86" s="62"/>
      <c r="V86" s="61"/>
      <c r="W86" s="62"/>
      <c r="X86" s="61"/>
      <c r="Y86" s="62"/>
      <c r="Z86" s="61"/>
      <c r="AA86" s="62"/>
    </row>
    <row r="87" spans="1:27" ht="16.5" customHeight="1">
      <c r="A87" s="580"/>
      <c r="B87" s="643"/>
      <c r="C87" s="622"/>
      <c r="D87" s="85" t="s">
        <v>441</v>
      </c>
      <c r="E87" s="307">
        <f>3*500000</f>
        <v>1500000</v>
      </c>
      <c r="F87" s="85"/>
      <c r="G87" s="85" t="s">
        <v>385</v>
      </c>
      <c r="H87" s="245">
        <f t="shared" si="11"/>
        <v>1500000</v>
      </c>
      <c r="I87" s="87"/>
      <c r="J87" s="85"/>
      <c r="K87" s="93"/>
      <c r="O87" s="60"/>
      <c r="P87" s="61"/>
      <c r="Q87" s="62"/>
      <c r="R87" s="61"/>
      <c r="S87" s="62"/>
      <c r="T87" s="61"/>
      <c r="U87" s="62"/>
      <c r="V87" s="61"/>
      <c r="W87" s="62"/>
      <c r="X87" s="61"/>
      <c r="Y87" s="62"/>
      <c r="Z87" s="61"/>
      <c r="AA87" s="62"/>
    </row>
    <row r="88" spans="1:27" ht="16.5" customHeight="1">
      <c r="A88" s="580"/>
      <c r="B88" s="643"/>
      <c r="C88" s="623"/>
      <c r="D88" s="85" t="s">
        <v>451</v>
      </c>
      <c r="E88" s="307">
        <f>SUM(E84:E87)</f>
        <v>18700000</v>
      </c>
      <c r="F88" s="85"/>
      <c r="G88" s="85" t="s">
        <v>385</v>
      </c>
      <c r="H88" s="245"/>
      <c r="I88" s="87"/>
      <c r="J88" s="85"/>
      <c r="K88" s="93"/>
      <c r="O88" s="60"/>
      <c r="P88" s="61"/>
      <c r="Q88" s="62"/>
      <c r="R88" s="61"/>
      <c r="S88" s="62"/>
      <c r="T88" s="61"/>
      <c r="U88" s="62"/>
      <c r="V88" s="61"/>
      <c r="W88" s="62"/>
      <c r="X88" s="61"/>
      <c r="Y88" s="62"/>
      <c r="Z88" s="61"/>
      <c r="AA88" s="62"/>
    </row>
    <row r="89" spans="1:27" ht="16.5" customHeight="1">
      <c r="A89" s="580"/>
      <c r="B89" s="620" t="s">
        <v>408</v>
      </c>
      <c r="C89" s="92" t="s">
        <v>409</v>
      </c>
      <c r="D89" s="85" t="s">
        <v>411</v>
      </c>
      <c r="E89" s="307">
        <f>14*1000000</f>
        <v>14000000</v>
      </c>
      <c r="F89" s="85"/>
      <c r="G89" s="85" t="s">
        <v>369</v>
      </c>
      <c r="H89" s="245">
        <f t="shared" si="11"/>
        <v>14000000</v>
      </c>
      <c r="I89" s="87"/>
      <c r="J89" s="85"/>
      <c r="K89" s="93"/>
      <c r="O89" s="60"/>
      <c r="P89" s="61"/>
      <c r="Q89" s="62"/>
      <c r="R89" s="61"/>
      <c r="S89" s="62"/>
      <c r="T89" s="61"/>
      <c r="U89" s="62"/>
      <c r="V89" s="61"/>
      <c r="W89" s="62"/>
      <c r="X89" s="61"/>
      <c r="Y89" s="62"/>
      <c r="Z89" s="61"/>
      <c r="AA89" s="62"/>
    </row>
    <row r="90" spans="1:27" ht="16.5" customHeight="1">
      <c r="A90" s="580"/>
      <c r="B90" s="620"/>
      <c r="C90" s="92" t="s">
        <v>410</v>
      </c>
      <c r="D90" s="85" t="s">
        <v>412</v>
      </c>
      <c r="E90" s="307">
        <f>67*1000000</f>
        <v>67000000</v>
      </c>
      <c r="F90" s="85"/>
      <c r="G90" s="85" t="s">
        <v>369</v>
      </c>
      <c r="H90" s="245">
        <f t="shared" si="11"/>
        <v>67000000</v>
      </c>
      <c r="I90" s="87"/>
      <c r="J90" s="85"/>
      <c r="K90" s="93"/>
      <c r="O90" s="60"/>
      <c r="P90" s="61"/>
      <c r="Q90" s="62"/>
      <c r="R90" s="61"/>
      <c r="S90" s="62"/>
      <c r="T90" s="61"/>
      <c r="U90" s="62"/>
      <c r="V90" s="61"/>
      <c r="W90" s="62"/>
      <c r="X90" s="61"/>
      <c r="Y90" s="62"/>
      <c r="Z90" s="61"/>
      <c r="AA90" s="62"/>
    </row>
    <row r="91" spans="1:27" ht="16.5" customHeight="1">
      <c r="A91" s="580"/>
      <c r="B91" s="620"/>
      <c r="C91" s="92"/>
      <c r="D91" s="85"/>
      <c r="E91" s="86"/>
      <c r="F91" s="85"/>
      <c r="G91" s="85"/>
      <c r="H91" s="245"/>
      <c r="I91" s="87"/>
      <c r="J91" s="85"/>
      <c r="K91" s="93"/>
      <c r="O91" s="60"/>
      <c r="P91" s="61"/>
      <c r="Q91" s="62"/>
      <c r="R91" s="61"/>
      <c r="S91" s="62"/>
      <c r="T91" s="61"/>
      <c r="U91" s="62"/>
      <c r="V91" s="61"/>
      <c r="W91" s="62"/>
      <c r="X91" s="61"/>
      <c r="Y91" s="62"/>
      <c r="Z91" s="61"/>
      <c r="AA91" s="62"/>
    </row>
    <row r="92" spans="1:27" ht="16.5" customHeight="1">
      <c r="A92" s="579"/>
      <c r="B92" s="250"/>
      <c r="C92" s="92" t="s">
        <v>391</v>
      </c>
      <c r="D92" s="85" t="s">
        <v>392</v>
      </c>
      <c r="E92" s="86">
        <v>1000000</v>
      </c>
      <c r="F92" s="85"/>
      <c r="G92" s="85" t="s">
        <v>393</v>
      </c>
      <c r="H92" s="245">
        <f t="shared" si="11"/>
        <v>1000000</v>
      </c>
      <c r="I92" s="87"/>
      <c r="J92" s="85"/>
      <c r="K92" s="93"/>
      <c r="O92" s="60"/>
      <c r="P92" s="61"/>
      <c r="Q92" s="62"/>
      <c r="R92" s="61"/>
      <c r="S92" s="62"/>
      <c r="T92" s="61"/>
      <c r="U92" s="62"/>
      <c r="V92" s="61"/>
      <c r="W92" s="62"/>
      <c r="X92" s="61"/>
      <c r="Y92" s="62"/>
      <c r="Z92" s="61"/>
      <c r="AA92" s="62"/>
    </row>
    <row r="93" spans="1:27" ht="16.5" customHeight="1">
      <c r="A93" s="580"/>
      <c r="B93" s="243"/>
      <c r="C93" s="621" t="s">
        <v>395</v>
      </c>
      <c r="D93" s="85" t="s">
        <v>415</v>
      </c>
      <c r="E93" s="86">
        <v>1000000</v>
      </c>
      <c r="F93" s="85"/>
      <c r="G93" s="85" t="s">
        <v>369</v>
      </c>
      <c r="H93" s="245">
        <f t="shared" si="11"/>
        <v>1000000</v>
      </c>
      <c r="I93" s="87"/>
      <c r="J93" s="85"/>
      <c r="K93" s="93"/>
      <c r="O93" s="60"/>
      <c r="P93" s="61"/>
      <c r="Q93" s="62"/>
      <c r="R93" s="61"/>
      <c r="S93" s="62"/>
      <c r="T93" s="61"/>
      <c r="U93" s="62"/>
      <c r="V93" s="61"/>
      <c r="W93" s="62"/>
      <c r="X93" s="61"/>
      <c r="Y93" s="62"/>
      <c r="Z93" s="61"/>
      <c r="AA93" s="62"/>
    </row>
    <row r="94" spans="1:27" ht="16.5" customHeight="1">
      <c r="A94" s="580"/>
      <c r="B94" s="243"/>
      <c r="C94" s="622"/>
      <c r="D94" s="85" t="s">
        <v>416</v>
      </c>
      <c r="E94" s="86">
        <v>1000000</v>
      </c>
      <c r="F94" s="85"/>
      <c r="G94" s="85" t="s">
        <v>369</v>
      </c>
      <c r="H94" s="245">
        <f t="shared" si="11"/>
        <v>1000000</v>
      </c>
      <c r="I94" s="87"/>
      <c r="J94" s="85"/>
      <c r="K94" s="93"/>
      <c r="O94" s="60"/>
      <c r="P94" s="61"/>
      <c r="Q94" s="62"/>
      <c r="R94" s="61"/>
      <c r="S94" s="62"/>
      <c r="T94" s="61"/>
      <c r="U94" s="62"/>
      <c r="V94" s="61"/>
      <c r="W94" s="62"/>
      <c r="X94" s="61"/>
      <c r="Y94" s="62"/>
      <c r="Z94" s="61"/>
      <c r="AA94" s="62"/>
    </row>
    <row r="95" spans="1:27" ht="16.5" customHeight="1">
      <c r="A95" s="580"/>
      <c r="B95" s="243"/>
      <c r="C95" s="622"/>
      <c r="D95" s="85" t="s">
        <v>419</v>
      </c>
      <c r="E95" s="307">
        <v>6000000</v>
      </c>
      <c r="F95" s="85"/>
      <c r="G95" s="85" t="s">
        <v>369</v>
      </c>
      <c r="H95" s="245">
        <f t="shared" si="11"/>
        <v>6000000</v>
      </c>
      <c r="I95" s="87"/>
      <c r="J95" s="85"/>
      <c r="K95" s="93"/>
      <c r="O95" s="60"/>
      <c r="P95" s="61"/>
      <c r="Q95" s="62"/>
      <c r="R95" s="61"/>
      <c r="S95" s="62"/>
      <c r="T95" s="61"/>
      <c r="U95" s="62"/>
      <c r="V95" s="61"/>
      <c r="W95" s="62"/>
      <c r="X95" s="61"/>
      <c r="Y95" s="62"/>
      <c r="Z95" s="61"/>
      <c r="AA95" s="62"/>
    </row>
    <row r="96" spans="1:27" ht="16.5" customHeight="1">
      <c r="A96" s="580"/>
      <c r="B96" s="243"/>
      <c r="C96" s="622"/>
      <c r="D96" s="85" t="s">
        <v>379</v>
      </c>
      <c r="E96" s="307">
        <v>2000000</v>
      </c>
      <c r="F96" s="85"/>
      <c r="G96" s="85" t="s">
        <v>369</v>
      </c>
      <c r="H96" s="245">
        <f t="shared" si="11"/>
        <v>2000000</v>
      </c>
      <c r="I96" s="87"/>
      <c r="J96" s="85"/>
      <c r="K96" s="93"/>
      <c r="O96" s="60"/>
      <c r="P96" s="61"/>
      <c r="Q96" s="62"/>
      <c r="R96" s="61"/>
      <c r="S96" s="62"/>
      <c r="T96" s="61"/>
      <c r="U96" s="62"/>
      <c r="V96" s="61"/>
      <c r="W96" s="62"/>
      <c r="X96" s="61"/>
      <c r="Y96" s="62"/>
      <c r="Z96" s="61"/>
      <c r="AA96" s="62"/>
    </row>
    <row r="97" spans="1:27" ht="16.5" customHeight="1">
      <c r="A97" s="580"/>
      <c r="B97" s="243"/>
      <c r="C97" s="622"/>
      <c r="D97" s="85" t="s">
        <v>466</v>
      </c>
      <c r="E97" s="86">
        <v>2000000</v>
      </c>
      <c r="F97" s="85"/>
      <c r="G97" s="85" t="s">
        <v>369</v>
      </c>
      <c r="H97" s="245">
        <f t="shared" si="11"/>
        <v>2000000</v>
      </c>
      <c r="I97" s="87"/>
      <c r="J97" s="85"/>
      <c r="K97" s="93"/>
      <c r="O97" s="60"/>
      <c r="P97" s="61"/>
      <c r="Q97" s="62"/>
      <c r="R97" s="61"/>
      <c r="S97" s="62"/>
      <c r="T97" s="61"/>
      <c r="U97" s="62"/>
      <c r="V97" s="61"/>
      <c r="W97" s="62"/>
      <c r="X97" s="61"/>
      <c r="Y97" s="62"/>
      <c r="Z97" s="61"/>
      <c r="AA97" s="62"/>
    </row>
    <row r="98" spans="1:27" ht="16.5" customHeight="1">
      <c r="A98" s="580"/>
      <c r="B98" s="243"/>
      <c r="C98" s="623"/>
      <c r="D98" s="85"/>
      <c r="E98" s="86"/>
      <c r="F98" s="85"/>
      <c r="G98" s="85"/>
      <c r="H98" s="245"/>
      <c r="I98" s="87"/>
      <c r="J98" s="85"/>
      <c r="K98" s="93"/>
      <c r="O98" s="60"/>
      <c r="P98" s="61"/>
      <c r="Q98" s="62"/>
      <c r="R98" s="61"/>
      <c r="S98" s="62"/>
      <c r="T98" s="61"/>
      <c r="U98" s="62"/>
      <c r="V98" s="61"/>
      <c r="W98" s="62"/>
      <c r="X98" s="61"/>
      <c r="Y98" s="62"/>
      <c r="Z98" s="61"/>
      <c r="AA98" s="62"/>
    </row>
    <row r="99" spans="1:27" ht="16.5" customHeight="1">
      <c r="A99" s="579"/>
      <c r="B99" s="625" t="s">
        <v>265</v>
      </c>
      <c r="C99" s="92"/>
      <c r="D99" s="85" t="s">
        <v>418</v>
      </c>
      <c r="E99" s="307">
        <v>6750000</v>
      </c>
      <c r="F99" s="85"/>
      <c r="G99" s="85" t="s">
        <v>369</v>
      </c>
      <c r="H99" s="245">
        <f>E99</f>
        <v>6750000</v>
      </c>
      <c r="I99" s="87"/>
      <c r="J99" s="85"/>
      <c r="K99" s="93"/>
      <c r="O99" s="60"/>
      <c r="P99" s="61"/>
      <c r="Q99" s="62"/>
      <c r="R99" s="61"/>
      <c r="S99" s="62"/>
      <c r="T99" s="61"/>
      <c r="U99" s="62"/>
      <c r="V99" s="61"/>
      <c r="W99" s="62"/>
      <c r="X99" s="61"/>
      <c r="Y99" s="62"/>
      <c r="Z99" s="61"/>
      <c r="AA99" s="62"/>
    </row>
    <row r="100" spans="1:27" ht="16.5" customHeight="1">
      <c r="A100" s="579"/>
      <c r="B100" s="579"/>
      <c r="C100" s="92"/>
      <c r="D100" s="85"/>
      <c r="E100" s="86">
        <v>5000000</v>
      </c>
      <c r="F100" s="85"/>
      <c r="G100" s="85"/>
      <c r="H100" s="86">
        <f>E100</f>
        <v>5000000</v>
      </c>
      <c r="I100" s="87"/>
      <c r="J100" s="85"/>
      <c r="K100" s="93"/>
      <c r="O100" s="60"/>
      <c r="P100" s="61"/>
      <c r="Q100" s="62"/>
      <c r="R100" s="61"/>
      <c r="S100" s="62"/>
      <c r="T100" s="61"/>
      <c r="U100" s="62"/>
      <c r="V100" s="61"/>
      <c r="W100" s="62"/>
      <c r="X100" s="61"/>
      <c r="Y100" s="62"/>
      <c r="Z100" s="61"/>
      <c r="AA100" s="62"/>
    </row>
    <row r="101" spans="1:27" ht="16.5" customHeight="1">
      <c r="A101" s="579"/>
      <c r="B101" s="579"/>
      <c r="C101" s="92"/>
      <c r="D101" s="85"/>
      <c r="E101" s="86">
        <v>4000000</v>
      </c>
      <c r="F101" s="85"/>
      <c r="G101" s="85"/>
      <c r="H101" s="86">
        <f>E101</f>
        <v>4000000</v>
      </c>
      <c r="I101" s="87"/>
      <c r="J101" s="85"/>
      <c r="K101" s="93"/>
      <c r="O101" s="60"/>
      <c r="P101" s="61"/>
      <c r="Q101" s="62"/>
      <c r="R101" s="61"/>
      <c r="S101" s="62"/>
      <c r="T101" s="61"/>
      <c r="U101" s="62"/>
      <c r="V101" s="61"/>
      <c r="W101" s="62"/>
      <c r="X101" s="61"/>
      <c r="Y101" s="62"/>
      <c r="Z101" s="61"/>
      <c r="AA101" s="62"/>
    </row>
    <row r="102" spans="1:27" ht="16.5" customHeight="1">
      <c r="A102" s="579"/>
      <c r="B102" s="579"/>
      <c r="C102" s="92"/>
      <c r="D102" s="85">
        <v>4</v>
      </c>
      <c r="E102" s="86"/>
      <c r="F102" s="85"/>
      <c r="G102" s="85" t="s">
        <v>370</v>
      </c>
      <c r="H102" s="86">
        <f t="shared" si="11"/>
        <v>0</v>
      </c>
      <c r="I102" s="87"/>
      <c r="J102" s="85"/>
      <c r="K102" s="93"/>
      <c r="O102" s="60"/>
      <c r="P102" s="61"/>
      <c r="Q102" s="62"/>
      <c r="R102" s="61"/>
      <c r="S102" s="62"/>
      <c r="T102" s="61"/>
      <c r="U102" s="62"/>
      <c r="V102" s="61"/>
      <c r="W102" s="62"/>
      <c r="X102" s="61"/>
      <c r="Y102" s="62"/>
      <c r="Z102" s="61"/>
      <c r="AA102" s="62"/>
    </row>
    <row r="103" spans="1:27" ht="16.5" customHeight="1">
      <c r="A103" s="579"/>
      <c r="B103" s="581"/>
      <c r="C103" s="92"/>
      <c r="D103" s="85"/>
      <c r="E103" s="86"/>
      <c r="F103" s="85"/>
      <c r="G103" s="85"/>
      <c r="H103" s="86"/>
      <c r="I103" s="87"/>
      <c r="J103" s="85"/>
      <c r="K103" s="93"/>
      <c r="O103" s="60"/>
      <c r="P103" s="61"/>
      <c r="Q103" s="62"/>
      <c r="R103" s="61"/>
      <c r="S103" s="62"/>
      <c r="T103" s="61"/>
      <c r="U103" s="62"/>
      <c r="V103" s="61"/>
      <c r="W103" s="62"/>
      <c r="X103" s="61"/>
      <c r="Y103" s="62"/>
      <c r="Z103" s="61"/>
      <c r="AA103" s="62"/>
    </row>
    <row r="104" spans="1:27" ht="16.5" customHeight="1">
      <c r="A104" s="579"/>
      <c r="B104" s="625" t="s">
        <v>143</v>
      </c>
      <c r="C104" s="92" t="s">
        <v>362</v>
      </c>
      <c r="D104" s="85" t="s">
        <v>363</v>
      </c>
      <c r="E104" s="86">
        <v>1000000</v>
      </c>
      <c r="F104" s="85"/>
      <c r="G104" s="85" t="s">
        <v>364</v>
      </c>
      <c r="H104" s="245">
        <f t="shared" ref="H104:H107" si="12">E104</f>
        <v>1000000</v>
      </c>
      <c r="I104" s="87"/>
      <c r="J104" s="85"/>
      <c r="K104" s="93"/>
      <c r="O104" s="60"/>
      <c r="P104" s="61"/>
      <c r="Q104" s="62"/>
      <c r="R104" s="61"/>
      <c r="S104" s="62"/>
      <c r="T104" s="61"/>
      <c r="U104" s="62"/>
      <c r="V104" s="61"/>
      <c r="W104" s="62"/>
      <c r="X104" s="61"/>
      <c r="Y104" s="62"/>
      <c r="Z104" s="61"/>
      <c r="AA104" s="62"/>
    </row>
    <row r="105" spans="1:27" ht="16.5" customHeight="1">
      <c r="A105" s="579"/>
      <c r="B105" s="579"/>
      <c r="C105" s="92"/>
      <c r="D105" s="85" t="s">
        <v>380</v>
      </c>
      <c r="E105" s="86">
        <v>2000000</v>
      </c>
      <c r="F105" s="85"/>
      <c r="G105" s="85" t="s">
        <v>376</v>
      </c>
      <c r="H105" s="86">
        <f t="shared" si="12"/>
        <v>2000000</v>
      </c>
      <c r="I105" s="87"/>
      <c r="J105" s="85"/>
      <c r="K105" s="93"/>
      <c r="O105" s="60"/>
      <c r="P105" s="61"/>
      <c r="Q105" s="62"/>
      <c r="R105" s="61"/>
      <c r="S105" s="62"/>
      <c r="T105" s="61"/>
      <c r="U105" s="62"/>
      <c r="V105" s="61"/>
      <c r="W105" s="62"/>
      <c r="X105" s="61"/>
      <c r="Y105" s="62"/>
      <c r="Z105" s="61"/>
      <c r="AA105" s="62"/>
    </row>
    <row r="106" spans="1:27" ht="16.5" customHeight="1">
      <c r="A106" s="579"/>
      <c r="B106" s="579"/>
      <c r="C106" s="92"/>
      <c r="D106" s="85" t="s">
        <v>417</v>
      </c>
      <c r="E106" s="86">
        <v>2000000</v>
      </c>
      <c r="F106" s="85"/>
      <c r="G106" s="85" t="s">
        <v>369</v>
      </c>
      <c r="H106" s="86">
        <f t="shared" si="12"/>
        <v>2000000</v>
      </c>
      <c r="I106" s="87"/>
      <c r="J106" s="85"/>
      <c r="K106" s="93"/>
      <c r="O106" s="60"/>
      <c r="P106" s="61"/>
      <c r="Q106" s="62"/>
      <c r="R106" s="61"/>
      <c r="S106" s="62"/>
      <c r="T106" s="61"/>
      <c r="U106" s="62"/>
      <c r="V106" s="61"/>
      <c r="W106" s="62"/>
      <c r="X106" s="61"/>
      <c r="Y106" s="62"/>
      <c r="Z106" s="61"/>
      <c r="AA106" s="62"/>
    </row>
    <row r="107" spans="1:27" ht="16.5" customHeight="1">
      <c r="A107" s="579"/>
      <c r="B107" s="581"/>
      <c r="C107" s="92"/>
      <c r="D107" s="85" t="s">
        <v>452</v>
      </c>
      <c r="E107" s="307">
        <v>2000000</v>
      </c>
      <c r="F107" s="85"/>
      <c r="G107" s="85" t="s">
        <v>369</v>
      </c>
      <c r="H107" s="86">
        <f t="shared" si="12"/>
        <v>2000000</v>
      </c>
      <c r="I107" s="87"/>
      <c r="J107" s="85"/>
      <c r="K107" s="93"/>
      <c r="O107" s="60"/>
      <c r="P107" s="61"/>
      <c r="Q107" s="62"/>
      <c r="R107" s="61"/>
      <c r="S107" s="62"/>
      <c r="T107" s="61"/>
      <c r="U107" s="62"/>
      <c r="V107" s="61"/>
      <c r="W107" s="62"/>
      <c r="X107" s="61"/>
      <c r="Y107" s="62"/>
      <c r="Z107" s="61"/>
      <c r="AA107" s="62"/>
    </row>
    <row r="108" spans="1:27" ht="16.5" customHeight="1">
      <c r="A108" s="579"/>
      <c r="B108" s="625" t="s">
        <v>266</v>
      </c>
      <c r="C108" s="92" t="s">
        <v>275</v>
      </c>
      <c r="D108" s="85" t="s">
        <v>276</v>
      </c>
      <c r="E108" s="86">
        <f>10000000*13+5000000*5+15000000*2</f>
        <v>185000000</v>
      </c>
      <c r="F108" s="85"/>
      <c r="G108" s="85" t="s">
        <v>368</v>
      </c>
      <c r="H108" s="86">
        <f>E108</f>
        <v>185000000</v>
      </c>
      <c r="I108" s="87"/>
      <c r="J108" s="85"/>
      <c r="K108" s="93"/>
      <c r="O108" s="60"/>
      <c r="P108" s="61"/>
      <c r="Q108" s="62"/>
      <c r="R108" s="61"/>
      <c r="S108" s="62"/>
      <c r="T108" s="61"/>
      <c r="U108" s="62"/>
      <c r="V108" s="61"/>
      <c r="W108" s="62"/>
      <c r="X108" s="61"/>
      <c r="Y108" s="62"/>
      <c r="Z108" s="61"/>
      <c r="AA108" s="62"/>
    </row>
    <row r="109" spans="1:27" ht="16.5" customHeight="1">
      <c r="A109" s="579"/>
      <c r="B109" s="579"/>
      <c r="C109" s="92" t="s">
        <v>277</v>
      </c>
      <c r="D109" s="85" t="s">
        <v>278</v>
      </c>
      <c r="E109" s="307">
        <f>310000000</f>
        <v>310000000</v>
      </c>
      <c r="F109" s="85" t="s">
        <v>464</v>
      </c>
      <c r="G109" s="85" t="s">
        <v>233</v>
      </c>
      <c r="H109" s="86">
        <f>E109</f>
        <v>310000000</v>
      </c>
      <c r="I109" s="87"/>
      <c r="J109" s="85"/>
      <c r="K109" s="93">
        <f>H109/A2</f>
        <v>0.1048572588283047</v>
      </c>
      <c r="O109" s="60"/>
      <c r="P109" s="61"/>
      <c r="Q109" s="62"/>
      <c r="R109" s="61"/>
      <c r="S109" s="62"/>
      <c r="T109" s="61"/>
      <c r="U109" s="62"/>
      <c r="V109" s="61"/>
      <c r="W109" s="62"/>
      <c r="X109" s="61"/>
      <c r="Y109" s="62"/>
      <c r="Z109" s="61"/>
      <c r="AA109" s="62"/>
    </row>
    <row r="110" spans="1:27" ht="16.5" customHeight="1">
      <c r="A110" s="579"/>
      <c r="B110" s="579"/>
      <c r="C110" s="92"/>
      <c r="D110" s="85"/>
      <c r="E110" s="86"/>
      <c r="F110" s="85"/>
      <c r="G110" s="85"/>
      <c r="H110" s="86"/>
      <c r="I110" s="87"/>
      <c r="J110" s="85"/>
      <c r="K110" s="93"/>
      <c r="O110" s="60"/>
      <c r="P110" s="61"/>
      <c r="Q110" s="62"/>
      <c r="R110" s="61"/>
      <c r="S110" s="62"/>
      <c r="T110" s="61"/>
      <c r="U110" s="62"/>
      <c r="V110" s="61"/>
      <c r="W110" s="62"/>
      <c r="X110" s="61"/>
      <c r="Y110" s="62"/>
      <c r="Z110" s="61"/>
      <c r="AA110" s="62"/>
    </row>
    <row r="111" spans="1:27" ht="16.5" customHeight="1">
      <c r="A111" s="579"/>
      <c r="B111" s="579"/>
      <c r="C111" s="92"/>
      <c r="D111" s="85"/>
      <c r="E111" s="86"/>
      <c r="F111" s="85"/>
      <c r="G111" s="85"/>
      <c r="H111" s="86"/>
      <c r="I111" s="87"/>
      <c r="J111" s="85"/>
      <c r="K111" s="93"/>
      <c r="O111" s="60"/>
      <c r="P111" s="61"/>
      <c r="Q111" s="62"/>
      <c r="R111" s="61"/>
      <c r="S111" s="62"/>
      <c r="T111" s="61"/>
      <c r="U111" s="62"/>
      <c r="V111" s="61"/>
      <c r="W111" s="62"/>
      <c r="X111" s="61"/>
      <c r="Y111" s="62"/>
      <c r="Z111" s="61"/>
      <c r="AA111" s="62"/>
    </row>
    <row r="112" spans="1:27" ht="16.5" customHeight="1">
      <c r="A112" s="579"/>
      <c r="B112" s="579"/>
      <c r="C112" s="92"/>
      <c r="D112" s="85"/>
      <c r="E112" s="86"/>
      <c r="F112" s="85"/>
      <c r="G112" s="85"/>
      <c r="H112" s="86"/>
      <c r="I112" s="87"/>
      <c r="J112" s="85"/>
      <c r="K112" s="93"/>
      <c r="O112" s="60"/>
      <c r="P112" s="61"/>
      <c r="Q112" s="62"/>
      <c r="R112" s="61"/>
      <c r="S112" s="62"/>
      <c r="T112" s="61"/>
      <c r="U112" s="62"/>
      <c r="V112" s="61"/>
      <c r="W112" s="62"/>
      <c r="X112" s="61"/>
      <c r="Y112" s="62"/>
      <c r="Z112" s="61"/>
      <c r="AA112" s="62"/>
    </row>
    <row r="113" spans="1:27" ht="16.5" customHeight="1">
      <c r="A113" s="579"/>
      <c r="B113" s="581"/>
      <c r="C113" s="92"/>
      <c r="D113" s="85"/>
      <c r="E113" s="86"/>
      <c r="F113" s="85"/>
      <c r="G113" s="85"/>
      <c r="H113" s="86"/>
      <c r="I113" s="87"/>
      <c r="J113" s="85"/>
      <c r="K113" s="93"/>
      <c r="O113" s="60"/>
      <c r="P113" s="61"/>
      <c r="Q113" s="62"/>
      <c r="R113" s="61"/>
      <c r="S113" s="62"/>
      <c r="T113" s="61"/>
      <c r="U113" s="62"/>
      <c r="V113" s="61"/>
      <c r="W113" s="62"/>
      <c r="X113" s="61"/>
      <c r="Y113" s="62"/>
      <c r="Z113" s="61"/>
      <c r="AA113" s="62"/>
    </row>
    <row r="114" spans="1:27" ht="16.5" customHeight="1">
      <c r="A114" s="579"/>
      <c r="B114" s="613" t="s">
        <v>21</v>
      </c>
      <c r="C114" s="594"/>
      <c r="D114" s="595"/>
      <c r="E114" s="88">
        <f>예산!G142</f>
        <v>636987000</v>
      </c>
      <c r="F114" s="94">
        <f>E114-215300000</f>
        <v>421687000</v>
      </c>
      <c r="G114" s="89"/>
      <c r="H114" s="88">
        <f>SUM(H69:H113)</f>
        <v>680838000</v>
      </c>
      <c r="I114" s="90"/>
      <c r="J114" s="89"/>
      <c r="K114" s="91">
        <f>H114/E114</f>
        <v>1.068841279335371</v>
      </c>
      <c r="O114" s="60"/>
      <c r="P114" s="61"/>
      <c r="Q114" s="62"/>
      <c r="R114" s="61"/>
      <c r="S114" s="62"/>
      <c r="T114" s="61"/>
      <c r="U114" s="62"/>
      <c r="V114" s="61"/>
      <c r="W114" s="62"/>
      <c r="X114" s="61"/>
      <c r="Y114" s="62"/>
      <c r="Z114" s="61"/>
      <c r="AA114" s="62"/>
    </row>
    <row r="115" spans="1:27" ht="16.5" customHeight="1">
      <c r="A115" s="579"/>
      <c r="B115" s="85" t="s">
        <v>93</v>
      </c>
      <c r="C115" s="11" t="s">
        <v>162</v>
      </c>
      <c r="D115" s="85"/>
      <c r="E115" s="86"/>
      <c r="F115" s="85"/>
      <c r="G115" s="85"/>
      <c r="H115" s="86"/>
      <c r="I115" s="87"/>
      <c r="J115" s="85"/>
      <c r="K115" s="93"/>
      <c r="O115" s="60"/>
      <c r="P115" s="61"/>
      <c r="Q115" s="62"/>
      <c r="R115" s="61"/>
      <c r="S115" s="62"/>
      <c r="T115" s="61"/>
      <c r="U115" s="62"/>
      <c r="V115" s="61"/>
      <c r="W115" s="62"/>
      <c r="X115" s="61"/>
      <c r="Y115" s="62"/>
      <c r="Z115" s="61"/>
      <c r="AA115" s="62"/>
    </row>
    <row r="116" spans="1:27" ht="16.5" customHeight="1">
      <c r="A116" s="579"/>
      <c r="B116" s="85"/>
      <c r="C116" s="11" t="s">
        <v>164</v>
      </c>
      <c r="D116" s="85"/>
      <c r="E116" s="86"/>
      <c r="F116" s="85"/>
      <c r="G116" s="85"/>
      <c r="H116" s="86"/>
      <c r="I116" s="87"/>
      <c r="J116" s="85"/>
      <c r="K116" s="93"/>
      <c r="O116" s="60"/>
      <c r="P116" s="61"/>
      <c r="Q116" s="62"/>
      <c r="R116" s="61"/>
      <c r="S116" s="62"/>
      <c r="T116" s="61"/>
      <c r="U116" s="62"/>
      <c r="V116" s="61"/>
      <c r="W116" s="62"/>
      <c r="X116" s="61"/>
      <c r="Y116" s="62"/>
      <c r="Z116" s="61"/>
      <c r="AA116" s="62"/>
    </row>
    <row r="117" spans="1:27" ht="16.5" customHeight="1">
      <c r="A117" s="579"/>
      <c r="B117" s="85"/>
      <c r="C117" s="11" t="s">
        <v>168</v>
      </c>
      <c r="D117" s="85"/>
      <c r="E117" s="86">
        <f>예산!$G148</f>
        <v>672872</v>
      </c>
      <c r="F117" s="85"/>
      <c r="G117" s="85" t="s">
        <v>224</v>
      </c>
      <c r="H117" s="86">
        <f>예산!$G148</f>
        <v>672872</v>
      </c>
      <c r="I117" s="87"/>
      <c r="J117" s="85"/>
      <c r="K117" s="93"/>
      <c r="O117" s="60"/>
      <c r="P117" s="61"/>
      <c r="Q117" s="62"/>
      <c r="R117" s="61"/>
      <c r="S117" s="62"/>
      <c r="T117" s="61"/>
      <c r="U117" s="62"/>
      <c r="V117" s="61"/>
      <c r="W117" s="62"/>
      <c r="X117" s="61"/>
      <c r="Y117" s="62"/>
      <c r="Z117" s="61"/>
      <c r="AA117" s="62"/>
    </row>
    <row r="118" spans="1:27" ht="16.5" customHeight="1">
      <c r="A118" s="579"/>
      <c r="B118" s="85"/>
      <c r="C118" s="11" t="s">
        <v>169</v>
      </c>
      <c r="D118" s="85"/>
      <c r="E118" s="86">
        <f>예산!$G149</f>
        <v>672872</v>
      </c>
      <c r="F118" s="85"/>
      <c r="G118" s="85" t="s">
        <v>224</v>
      </c>
      <c r="H118" s="86">
        <f>예산!$G149</f>
        <v>672872</v>
      </c>
      <c r="I118" s="87"/>
      <c r="J118" s="85"/>
      <c r="K118" s="93"/>
      <c r="O118" s="60"/>
      <c r="P118" s="61"/>
      <c r="Q118" s="62"/>
      <c r="R118" s="61"/>
      <c r="S118" s="62"/>
      <c r="T118" s="61"/>
      <c r="U118" s="62"/>
      <c r="V118" s="61"/>
      <c r="W118" s="62"/>
      <c r="X118" s="61"/>
      <c r="Y118" s="62"/>
      <c r="Z118" s="61"/>
      <c r="AA118" s="62"/>
    </row>
    <row r="119" spans="1:27" ht="16.5" customHeight="1">
      <c r="A119" s="579"/>
      <c r="B119" s="85"/>
      <c r="C119" s="11" t="s">
        <v>383</v>
      </c>
      <c r="D119" s="85"/>
      <c r="E119" s="86">
        <f>예산!$G150</f>
        <v>511595</v>
      </c>
      <c r="F119" s="85"/>
      <c r="G119" s="85" t="s">
        <v>385</v>
      </c>
      <c r="H119" s="86">
        <f>예산!$G150</f>
        <v>511595</v>
      </c>
      <c r="I119" s="87"/>
      <c r="J119" s="85"/>
      <c r="K119" s="93"/>
      <c r="O119" s="60"/>
      <c r="P119" s="61"/>
      <c r="Q119" s="62"/>
      <c r="R119" s="61"/>
      <c r="S119" s="62"/>
      <c r="T119" s="61"/>
      <c r="U119" s="62"/>
      <c r="V119" s="61"/>
      <c r="W119" s="62"/>
      <c r="X119" s="61"/>
      <c r="Y119" s="62"/>
      <c r="Z119" s="61"/>
      <c r="AA119" s="62"/>
    </row>
    <row r="120" spans="1:27" ht="16.5" customHeight="1">
      <c r="A120" s="579"/>
      <c r="B120" s="85"/>
      <c r="C120" s="11" t="s">
        <v>384</v>
      </c>
      <c r="D120" s="85"/>
      <c r="E120" s="86">
        <f>예산!$G151</f>
        <v>511595</v>
      </c>
      <c r="F120" s="85"/>
      <c r="G120" s="85" t="s">
        <v>385</v>
      </c>
      <c r="H120" s="86">
        <f>예산!$G151</f>
        <v>511595</v>
      </c>
      <c r="I120" s="87"/>
      <c r="J120" s="85"/>
      <c r="K120" s="93"/>
      <c r="O120" s="60"/>
      <c r="P120" s="61"/>
      <c r="Q120" s="62"/>
      <c r="R120" s="61"/>
      <c r="S120" s="62"/>
      <c r="T120" s="61"/>
      <c r="U120" s="62"/>
      <c r="V120" s="61"/>
      <c r="W120" s="62"/>
      <c r="X120" s="61"/>
      <c r="Y120" s="62"/>
      <c r="Z120" s="61"/>
      <c r="AA120" s="62"/>
    </row>
    <row r="121" spans="1:27" ht="16.5" customHeight="1">
      <c r="A121" s="579"/>
      <c r="B121" s="85"/>
      <c r="C121" s="92"/>
      <c r="D121" s="85"/>
      <c r="E121" s="86"/>
      <c r="F121" s="85"/>
      <c r="G121" s="85"/>
      <c r="H121" s="86"/>
      <c r="I121" s="87"/>
      <c r="J121" s="85"/>
      <c r="K121" s="93"/>
      <c r="O121" s="60"/>
      <c r="P121" s="61"/>
      <c r="Q121" s="62"/>
      <c r="R121" s="61"/>
      <c r="S121" s="62"/>
      <c r="T121" s="61"/>
      <c r="U121" s="62"/>
      <c r="V121" s="61"/>
      <c r="W121" s="62"/>
      <c r="X121" s="61"/>
      <c r="Y121" s="62"/>
      <c r="Z121" s="61"/>
      <c r="AA121" s="62"/>
    </row>
    <row r="122" spans="1:27" ht="16.5" customHeight="1">
      <c r="A122" s="579"/>
      <c r="B122" s="85"/>
      <c r="C122" s="92"/>
      <c r="D122" s="85"/>
      <c r="E122" s="86"/>
      <c r="F122" s="85"/>
      <c r="G122" s="85"/>
      <c r="H122" s="86"/>
      <c r="I122" s="87"/>
      <c r="J122" s="85"/>
      <c r="K122" s="93"/>
      <c r="O122" s="60"/>
      <c r="P122" s="61"/>
      <c r="Q122" s="62"/>
      <c r="R122" s="61"/>
      <c r="S122" s="62"/>
      <c r="T122" s="61"/>
      <c r="U122" s="62"/>
      <c r="V122" s="61"/>
      <c r="W122" s="62"/>
      <c r="X122" s="61"/>
      <c r="Y122" s="62"/>
      <c r="Z122" s="61"/>
      <c r="AA122" s="62"/>
    </row>
    <row r="123" spans="1:27" ht="16.5" customHeight="1">
      <c r="A123" s="579"/>
      <c r="B123" s="613" t="s">
        <v>21</v>
      </c>
      <c r="C123" s="594"/>
      <c r="D123" s="595"/>
      <c r="E123" s="88">
        <f>예산!G155</f>
        <v>2984168</v>
      </c>
      <c r="F123" s="94"/>
      <c r="G123" s="89"/>
      <c r="H123" s="88">
        <f>SUM(H115:H122)</f>
        <v>2368934</v>
      </c>
      <c r="I123" s="90"/>
      <c r="J123" s="89"/>
      <c r="K123" s="91">
        <f>H123/E123</f>
        <v>0.79383399326043302</v>
      </c>
      <c r="O123" s="60"/>
      <c r="P123" s="61"/>
      <c r="Q123" s="62"/>
      <c r="R123" s="61"/>
      <c r="S123" s="62"/>
      <c r="T123" s="61"/>
      <c r="U123" s="62"/>
      <c r="V123" s="61"/>
      <c r="W123" s="62"/>
      <c r="X123" s="61"/>
      <c r="Y123" s="62"/>
      <c r="Z123" s="61"/>
      <c r="AA123" s="62"/>
    </row>
    <row r="124" spans="1:27" ht="16.5" customHeight="1">
      <c r="A124" s="579"/>
      <c r="B124" s="85" t="s">
        <v>176</v>
      </c>
      <c r="C124" s="92"/>
      <c r="D124" s="85"/>
      <c r="E124" s="86">
        <f>예산!$G159</f>
        <v>0</v>
      </c>
      <c r="F124" s="85"/>
      <c r="G124" s="85"/>
      <c r="H124" s="86"/>
      <c r="I124" s="87"/>
      <c r="J124" s="85"/>
      <c r="K124" s="93"/>
      <c r="O124" s="60"/>
      <c r="P124" s="61"/>
      <c r="Q124" s="62"/>
      <c r="R124" s="61"/>
      <c r="S124" s="62"/>
      <c r="T124" s="61"/>
      <c r="U124" s="62"/>
      <c r="V124" s="61"/>
      <c r="W124" s="62"/>
      <c r="X124" s="61"/>
      <c r="Y124" s="62"/>
      <c r="Z124" s="61"/>
      <c r="AA124" s="62"/>
    </row>
    <row r="125" spans="1:27" ht="16.5" customHeight="1">
      <c r="A125" s="580"/>
      <c r="B125" s="252"/>
      <c r="C125" s="437" t="s">
        <v>607</v>
      </c>
      <c r="D125" s="235"/>
      <c r="E125" s="86">
        <f>예산!G160</f>
        <v>1174100</v>
      </c>
      <c r="F125" s="85"/>
      <c r="G125" s="85"/>
      <c r="H125" s="86">
        <f>E125</f>
        <v>1174100</v>
      </c>
      <c r="I125" s="87"/>
      <c r="J125" s="85"/>
      <c r="K125" s="93"/>
      <c r="O125" s="60"/>
      <c r="P125" s="61"/>
      <c r="Q125" s="62"/>
      <c r="R125" s="61"/>
      <c r="S125" s="62"/>
      <c r="T125" s="61"/>
      <c r="U125" s="62"/>
      <c r="V125" s="61"/>
      <c r="W125" s="62"/>
      <c r="X125" s="61"/>
      <c r="Y125" s="62"/>
      <c r="Z125" s="61"/>
      <c r="AA125" s="62"/>
    </row>
    <row r="126" spans="1:27" ht="16.5" customHeight="1">
      <c r="A126" s="580"/>
      <c r="B126" s="252"/>
      <c r="C126" s="437"/>
      <c r="D126" s="235"/>
      <c r="E126" s="86"/>
      <c r="F126" s="85"/>
      <c r="G126" s="85"/>
      <c r="H126" s="86"/>
      <c r="I126" s="87"/>
      <c r="J126" s="85"/>
      <c r="K126" s="93"/>
      <c r="O126" s="60"/>
      <c r="P126" s="61"/>
      <c r="Q126" s="62"/>
      <c r="R126" s="61"/>
      <c r="S126" s="62"/>
      <c r="T126" s="61"/>
      <c r="U126" s="62"/>
      <c r="V126" s="61"/>
      <c r="W126" s="62"/>
      <c r="X126" s="61"/>
      <c r="Y126" s="62"/>
      <c r="Z126" s="61"/>
      <c r="AA126" s="62"/>
    </row>
    <row r="127" spans="1:27" ht="16.5" customHeight="1">
      <c r="A127" s="579"/>
      <c r="B127" s="613" t="s">
        <v>21</v>
      </c>
      <c r="C127" s="594"/>
      <c r="D127" s="595"/>
      <c r="E127" s="88">
        <f>예산!G161</f>
        <v>1174100</v>
      </c>
      <c r="F127" s="94"/>
      <c r="G127" s="89"/>
      <c r="H127" s="88">
        <f>SUM(H124:H126)</f>
        <v>1174100</v>
      </c>
      <c r="I127" s="90"/>
      <c r="J127" s="89"/>
      <c r="K127" s="91">
        <f>H127/E127</f>
        <v>1</v>
      </c>
      <c r="O127" s="60"/>
      <c r="P127" s="61"/>
      <c r="Q127" s="62"/>
      <c r="R127" s="61"/>
      <c r="S127" s="62"/>
      <c r="T127" s="61"/>
      <c r="U127" s="62"/>
      <c r="V127" s="61"/>
      <c r="W127" s="62"/>
      <c r="X127" s="61"/>
      <c r="Y127" s="62"/>
      <c r="Z127" s="61"/>
      <c r="AA127" s="62"/>
    </row>
    <row r="128" spans="1:27" ht="16.5" customHeight="1">
      <c r="A128" s="579"/>
      <c r="B128" s="85" t="s">
        <v>267</v>
      </c>
      <c r="C128" s="11" t="s">
        <v>185</v>
      </c>
      <c r="D128" s="85"/>
      <c r="E128" s="86">
        <f>예산!$G166</f>
        <v>230000</v>
      </c>
      <c r="F128" s="85"/>
      <c r="G128" s="85" t="s">
        <v>224</v>
      </c>
      <c r="H128" s="86">
        <f>E128</f>
        <v>230000</v>
      </c>
      <c r="I128" s="87"/>
      <c r="J128" s="85"/>
      <c r="K128" s="93"/>
      <c r="O128" s="60"/>
      <c r="P128" s="61"/>
      <c r="Q128" s="62"/>
      <c r="R128" s="61"/>
      <c r="S128" s="62"/>
      <c r="T128" s="61"/>
      <c r="U128" s="62"/>
      <c r="V128" s="61"/>
      <c r="W128" s="62"/>
      <c r="X128" s="61"/>
      <c r="Y128" s="62"/>
      <c r="Z128" s="61"/>
      <c r="AA128" s="62"/>
    </row>
    <row r="129" spans="1:27" ht="16.5" customHeight="1">
      <c r="A129" s="579"/>
      <c r="B129" s="85"/>
      <c r="C129" s="12" t="s">
        <v>186</v>
      </c>
      <c r="D129" s="85"/>
      <c r="E129" s="86">
        <f>예산!$G168</f>
        <v>230000</v>
      </c>
      <c r="F129" s="85"/>
      <c r="G129" s="85" t="s">
        <v>224</v>
      </c>
      <c r="H129" s="86">
        <f t="shared" ref="H129:H132" si="13">E129</f>
        <v>230000</v>
      </c>
      <c r="I129" s="87"/>
      <c r="J129" s="85"/>
      <c r="K129" s="93"/>
      <c r="O129" s="60"/>
      <c r="P129" s="61"/>
      <c r="Q129" s="62"/>
      <c r="R129" s="61"/>
      <c r="S129" s="62"/>
      <c r="T129" s="61"/>
      <c r="U129" s="62"/>
      <c r="V129" s="61"/>
      <c r="W129" s="62"/>
      <c r="X129" s="61"/>
      <c r="Y129" s="62"/>
      <c r="Z129" s="61"/>
      <c r="AA129" s="62"/>
    </row>
    <row r="130" spans="1:27" ht="16.5" customHeight="1">
      <c r="A130" s="579"/>
      <c r="B130" s="85"/>
      <c r="C130" s="12" t="s">
        <v>187</v>
      </c>
      <c r="D130" s="85"/>
      <c r="E130" s="86">
        <f>예산!$G171</f>
        <v>11057430</v>
      </c>
      <c r="F130" s="85"/>
      <c r="G130" s="85" t="s">
        <v>224</v>
      </c>
      <c r="H130" s="86">
        <f t="shared" si="13"/>
        <v>11057430</v>
      </c>
      <c r="I130" s="87"/>
      <c r="J130" s="85"/>
      <c r="K130" s="93"/>
      <c r="O130" s="60"/>
      <c r="P130" s="61"/>
      <c r="Q130" s="62"/>
      <c r="R130" s="61"/>
      <c r="S130" s="62"/>
      <c r="T130" s="61"/>
      <c r="U130" s="62"/>
      <c r="V130" s="61"/>
      <c r="W130" s="62"/>
      <c r="X130" s="61"/>
      <c r="Y130" s="62"/>
      <c r="Z130" s="61"/>
      <c r="AA130" s="62"/>
    </row>
    <row r="131" spans="1:27" ht="16.5" customHeight="1">
      <c r="A131" s="579"/>
      <c r="B131" s="85"/>
      <c r="C131" s="12"/>
      <c r="D131" s="85"/>
      <c r="E131" s="86"/>
      <c r="F131" s="85"/>
      <c r="G131" s="85"/>
      <c r="H131" s="86"/>
      <c r="I131" s="87"/>
      <c r="J131" s="85"/>
      <c r="K131" s="93"/>
      <c r="O131" s="60"/>
      <c r="P131" s="61"/>
      <c r="Q131" s="62"/>
      <c r="R131" s="61"/>
      <c r="S131" s="62"/>
      <c r="T131" s="61"/>
      <c r="U131" s="62"/>
      <c r="V131" s="61"/>
      <c r="W131" s="62"/>
      <c r="X131" s="61"/>
      <c r="Y131" s="62"/>
      <c r="Z131" s="61"/>
      <c r="AA131" s="62"/>
    </row>
    <row r="132" spans="1:27" ht="16.5" customHeight="1">
      <c r="A132" s="579"/>
      <c r="B132" s="85"/>
      <c r="C132" s="216" t="s">
        <v>188</v>
      </c>
      <c r="D132" s="236"/>
      <c r="E132" s="257">
        <f>예산!$G173</f>
        <v>2800000</v>
      </c>
      <c r="F132" s="236"/>
      <c r="G132" s="236" t="s">
        <v>224</v>
      </c>
      <c r="H132" s="257">
        <f t="shared" si="13"/>
        <v>2800000</v>
      </c>
      <c r="I132" s="87"/>
      <c r="J132" s="85"/>
      <c r="K132" s="93"/>
      <c r="O132" s="60"/>
      <c r="P132" s="61"/>
      <c r="Q132" s="62"/>
      <c r="R132" s="61"/>
      <c r="S132" s="62"/>
      <c r="T132" s="61"/>
      <c r="U132" s="62"/>
      <c r="V132" s="61"/>
      <c r="W132" s="62"/>
      <c r="X132" s="61"/>
      <c r="Y132" s="62"/>
      <c r="Z132" s="61"/>
      <c r="AA132" s="62"/>
    </row>
    <row r="133" spans="1:27" ht="16.5" customHeight="1">
      <c r="A133" s="579"/>
      <c r="B133" s="252"/>
      <c r="C133" s="261"/>
      <c r="D133" s="261"/>
      <c r="E133" s="261"/>
      <c r="F133" s="261"/>
      <c r="G133" s="261"/>
      <c r="H133" s="261"/>
      <c r="I133" s="255"/>
      <c r="J133" s="85"/>
      <c r="K133" s="93"/>
      <c r="O133" s="60"/>
      <c r="P133" s="61"/>
      <c r="Q133" s="62"/>
      <c r="R133" s="61"/>
      <c r="S133" s="62"/>
      <c r="T133" s="61"/>
      <c r="U133" s="62"/>
      <c r="V133" s="61"/>
      <c r="W133" s="62"/>
      <c r="X133" s="61"/>
      <c r="Y133" s="62"/>
      <c r="Z133" s="61"/>
      <c r="AA133" s="62"/>
    </row>
    <row r="134" spans="1:27" ht="16.5" customHeight="1">
      <c r="A134" s="580"/>
      <c r="B134" s="252"/>
      <c r="C134" s="261"/>
      <c r="D134" s="261"/>
      <c r="E134" s="261"/>
      <c r="F134" s="261"/>
      <c r="G134" s="261"/>
      <c r="H134" s="261"/>
      <c r="I134" s="255"/>
      <c r="J134" s="85"/>
      <c r="K134" s="93"/>
      <c r="O134" s="60"/>
      <c r="P134" s="61"/>
      <c r="Q134" s="62"/>
      <c r="R134" s="61"/>
      <c r="S134" s="62"/>
      <c r="T134" s="61"/>
      <c r="U134" s="62"/>
      <c r="V134" s="61"/>
      <c r="W134" s="62"/>
      <c r="X134" s="61"/>
      <c r="Y134" s="62"/>
      <c r="Z134" s="61"/>
      <c r="AA134" s="62"/>
    </row>
    <row r="135" spans="1:27" ht="16.5" customHeight="1">
      <c r="A135" s="580"/>
      <c r="B135" s="252"/>
      <c r="C135" s="261"/>
      <c r="D135" s="261"/>
      <c r="E135" s="261"/>
      <c r="F135" s="261"/>
      <c r="G135" s="261"/>
      <c r="H135" s="261"/>
      <c r="I135" s="255"/>
      <c r="J135" s="85"/>
      <c r="K135" s="93"/>
      <c r="O135" s="60"/>
      <c r="P135" s="61"/>
      <c r="Q135" s="62"/>
      <c r="R135" s="61"/>
      <c r="S135" s="62"/>
      <c r="T135" s="61"/>
      <c r="U135" s="62"/>
      <c r="V135" s="61"/>
      <c r="W135" s="62"/>
      <c r="X135" s="61"/>
      <c r="Y135" s="62"/>
      <c r="Z135" s="61"/>
      <c r="AA135" s="62"/>
    </row>
    <row r="136" spans="1:27" ht="16.5" customHeight="1">
      <c r="A136" s="580"/>
      <c r="B136" s="252"/>
      <c r="C136" s="261"/>
      <c r="D136" s="261"/>
      <c r="E136" s="261"/>
      <c r="F136" s="237"/>
      <c r="G136" s="237"/>
      <c r="H136" s="262"/>
      <c r="I136" s="255"/>
      <c r="J136" s="85" t="s">
        <v>400</v>
      </c>
      <c r="K136" s="93">
        <f>SUM(H128:H130,H132:H139,H117:H118,H148)/A2</f>
        <v>9.0039148964957388E-3</v>
      </c>
      <c r="O136" s="60"/>
      <c r="P136" s="61"/>
      <c r="Q136" s="62"/>
      <c r="R136" s="61"/>
      <c r="S136" s="62"/>
      <c r="T136" s="61"/>
      <c r="U136" s="62"/>
      <c r="V136" s="61"/>
      <c r="W136" s="62"/>
      <c r="X136" s="61"/>
      <c r="Y136" s="62"/>
      <c r="Z136" s="61"/>
      <c r="AA136" s="62"/>
    </row>
    <row r="137" spans="1:27" ht="16.5" customHeight="1">
      <c r="A137" s="580"/>
      <c r="B137" s="85"/>
      <c r="C137" s="386" t="s">
        <v>511</v>
      </c>
      <c r="D137" s="313"/>
      <c r="E137" s="256">
        <f>예산!$G174</f>
        <v>8750000</v>
      </c>
      <c r="F137" s="313"/>
      <c r="G137" s="313" t="s">
        <v>369</v>
      </c>
      <c r="H137" s="245">
        <f>E137</f>
        <v>8750000</v>
      </c>
      <c r="I137" s="255"/>
      <c r="J137" s="85"/>
      <c r="K137" s="93"/>
      <c r="O137" s="60"/>
      <c r="P137" s="61"/>
      <c r="Q137" s="62"/>
      <c r="R137" s="61"/>
      <c r="S137" s="62"/>
      <c r="T137" s="61"/>
      <c r="U137" s="62"/>
      <c r="V137" s="61"/>
      <c r="W137" s="62"/>
      <c r="X137" s="61"/>
      <c r="Y137" s="62"/>
      <c r="Z137" s="61"/>
      <c r="AA137" s="62"/>
    </row>
    <row r="138" spans="1:27" ht="16.5" customHeight="1">
      <c r="A138" s="580"/>
      <c r="B138" s="85"/>
      <c r="C138" s="11" t="s">
        <v>388</v>
      </c>
      <c r="D138" s="85"/>
      <c r="E138" s="120">
        <f>예산!F170</f>
        <v>700000</v>
      </c>
      <c r="F138" s="85"/>
      <c r="G138" s="85" t="s">
        <v>369</v>
      </c>
      <c r="H138" s="86">
        <f>E138</f>
        <v>700000</v>
      </c>
      <c r="I138" s="255"/>
      <c r="J138" s="85"/>
      <c r="K138" s="93"/>
      <c r="O138" s="60"/>
      <c r="P138" s="61"/>
      <c r="Q138" s="62"/>
      <c r="R138" s="61"/>
      <c r="S138" s="62"/>
      <c r="T138" s="61"/>
      <c r="U138" s="62"/>
      <c r="V138" s="61"/>
      <c r="W138" s="62"/>
      <c r="X138" s="61"/>
      <c r="Y138" s="62"/>
      <c r="Z138" s="61"/>
      <c r="AA138" s="62"/>
    </row>
    <row r="139" spans="1:27" ht="16.5" customHeight="1">
      <c r="A139" s="580"/>
      <c r="B139" s="85"/>
      <c r="C139" s="216" t="s">
        <v>387</v>
      </c>
      <c r="D139" s="236"/>
      <c r="E139" s="256">
        <f>예산!F169</f>
        <v>990000</v>
      </c>
      <c r="F139" s="236"/>
      <c r="G139" s="236" t="s">
        <v>369</v>
      </c>
      <c r="H139" s="257">
        <f>E139</f>
        <v>990000</v>
      </c>
      <c r="I139" s="255"/>
      <c r="J139" s="85"/>
      <c r="K139" s="93"/>
      <c r="O139" s="60"/>
      <c r="P139" s="61"/>
      <c r="Q139" s="62"/>
      <c r="R139" s="61"/>
      <c r="S139" s="62"/>
      <c r="T139" s="61"/>
      <c r="U139" s="62"/>
      <c r="V139" s="61"/>
      <c r="W139" s="62"/>
      <c r="X139" s="61"/>
      <c r="Y139" s="62"/>
      <c r="Z139" s="61"/>
      <c r="AA139" s="62"/>
    </row>
    <row r="140" spans="1:27" ht="16.5" customHeight="1">
      <c r="A140" s="580"/>
      <c r="B140" s="252"/>
      <c r="C140" s="388" t="s">
        <v>512</v>
      </c>
      <c r="D140" s="261"/>
      <c r="E140" s="389">
        <v>9373200</v>
      </c>
      <c r="F140" s="237"/>
      <c r="G140" s="237" t="s">
        <v>369</v>
      </c>
      <c r="H140" s="257">
        <f t="shared" ref="H140:H141" si="14">E140</f>
        <v>9373200</v>
      </c>
      <c r="I140" s="255"/>
      <c r="J140" s="85"/>
      <c r="K140" s="93"/>
      <c r="O140" s="60"/>
      <c r="P140" s="61"/>
      <c r="Q140" s="62"/>
      <c r="R140" s="61"/>
      <c r="S140" s="62"/>
      <c r="T140" s="61"/>
      <c r="U140" s="62"/>
      <c r="V140" s="61"/>
      <c r="W140" s="62"/>
      <c r="X140" s="61"/>
      <c r="Y140" s="62"/>
      <c r="Z140" s="61"/>
      <c r="AA140" s="62"/>
    </row>
    <row r="141" spans="1:27" ht="16.5" customHeight="1">
      <c r="A141" s="580"/>
      <c r="B141" s="252"/>
      <c r="C141" s="388" t="s">
        <v>513</v>
      </c>
      <c r="D141" s="261"/>
      <c r="E141" s="389">
        <v>545234</v>
      </c>
      <c r="F141" s="237"/>
      <c r="G141" s="237" t="s">
        <v>369</v>
      </c>
      <c r="H141" s="257">
        <f t="shared" si="14"/>
        <v>545234</v>
      </c>
      <c r="I141" s="255"/>
      <c r="J141" s="85"/>
      <c r="K141" s="93"/>
      <c r="O141" s="60"/>
      <c r="P141" s="61"/>
      <c r="Q141" s="62"/>
      <c r="R141" s="61"/>
      <c r="S141" s="62"/>
      <c r="T141" s="61"/>
      <c r="U141" s="62"/>
      <c r="V141" s="61"/>
      <c r="W141" s="62"/>
      <c r="X141" s="61"/>
      <c r="Y141" s="62"/>
      <c r="Z141" s="61"/>
      <c r="AA141" s="62"/>
    </row>
    <row r="142" spans="1:27" ht="16.5" customHeight="1">
      <c r="A142" s="580"/>
      <c r="B142" s="252"/>
      <c r="C142" s="261"/>
      <c r="D142" s="261"/>
      <c r="E142" s="261"/>
      <c r="F142" s="237"/>
      <c r="G142" s="237"/>
      <c r="H142" s="262"/>
      <c r="I142" s="255"/>
      <c r="J142" s="85"/>
      <c r="K142" s="93"/>
      <c r="O142" s="60"/>
      <c r="P142" s="61"/>
      <c r="Q142" s="62"/>
      <c r="R142" s="61"/>
      <c r="S142" s="62"/>
      <c r="T142" s="61"/>
      <c r="U142" s="62"/>
      <c r="V142" s="61"/>
      <c r="W142" s="62"/>
      <c r="X142" s="61"/>
      <c r="Y142" s="62"/>
      <c r="Z142" s="61"/>
      <c r="AA142" s="62"/>
    </row>
    <row r="143" spans="1:27" ht="16.5" customHeight="1">
      <c r="A143" s="580"/>
      <c r="B143" s="252"/>
      <c r="C143" s="261"/>
      <c r="D143" s="261"/>
      <c r="E143" s="261"/>
      <c r="F143" s="237"/>
      <c r="G143" s="237"/>
      <c r="H143" s="262"/>
      <c r="I143" s="255"/>
      <c r="J143" s="85"/>
      <c r="K143" s="93"/>
      <c r="O143" s="60"/>
      <c r="P143" s="61"/>
      <c r="Q143" s="62"/>
      <c r="R143" s="61"/>
      <c r="S143" s="62"/>
      <c r="T143" s="61"/>
      <c r="U143" s="62"/>
      <c r="V143" s="61"/>
      <c r="W143" s="62"/>
      <c r="X143" s="61"/>
      <c r="Y143" s="62"/>
      <c r="Z143" s="61"/>
      <c r="AA143" s="62"/>
    </row>
    <row r="144" spans="1:27" ht="16.5" customHeight="1">
      <c r="A144" s="580"/>
      <c r="B144" s="252"/>
      <c r="C144" s="261"/>
      <c r="D144" s="261"/>
      <c r="E144" s="261"/>
      <c r="F144" s="237"/>
      <c r="G144" s="237"/>
      <c r="H144" s="262"/>
      <c r="I144" s="255"/>
      <c r="J144" s="85"/>
      <c r="K144" s="93"/>
      <c r="O144" s="60"/>
      <c r="P144" s="61"/>
      <c r="Q144" s="62"/>
      <c r="R144" s="61"/>
      <c r="S144" s="62"/>
      <c r="T144" s="61"/>
      <c r="U144" s="62"/>
      <c r="V144" s="61"/>
      <c r="W144" s="62"/>
      <c r="X144" s="61"/>
      <c r="Y144" s="62"/>
      <c r="Z144" s="61"/>
      <c r="AA144" s="62"/>
    </row>
    <row r="145" spans="1:27" ht="16.5" customHeight="1">
      <c r="A145" s="579"/>
      <c r="B145" s="85"/>
      <c r="C145" s="211" t="s">
        <v>191</v>
      </c>
      <c r="D145" s="387"/>
      <c r="E145" s="262">
        <f>예산!$G182</f>
        <v>20000000</v>
      </c>
      <c r="F145" s="237"/>
      <c r="G145" s="237" t="s">
        <v>232</v>
      </c>
      <c r="H145" s="262">
        <f>E145</f>
        <v>20000000</v>
      </c>
      <c r="I145" s="255"/>
      <c r="J145" s="86">
        <f>SUM(H128:H130,H132:H139,H117:H118,H148)</f>
        <v>26619174</v>
      </c>
      <c r="K145" s="93"/>
      <c r="O145" s="60"/>
      <c r="P145" s="61"/>
      <c r="Q145" s="62"/>
      <c r="R145" s="61"/>
      <c r="S145" s="62"/>
      <c r="T145" s="61"/>
      <c r="U145" s="62"/>
      <c r="V145" s="61"/>
      <c r="W145" s="62"/>
      <c r="X145" s="61"/>
      <c r="Y145" s="62"/>
      <c r="Z145" s="61"/>
      <c r="AA145" s="62"/>
    </row>
    <row r="146" spans="1:27" ht="16.5" customHeight="1">
      <c r="A146" s="579"/>
      <c r="B146" s="85"/>
      <c r="C146" s="14" t="s">
        <v>192</v>
      </c>
      <c r="D146" s="252"/>
      <c r="E146" s="262">
        <f>예산!$G183</f>
        <v>0</v>
      </c>
      <c r="F146" s="237"/>
      <c r="G146" s="237" t="s">
        <v>231</v>
      </c>
      <c r="H146" s="262">
        <f t="shared" ref="H146:H148" si="15">E146</f>
        <v>0</v>
      </c>
      <c r="I146" s="255"/>
      <c r="J146" s="85"/>
      <c r="K146" s="93"/>
      <c r="O146" s="60"/>
      <c r="P146" s="61"/>
      <c r="Q146" s="62"/>
      <c r="R146" s="61"/>
      <c r="S146" s="62"/>
      <c r="T146" s="61"/>
      <c r="U146" s="62"/>
      <c r="V146" s="61"/>
      <c r="W146" s="62"/>
      <c r="X146" s="61"/>
      <c r="Y146" s="62"/>
      <c r="Z146" s="61"/>
      <c r="AA146" s="62"/>
    </row>
    <row r="147" spans="1:27" ht="16.5" customHeight="1">
      <c r="A147" s="579"/>
      <c r="B147" s="85"/>
      <c r="C147" s="11" t="s">
        <v>194</v>
      </c>
      <c r="D147" s="252"/>
      <c r="E147" s="262">
        <f>예산!$G185</f>
        <v>0</v>
      </c>
      <c r="F147" s="237"/>
      <c r="G147" s="237" t="s">
        <v>232</v>
      </c>
      <c r="H147" s="262">
        <f t="shared" si="15"/>
        <v>0</v>
      </c>
      <c r="I147" s="255"/>
      <c r="J147" s="85"/>
      <c r="K147" s="93"/>
      <c r="O147" s="60"/>
      <c r="P147" s="61"/>
      <c r="Q147" s="62"/>
      <c r="R147" s="61"/>
      <c r="S147" s="62"/>
      <c r="T147" s="61"/>
      <c r="U147" s="62"/>
      <c r="V147" s="61"/>
      <c r="W147" s="62"/>
      <c r="X147" s="61"/>
      <c r="Y147" s="62"/>
      <c r="Z147" s="61"/>
      <c r="AA147" s="62"/>
    </row>
    <row r="148" spans="1:27" ht="16.5" customHeight="1">
      <c r="A148" s="579"/>
      <c r="B148" s="85"/>
      <c r="C148" s="92" t="s">
        <v>386</v>
      </c>
      <c r="D148" s="252"/>
      <c r="E148" s="263">
        <f>예산!G184</f>
        <v>516000</v>
      </c>
      <c r="F148" s="237"/>
      <c r="G148" s="237" t="s">
        <v>364</v>
      </c>
      <c r="H148" s="262">
        <f t="shared" si="15"/>
        <v>516000</v>
      </c>
      <c r="I148" s="255"/>
      <c r="J148" s="85"/>
      <c r="K148" s="93"/>
      <c r="O148" s="60"/>
      <c r="P148" s="61"/>
      <c r="Q148" s="62"/>
      <c r="R148" s="61"/>
      <c r="S148" s="62"/>
      <c r="T148" s="61"/>
      <c r="U148" s="62"/>
      <c r="V148" s="61"/>
      <c r="W148" s="62"/>
      <c r="X148" s="61"/>
      <c r="Y148" s="62"/>
      <c r="Z148" s="61"/>
      <c r="AA148" s="62"/>
    </row>
    <row r="149" spans="1:27" ht="16.5" customHeight="1">
      <c r="A149" s="579"/>
      <c r="B149" s="85"/>
      <c r="C149" s="216" t="s">
        <v>414</v>
      </c>
      <c r="D149" s="254"/>
      <c r="E149" s="261">
        <f>예산!G177</f>
        <v>11062500</v>
      </c>
      <c r="F149" s="261"/>
      <c r="G149" s="218" t="s">
        <v>369</v>
      </c>
      <c r="H149" s="261">
        <f>E149</f>
        <v>11062500</v>
      </c>
      <c r="I149" s="255"/>
      <c r="J149" s="85"/>
      <c r="K149" s="93"/>
      <c r="O149" s="60"/>
      <c r="P149" s="61"/>
      <c r="Q149" s="62"/>
      <c r="R149" s="61"/>
      <c r="S149" s="62"/>
      <c r="T149" s="61"/>
      <c r="U149" s="62"/>
      <c r="V149" s="61"/>
      <c r="W149" s="62"/>
      <c r="X149" s="61"/>
      <c r="Y149" s="62"/>
      <c r="Z149" s="61"/>
      <c r="AA149" s="62"/>
    </row>
    <row r="150" spans="1:27" ht="16.5" customHeight="1">
      <c r="A150" s="580"/>
      <c r="B150" s="252"/>
      <c r="C150" s="216" t="s">
        <v>413</v>
      </c>
      <c r="D150" s="254"/>
      <c r="E150" s="261">
        <f>예산!G178</f>
        <v>3584000</v>
      </c>
      <c r="F150" s="261"/>
      <c r="G150" s="218" t="s">
        <v>369</v>
      </c>
      <c r="H150" s="261">
        <f>E150</f>
        <v>3584000</v>
      </c>
      <c r="I150" s="255"/>
      <c r="J150" s="85"/>
      <c r="K150" s="93"/>
      <c r="O150" s="60"/>
      <c r="P150" s="61"/>
      <c r="Q150" s="62"/>
      <c r="R150" s="61"/>
      <c r="S150" s="62"/>
      <c r="T150" s="61"/>
      <c r="U150" s="62"/>
      <c r="V150" s="61"/>
      <c r="W150" s="62"/>
      <c r="X150" s="61"/>
      <c r="Y150" s="62"/>
      <c r="Z150" s="61"/>
      <c r="AA150" s="62"/>
    </row>
    <row r="151" spans="1:27" ht="16.5" customHeight="1">
      <c r="A151" s="580"/>
      <c r="B151" s="252"/>
      <c r="C151" s="264" t="s">
        <v>506</v>
      </c>
      <c r="D151" s="337"/>
      <c r="E151" s="253">
        <f>SUM(예산!G179:G181)</f>
        <v>3111911</v>
      </c>
      <c r="F151" s="253"/>
      <c r="G151" s="242"/>
      <c r="H151" s="261">
        <f>E151</f>
        <v>3111911</v>
      </c>
      <c r="I151" s="255"/>
      <c r="J151" s="85"/>
      <c r="K151" s="93"/>
      <c r="O151" s="60"/>
      <c r="P151" s="61"/>
      <c r="Q151" s="62"/>
      <c r="R151" s="61"/>
      <c r="S151" s="62"/>
      <c r="T151" s="61"/>
      <c r="U151" s="62"/>
      <c r="V151" s="61"/>
      <c r="W151" s="62"/>
      <c r="X151" s="61"/>
      <c r="Y151" s="62"/>
      <c r="Z151" s="61"/>
      <c r="AA151" s="62"/>
    </row>
    <row r="152" spans="1:27" ht="16.5" customHeight="1">
      <c r="A152" s="580"/>
      <c r="B152" s="252"/>
      <c r="C152" s="264"/>
      <c r="D152" s="337"/>
      <c r="E152" s="253"/>
      <c r="F152" s="253"/>
      <c r="G152" s="242"/>
      <c r="H152" s="261">
        <f t="shared" ref="H152:H153" si="16">E152</f>
        <v>0</v>
      </c>
      <c r="I152" s="255"/>
      <c r="J152" s="85"/>
      <c r="K152" s="93"/>
      <c r="O152" s="60"/>
      <c r="P152" s="61"/>
      <c r="Q152" s="62"/>
      <c r="R152" s="61"/>
      <c r="S152" s="62"/>
      <c r="T152" s="61"/>
      <c r="U152" s="62"/>
      <c r="V152" s="61"/>
      <c r="W152" s="62"/>
      <c r="X152" s="61"/>
      <c r="Y152" s="62"/>
      <c r="Z152" s="61"/>
      <c r="AA152" s="62"/>
    </row>
    <row r="153" spans="1:27" ht="16.5" customHeight="1">
      <c r="A153" s="580"/>
      <c r="B153" s="252"/>
      <c r="C153" s="264" t="s">
        <v>613</v>
      </c>
      <c r="D153" s="337"/>
      <c r="E153" s="253">
        <f>예산!G186</f>
        <v>3000000</v>
      </c>
      <c r="F153" s="253"/>
      <c r="G153" s="242"/>
      <c r="H153" s="261">
        <f t="shared" si="16"/>
        <v>3000000</v>
      </c>
      <c r="I153" s="255"/>
      <c r="J153" s="85"/>
      <c r="K153" s="93"/>
      <c r="O153" s="60"/>
      <c r="P153" s="61"/>
      <c r="Q153" s="62"/>
      <c r="R153" s="61"/>
      <c r="S153" s="62"/>
      <c r="T153" s="61"/>
      <c r="U153" s="62"/>
      <c r="V153" s="61"/>
      <c r="W153" s="62"/>
      <c r="X153" s="61"/>
      <c r="Y153" s="62"/>
      <c r="Z153" s="61"/>
      <c r="AA153" s="62"/>
    </row>
    <row r="154" spans="1:27" ht="16.5" customHeight="1">
      <c r="A154" s="579"/>
      <c r="B154" s="613" t="s">
        <v>21</v>
      </c>
      <c r="C154" s="594"/>
      <c r="D154" s="595"/>
      <c r="E154" s="258">
        <f>예산!G187</f>
        <v>76035185</v>
      </c>
      <c r="F154" s="259"/>
      <c r="G154" s="260"/>
      <c r="H154" s="258">
        <f>SUM(H128:H153)</f>
        <v>75950275</v>
      </c>
      <c r="I154" s="90"/>
      <c r="J154" s="89"/>
      <c r="K154" s="91">
        <f>H154/E154</f>
        <v>0.99888328015510186</v>
      </c>
      <c r="O154" s="60"/>
      <c r="P154" s="61"/>
      <c r="Q154" s="62"/>
      <c r="R154" s="61"/>
      <c r="S154" s="62"/>
      <c r="T154" s="61"/>
      <c r="U154" s="62"/>
      <c r="V154" s="61"/>
      <c r="W154" s="62"/>
      <c r="X154" s="61"/>
      <c r="Y154" s="62"/>
      <c r="Z154" s="61"/>
      <c r="AA154" s="62"/>
    </row>
    <row r="155" spans="1:27" ht="16.5" customHeight="1">
      <c r="A155" s="579"/>
      <c r="B155" s="85" t="s">
        <v>115</v>
      </c>
      <c r="C155" s="11" t="s">
        <v>117</v>
      </c>
      <c r="D155" s="85"/>
      <c r="E155" s="86">
        <f>예산!$G191</f>
        <v>805000</v>
      </c>
      <c r="F155" s="85"/>
      <c r="G155" s="85" t="s">
        <v>375</v>
      </c>
      <c r="H155" s="86">
        <f>예산!$G191</f>
        <v>805000</v>
      </c>
      <c r="I155" s="87"/>
      <c r="J155" s="85"/>
      <c r="K155" s="93"/>
      <c r="O155" s="60"/>
      <c r="P155" s="61"/>
      <c r="Q155" s="62"/>
      <c r="R155" s="61"/>
      <c r="S155" s="62"/>
      <c r="T155" s="61"/>
      <c r="U155" s="62"/>
      <c r="V155" s="61"/>
      <c r="W155" s="62"/>
      <c r="X155" s="61"/>
      <c r="Y155" s="62"/>
      <c r="Z155" s="61"/>
      <c r="AA155" s="62"/>
    </row>
    <row r="156" spans="1:27" ht="16.5" customHeight="1">
      <c r="A156" s="579"/>
      <c r="B156" s="85"/>
      <c r="C156" s="11" t="s">
        <v>118</v>
      </c>
      <c r="D156" s="85"/>
      <c r="E156" s="86">
        <f>예산!$G192</f>
        <v>100000</v>
      </c>
      <c r="F156" s="85"/>
      <c r="G156" s="85" t="s">
        <v>375</v>
      </c>
      <c r="H156" s="86">
        <f>예산!$G192</f>
        <v>100000</v>
      </c>
      <c r="I156" s="87"/>
      <c r="J156" s="85"/>
      <c r="K156" s="93"/>
      <c r="O156" s="60"/>
      <c r="P156" s="61"/>
      <c r="Q156" s="62"/>
      <c r="R156" s="61"/>
      <c r="S156" s="62"/>
      <c r="T156" s="61"/>
      <c r="U156" s="62"/>
      <c r="V156" s="61"/>
      <c r="W156" s="62"/>
      <c r="X156" s="61"/>
      <c r="Y156" s="62"/>
      <c r="Z156" s="61"/>
      <c r="AA156" s="62"/>
    </row>
    <row r="157" spans="1:27" ht="16.5" customHeight="1">
      <c r="A157" s="579"/>
      <c r="B157" s="85"/>
      <c r="C157" s="26" t="s">
        <v>119</v>
      </c>
      <c r="D157" s="85"/>
      <c r="E157" s="86"/>
      <c r="F157" s="85"/>
      <c r="G157" s="85"/>
      <c r="H157" s="86"/>
      <c r="I157" s="87"/>
      <c r="J157" s="85"/>
      <c r="K157" s="93"/>
      <c r="O157" s="60"/>
      <c r="P157" s="61"/>
      <c r="Q157" s="62"/>
      <c r="R157" s="61"/>
      <c r="S157" s="62"/>
      <c r="T157" s="61"/>
      <c r="U157" s="62"/>
      <c r="V157" s="61"/>
      <c r="W157" s="62"/>
      <c r="X157" s="61"/>
      <c r="Y157" s="62"/>
      <c r="Z157" s="61"/>
      <c r="AA157" s="62"/>
    </row>
    <row r="158" spans="1:27" ht="16.5" customHeight="1">
      <c r="A158" s="579"/>
      <c r="B158" s="85"/>
      <c r="C158" s="92"/>
      <c r="D158" s="85"/>
      <c r="E158" s="86"/>
      <c r="F158" s="85"/>
      <c r="G158" s="85"/>
      <c r="H158" s="86"/>
      <c r="I158" s="87"/>
      <c r="J158" s="85"/>
      <c r="K158" s="93"/>
      <c r="O158" s="60"/>
      <c r="P158" s="61"/>
      <c r="Q158" s="62"/>
      <c r="R158" s="61"/>
      <c r="S158" s="62"/>
      <c r="T158" s="61"/>
      <c r="U158" s="62"/>
      <c r="V158" s="61"/>
      <c r="W158" s="62"/>
      <c r="X158" s="61"/>
      <c r="Y158" s="62"/>
      <c r="Z158" s="61"/>
      <c r="AA158" s="62"/>
    </row>
    <row r="159" spans="1:27" ht="16.5" customHeight="1">
      <c r="A159" s="579"/>
      <c r="B159" s="85"/>
      <c r="C159" s="92"/>
      <c r="D159" s="85"/>
      <c r="E159" s="86"/>
      <c r="F159" s="85"/>
      <c r="G159" s="85"/>
      <c r="H159" s="86"/>
      <c r="I159" s="87"/>
      <c r="J159" s="85"/>
      <c r="K159" s="93"/>
      <c r="O159" s="60"/>
      <c r="P159" s="61"/>
      <c r="Q159" s="62"/>
      <c r="R159" s="61"/>
      <c r="S159" s="62"/>
      <c r="T159" s="61"/>
      <c r="U159" s="62"/>
      <c r="V159" s="61"/>
      <c r="W159" s="62"/>
      <c r="X159" s="61"/>
      <c r="Y159" s="62"/>
      <c r="Z159" s="61"/>
      <c r="AA159" s="62"/>
    </row>
    <row r="160" spans="1:27" ht="16.5" customHeight="1">
      <c r="A160" s="579"/>
      <c r="B160" s="613" t="s">
        <v>21</v>
      </c>
      <c r="C160" s="594"/>
      <c r="D160" s="595"/>
      <c r="E160" s="88">
        <f>예산!G198</f>
        <v>1524100</v>
      </c>
      <c r="F160" s="94"/>
      <c r="G160" s="89"/>
      <c r="H160" s="88">
        <f>SUM(H155:H159)</f>
        <v>905000</v>
      </c>
      <c r="I160" s="90"/>
      <c r="J160" s="89"/>
      <c r="K160" s="91">
        <f>H160/E160</f>
        <v>0.59379305819828099</v>
      </c>
      <c r="O160" s="60"/>
      <c r="P160" s="61"/>
      <c r="Q160" s="62"/>
      <c r="R160" s="61"/>
      <c r="S160" s="62"/>
      <c r="T160" s="61"/>
      <c r="U160" s="62"/>
      <c r="V160" s="61"/>
      <c r="W160" s="62"/>
      <c r="X160" s="61"/>
      <c r="Y160" s="62"/>
      <c r="Z160" s="61"/>
      <c r="AA160" s="62"/>
    </row>
    <row r="161" spans="1:27" ht="16.5" customHeight="1">
      <c r="A161" s="579"/>
      <c r="B161" s="85" t="s">
        <v>195</v>
      </c>
      <c r="C161" s="92"/>
      <c r="D161" s="85"/>
      <c r="E161" s="86">
        <f>예산!$G202</f>
        <v>150000</v>
      </c>
      <c r="F161" s="85"/>
      <c r="G161" s="85" t="s">
        <v>233</v>
      </c>
      <c r="H161" s="86">
        <f>예산!$G202</f>
        <v>150000</v>
      </c>
      <c r="I161" s="87"/>
      <c r="J161" s="85"/>
      <c r="K161" s="93"/>
      <c r="O161" s="60"/>
      <c r="P161" s="61"/>
      <c r="Q161" s="62"/>
      <c r="R161" s="61"/>
      <c r="S161" s="62"/>
      <c r="T161" s="61"/>
      <c r="U161" s="62"/>
      <c r="V161" s="61"/>
      <c r="W161" s="62"/>
      <c r="X161" s="61"/>
      <c r="Y161" s="62"/>
      <c r="Z161" s="61"/>
      <c r="AA161" s="62"/>
    </row>
    <row r="162" spans="1:27" ht="16.5" customHeight="1">
      <c r="A162" s="579"/>
      <c r="B162" s="613" t="s">
        <v>21</v>
      </c>
      <c r="C162" s="594"/>
      <c r="D162" s="595"/>
      <c r="E162" s="88">
        <f>E161</f>
        <v>150000</v>
      </c>
      <c r="F162" s="94"/>
      <c r="G162" s="89"/>
      <c r="H162" s="88">
        <f>H161</f>
        <v>150000</v>
      </c>
      <c r="I162" s="90"/>
      <c r="J162" s="89"/>
      <c r="K162" s="91">
        <f>H162/E162</f>
        <v>1</v>
      </c>
      <c r="O162" s="60"/>
      <c r="P162" s="61"/>
      <c r="Q162" s="62"/>
      <c r="R162" s="61"/>
      <c r="S162" s="62"/>
      <c r="T162" s="61"/>
      <c r="U162" s="62"/>
      <c r="V162" s="61"/>
      <c r="W162" s="62"/>
      <c r="X162" s="61"/>
      <c r="Y162" s="62"/>
      <c r="Z162" s="61"/>
      <c r="AA162" s="62"/>
    </row>
    <row r="163" spans="1:27" ht="16.5" customHeight="1">
      <c r="A163" s="579"/>
      <c r="B163" s="85" t="s">
        <v>120</v>
      </c>
      <c r="C163" s="11" t="s">
        <v>123</v>
      </c>
      <c r="D163" s="11" t="s">
        <v>196</v>
      </c>
      <c r="E163" s="86">
        <f>예산!$G207</f>
        <v>900000</v>
      </c>
      <c r="F163" s="85"/>
      <c r="G163" s="85" t="s">
        <v>370</v>
      </c>
      <c r="H163" s="86">
        <f>예산!$G207</f>
        <v>900000</v>
      </c>
      <c r="I163" s="87"/>
      <c r="J163" s="85"/>
      <c r="K163" s="93"/>
      <c r="O163" s="60"/>
      <c r="P163" s="61"/>
      <c r="Q163" s="62"/>
      <c r="R163" s="61"/>
      <c r="S163" s="62"/>
      <c r="T163" s="61"/>
      <c r="U163" s="62"/>
      <c r="V163" s="61"/>
      <c r="W163" s="62"/>
      <c r="X163" s="61"/>
      <c r="Y163" s="62"/>
      <c r="Z163" s="61"/>
      <c r="AA163" s="62"/>
    </row>
    <row r="164" spans="1:27" ht="16.5" customHeight="1">
      <c r="A164" s="579"/>
      <c r="B164" s="85"/>
      <c r="C164" s="11" t="s">
        <v>197</v>
      </c>
      <c r="D164" s="11" t="s">
        <v>198</v>
      </c>
      <c r="E164" s="86">
        <f>예산!$G208</f>
        <v>100000</v>
      </c>
      <c r="F164" s="85"/>
      <c r="G164" s="85" t="s">
        <v>375</v>
      </c>
      <c r="H164" s="86">
        <f>예산!$G208</f>
        <v>100000</v>
      </c>
      <c r="I164" s="87"/>
      <c r="J164" s="85"/>
      <c r="K164" s="93"/>
      <c r="O164" s="60"/>
      <c r="P164" s="61"/>
      <c r="Q164" s="62"/>
      <c r="R164" s="61"/>
      <c r="S164" s="62"/>
      <c r="T164" s="61"/>
      <c r="U164" s="62"/>
      <c r="V164" s="61"/>
      <c r="W164" s="62"/>
      <c r="X164" s="61"/>
      <c r="Y164" s="62"/>
      <c r="Z164" s="61"/>
      <c r="AA164" s="62"/>
    </row>
    <row r="165" spans="1:27" ht="16.5" customHeight="1">
      <c r="A165" s="579"/>
      <c r="B165" s="85"/>
      <c r="C165" s="11" t="s">
        <v>199</v>
      </c>
      <c r="D165" s="11" t="s">
        <v>200</v>
      </c>
      <c r="E165" s="86">
        <f>예산!$G209</f>
        <v>8829000</v>
      </c>
      <c r="F165" s="85"/>
      <c r="G165" s="85" t="s">
        <v>385</v>
      </c>
      <c r="H165" s="86">
        <f>예산!$G209</f>
        <v>8829000</v>
      </c>
      <c r="I165" s="87"/>
      <c r="J165" s="85"/>
      <c r="K165" s="93"/>
      <c r="O165" s="60"/>
      <c r="P165" s="61"/>
      <c r="Q165" s="62"/>
      <c r="R165" s="61"/>
      <c r="S165" s="62"/>
      <c r="T165" s="61"/>
      <c r="U165" s="62"/>
      <c r="V165" s="61"/>
      <c r="W165" s="62"/>
      <c r="X165" s="61"/>
      <c r="Y165" s="62"/>
      <c r="Z165" s="61"/>
      <c r="AA165" s="62"/>
    </row>
    <row r="166" spans="1:27" ht="16.5" customHeight="1">
      <c r="A166" s="579"/>
      <c r="B166" s="85"/>
      <c r="C166" s="11" t="s">
        <v>201</v>
      </c>
      <c r="D166" s="11" t="s">
        <v>202</v>
      </c>
      <c r="E166" s="86">
        <f>예산!$G210</f>
        <v>1830000</v>
      </c>
      <c r="F166" s="85"/>
      <c r="G166" s="85" t="s">
        <v>370</v>
      </c>
      <c r="H166" s="86">
        <f>예산!$G210</f>
        <v>1830000</v>
      </c>
      <c r="I166" s="87"/>
      <c r="J166" s="85"/>
      <c r="K166" s="93"/>
      <c r="O166" s="60"/>
      <c r="P166" s="61"/>
      <c r="Q166" s="62"/>
      <c r="R166" s="61"/>
      <c r="S166" s="62"/>
      <c r="T166" s="61"/>
      <c r="U166" s="62"/>
      <c r="V166" s="61"/>
      <c r="W166" s="62"/>
      <c r="X166" s="61"/>
      <c r="Y166" s="62"/>
      <c r="Z166" s="61"/>
      <c r="AA166" s="62"/>
    </row>
    <row r="167" spans="1:27" ht="16.5" customHeight="1">
      <c r="A167" s="579"/>
      <c r="B167" s="85"/>
      <c r="C167" s="92"/>
      <c r="D167" s="85"/>
      <c r="E167" s="86"/>
      <c r="F167" s="85"/>
      <c r="G167" s="85"/>
      <c r="H167" s="86"/>
      <c r="I167" s="87"/>
      <c r="J167" s="85"/>
      <c r="K167" s="93"/>
      <c r="O167" s="60"/>
      <c r="P167" s="61"/>
      <c r="Q167" s="62"/>
      <c r="R167" s="61"/>
      <c r="S167" s="62"/>
      <c r="T167" s="61"/>
      <c r="U167" s="62"/>
      <c r="V167" s="61"/>
      <c r="W167" s="62"/>
      <c r="X167" s="61"/>
      <c r="Y167" s="62"/>
      <c r="Z167" s="61"/>
      <c r="AA167" s="62"/>
    </row>
    <row r="168" spans="1:27" ht="16.5" customHeight="1">
      <c r="A168" s="579"/>
      <c r="B168" s="85"/>
      <c r="C168" s="92"/>
      <c r="D168" s="85"/>
      <c r="E168" s="86"/>
      <c r="F168" s="85"/>
      <c r="G168" s="85"/>
      <c r="H168" s="86"/>
      <c r="I168" s="87"/>
      <c r="J168" s="85"/>
      <c r="K168" s="93"/>
      <c r="O168" s="60"/>
      <c r="P168" s="61"/>
      <c r="Q168" s="62"/>
      <c r="R168" s="61"/>
      <c r="S168" s="62"/>
      <c r="T168" s="61"/>
      <c r="U168" s="62"/>
      <c r="V168" s="61"/>
      <c r="W168" s="62"/>
      <c r="X168" s="61"/>
      <c r="Y168" s="62"/>
      <c r="Z168" s="61"/>
      <c r="AA168" s="62"/>
    </row>
    <row r="169" spans="1:27" ht="16.5" customHeight="1">
      <c r="A169" s="579"/>
      <c r="B169" s="85"/>
      <c r="C169" s="92"/>
      <c r="D169" s="85"/>
      <c r="E169" s="86"/>
      <c r="F169" s="85"/>
      <c r="G169" s="85"/>
      <c r="H169" s="86"/>
      <c r="I169" s="87"/>
      <c r="J169" s="85"/>
      <c r="K169" s="93"/>
      <c r="O169" s="60"/>
      <c r="P169" s="61"/>
      <c r="Q169" s="62"/>
      <c r="R169" s="61"/>
      <c r="S169" s="62"/>
      <c r="T169" s="61"/>
      <c r="U169" s="62"/>
      <c r="V169" s="61"/>
      <c r="W169" s="62"/>
      <c r="X169" s="61"/>
      <c r="Y169" s="62"/>
      <c r="Z169" s="61"/>
      <c r="AA169" s="62"/>
    </row>
    <row r="170" spans="1:27" ht="16.5" customHeight="1">
      <c r="A170" s="579"/>
      <c r="B170" s="85"/>
      <c r="C170" s="92"/>
      <c r="D170" s="85"/>
      <c r="E170" s="86"/>
      <c r="F170" s="85"/>
      <c r="G170" s="85"/>
      <c r="H170" s="86"/>
      <c r="I170" s="87"/>
      <c r="J170" s="85"/>
      <c r="K170" s="93"/>
      <c r="O170" s="60"/>
      <c r="P170" s="61"/>
      <c r="Q170" s="62"/>
      <c r="R170" s="61"/>
      <c r="S170" s="62"/>
      <c r="T170" s="61"/>
      <c r="U170" s="62"/>
      <c r="V170" s="61"/>
      <c r="W170" s="62"/>
      <c r="X170" s="61"/>
      <c r="Y170" s="62"/>
      <c r="Z170" s="61"/>
      <c r="AA170" s="62"/>
    </row>
    <row r="171" spans="1:27" ht="16.5" customHeight="1">
      <c r="A171" s="579"/>
      <c r="B171" s="613" t="s">
        <v>21</v>
      </c>
      <c r="C171" s="594"/>
      <c r="D171" s="595"/>
      <c r="E171" s="88">
        <f>예산!G212</f>
        <v>14739000</v>
      </c>
      <c r="F171" s="94"/>
      <c r="G171" s="89"/>
      <c r="H171" s="88">
        <f>SUM(H163:H170)</f>
        <v>11659000</v>
      </c>
      <c r="I171" s="90"/>
      <c r="J171" s="89"/>
      <c r="K171" s="91">
        <f>H171/E171</f>
        <v>0.79103059909084739</v>
      </c>
      <c r="O171" s="60"/>
      <c r="P171" s="61"/>
      <c r="Q171" s="62"/>
      <c r="R171" s="61"/>
      <c r="S171" s="62"/>
      <c r="T171" s="61"/>
      <c r="U171" s="62"/>
      <c r="V171" s="61"/>
      <c r="W171" s="62"/>
      <c r="X171" s="61"/>
      <c r="Y171" s="62"/>
      <c r="Z171" s="61"/>
      <c r="AA171" s="62"/>
    </row>
    <row r="172" spans="1:27" ht="16.5" customHeight="1">
      <c r="A172" s="579"/>
      <c r="B172" s="85" t="s">
        <v>268</v>
      </c>
      <c r="C172" s="92"/>
      <c r="D172" s="85"/>
      <c r="E172" s="86"/>
      <c r="F172" s="85"/>
      <c r="G172" s="85"/>
      <c r="H172" s="86"/>
      <c r="I172" s="87"/>
      <c r="J172" s="85"/>
      <c r="K172" s="93"/>
      <c r="O172" s="60"/>
      <c r="P172" s="61"/>
      <c r="Q172" s="62"/>
      <c r="R172" s="61"/>
      <c r="S172" s="62"/>
      <c r="T172" s="61"/>
      <c r="U172" s="62"/>
      <c r="V172" s="61"/>
      <c r="W172" s="62"/>
      <c r="X172" s="61"/>
      <c r="Y172" s="62"/>
      <c r="Z172" s="61"/>
      <c r="AA172" s="62"/>
    </row>
    <row r="173" spans="1:27" ht="16.5" customHeight="1">
      <c r="A173" s="579"/>
      <c r="B173" s="85"/>
      <c r="C173" s="27" t="s">
        <v>204</v>
      </c>
      <c r="D173" s="85"/>
      <c r="E173" s="86">
        <f>예산!$G216</f>
        <v>25000</v>
      </c>
      <c r="F173" s="85"/>
      <c r="G173" s="85" t="s">
        <v>233</v>
      </c>
      <c r="H173" s="86">
        <f>예산!$G216</f>
        <v>25000</v>
      </c>
      <c r="I173" s="87"/>
      <c r="J173" s="85"/>
      <c r="K173" s="93"/>
      <c r="O173" s="60"/>
      <c r="P173" s="61"/>
      <c r="Q173" s="62"/>
      <c r="R173" s="61"/>
      <c r="S173" s="62"/>
      <c r="T173" s="61"/>
      <c r="U173" s="62"/>
      <c r="V173" s="61"/>
      <c r="W173" s="62"/>
      <c r="X173" s="61"/>
      <c r="Y173" s="62"/>
      <c r="Z173" s="61"/>
      <c r="AA173" s="62"/>
    </row>
    <row r="174" spans="1:27" ht="16.5" customHeight="1">
      <c r="A174" s="579"/>
      <c r="B174" s="85"/>
      <c r="C174" s="27" t="s">
        <v>205</v>
      </c>
      <c r="D174" s="85"/>
      <c r="E174" s="86">
        <f>예산!$G217</f>
        <v>2043000</v>
      </c>
      <c r="F174" s="85"/>
      <c r="G174" s="85" t="s">
        <v>233</v>
      </c>
      <c r="H174" s="86">
        <f>예산!$G217</f>
        <v>2043000</v>
      </c>
      <c r="I174" s="87"/>
      <c r="J174" s="85"/>
      <c r="K174" s="93"/>
      <c r="O174" s="60"/>
      <c r="P174" s="61"/>
      <c r="Q174" s="62"/>
      <c r="R174" s="61"/>
      <c r="S174" s="62"/>
      <c r="T174" s="61"/>
      <c r="U174" s="62"/>
      <c r="V174" s="61"/>
      <c r="W174" s="62"/>
      <c r="X174" s="61"/>
      <c r="Y174" s="62"/>
      <c r="Z174" s="61"/>
      <c r="AA174" s="62"/>
    </row>
    <row r="175" spans="1:27" ht="16.5" customHeight="1">
      <c r="A175" s="579"/>
      <c r="B175" s="613" t="s">
        <v>21</v>
      </c>
      <c r="C175" s="594"/>
      <c r="D175" s="595"/>
      <c r="E175" s="88">
        <f>예산!G218</f>
        <v>2068000</v>
      </c>
      <c r="F175" s="94"/>
      <c r="G175" s="89"/>
      <c r="H175" s="88">
        <f>SUM(H172:H174)</f>
        <v>2068000</v>
      </c>
      <c r="I175" s="90"/>
      <c r="J175" s="89"/>
      <c r="K175" s="91">
        <f>H175/E175</f>
        <v>1</v>
      </c>
      <c r="O175" s="60"/>
      <c r="P175" s="61"/>
      <c r="Q175" s="62"/>
      <c r="R175" s="61"/>
      <c r="S175" s="62"/>
      <c r="T175" s="61"/>
      <c r="U175" s="62"/>
      <c r="V175" s="61"/>
      <c r="W175" s="62"/>
      <c r="X175" s="61"/>
      <c r="Y175" s="62"/>
      <c r="Z175" s="61"/>
      <c r="AA175" s="62"/>
    </row>
    <row r="176" spans="1:27" ht="16.5" customHeight="1">
      <c r="A176" s="579"/>
      <c r="B176" s="85" t="s">
        <v>206</v>
      </c>
      <c r="C176" s="11" t="s">
        <v>207</v>
      </c>
      <c r="D176" s="11" t="s">
        <v>208</v>
      </c>
      <c r="E176" s="86">
        <f>예산!$G222</f>
        <v>0</v>
      </c>
      <c r="F176" s="85"/>
      <c r="G176" s="85" t="s">
        <v>385</v>
      </c>
      <c r="H176" s="86">
        <f>예산!$G222</f>
        <v>0</v>
      </c>
      <c r="I176" s="87"/>
      <c r="J176" s="85"/>
      <c r="K176" s="93"/>
      <c r="O176" s="60"/>
      <c r="P176" s="61"/>
      <c r="Q176" s="62"/>
      <c r="R176" s="61"/>
      <c r="S176" s="62"/>
      <c r="T176" s="61"/>
      <c r="U176" s="62"/>
      <c r="V176" s="61"/>
      <c r="W176" s="62"/>
      <c r="X176" s="61"/>
      <c r="Y176" s="62"/>
      <c r="Z176" s="61"/>
      <c r="AA176" s="62"/>
    </row>
    <row r="177" spans="1:27" ht="16.5" customHeight="1">
      <c r="A177" s="579"/>
      <c r="B177" s="85"/>
      <c r="C177" s="26" t="s">
        <v>209</v>
      </c>
      <c r="D177" s="11" t="s">
        <v>210</v>
      </c>
      <c r="E177" s="86">
        <f>예산!$G223</f>
        <v>1194800</v>
      </c>
      <c r="F177" s="85"/>
      <c r="G177" s="85" t="s">
        <v>225</v>
      </c>
      <c r="H177" s="86">
        <f>예산!$G223</f>
        <v>1194800</v>
      </c>
      <c r="I177" s="87"/>
      <c r="J177" s="85"/>
      <c r="K177" s="93"/>
      <c r="O177" s="60"/>
      <c r="P177" s="61"/>
      <c r="Q177" s="62"/>
      <c r="R177" s="61"/>
      <c r="S177" s="62"/>
      <c r="T177" s="61"/>
      <c r="U177" s="62"/>
      <c r="V177" s="61"/>
      <c r="W177" s="62"/>
      <c r="X177" s="61"/>
      <c r="Y177" s="62"/>
      <c r="Z177" s="61"/>
      <c r="AA177" s="62"/>
    </row>
    <row r="178" spans="1:27" ht="16.5" customHeight="1">
      <c r="A178" s="579"/>
      <c r="B178" s="85"/>
      <c r="C178" s="92"/>
      <c r="D178" s="85"/>
      <c r="E178" s="86"/>
      <c r="F178" s="85"/>
      <c r="G178" s="85"/>
      <c r="H178" s="86"/>
      <c r="I178" s="87"/>
      <c r="J178" s="85"/>
      <c r="K178" s="93"/>
      <c r="O178" s="60"/>
      <c r="P178" s="61"/>
      <c r="Q178" s="62"/>
      <c r="R178" s="61"/>
      <c r="S178" s="62"/>
      <c r="T178" s="61"/>
      <c r="U178" s="62"/>
      <c r="V178" s="61"/>
      <c r="W178" s="62"/>
      <c r="X178" s="61"/>
      <c r="Y178" s="62"/>
      <c r="Z178" s="61"/>
      <c r="AA178" s="62"/>
    </row>
    <row r="179" spans="1:27" ht="16.5" customHeight="1">
      <c r="A179" s="579"/>
      <c r="B179" s="613" t="s">
        <v>21</v>
      </c>
      <c r="C179" s="594"/>
      <c r="D179" s="595"/>
      <c r="E179" s="88">
        <f>예산!G224</f>
        <v>1194800</v>
      </c>
      <c r="F179" s="94"/>
      <c r="G179" s="89"/>
      <c r="H179" s="88">
        <f>SUM(H176:H178)</f>
        <v>1194800</v>
      </c>
      <c r="I179" s="90"/>
      <c r="J179" s="89"/>
      <c r="K179" s="91">
        <f>H179/E179</f>
        <v>1</v>
      </c>
      <c r="O179" s="60"/>
      <c r="P179" s="61"/>
      <c r="Q179" s="62"/>
      <c r="R179" s="61"/>
      <c r="S179" s="62"/>
      <c r="T179" s="61"/>
      <c r="U179" s="62"/>
      <c r="V179" s="61"/>
      <c r="W179" s="62"/>
      <c r="X179" s="61"/>
      <c r="Y179" s="62"/>
      <c r="Z179" s="61"/>
      <c r="AA179" s="62"/>
    </row>
    <row r="180" spans="1:27" ht="16.5" customHeight="1">
      <c r="A180" s="579"/>
      <c r="B180" s="85" t="s">
        <v>134</v>
      </c>
      <c r="C180" s="92" t="s">
        <v>279</v>
      </c>
      <c r="D180" s="85"/>
      <c r="E180" s="86">
        <f>예산!$G228</f>
        <v>151120240</v>
      </c>
      <c r="F180" s="85"/>
      <c r="G180" s="85" t="s">
        <v>226</v>
      </c>
      <c r="H180" s="86">
        <f>예산!$G228</f>
        <v>151120240</v>
      </c>
      <c r="I180" s="87"/>
      <c r="J180" s="85"/>
      <c r="K180" s="93"/>
      <c r="O180" s="60"/>
      <c r="P180" s="61"/>
      <c r="Q180" s="62"/>
      <c r="R180" s="61"/>
      <c r="S180" s="62"/>
      <c r="T180" s="61"/>
      <c r="U180" s="62"/>
      <c r="V180" s="61"/>
      <c r="W180" s="62"/>
      <c r="X180" s="61"/>
      <c r="Y180" s="62"/>
      <c r="Z180" s="61"/>
      <c r="AA180" s="62"/>
    </row>
    <row r="181" spans="1:27" ht="16.5" customHeight="1">
      <c r="A181" s="579"/>
      <c r="B181" s="85"/>
      <c r="C181" s="92" t="s">
        <v>280</v>
      </c>
      <c r="D181" s="85"/>
      <c r="E181" s="86">
        <f>예산!$G229</f>
        <v>186772440</v>
      </c>
      <c r="F181" s="85"/>
      <c r="G181" s="85" t="s">
        <v>376</v>
      </c>
      <c r="H181" s="86">
        <f>예산!$G229</f>
        <v>186772440</v>
      </c>
      <c r="I181" s="87"/>
      <c r="J181" s="85"/>
      <c r="K181" s="93"/>
      <c r="O181" s="60"/>
      <c r="P181" s="61"/>
      <c r="Q181" s="62"/>
      <c r="R181" s="61"/>
      <c r="S181" s="62"/>
      <c r="T181" s="61"/>
      <c r="U181" s="62"/>
      <c r="V181" s="61"/>
      <c r="W181" s="62"/>
      <c r="X181" s="61"/>
      <c r="Y181" s="62"/>
      <c r="Z181" s="61"/>
      <c r="AA181" s="62"/>
    </row>
    <row r="182" spans="1:27" ht="16.5" customHeight="1">
      <c r="A182" s="579"/>
      <c r="B182" s="85"/>
      <c r="C182" s="92" t="s">
        <v>156</v>
      </c>
      <c r="D182" s="85"/>
      <c r="E182" s="86">
        <f>예산!$G230</f>
        <v>12743500</v>
      </c>
      <c r="F182" s="85"/>
      <c r="G182" s="85" t="s">
        <v>224</v>
      </c>
      <c r="H182" s="86">
        <f>예산!$G230</f>
        <v>12743500</v>
      </c>
      <c r="I182" s="87"/>
      <c r="J182" s="85"/>
      <c r="K182" s="93"/>
      <c r="O182" s="60"/>
      <c r="P182" s="61"/>
      <c r="Q182" s="62"/>
      <c r="R182" s="61"/>
      <c r="S182" s="62"/>
      <c r="T182" s="61"/>
      <c r="U182" s="62"/>
      <c r="V182" s="61"/>
      <c r="W182" s="62"/>
      <c r="X182" s="61"/>
      <c r="Y182" s="62"/>
      <c r="Z182" s="61"/>
      <c r="AA182" s="62"/>
    </row>
    <row r="183" spans="1:27" ht="16.5" customHeight="1">
      <c r="A183" s="579"/>
      <c r="B183" s="613" t="s">
        <v>21</v>
      </c>
      <c r="C183" s="594"/>
      <c r="D183" s="595"/>
      <c r="E183" s="88">
        <f>예산!G233</f>
        <v>350636180</v>
      </c>
      <c r="F183" s="94"/>
      <c r="G183" s="89"/>
      <c r="H183" s="88">
        <f>SUM(H180:H182)</f>
        <v>350636180</v>
      </c>
      <c r="I183" s="90"/>
      <c r="J183" s="89"/>
      <c r="K183" s="91">
        <f>H183/E183</f>
        <v>1</v>
      </c>
      <c r="O183" s="60"/>
      <c r="P183" s="61"/>
      <c r="Q183" s="62"/>
      <c r="R183" s="61"/>
      <c r="S183" s="62"/>
      <c r="T183" s="61"/>
      <c r="U183" s="62"/>
      <c r="V183" s="61"/>
      <c r="W183" s="62"/>
      <c r="X183" s="61"/>
      <c r="Y183" s="62"/>
      <c r="Z183" s="61"/>
      <c r="AA183" s="62"/>
    </row>
    <row r="184" spans="1:27" ht="16.5" customHeight="1">
      <c r="A184" s="579"/>
      <c r="B184" s="85" t="s">
        <v>142</v>
      </c>
      <c r="C184" s="92" t="s">
        <v>217</v>
      </c>
      <c r="D184" s="85"/>
      <c r="E184" s="86"/>
      <c r="F184" s="85"/>
      <c r="G184" s="85" t="s">
        <v>226</v>
      </c>
      <c r="H184" s="86">
        <f>SUM(예산!$G$247:$G$250)</f>
        <v>3600000</v>
      </c>
      <c r="I184" s="87"/>
      <c r="J184" s="85"/>
      <c r="K184" s="93"/>
      <c r="O184" s="60"/>
      <c r="P184" s="61"/>
      <c r="Q184" s="62"/>
      <c r="R184" s="61"/>
      <c r="S184" s="62"/>
      <c r="T184" s="61"/>
      <c r="U184" s="62"/>
      <c r="V184" s="61"/>
      <c r="W184" s="62"/>
      <c r="X184" s="61"/>
      <c r="Y184" s="62"/>
      <c r="Z184" s="61"/>
      <c r="AA184" s="62"/>
    </row>
    <row r="185" spans="1:27" ht="16.5" customHeight="1">
      <c r="A185" s="579"/>
      <c r="B185" s="85"/>
      <c r="C185" s="11" t="s">
        <v>214</v>
      </c>
      <c r="D185" s="18" t="s">
        <v>215</v>
      </c>
      <c r="E185" s="86"/>
      <c r="F185" s="85"/>
      <c r="G185" s="85" t="s">
        <v>226</v>
      </c>
      <c r="H185" s="86">
        <f>SUM(예산!$G$243:$G$246)</f>
        <v>1000000</v>
      </c>
      <c r="I185" s="87"/>
      <c r="J185" s="85"/>
      <c r="K185" s="93"/>
      <c r="O185" s="60"/>
      <c r="P185" s="61"/>
      <c r="Q185" s="62"/>
      <c r="R185" s="61"/>
      <c r="S185" s="62"/>
      <c r="T185" s="61"/>
      <c r="U185" s="62"/>
      <c r="V185" s="61"/>
      <c r="W185" s="62"/>
      <c r="X185" s="61"/>
      <c r="Y185" s="62"/>
      <c r="Z185" s="61"/>
      <c r="AA185" s="62"/>
    </row>
    <row r="186" spans="1:27" ht="16.5" customHeight="1">
      <c r="A186" s="579"/>
      <c r="B186" s="85"/>
      <c r="C186" s="11" t="s">
        <v>430</v>
      </c>
      <c r="D186" s="18" t="s">
        <v>216</v>
      </c>
      <c r="E186" s="86"/>
      <c r="F186" s="85"/>
      <c r="G186" s="85" t="s">
        <v>226</v>
      </c>
      <c r="H186" s="86">
        <f>SUM(예산!G251)</f>
        <v>2700000</v>
      </c>
      <c r="I186" s="87"/>
      <c r="J186" s="85"/>
      <c r="K186" s="93"/>
      <c r="O186" s="60"/>
      <c r="P186" s="61"/>
      <c r="Q186" s="62"/>
      <c r="R186" s="61"/>
      <c r="S186" s="62"/>
      <c r="T186" s="61"/>
      <c r="U186" s="62"/>
      <c r="V186" s="61"/>
      <c r="W186" s="62"/>
      <c r="X186" s="61"/>
      <c r="Y186" s="62"/>
      <c r="Z186" s="61"/>
      <c r="AA186" s="62"/>
    </row>
    <row r="187" spans="1:27" ht="16.5" customHeight="1">
      <c r="A187" s="579"/>
      <c r="B187" s="85"/>
      <c r="C187" s="92" t="s">
        <v>503</v>
      </c>
      <c r="D187" s="85" t="s">
        <v>608</v>
      </c>
      <c r="E187" s="86">
        <f>예산!G252</f>
        <v>720000</v>
      </c>
      <c r="F187" s="85"/>
      <c r="G187" s="85" t="s">
        <v>385</v>
      </c>
      <c r="H187" s="86">
        <f>E187</f>
        <v>720000</v>
      </c>
      <c r="I187" s="87"/>
      <c r="J187" s="85"/>
      <c r="K187" s="93"/>
      <c r="O187" s="60"/>
      <c r="P187" s="61"/>
      <c r="Q187" s="62"/>
      <c r="R187" s="61"/>
      <c r="S187" s="62"/>
      <c r="T187" s="61"/>
      <c r="U187" s="62"/>
      <c r="V187" s="61"/>
      <c r="W187" s="62"/>
      <c r="X187" s="61"/>
      <c r="Y187" s="62"/>
      <c r="Z187" s="61"/>
      <c r="AA187" s="62"/>
    </row>
    <row r="188" spans="1:27" ht="16.5" customHeight="1">
      <c r="A188" s="580"/>
      <c r="B188" s="252"/>
      <c r="C188" s="437"/>
      <c r="D188" s="235" t="s">
        <v>609</v>
      </c>
      <c r="E188" s="86">
        <f>예산!G253</f>
        <v>3150000</v>
      </c>
      <c r="F188" s="85"/>
      <c r="G188" s="85" t="s">
        <v>375</v>
      </c>
      <c r="H188" s="86">
        <f t="shared" ref="H188:H194" si="17">E188</f>
        <v>3150000</v>
      </c>
      <c r="I188" s="87"/>
      <c r="J188" s="85"/>
      <c r="K188" s="93"/>
      <c r="O188" s="60"/>
      <c r="P188" s="61"/>
      <c r="Q188" s="62"/>
      <c r="R188" s="61"/>
      <c r="S188" s="62"/>
      <c r="T188" s="61"/>
      <c r="U188" s="62"/>
      <c r="V188" s="61"/>
      <c r="W188" s="62"/>
      <c r="X188" s="61"/>
      <c r="Y188" s="62"/>
      <c r="Z188" s="61"/>
      <c r="AA188" s="62"/>
    </row>
    <row r="189" spans="1:27" ht="16.5" customHeight="1">
      <c r="A189" s="580"/>
      <c r="B189" s="252"/>
      <c r="C189" s="437"/>
      <c r="D189" s="235" t="s">
        <v>610</v>
      </c>
      <c r="E189" s="86">
        <f>예산!G254</f>
        <v>0</v>
      </c>
      <c r="F189" s="85"/>
      <c r="G189" s="85" t="s">
        <v>374</v>
      </c>
      <c r="H189" s="86">
        <f t="shared" si="17"/>
        <v>0</v>
      </c>
      <c r="I189" s="87"/>
      <c r="J189" s="85"/>
      <c r="K189" s="93"/>
      <c r="O189" s="60"/>
      <c r="P189" s="61"/>
      <c r="Q189" s="62"/>
      <c r="R189" s="61"/>
      <c r="S189" s="62"/>
      <c r="T189" s="61"/>
      <c r="U189" s="62"/>
      <c r="V189" s="61"/>
      <c r="W189" s="62"/>
      <c r="X189" s="61"/>
      <c r="Y189" s="62"/>
      <c r="Z189" s="61"/>
      <c r="AA189" s="62"/>
    </row>
    <row r="190" spans="1:27" ht="16.5" customHeight="1">
      <c r="A190" s="580"/>
      <c r="B190" s="252"/>
      <c r="C190" s="437"/>
      <c r="D190" s="235" t="s">
        <v>611</v>
      </c>
      <c r="E190" s="86">
        <f>예산!G255</f>
        <v>0</v>
      </c>
      <c r="F190" s="85"/>
      <c r="G190" s="85" t="s">
        <v>374</v>
      </c>
      <c r="H190" s="86">
        <f t="shared" si="17"/>
        <v>0</v>
      </c>
      <c r="I190" s="87"/>
      <c r="J190" s="85"/>
      <c r="K190" s="93"/>
      <c r="O190" s="60"/>
      <c r="P190" s="61"/>
      <c r="Q190" s="62"/>
      <c r="R190" s="61"/>
      <c r="S190" s="62"/>
      <c r="T190" s="61"/>
      <c r="U190" s="62"/>
      <c r="V190" s="61"/>
      <c r="W190" s="62"/>
      <c r="X190" s="61"/>
      <c r="Y190" s="62"/>
      <c r="Z190" s="61"/>
      <c r="AA190" s="62"/>
    </row>
    <row r="191" spans="1:27" ht="16.5" customHeight="1">
      <c r="A191" s="580"/>
      <c r="B191" s="252"/>
      <c r="C191" s="437"/>
      <c r="D191" s="235"/>
      <c r="E191" s="86"/>
      <c r="F191" s="85"/>
      <c r="G191" s="85"/>
      <c r="H191" s="86">
        <f t="shared" si="17"/>
        <v>0</v>
      </c>
      <c r="I191" s="87"/>
      <c r="J191" s="85"/>
      <c r="K191" s="93"/>
      <c r="O191" s="60"/>
      <c r="P191" s="61"/>
      <c r="Q191" s="62"/>
      <c r="R191" s="61"/>
      <c r="S191" s="62"/>
      <c r="T191" s="61"/>
      <c r="U191" s="62"/>
      <c r="V191" s="61"/>
      <c r="W191" s="62"/>
      <c r="X191" s="61"/>
      <c r="Y191" s="62"/>
      <c r="Z191" s="61"/>
      <c r="AA191" s="62"/>
    </row>
    <row r="192" spans="1:27" ht="16.5" customHeight="1">
      <c r="A192" s="580"/>
      <c r="B192" s="252"/>
      <c r="C192" s="437" t="s">
        <v>612</v>
      </c>
      <c r="D192" s="235"/>
      <c r="E192" s="86">
        <f>예산!G257</f>
        <v>370000</v>
      </c>
      <c r="F192" s="85"/>
      <c r="G192" s="85"/>
      <c r="H192" s="86">
        <f t="shared" si="17"/>
        <v>370000</v>
      </c>
      <c r="I192" s="87"/>
      <c r="J192" s="85"/>
      <c r="K192" s="93"/>
      <c r="O192" s="60"/>
      <c r="P192" s="61"/>
      <c r="Q192" s="62"/>
      <c r="R192" s="61"/>
      <c r="S192" s="62"/>
      <c r="T192" s="61"/>
      <c r="U192" s="62"/>
      <c r="V192" s="61"/>
      <c r="W192" s="62"/>
      <c r="X192" s="61"/>
      <c r="Y192" s="62"/>
      <c r="Z192" s="61"/>
      <c r="AA192" s="62"/>
    </row>
    <row r="193" spans="1:27" ht="16.5" customHeight="1">
      <c r="A193" s="580"/>
      <c r="B193" s="252"/>
      <c r="C193" s="437"/>
      <c r="D193" s="235"/>
      <c r="E193" s="86">
        <f>예산!G258</f>
        <v>370000</v>
      </c>
      <c r="F193" s="85"/>
      <c r="G193" s="85"/>
      <c r="H193" s="86">
        <f t="shared" si="17"/>
        <v>370000</v>
      </c>
      <c r="I193" s="87"/>
      <c r="J193" s="85"/>
      <c r="K193" s="93"/>
      <c r="O193" s="60"/>
      <c r="P193" s="61"/>
      <c r="Q193" s="62"/>
      <c r="R193" s="61"/>
      <c r="S193" s="62"/>
      <c r="T193" s="61"/>
      <c r="U193" s="62"/>
      <c r="V193" s="61"/>
      <c r="W193" s="62"/>
      <c r="X193" s="61"/>
      <c r="Y193" s="62"/>
      <c r="Z193" s="61"/>
      <c r="AA193" s="62"/>
    </row>
    <row r="194" spans="1:27" ht="16.5" customHeight="1">
      <c r="A194" s="580"/>
      <c r="B194" s="252"/>
      <c r="C194" s="437"/>
      <c r="D194" s="235"/>
      <c r="E194" s="86">
        <f>예산!G259</f>
        <v>2220000</v>
      </c>
      <c r="F194" s="85"/>
      <c r="G194" s="85"/>
      <c r="H194" s="86">
        <f t="shared" si="17"/>
        <v>2220000</v>
      </c>
      <c r="I194" s="87"/>
      <c r="J194" s="85"/>
      <c r="K194" s="93"/>
      <c r="O194" s="60"/>
      <c r="P194" s="61"/>
      <c r="Q194" s="62"/>
      <c r="R194" s="61"/>
      <c r="S194" s="62"/>
      <c r="T194" s="61"/>
      <c r="U194" s="62"/>
      <c r="V194" s="61"/>
      <c r="W194" s="62"/>
      <c r="X194" s="61"/>
      <c r="Y194" s="62"/>
      <c r="Z194" s="61"/>
      <c r="AA194" s="62"/>
    </row>
    <row r="195" spans="1:27" ht="16.5" customHeight="1">
      <c r="A195" s="580"/>
      <c r="B195" s="252"/>
      <c r="C195" s="437"/>
      <c r="D195" s="235"/>
      <c r="E195" s="86"/>
      <c r="F195" s="85"/>
      <c r="G195" s="85"/>
      <c r="H195" s="257"/>
      <c r="I195" s="87"/>
      <c r="J195" s="85"/>
      <c r="K195" s="93"/>
      <c r="O195" s="60"/>
      <c r="P195" s="61"/>
      <c r="Q195" s="62"/>
      <c r="R195" s="61"/>
      <c r="S195" s="62"/>
      <c r="T195" s="61"/>
      <c r="U195" s="62"/>
      <c r="V195" s="61"/>
      <c r="W195" s="62"/>
      <c r="X195" s="61"/>
      <c r="Y195" s="62"/>
      <c r="Z195" s="61"/>
      <c r="AA195" s="62"/>
    </row>
    <row r="196" spans="1:27" ht="16.5" customHeight="1" thickBot="1">
      <c r="A196" s="581"/>
      <c r="B196" s="613" t="s">
        <v>21</v>
      </c>
      <c r="C196" s="594"/>
      <c r="D196" s="595"/>
      <c r="E196" s="88">
        <f>예산!G264</f>
        <v>49918041</v>
      </c>
      <c r="F196" s="94"/>
      <c r="G196" s="89"/>
      <c r="H196" s="95">
        <f>SUM(H184:H194)</f>
        <v>14130000</v>
      </c>
      <c r="I196" s="90"/>
      <c r="J196" s="89"/>
      <c r="K196" s="91">
        <f>H196/E196</f>
        <v>0.28306399283577655</v>
      </c>
      <c r="O196" s="60"/>
      <c r="P196" s="61"/>
      <c r="Q196" s="62"/>
      <c r="R196" s="61"/>
      <c r="S196" s="62"/>
      <c r="T196" s="61"/>
      <c r="U196" s="62"/>
      <c r="V196" s="61"/>
      <c r="W196" s="62"/>
      <c r="X196" s="61"/>
      <c r="Y196" s="62"/>
      <c r="Z196" s="61"/>
      <c r="AA196" s="62"/>
    </row>
    <row r="197" spans="1:27" ht="16.5" customHeight="1">
      <c r="A197" s="614" t="s">
        <v>269</v>
      </c>
      <c r="B197" s="615"/>
      <c r="C197" s="96">
        <f>예산!G130</f>
        <v>1177010574</v>
      </c>
      <c r="D197" s="107"/>
      <c r="E197" s="108">
        <f>SUM(E196,E179,E175,E171,E162,E160,E154,E127,E123,E114,E183)</f>
        <v>1137410574</v>
      </c>
      <c r="F197" s="109">
        <f>SUM(E196,E183,E179,E175,E171,E162,E160,E154,E123,E127)</f>
        <v>500423574</v>
      </c>
      <c r="G197" s="110"/>
      <c r="H197" s="101">
        <f>SUM(H196,H183,H179,H175,H171,H162,H160,H154,H127,H123,H114)</f>
        <v>1141074289</v>
      </c>
      <c r="I197" s="611"/>
      <c r="J197" s="612"/>
      <c r="K197" s="102">
        <f t="shared" ref="K197:K198" si="18">H197/C197</f>
        <v>0.96946817148985098</v>
      </c>
      <c r="O197" s="60"/>
      <c r="P197" s="61"/>
      <c r="Q197" s="62"/>
      <c r="R197" s="61"/>
      <c r="S197" s="62"/>
      <c r="T197" s="61"/>
      <c r="U197" s="62"/>
      <c r="V197" s="61"/>
      <c r="W197" s="62"/>
      <c r="X197" s="61"/>
      <c r="Y197" s="62"/>
      <c r="Z197" s="61"/>
      <c r="AA197" s="62"/>
    </row>
    <row r="198" spans="1:27" ht="16.5" customHeight="1">
      <c r="A198" s="111" t="s">
        <v>270</v>
      </c>
      <c r="B198" s="112"/>
      <c r="C198" s="113">
        <f>SUM(C197,C68,C48,C31,C18)</f>
        <v>2797983630</v>
      </c>
      <c r="D198" s="112"/>
      <c r="E198" s="114"/>
      <c r="F198" s="112"/>
      <c r="G198" s="112"/>
      <c r="H198" s="115">
        <f>SUM(H197,H68,H48,H31,H18)</f>
        <v>2766641137</v>
      </c>
      <c r="I198" s="116"/>
      <c r="J198" s="112"/>
      <c r="K198" s="117">
        <f t="shared" si="18"/>
        <v>0.988798185713474</v>
      </c>
      <c r="O198" s="60"/>
      <c r="P198" s="61"/>
      <c r="Q198" s="62"/>
      <c r="R198" s="61"/>
      <c r="S198" s="62"/>
      <c r="T198" s="61"/>
      <c r="U198" s="62"/>
      <c r="V198" s="61"/>
      <c r="W198" s="62"/>
      <c r="X198" s="61"/>
      <c r="Y198" s="62"/>
      <c r="Z198" s="61"/>
      <c r="AA198" s="62"/>
    </row>
    <row r="199" spans="1:27" ht="16.5" customHeight="1">
      <c r="C199" s="118"/>
      <c r="E199" s="61"/>
      <c r="H199" s="61"/>
      <c r="I199" s="60"/>
      <c r="K199" s="62"/>
      <c r="O199" s="60"/>
      <c r="P199" s="61"/>
      <c r="Q199" s="62"/>
      <c r="R199" s="61"/>
      <c r="S199" s="62"/>
      <c r="T199" s="61"/>
      <c r="U199" s="62"/>
      <c r="V199" s="61"/>
      <c r="W199" s="62"/>
      <c r="X199" s="61"/>
      <c r="Y199" s="62"/>
      <c r="Z199" s="61"/>
      <c r="AA199" s="62"/>
    </row>
    <row r="200" spans="1:27" ht="16.5" customHeight="1">
      <c r="C200" s="118"/>
      <c r="E200" s="61"/>
      <c r="H200" s="61"/>
      <c r="I200" s="60"/>
      <c r="K200" s="62"/>
      <c r="O200" s="60"/>
      <c r="P200" s="61"/>
      <c r="Q200" s="62"/>
      <c r="R200" s="61"/>
      <c r="S200" s="62"/>
      <c r="T200" s="61"/>
      <c r="U200" s="62"/>
      <c r="V200" s="61"/>
      <c r="W200" s="62"/>
      <c r="X200" s="61"/>
      <c r="Y200" s="62"/>
      <c r="Z200" s="61"/>
      <c r="AA200" s="62"/>
    </row>
    <row r="201" spans="1:27" ht="16.5" customHeight="1">
      <c r="C201" s="118"/>
      <c r="E201" s="61"/>
      <c r="H201" s="61"/>
      <c r="I201" s="60"/>
      <c r="K201" s="62"/>
      <c r="O201" s="60"/>
      <c r="P201" s="61"/>
      <c r="Q201" s="62"/>
      <c r="R201" s="61"/>
      <c r="S201" s="62"/>
      <c r="T201" s="61"/>
      <c r="U201" s="62"/>
      <c r="V201" s="61"/>
      <c r="W201" s="62"/>
      <c r="X201" s="61"/>
      <c r="Y201" s="62"/>
      <c r="Z201" s="61"/>
      <c r="AA201" s="62"/>
    </row>
    <row r="202" spans="1:27" ht="16.5" customHeight="1">
      <c r="C202" s="118"/>
      <c r="E202" s="61"/>
      <c r="H202" s="61"/>
      <c r="I202" s="60"/>
      <c r="K202" s="62"/>
      <c r="O202" s="60"/>
      <c r="P202" s="61"/>
      <c r="Q202" s="62"/>
      <c r="R202" s="61"/>
      <c r="S202" s="62"/>
      <c r="T202" s="61"/>
      <c r="U202" s="62"/>
      <c r="V202" s="61"/>
      <c r="W202" s="62"/>
      <c r="X202" s="61"/>
      <c r="Y202" s="62"/>
      <c r="Z202" s="61"/>
      <c r="AA202" s="62"/>
    </row>
    <row r="203" spans="1:27" ht="16.5" customHeight="1">
      <c r="C203" s="118"/>
      <c r="E203" s="61"/>
      <c r="H203" s="61"/>
      <c r="I203" s="60"/>
      <c r="K203" s="62"/>
      <c r="O203" s="60"/>
      <c r="P203" s="61"/>
      <c r="Q203" s="62"/>
      <c r="R203" s="61"/>
      <c r="S203" s="62"/>
      <c r="T203" s="61"/>
      <c r="U203" s="62"/>
      <c r="V203" s="61"/>
      <c r="W203" s="62"/>
      <c r="X203" s="61"/>
      <c r="Y203" s="62"/>
      <c r="Z203" s="61"/>
      <c r="AA203" s="62"/>
    </row>
    <row r="204" spans="1:27" ht="16.5" customHeight="1">
      <c r="C204" s="118"/>
      <c r="E204" s="61"/>
      <c r="H204" s="61"/>
      <c r="I204" s="60"/>
      <c r="K204" s="62"/>
      <c r="O204" s="60"/>
      <c r="P204" s="61"/>
      <c r="Q204" s="62"/>
      <c r="R204" s="61"/>
      <c r="S204" s="62"/>
      <c r="T204" s="61"/>
      <c r="U204" s="62"/>
      <c r="V204" s="61"/>
      <c r="W204" s="62"/>
      <c r="X204" s="61"/>
      <c r="Y204" s="62"/>
      <c r="Z204" s="61"/>
      <c r="AA204" s="62"/>
    </row>
    <row r="205" spans="1:27" ht="16.5" customHeight="1">
      <c r="C205" s="118"/>
      <c r="E205" s="61"/>
      <c r="H205" s="61"/>
      <c r="I205" s="60"/>
      <c r="K205" s="62"/>
      <c r="O205" s="60"/>
      <c r="P205" s="61"/>
      <c r="Q205" s="62"/>
      <c r="R205" s="61"/>
      <c r="S205" s="62"/>
      <c r="T205" s="61"/>
      <c r="U205" s="62"/>
      <c r="V205" s="61"/>
      <c r="W205" s="62"/>
      <c r="X205" s="61"/>
      <c r="Y205" s="62"/>
      <c r="Z205" s="61"/>
      <c r="AA205" s="62"/>
    </row>
    <row r="206" spans="1:27" ht="16.5" customHeight="1">
      <c r="C206" s="118"/>
      <c r="E206" s="61"/>
      <c r="H206" s="61"/>
      <c r="I206" s="60"/>
      <c r="K206" s="62"/>
      <c r="O206" s="60"/>
      <c r="P206" s="61"/>
      <c r="Q206" s="62"/>
      <c r="R206" s="61"/>
      <c r="S206" s="62"/>
      <c r="T206" s="61"/>
      <c r="U206" s="62"/>
      <c r="V206" s="61"/>
      <c r="W206" s="62"/>
      <c r="X206" s="61"/>
      <c r="Y206" s="62"/>
      <c r="Z206" s="61"/>
      <c r="AA206" s="62"/>
    </row>
    <row r="207" spans="1:27" ht="16.5" customHeight="1">
      <c r="C207" s="118"/>
      <c r="E207" s="61"/>
      <c r="H207" s="61"/>
      <c r="I207" s="60"/>
      <c r="K207" s="62"/>
      <c r="O207" s="60"/>
      <c r="P207" s="61"/>
      <c r="Q207" s="62"/>
      <c r="R207" s="61"/>
      <c r="S207" s="62"/>
      <c r="T207" s="61"/>
      <c r="U207" s="62"/>
      <c r="V207" s="61"/>
      <c r="W207" s="62"/>
      <c r="X207" s="61"/>
      <c r="Y207" s="62"/>
      <c r="Z207" s="61"/>
      <c r="AA207" s="62"/>
    </row>
    <row r="208" spans="1:27" ht="16.5" customHeight="1">
      <c r="C208" s="118"/>
      <c r="E208" s="61"/>
      <c r="H208" s="61"/>
      <c r="I208" s="60"/>
      <c r="K208" s="62"/>
      <c r="O208" s="60"/>
      <c r="P208" s="61"/>
      <c r="Q208" s="62"/>
      <c r="R208" s="61"/>
      <c r="S208" s="62"/>
      <c r="T208" s="61"/>
      <c r="U208" s="62"/>
      <c r="V208" s="61"/>
      <c r="W208" s="62"/>
      <c r="X208" s="61"/>
      <c r="Y208" s="62"/>
      <c r="Z208" s="61"/>
      <c r="AA208" s="62"/>
    </row>
    <row r="209" spans="3:27" ht="16.5" customHeight="1">
      <c r="C209" s="118"/>
      <c r="E209" s="61"/>
      <c r="H209" s="61"/>
      <c r="I209" s="60"/>
      <c r="K209" s="62"/>
      <c r="O209" s="60"/>
      <c r="P209" s="61"/>
      <c r="Q209" s="62"/>
      <c r="R209" s="61"/>
      <c r="S209" s="62"/>
      <c r="T209" s="61"/>
      <c r="U209" s="62"/>
      <c r="V209" s="61"/>
      <c r="W209" s="62"/>
      <c r="X209" s="61"/>
      <c r="Y209" s="62"/>
      <c r="Z209" s="61"/>
      <c r="AA209" s="62"/>
    </row>
    <row r="210" spans="3:27" ht="16.5" customHeight="1">
      <c r="C210" s="118"/>
      <c r="E210" s="61"/>
      <c r="H210" s="61"/>
      <c r="I210" s="60"/>
      <c r="K210" s="62"/>
      <c r="O210" s="60"/>
      <c r="P210" s="61"/>
      <c r="Q210" s="62"/>
      <c r="R210" s="61"/>
      <c r="S210" s="62"/>
      <c r="T210" s="61"/>
      <c r="U210" s="62"/>
      <c r="V210" s="61"/>
      <c r="W210" s="62"/>
      <c r="X210" s="61"/>
      <c r="Y210" s="62"/>
      <c r="Z210" s="61"/>
      <c r="AA210" s="62"/>
    </row>
    <row r="211" spans="3:27" ht="16.5" customHeight="1">
      <c r="C211" s="118"/>
      <c r="E211" s="61"/>
      <c r="H211" s="61"/>
      <c r="I211" s="60"/>
      <c r="K211" s="62"/>
      <c r="O211" s="60"/>
      <c r="P211" s="61"/>
      <c r="Q211" s="62"/>
      <c r="R211" s="61"/>
      <c r="S211" s="62"/>
      <c r="T211" s="61"/>
      <c r="U211" s="62"/>
      <c r="V211" s="61"/>
      <c r="W211" s="62"/>
      <c r="X211" s="61"/>
      <c r="Y211" s="62"/>
      <c r="Z211" s="61"/>
      <c r="AA211" s="62"/>
    </row>
    <row r="212" spans="3:27" ht="16.5" customHeight="1">
      <c r="C212" s="118"/>
      <c r="E212" s="61"/>
      <c r="H212" s="61"/>
      <c r="I212" s="60"/>
      <c r="K212" s="62"/>
      <c r="O212" s="60"/>
      <c r="P212" s="61"/>
      <c r="Q212" s="62"/>
      <c r="R212" s="61"/>
      <c r="S212" s="62"/>
      <c r="T212" s="61"/>
      <c r="U212" s="62"/>
      <c r="V212" s="61"/>
      <c r="W212" s="62"/>
      <c r="X212" s="61"/>
      <c r="Y212" s="62"/>
      <c r="Z212" s="61"/>
      <c r="AA212" s="62"/>
    </row>
    <row r="213" spans="3:27" ht="16.5" customHeight="1">
      <c r="C213" s="118"/>
      <c r="E213" s="61"/>
      <c r="H213" s="61"/>
      <c r="I213" s="60"/>
      <c r="K213" s="62"/>
      <c r="O213" s="60"/>
      <c r="P213" s="61"/>
      <c r="Q213" s="62"/>
      <c r="R213" s="61"/>
      <c r="S213" s="62"/>
      <c r="T213" s="61"/>
      <c r="U213" s="62"/>
      <c r="V213" s="61"/>
      <c r="W213" s="62"/>
      <c r="X213" s="61"/>
      <c r="Y213" s="62"/>
      <c r="Z213" s="61"/>
      <c r="AA213" s="62"/>
    </row>
    <row r="214" spans="3:27" ht="16.5" customHeight="1">
      <c r="C214" s="118"/>
      <c r="E214" s="61"/>
      <c r="H214" s="61"/>
      <c r="I214" s="60"/>
      <c r="K214" s="62"/>
      <c r="O214" s="60"/>
      <c r="P214" s="61"/>
      <c r="Q214" s="62"/>
      <c r="R214" s="61"/>
      <c r="S214" s="62"/>
      <c r="T214" s="61"/>
      <c r="U214" s="62"/>
      <c r="V214" s="61"/>
      <c r="W214" s="62"/>
      <c r="X214" s="61"/>
      <c r="Y214" s="62"/>
      <c r="Z214" s="61"/>
      <c r="AA214" s="62"/>
    </row>
    <row r="215" spans="3:27" ht="16.5" customHeight="1">
      <c r="C215" s="118"/>
      <c r="E215" s="61"/>
      <c r="H215" s="61"/>
      <c r="I215" s="60"/>
      <c r="K215" s="62"/>
      <c r="O215" s="60"/>
      <c r="P215" s="61"/>
      <c r="Q215" s="62"/>
      <c r="R215" s="61"/>
      <c r="S215" s="62"/>
      <c r="T215" s="61"/>
      <c r="U215" s="62"/>
      <c r="V215" s="61"/>
      <c r="W215" s="62"/>
      <c r="X215" s="61"/>
      <c r="Y215" s="62"/>
      <c r="Z215" s="61"/>
      <c r="AA215" s="62"/>
    </row>
    <row r="216" spans="3:27" ht="16.5" customHeight="1">
      <c r="C216" s="118"/>
      <c r="E216" s="61"/>
      <c r="H216" s="61"/>
      <c r="I216" s="60"/>
      <c r="K216" s="62"/>
      <c r="O216" s="60"/>
      <c r="P216" s="61"/>
      <c r="Q216" s="62"/>
      <c r="R216" s="61"/>
      <c r="S216" s="62"/>
      <c r="T216" s="61"/>
      <c r="U216" s="62"/>
      <c r="V216" s="61"/>
      <c r="W216" s="62"/>
      <c r="X216" s="61"/>
      <c r="Y216" s="62"/>
      <c r="Z216" s="61"/>
      <c r="AA216" s="62"/>
    </row>
    <row r="217" spans="3:27" ht="16.5" customHeight="1">
      <c r="C217" s="118"/>
      <c r="E217" s="61"/>
      <c r="H217" s="61"/>
      <c r="I217" s="60"/>
      <c r="K217" s="62"/>
      <c r="O217" s="60"/>
      <c r="P217" s="61"/>
      <c r="Q217" s="62"/>
      <c r="R217" s="61"/>
      <c r="S217" s="62"/>
      <c r="T217" s="61"/>
      <c r="U217" s="62"/>
      <c r="V217" s="61"/>
      <c r="W217" s="62"/>
      <c r="X217" s="61"/>
      <c r="Y217" s="62"/>
      <c r="Z217" s="61"/>
      <c r="AA217" s="62"/>
    </row>
    <row r="218" spans="3:27" ht="16.5" customHeight="1">
      <c r="C218" s="118"/>
      <c r="E218" s="61"/>
      <c r="H218" s="61"/>
      <c r="I218" s="60"/>
      <c r="K218" s="62"/>
      <c r="O218" s="60"/>
      <c r="P218" s="61"/>
      <c r="Q218" s="62"/>
      <c r="R218" s="61"/>
      <c r="S218" s="62"/>
      <c r="T218" s="61"/>
      <c r="U218" s="62"/>
      <c r="V218" s="61"/>
      <c r="W218" s="62"/>
      <c r="X218" s="61"/>
      <c r="Y218" s="62"/>
      <c r="Z218" s="61"/>
      <c r="AA218" s="62"/>
    </row>
    <row r="219" spans="3:27" ht="16.5" customHeight="1">
      <c r="C219" s="118"/>
      <c r="E219" s="61"/>
      <c r="H219" s="61"/>
      <c r="I219" s="60"/>
      <c r="K219" s="62"/>
      <c r="O219" s="60"/>
      <c r="P219" s="61"/>
      <c r="Q219" s="62"/>
      <c r="R219" s="61"/>
      <c r="S219" s="62"/>
      <c r="T219" s="61"/>
      <c r="U219" s="62"/>
      <c r="V219" s="61"/>
      <c r="W219" s="62"/>
      <c r="X219" s="61"/>
      <c r="Y219" s="62"/>
      <c r="Z219" s="61"/>
      <c r="AA219" s="62"/>
    </row>
    <row r="220" spans="3:27" ht="16.5" customHeight="1">
      <c r="C220" s="118"/>
      <c r="E220" s="61"/>
      <c r="H220" s="61"/>
      <c r="I220" s="60"/>
      <c r="K220" s="62"/>
      <c r="O220" s="60"/>
      <c r="P220" s="61"/>
      <c r="Q220" s="62"/>
      <c r="R220" s="61"/>
      <c r="S220" s="62"/>
      <c r="T220" s="61"/>
      <c r="U220" s="62"/>
      <c r="V220" s="61"/>
      <c r="W220" s="62"/>
      <c r="X220" s="61"/>
      <c r="Y220" s="62"/>
      <c r="Z220" s="61"/>
      <c r="AA220" s="62"/>
    </row>
    <row r="221" spans="3:27" ht="16.5" customHeight="1">
      <c r="C221" s="118"/>
      <c r="E221" s="61"/>
      <c r="H221" s="61"/>
      <c r="I221" s="60"/>
      <c r="K221" s="62"/>
      <c r="O221" s="60"/>
      <c r="P221" s="61"/>
      <c r="Q221" s="62"/>
      <c r="R221" s="61"/>
      <c r="S221" s="62"/>
      <c r="T221" s="61"/>
      <c r="U221" s="62"/>
      <c r="V221" s="61"/>
      <c r="W221" s="62"/>
      <c r="X221" s="61"/>
      <c r="Y221" s="62"/>
      <c r="Z221" s="61"/>
      <c r="AA221" s="62"/>
    </row>
    <row r="222" spans="3:27" ht="16.5" customHeight="1">
      <c r="C222" s="118"/>
      <c r="E222" s="61"/>
      <c r="H222" s="61"/>
      <c r="I222" s="60"/>
      <c r="K222" s="62"/>
      <c r="O222" s="60"/>
      <c r="P222" s="61"/>
      <c r="Q222" s="62"/>
      <c r="R222" s="61"/>
      <c r="S222" s="62"/>
      <c r="T222" s="61"/>
      <c r="U222" s="62"/>
      <c r="V222" s="61"/>
      <c r="W222" s="62"/>
      <c r="X222" s="61"/>
      <c r="Y222" s="62"/>
      <c r="Z222" s="61"/>
      <c r="AA222" s="62"/>
    </row>
    <row r="223" spans="3:27" ht="16.5" customHeight="1">
      <c r="C223" s="118"/>
      <c r="E223" s="61"/>
      <c r="H223" s="61"/>
      <c r="I223" s="60"/>
      <c r="K223" s="62"/>
      <c r="O223" s="60"/>
      <c r="P223" s="61"/>
      <c r="Q223" s="62"/>
      <c r="R223" s="61"/>
      <c r="S223" s="62"/>
      <c r="T223" s="61"/>
      <c r="U223" s="62"/>
      <c r="V223" s="61"/>
      <c r="W223" s="62"/>
      <c r="X223" s="61"/>
      <c r="Y223" s="62"/>
      <c r="Z223" s="61"/>
      <c r="AA223" s="62"/>
    </row>
    <row r="224" spans="3:27" ht="16.5" customHeight="1">
      <c r="C224" s="118"/>
      <c r="E224" s="61"/>
      <c r="H224" s="61"/>
      <c r="I224" s="60"/>
      <c r="K224" s="62"/>
      <c r="O224" s="60"/>
      <c r="P224" s="61"/>
      <c r="Q224" s="62"/>
      <c r="R224" s="61"/>
      <c r="S224" s="62"/>
      <c r="T224" s="61"/>
      <c r="U224" s="62"/>
      <c r="V224" s="61"/>
      <c r="W224" s="62"/>
      <c r="X224" s="61"/>
      <c r="Y224" s="62"/>
      <c r="Z224" s="61"/>
      <c r="AA224" s="62"/>
    </row>
    <row r="225" spans="3:27" ht="16.5" customHeight="1">
      <c r="C225" s="118"/>
      <c r="E225" s="61"/>
      <c r="H225" s="61"/>
      <c r="I225" s="60"/>
      <c r="K225" s="62"/>
      <c r="O225" s="60"/>
      <c r="P225" s="61"/>
      <c r="Q225" s="62"/>
      <c r="R225" s="61"/>
      <c r="S225" s="62"/>
      <c r="T225" s="61"/>
      <c r="U225" s="62"/>
      <c r="V225" s="61"/>
      <c r="W225" s="62"/>
      <c r="X225" s="61"/>
      <c r="Y225" s="62"/>
      <c r="Z225" s="61"/>
      <c r="AA225" s="62"/>
    </row>
    <row r="226" spans="3:27" ht="16.5" customHeight="1">
      <c r="C226" s="118"/>
      <c r="E226" s="61"/>
      <c r="H226" s="61"/>
      <c r="I226" s="60"/>
      <c r="K226" s="62"/>
      <c r="O226" s="60"/>
      <c r="P226" s="61"/>
      <c r="Q226" s="62"/>
      <c r="R226" s="61"/>
      <c r="S226" s="62"/>
      <c r="T226" s="61"/>
      <c r="U226" s="62"/>
      <c r="V226" s="61"/>
      <c r="W226" s="62"/>
      <c r="X226" s="61"/>
      <c r="Y226" s="62"/>
      <c r="Z226" s="61"/>
      <c r="AA226" s="62"/>
    </row>
    <row r="227" spans="3:27" ht="16.5" customHeight="1">
      <c r="C227" s="118"/>
      <c r="E227" s="61"/>
      <c r="H227" s="61"/>
      <c r="I227" s="60"/>
      <c r="K227" s="62"/>
      <c r="O227" s="60"/>
      <c r="P227" s="61"/>
      <c r="Q227" s="62"/>
      <c r="R227" s="61"/>
      <c r="S227" s="62"/>
      <c r="T227" s="61"/>
      <c r="U227" s="62"/>
      <c r="V227" s="61"/>
      <c r="W227" s="62"/>
      <c r="X227" s="61"/>
      <c r="Y227" s="62"/>
      <c r="Z227" s="61"/>
      <c r="AA227" s="62"/>
    </row>
    <row r="228" spans="3:27" ht="16.5" customHeight="1">
      <c r="C228" s="118"/>
      <c r="E228" s="61"/>
      <c r="H228" s="61"/>
      <c r="I228" s="60"/>
      <c r="K228" s="62"/>
      <c r="O228" s="60"/>
      <c r="P228" s="61"/>
      <c r="Q228" s="62"/>
      <c r="R228" s="61"/>
      <c r="S228" s="62"/>
      <c r="T228" s="61"/>
      <c r="U228" s="62"/>
      <c r="V228" s="61"/>
      <c r="W228" s="62"/>
      <c r="X228" s="61"/>
      <c r="Y228" s="62"/>
      <c r="Z228" s="61"/>
      <c r="AA228" s="62"/>
    </row>
    <row r="229" spans="3:27" ht="16.5" customHeight="1">
      <c r="C229" s="118"/>
      <c r="E229" s="61"/>
      <c r="H229" s="61"/>
      <c r="I229" s="60"/>
      <c r="K229" s="62"/>
      <c r="O229" s="60"/>
      <c r="P229" s="61"/>
      <c r="Q229" s="62"/>
      <c r="R229" s="61"/>
      <c r="S229" s="62"/>
      <c r="T229" s="61"/>
      <c r="U229" s="62"/>
      <c r="V229" s="61"/>
      <c r="W229" s="62"/>
      <c r="X229" s="61"/>
      <c r="Y229" s="62"/>
      <c r="Z229" s="61"/>
      <c r="AA229" s="62"/>
    </row>
    <row r="230" spans="3:27" ht="16.5" customHeight="1">
      <c r="C230" s="118"/>
      <c r="E230" s="61"/>
      <c r="H230" s="61"/>
      <c r="I230" s="60"/>
      <c r="K230" s="62"/>
      <c r="O230" s="60"/>
      <c r="P230" s="61"/>
      <c r="Q230" s="62"/>
      <c r="R230" s="61"/>
      <c r="S230" s="62"/>
      <c r="T230" s="61"/>
      <c r="U230" s="62"/>
      <c r="V230" s="61"/>
      <c r="W230" s="62"/>
      <c r="X230" s="61"/>
      <c r="Y230" s="62"/>
      <c r="Z230" s="61"/>
      <c r="AA230" s="62"/>
    </row>
    <row r="231" spans="3:27" ht="16.5" customHeight="1">
      <c r="C231" s="118"/>
      <c r="E231" s="61"/>
      <c r="H231" s="61"/>
      <c r="I231" s="60"/>
      <c r="K231" s="62"/>
      <c r="O231" s="60"/>
      <c r="P231" s="61"/>
      <c r="Q231" s="62"/>
      <c r="R231" s="61"/>
      <c r="S231" s="62"/>
      <c r="T231" s="61"/>
      <c r="U231" s="62"/>
      <c r="V231" s="61"/>
      <c r="W231" s="62"/>
      <c r="X231" s="61"/>
      <c r="Y231" s="62"/>
      <c r="Z231" s="61"/>
      <c r="AA231" s="62"/>
    </row>
    <row r="232" spans="3:27" ht="16.5" customHeight="1">
      <c r="C232" s="118"/>
      <c r="E232" s="61"/>
      <c r="H232" s="61"/>
      <c r="I232" s="60"/>
      <c r="K232" s="62"/>
      <c r="O232" s="60"/>
      <c r="P232" s="61"/>
      <c r="Q232" s="62"/>
      <c r="R232" s="61"/>
      <c r="S232" s="62"/>
      <c r="T232" s="61"/>
      <c r="U232" s="62"/>
      <c r="V232" s="61"/>
      <c r="W232" s="62"/>
      <c r="X232" s="61"/>
      <c r="Y232" s="62"/>
      <c r="Z232" s="61"/>
      <c r="AA232" s="62"/>
    </row>
    <row r="233" spans="3:27" ht="16.5" customHeight="1">
      <c r="C233" s="118"/>
      <c r="E233" s="61"/>
      <c r="H233" s="61"/>
      <c r="I233" s="60"/>
      <c r="K233" s="62"/>
      <c r="O233" s="60"/>
      <c r="P233" s="61"/>
      <c r="Q233" s="62"/>
      <c r="R233" s="61"/>
      <c r="S233" s="62"/>
      <c r="T233" s="61"/>
      <c r="U233" s="62"/>
      <c r="V233" s="61"/>
      <c r="W233" s="62"/>
      <c r="X233" s="61"/>
      <c r="Y233" s="62"/>
      <c r="Z233" s="61"/>
      <c r="AA233" s="62"/>
    </row>
    <row r="234" spans="3:27" ht="16.5" customHeight="1">
      <c r="C234" s="118"/>
      <c r="E234" s="61"/>
      <c r="H234" s="61"/>
      <c r="I234" s="60"/>
      <c r="K234" s="62"/>
      <c r="O234" s="60"/>
      <c r="P234" s="61"/>
      <c r="Q234" s="62"/>
      <c r="R234" s="61"/>
      <c r="S234" s="62"/>
      <c r="T234" s="61"/>
      <c r="U234" s="62"/>
      <c r="V234" s="61"/>
      <c r="W234" s="62"/>
      <c r="X234" s="61"/>
      <c r="Y234" s="62"/>
      <c r="Z234" s="61"/>
      <c r="AA234" s="62"/>
    </row>
    <row r="235" spans="3:27" ht="16.5" customHeight="1">
      <c r="C235" s="118"/>
      <c r="E235" s="61"/>
      <c r="H235" s="61"/>
      <c r="I235" s="60"/>
      <c r="K235" s="62"/>
      <c r="O235" s="60"/>
      <c r="P235" s="61"/>
      <c r="Q235" s="62"/>
      <c r="R235" s="61"/>
      <c r="S235" s="62"/>
      <c r="T235" s="61"/>
      <c r="U235" s="62"/>
      <c r="V235" s="61"/>
      <c r="W235" s="62"/>
      <c r="X235" s="61"/>
      <c r="Y235" s="62"/>
      <c r="Z235" s="61"/>
      <c r="AA235" s="62"/>
    </row>
    <row r="236" spans="3:27" ht="16.5" customHeight="1">
      <c r="C236" s="118"/>
      <c r="E236" s="61"/>
      <c r="H236" s="61"/>
      <c r="I236" s="60"/>
      <c r="K236" s="62"/>
      <c r="O236" s="60"/>
      <c r="P236" s="61"/>
      <c r="Q236" s="62"/>
      <c r="R236" s="61"/>
      <c r="S236" s="62"/>
      <c r="T236" s="61"/>
      <c r="U236" s="62"/>
      <c r="V236" s="61"/>
      <c r="W236" s="62"/>
      <c r="X236" s="61"/>
      <c r="Y236" s="62"/>
      <c r="Z236" s="61"/>
      <c r="AA236" s="62"/>
    </row>
    <row r="237" spans="3:27" ht="16.5" customHeight="1">
      <c r="C237" s="118"/>
      <c r="E237" s="61"/>
      <c r="H237" s="61"/>
      <c r="I237" s="60"/>
      <c r="K237" s="62"/>
      <c r="O237" s="60"/>
      <c r="P237" s="61"/>
      <c r="Q237" s="62"/>
      <c r="R237" s="61"/>
      <c r="S237" s="62"/>
      <c r="T237" s="61"/>
      <c r="U237" s="62"/>
      <c r="V237" s="61"/>
      <c r="W237" s="62"/>
      <c r="X237" s="61"/>
      <c r="Y237" s="62"/>
      <c r="Z237" s="61"/>
      <c r="AA237" s="62"/>
    </row>
    <row r="238" spans="3:27" ht="16.5" customHeight="1">
      <c r="C238" s="118"/>
      <c r="E238" s="61"/>
      <c r="H238" s="61"/>
      <c r="I238" s="60"/>
      <c r="K238" s="62"/>
      <c r="O238" s="60"/>
      <c r="P238" s="61"/>
      <c r="Q238" s="62"/>
      <c r="R238" s="61"/>
      <c r="S238" s="62"/>
      <c r="T238" s="61"/>
      <c r="U238" s="62"/>
      <c r="V238" s="61"/>
      <c r="W238" s="62"/>
      <c r="X238" s="61"/>
      <c r="Y238" s="62"/>
      <c r="Z238" s="61"/>
      <c r="AA238" s="62"/>
    </row>
    <row r="239" spans="3:27" ht="16.5" customHeight="1">
      <c r="C239" s="118"/>
      <c r="E239" s="61"/>
      <c r="H239" s="61"/>
      <c r="I239" s="60"/>
      <c r="K239" s="62"/>
      <c r="O239" s="60"/>
      <c r="P239" s="61"/>
      <c r="Q239" s="62"/>
      <c r="R239" s="61"/>
      <c r="S239" s="62"/>
      <c r="T239" s="61"/>
      <c r="U239" s="62"/>
      <c r="V239" s="61"/>
      <c r="W239" s="62"/>
      <c r="X239" s="61"/>
      <c r="Y239" s="62"/>
      <c r="Z239" s="61"/>
      <c r="AA239" s="62"/>
    </row>
    <row r="240" spans="3:27" ht="16.5" customHeight="1">
      <c r="C240" s="118"/>
      <c r="E240" s="61"/>
      <c r="H240" s="61"/>
      <c r="I240" s="60"/>
      <c r="K240" s="62"/>
      <c r="O240" s="60"/>
      <c r="P240" s="61"/>
      <c r="Q240" s="62"/>
      <c r="R240" s="61"/>
      <c r="S240" s="62"/>
      <c r="T240" s="61"/>
      <c r="U240" s="62"/>
      <c r="V240" s="61"/>
      <c r="W240" s="62"/>
      <c r="X240" s="61"/>
      <c r="Y240" s="62"/>
      <c r="Z240" s="61"/>
      <c r="AA240" s="62"/>
    </row>
    <row r="241" spans="3:27" ht="16.5" customHeight="1">
      <c r="C241" s="118"/>
      <c r="E241" s="61"/>
      <c r="H241" s="61"/>
      <c r="I241" s="60"/>
      <c r="K241" s="62"/>
      <c r="O241" s="60"/>
      <c r="P241" s="61"/>
      <c r="Q241" s="62"/>
      <c r="R241" s="61"/>
      <c r="S241" s="62"/>
      <c r="T241" s="61"/>
      <c r="U241" s="62"/>
      <c r="V241" s="61"/>
      <c r="W241" s="62"/>
      <c r="X241" s="61"/>
      <c r="Y241" s="62"/>
      <c r="Z241" s="61"/>
      <c r="AA241" s="62"/>
    </row>
    <row r="242" spans="3:27" ht="16.5" customHeight="1">
      <c r="C242" s="118"/>
      <c r="E242" s="61"/>
      <c r="H242" s="61"/>
      <c r="I242" s="60"/>
      <c r="K242" s="62"/>
      <c r="O242" s="60"/>
      <c r="P242" s="61"/>
      <c r="Q242" s="62"/>
      <c r="R242" s="61"/>
      <c r="S242" s="62"/>
      <c r="T242" s="61"/>
      <c r="U242" s="62"/>
      <c r="V242" s="61"/>
      <c r="W242" s="62"/>
      <c r="X242" s="61"/>
      <c r="Y242" s="62"/>
      <c r="Z242" s="61"/>
      <c r="AA242" s="62"/>
    </row>
    <row r="243" spans="3:27" ht="16.5" customHeight="1">
      <c r="C243" s="118"/>
      <c r="E243" s="61"/>
      <c r="H243" s="61"/>
      <c r="I243" s="60"/>
      <c r="K243" s="62"/>
      <c r="O243" s="60"/>
      <c r="P243" s="61"/>
      <c r="Q243" s="62"/>
      <c r="R243" s="61"/>
      <c r="S243" s="62"/>
      <c r="T243" s="61"/>
      <c r="U243" s="62"/>
      <c r="V243" s="61"/>
      <c r="W243" s="62"/>
      <c r="X243" s="61"/>
      <c r="Y243" s="62"/>
      <c r="Z243" s="61"/>
      <c r="AA243" s="62"/>
    </row>
    <row r="244" spans="3:27" ht="16.5" customHeight="1">
      <c r="C244" s="118"/>
      <c r="E244" s="61"/>
      <c r="H244" s="61"/>
      <c r="I244" s="60"/>
      <c r="K244" s="62"/>
      <c r="O244" s="60"/>
      <c r="P244" s="61"/>
      <c r="Q244" s="62"/>
      <c r="R244" s="61"/>
      <c r="S244" s="62"/>
      <c r="T244" s="61"/>
      <c r="U244" s="62"/>
      <c r="V244" s="61"/>
      <c r="W244" s="62"/>
      <c r="X244" s="61"/>
      <c r="Y244" s="62"/>
      <c r="Z244" s="61"/>
      <c r="AA244" s="62"/>
    </row>
    <row r="245" spans="3:27" ht="16.5" customHeight="1">
      <c r="C245" s="118"/>
      <c r="E245" s="61"/>
      <c r="H245" s="61"/>
      <c r="I245" s="60"/>
      <c r="K245" s="62"/>
      <c r="O245" s="60"/>
      <c r="P245" s="61"/>
      <c r="Q245" s="62"/>
      <c r="R245" s="61"/>
      <c r="S245" s="62"/>
      <c r="T245" s="61"/>
      <c r="U245" s="62"/>
      <c r="V245" s="61"/>
      <c r="W245" s="62"/>
      <c r="X245" s="61"/>
      <c r="Y245" s="62"/>
      <c r="Z245" s="61"/>
      <c r="AA245" s="62"/>
    </row>
    <row r="246" spans="3:27" ht="16.5" customHeight="1">
      <c r="C246" s="118"/>
      <c r="E246" s="61"/>
      <c r="H246" s="61"/>
      <c r="I246" s="60"/>
      <c r="K246" s="62"/>
      <c r="O246" s="60"/>
      <c r="P246" s="61"/>
      <c r="Q246" s="62"/>
      <c r="R246" s="61"/>
      <c r="S246" s="62"/>
      <c r="T246" s="61"/>
      <c r="U246" s="62"/>
      <c r="V246" s="61"/>
      <c r="W246" s="62"/>
      <c r="X246" s="61"/>
      <c r="Y246" s="62"/>
      <c r="Z246" s="61"/>
      <c r="AA246" s="62"/>
    </row>
    <row r="247" spans="3:27" ht="16.5" customHeight="1">
      <c r="C247" s="118"/>
      <c r="E247" s="61"/>
      <c r="H247" s="61"/>
      <c r="I247" s="60"/>
      <c r="K247" s="62"/>
      <c r="O247" s="60"/>
      <c r="P247" s="61"/>
      <c r="Q247" s="62"/>
      <c r="R247" s="61"/>
      <c r="S247" s="62"/>
      <c r="T247" s="61"/>
      <c r="U247" s="62"/>
      <c r="V247" s="61"/>
      <c r="W247" s="62"/>
      <c r="X247" s="61"/>
      <c r="Y247" s="62"/>
      <c r="Z247" s="61"/>
      <c r="AA247" s="62"/>
    </row>
    <row r="248" spans="3:27" ht="16.5" customHeight="1">
      <c r="C248" s="118"/>
      <c r="E248" s="61"/>
      <c r="H248" s="61"/>
      <c r="I248" s="60"/>
      <c r="K248" s="62"/>
      <c r="O248" s="60"/>
      <c r="P248" s="61"/>
      <c r="Q248" s="62"/>
      <c r="R248" s="61"/>
      <c r="S248" s="62"/>
      <c r="T248" s="61"/>
      <c r="U248" s="62"/>
      <c r="V248" s="61"/>
      <c r="W248" s="62"/>
      <c r="X248" s="61"/>
      <c r="Y248" s="62"/>
      <c r="Z248" s="61"/>
      <c r="AA248" s="62"/>
    </row>
    <row r="249" spans="3:27" ht="16.5" customHeight="1">
      <c r="C249" s="118"/>
      <c r="E249" s="61"/>
      <c r="H249" s="61"/>
      <c r="I249" s="60"/>
      <c r="K249" s="62"/>
      <c r="O249" s="60"/>
      <c r="P249" s="61"/>
      <c r="Q249" s="62"/>
      <c r="R249" s="61"/>
      <c r="S249" s="62"/>
      <c r="T249" s="61"/>
      <c r="U249" s="62"/>
      <c r="V249" s="61"/>
      <c r="W249" s="62"/>
      <c r="X249" s="61"/>
      <c r="Y249" s="62"/>
      <c r="Z249" s="61"/>
      <c r="AA249" s="62"/>
    </row>
    <row r="250" spans="3:27" ht="16.5" customHeight="1">
      <c r="C250" s="118"/>
      <c r="E250" s="61"/>
      <c r="H250" s="61"/>
      <c r="I250" s="60"/>
      <c r="K250" s="62"/>
      <c r="O250" s="60"/>
      <c r="P250" s="61"/>
      <c r="Q250" s="62"/>
      <c r="R250" s="61"/>
      <c r="S250" s="62"/>
      <c r="T250" s="61"/>
      <c r="U250" s="62"/>
      <c r="V250" s="61"/>
      <c r="W250" s="62"/>
      <c r="X250" s="61"/>
      <c r="Y250" s="62"/>
      <c r="Z250" s="61"/>
      <c r="AA250" s="62"/>
    </row>
    <row r="251" spans="3:27" ht="16.5" customHeight="1">
      <c r="C251" s="118"/>
      <c r="E251" s="61"/>
      <c r="H251" s="61"/>
      <c r="I251" s="60"/>
      <c r="K251" s="62"/>
      <c r="O251" s="60"/>
      <c r="P251" s="61"/>
      <c r="Q251" s="62"/>
      <c r="R251" s="61"/>
      <c r="S251" s="62"/>
      <c r="T251" s="61"/>
      <c r="U251" s="62"/>
      <c r="V251" s="61"/>
      <c r="W251" s="62"/>
      <c r="X251" s="61"/>
      <c r="Y251" s="62"/>
      <c r="Z251" s="61"/>
      <c r="AA251" s="62"/>
    </row>
    <row r="252" spans="3:27" ht="16.5" customHeight="1">
      <c r="C252" s="118"/>
      <c r="E252" s="61"/>
      <c r="H252" s="61"/>
      <c r="I252" s="60"/>
      <c r="K252" s="62"/>
      <c r="O252" s="60"/>
      <c r="P252" s="61"/>
      <c r="Q252" s="62"/>
      <c r="R252" s="61"/>
      <c r="S252" s="62"/>
      <c r="T252" s="61"/>
      <c r="U252" s="62"/>
      <c r="V252" s="61"/>
      <c r="W252" s="62"/>
      <c r="X252" s="61"/>
      <c r="Y252" s="62"/>
      <c r="Z252" s="61"/>
      <c r="AA252" s="62"/>
    </row>
    <row r="253" spans="3:27" ht="16.5" customHeight="1">
      <c r="C253" s="118"/>
      <c r="E253" s="61"/>
      <c r="H253" s="61"/>
      <c r="I253" s="60"/>
      <c r="K253" s="62"/>
      <c r="O253" s="60"/>
      <c r="P253" s="61"/>
      <c r="Q253" s="62"/>
      <c r="R253" s="61"/>
      <c r="S253" s="62"/>
      <c r="T253" s="61"/>
      <c r="U253" s="62"/>
      <c r="V253" s="61"/>
      <c r="W253" s="62"/>
      <c r="X253" s="61"/>
      <c r="Y253" s="62"/>
      <c r="Z253" s="61"/>
      <c r="AA253" s="62"/>
    </row>
    <row r="254" spans="3:27" ht="16.5" customHeight="1">
      <c r="C254" s="118"/>
      <c r="E254" s="61"/>
      <c r="H254" s="61"/>
      <c r="I254" s="60"/>
      <c r="K254" s="62"/>
      <c r="O254" s="60"/>
      <c r="P254" s="61"/>
      <c r="Q254" s="62"/>
      <c r="R254" s="61"/>
      <c r="S254" s="62"/>
      <c r="T254" s="61"/>
      <c r="U254" s="62"/>
      <c r="V254" s="61"/>
      <c r="W254" s="62"/>
      <c r="X254" s="61"/>
      <c r="Y254" s="62"/>
      <c r="Z254" s="61"/>
      <c r="AA254" s="62"/>
    </row>
    <row r="255" spans="3:27" ht="16.5" customHeight="1">
      <c r="C255" s="118"/>
      <c r="E255" s="61"/>
      <c r="H255" s="61"/>
      <c r="I255" s="60"/>
      <c r="K255" s="62"/>
      <c r="O255" s="60"/>
      <c r="P255" s="61"/>
      <c r="Q255" s="62"/>
      <c r="R255" s="61"/>
      <c r="S255" s="62"/>
      <c r="T255" s="61"/>
      <c r="U255" s="62"/>
      <c r="V255" s="61"/>
      <c r="W255" s="62"/>
      <c r="X255" s="61"/>
      <c r="Y255" s="62"/>
      <c r="Z255" s="61"/>
      <c r="AA255" s="62"/>
    </row>
    <row r="256" spans="3:27" ht="16.5" customHeight="1">
      <c r="C256" s="118"/>
      <c r="E256" s="61"/>
      <c r="H256" s="61"/>
      <c r="I256" s="60"/>
      <c r="K256" s="62"/>
      <c r="O256" s="60"/>
      <c r="P256" s="61"/>
      <c r="Q256" s="62"/>
      <c r="R256" s="61"/>
      <c r="S256" s="62"/>
      <c r="T256" s="61"/>
      <c r="U256" s="62"/>
      <c r="V256" s="61"/>
      <c r="W256" s="62"/>
      <c r="X256" s="61"/>
      <c r="Y256" s="62"/>
      <c r="Z256" s="61"/>
      <c r="AA256" s="62"/>
    </row>
    <row r="257" spans="3:27" ht="16.5" customHeight="1">
      <c r="C257" s="118"/>
      <c r="E257" s="61"/>
      <c r="H257" s="61"/>
      <c r="I257" s="60"/>
      <c r="K257" s="62"/>
      <c r="O257" s="60"/>
      <c r="P257" s="61"/>
      <c r="Q257" s="62"/>
      <c r="R257" s="61"/>
      <c r="S257" s="62"/>
      <c r="T257" s="61"/>
      <c r="U257" s="62"/>
      <c r="V257" s="61"/>
      <c r="W257" s="62"/>
      <c r="X257" s="61"/>
      <c r="Y257" s="62"/>
      <c r="Z257" s="61"/>
      <c r="AA257" s="62"/>
    </row>
    <row r="258" spans="3:27" ht="16.5" customHeight="1">
      <c r="C258" s="118"/>
      <c r="E258" s="61"/>
      <c r="H258" s="61"/>
      <c r="I258" s="60"/>
      <c r="K258" s="62"/>
      <c r="O258" s="60"/>
      <c r="P258" s="61"/>
      <c r="Q258" s="62"/>
      <c r="R258" s="61"/>
      <c r="S258" s="62"/>
      <c r="T258" s="61"/>
      <c r="U258" s="62"/>
      <c r="V258" s="61"/>
      <c r="W258" s="62"/>
      <c r="X258" s="61"/>
      <c r="Y258" s="62"/>
      <c r="Z258" s="61"/>
      <c r="AA258" s="62"/>
    </row>
    <row r="259" spans="3:27" ht="16.5" customHeight="1">
      <c r="C259" s="118"/>
      <c r="E259" s="61"/>
      <c r="H259" s="61"/>
      <c r="I259" s="60"/>
      <c r="K259" s="62"/>
      <c r="O259" s="60"/>
      <c r="P259" s="61"/>
      <c r="Q259" s="62"/>
      <c r="R259" s="61"/>
      <c r="S259" s="62"/>
      <c r="T259" s="61"/>
      <c r="U259" s="62"/>
      <c r="V259" s="61"/>
      <c r="W259" s="62"/>
      <c r="X259" s="61"/>
      <c r="Y259" s="62"/>
      <c r="Z259" s="61"/>
      <c r="AA259" s="62"/>
    </row>
    <row r="260" spans="3:27" ht="16.5" customHeight="1">
      <c r="C260" s="118"/>
      <c r="E260" s="61"/>
      <c r="H260" s="61"/>
      <c r="I260" s="60"/>
      <c r="K260" s="62"/>
      <c r="O260" s="60"/>
      <c r="P260" s="61"/>
      <c r="Q260" s="62"/>
      <c r="R260" s="61"/>
      <c r="S260" s="62"/>
      <c r="T260" s="61"/>
      <c r="U260" s="62"/>
      <c r="V260" s="61"/>
      <c r="W260" s="62"/>
      <c r="X260" s="61"/>
      <c r="Y260" s="62"/>
      <c r="Z260" s="61"/>
      <c r="AA260" s="62"/>
    </row>
    <row r="261" spans="3:27" ht="16.5" customHeight="1">
      <c r="C261" s="118"/>
      <c r="E261" s="61"/>
      <c r="H261" s="61"/>
      <c r="I261" s="60"/>
      <c r="K261" s="62"/>
      <c r="O261" s="60"/>
      <c r="P261" s="61"/>
      <c r="Q261" s="62"/>
      <c r="R261" s="61"/>
      <c r="S261" s="62"/>
      <c r="T261" s="61"/>
      <c r="U261" s="62"/>
      <c r="V261" s="61"/>
      <c r="W261" s="62"/>
      <c r="X261" s="61"/>
      <c r="Y261" s="62"/>
      <c r="Z261" s="61"/>
      <c r="AA261" s="62"/>
    </row>
    <row r="262" spans="3:27" ht="16.5" customHeight="1">
      <c r="C262" s="118"/>
      <c r="E262" s="61"/>
      <c r="H262" s="61"/>
      <c r="I262" s="60"/>
      <c r="K262" s="62"/>
      <c r="O262" s="60"/>
      <c r="P262" s="61"/>
      <c r="Q262" s="62"/>
      <c r="R262" s="61"/>
      <c r="S262" s="62"/>
      <c r="T262" s="61"/>
      <c r="U262" s="62"/>
      <c r="V262" s="61"/>
      <c r="W262" s="62"/>
      <c r="X262" s="61"/>
      <c r="Y262" s="62"/>
      <c r="Z262" s="61"/>
      <c r="AA262" s="62"/>
    </row>
    <row r="263" spans="3:27" ht="16.5" customHeight="1">
      <c r="C263" s="118"/>
      <c r="E263" s="61"/>
      <c r="H263" s="61"/>
      <c r="I263" s="60"/>
      <c r="K263" s="62"/>
      <c r="O263" s="60"/>
      <c r="P263" s="61"/>
      <c r="Q263" s="62"/>
      <c r="R263" s="61"/>
      <c r="S263" s="62"/>
      <c r="T263" s="61"/>
      <c r="U263" s="62"/>
      <c r="V263" s="61"/>
      <c r="W263" s="62"/>
      <c r="X263" s="61"/>
      <c r="Y263" s="62"/>
      <c r="Z263" s="61"/>
      <c r="AA263" s="62"/>
    </row>
    <row r="264" spans="3:27" ht="16.5" customHeight="1">
      <c r="C264" s="118"/>
      <c r="E264" s="61"/>
      <c r="H264" s="61"/>
      <c r="I264" s="60"/>
      <c r="K264" s="62"/>
      <c r="O264" s="60"/>
      <c r="P264" s="61"/>
      <c r="Q264" s="62"/>
      <c r="R264" s="61"/>
      <c r="S264" s="62"/>
      <c r="T264" s="61"/>
      <c r="U264" s="62"/>
      <c r="V264" s="61"/>
      <c r="W264" s="62"/>
      <c r="X264" s="61"/>
      <c r="Y264" s="62"/>
      <c r="Z264" s="61"/>
      <c r="AA264" s="62"/>
    </row>
    <row r="265" spans="3:27" ht="16.5" customHeight="1">
      <c r="C265" s="118"/>
      <c r="E265" s="61"/>
      <c r="H265" s="61"/>
      <c r="I265" s="60"/>
      <c r="K265" s="62"/>
      <c r="O265" s="60"/>
      <c r="P265" s="61"/>
      <c r="Q265" s="62"/>
      <c r="R265" s="61"/>
      <c r="S265" s="62"/>
      <c r="T265" s="61"/>
      <c r="U265" s="62"/>
      <c r="V265" s="61"/>
      <c r="W265" s="62"/>
      <c r="X265" s="61"/>
      <c r="Y265" s="62"/>
      <c r="Z265" s="61"/>
      <c r="AA265" s="62"/>
    </row>
    <row r="266" spans="3:27" ht="16.5" customHeight="1">
      <c r="C266" s="118"/>
      <c r="E266" s="61"/>
      <c r="H266" s="61"/>
      <c r="I266" s="60"/>
      <c r="K266" s="62"/>
      <c r="O266" s="60"/>
      <c r="P266" s="61"/>
      <c r="Q266" s="62"/>
      <c r="R266" s="61"/>
      <c r="S266" s="62"/>
      <c r="T266" s="61"/>
      <c r="U266" s="62"/>
      <c r="V266" s="61"/>
      <c r="W266" s="62"/>
      <c r="X266" s="61"/>
      <c r="Y266" s="62"/>
      <c r="Z266" s="61"/>
      <c r="AA266" s="62"/>
    </row>
    <row r="267" spans="3:27" ht="16.5" customHeight="1">
      <c r="C267" s="118"/>
      <c r="E267" s="61"/>
      <c r="H267" s="61"/>
      <c r="I267" s="60"/>
      <c r="K267" s="62"/>
      <c r="O267" s="60"/>
      <c r="P267" s="61"/>
      <c r="Q267" s="62"/>
      <c r="R267" s="61"/>
      <c r="S267" s="62"/>
      <c r="T267" s="61"/>
      <c r="U267" s="62"/>
      <c r="V267" s="61"/>
      <c r="W267" s="62"/>
      <c r="X267" s="61"/>
      <c r="Y267" s="62"/>
      <c r="Z267" s="61"/>
      <c r="AA267" s="62"/>
    </row>
    <row r="268" spans="3:27" ht="16.5" customHeight="1">
      <c r="C268" s="118"/>
      <c r="E268" s="61"/>
      <c r="H268" s="61"/>
      <c r="I268" s="60"/>
      <c r="K268" s="62"/>
      <c r="O268" s="60"/>
      <c r="P268" s="61"/>
      <c r="Q268" s="62"/>
      <c r="R268" s="61"/>
      <c r="S268" s="62"/>
      <c r="T268" s="61"/>
      <c r="U268" s="62"/>
      <c r="V268" s="61"/>
      <c r="W268" s="62"/>
      <c r="X268" s="61"/>
      <c r="Y268" s="62"/>
      <c r="Z268" s="61"/>
      <c r="AA268" s="62"/>
    </row>
    <row r="269" spans="3:27" ht="16.5" customHeight="1">
      <c r="C269" s="118"/>
      <c r="E269" s="61"/>
      <c r="H269" s="61"/>
      <c r="I269" s="60"/>
      <c r="K269" s="62"/>
      <c r="O269" s="60"/>
      <c r="P269" s="61"/>
      <c r="Q269" s="62"/>
      <c r="R269" s="61"/>
      <c r="S269" s="62"/>
      <c r="T269" s="61"/>
      <c r="U269" s="62"/>
      <c r="V269" s="61"/>
      <c r="W269" s="62"/>
      <c r="X269" s="61"/>
      <c r="Y269" s="62"/>
      <c r="Z269" s="61"/>
      <c r="AA269" s="62"/>
    </row>
    <row r="270" spans="3:27" ht="16.5" customHeight="1">
      <c r="C270" s="118"/>
      <c r="E270" s="61"/>
      <c r="H270" s="61"/>
      <c r="I270" s="60"/>
      <c r="K270" s="62"/>
      <c r="O270" s="60"/>
      <c r="P270" s="61"/>
      <c r="Q270" s="62"/>
      <c r="R270" s="61"/>
      <c r="S270" s="62"/>
      <c r="T270" s="61"/>
      <c r="U270" s="62"/>
      <c r="V270" s="61"/>
      <c r="W270" s="62"/>
      <c r="X270" s="61"/>
      <c r="Y270" s="62"/>
      <c r="Z270" s="61"/>
      <c r="AA270" s="62"/>
    </row>
    <row r="271" spans="3:27" ht="16.5" customHeight="1">
      <c r="C271" s="118"/>
      <c r="E271" s="61"/>
      <c r="H271" s="61"/>
      <c r="I271" s="60"/>
      <c r="K271" s="62"/>
      <c r="O271" s="60"/>
      <c r="P271" s="61"/>
      <c r="Q271" s="62"/>
      <c r="R271" s="61"/>
      <c r="S271" s="62"/>
      <c r="T271" s="61"/>
      <c r="U271" s="62"/>
      <c r="V271" s="61"/>
      <c r="W271" s="62"/>
      <c r="X271" s="61"/>
      <c r="Y271" s="62"/>
      <c r="Z271" s="61"/>
      <c r="AA271" s="62"/>
    </row>
    <row r="272" spans="3:27" ht="16.5" customHeight="1">
      <c r="C272" s="118"/>
      <c r="E272" s="61"/>
      <c r="H272" s="61"/>
      <c r="I272" s="60"/>
      <c r="K272" s="62"/>
      <c r="O272" s="60"/>
      <c r="P272" s="61"/>
      <c r="Q272" s="62"/>
      <c r="R272" s="61"/>
      <c r="S272" s="62"/>
      <c r="T272" s="61"/>
      <c r="U272" s="62"/>
      <c r="V272" s="61"/>
      <c r="W272" s="62"/>
      <c r="X272" s="61"/>
      <c r="Y272" s="62"/>
      <c r="Z272" s="61"/>
      <c r="AA272" s="62"/>
    </row>
    <row r="273" spans="3:27" ht="16.5" customHeight="1">
      <c r="C273" s="118"/>
      <c r="E273" s="61"/>
      <c r="H273" s="61"/>
      <c r="I273" s="60"/>
      <c r="K273" s="62"/>
      <c r="O273" s="60"/>
      <c r="P273" s="61"/>
      <c r="Q273" s="62"/>
      <c r="R273" s="61"/>
      <c r="S273" s="62"/>
      <c r="T273" s="61"/>
      <c r="U273" s="62"/>
      <c r="V273" s="61"/>
      <c r="W273" s="62"/>
      <c r="X273" s="61"/>
      <c r="Y273" s="62"/>
      <c r="Z273" s="61"/>
      <c r="AA273" s="62"/>
    </row>
    <row r="274" spans="3:27" ht="16.5" customHeight="1">
      <c r="C274" s="118"/>
      <c r="E274" s="61"/>
      <c r="H274" s="61"/>
      <c r="I274" s="60"/>
      <c r="K274" s="62"/>
      <c r="O274" s="60"/>
      <c r="P274" s="61"/>
      <c r="Q274" s="62"/>
      <c r="R274" s="61"/>
      <c r="S274" s="62"/>
      <c r="T274" s="61"/>
      <c r="U274" s="62"/>
      <c r="V274" s="61"/>
      <c r="W274" s="62"/>
      <c r="X274" s="61"/>
      <c r="Y274" s="62"/>
      <c r="Z274" s="61"/>
      <c r="AA274" s="62"/>
    </row>
    <row r="275" spans="3:27" ht="16.5" customHeight="1">
      <c r="C275" s="118"/>
      <c r="E275" s="61"/>
      <c r="H275" s="61"/>
      <c r="I275" s="60"/>
      <c r="K275" s="62"/>
      <c r="O275" s="60"/>
      <c r="P275" s="61"/>
      <c r="Q275" s="62"/>
      <c r="R275" s="61"/>
      <c r="S275" s="62"/>
      <c r="T275" s="61"/>
      <c r="U275" s="62"/>
      <c r="V275" s="61"/>
      <c r="W275" s="62"/>
      <c r="X275" s="61"/>
      <c r="Y275" s="62"/>
      <c r="Z275" s="61"/>
      <c r="AA275" s="62"/>
    </row>
    <row r="276" spans="3:27" ht="16.5" customHeight="1">
      <c r="C276" s="118"/>
      <c r="E276" s="61"/>
      <c r="H276" s="61"/>
      <c r="I276" s="60"/>
      <c r="K276" s="62"/>
      <c r="O276" s="60"/>
      <c r="P276" s="61"/>
      <c r="Q276" s="62"/>
      <c r="R276" s="61"/>
      <c r="S276" s="62"/>
      <c r="T276" s="61"/>
      <c r="U276" s="62"/>
      <c r="V276" s="61"/>
      <c r="W276" s="62"/>
      <c r="X276" s="61"/>
      <c r="Y276" s="62"/>
      <c r="Z276" s="61"/>
      <c r="AA276" s="62"/>
    </row>
    <row r="277" spans="3:27" ht="16.5" customHeight="1">
      <c r="C277" s="118"/>
      <c r="E277" s="61"/>
      <c r="H277" s="61"/>
      <c r="I277" s="60"/>
      <c r="K277" s="62"/>
      <c r="O277" s="60"/>
      <c r="P277" s="61"/>
      <c r="Q277" s="62"/>
      <c r="R277" s="61"/>
      <c r="S277" s="62"/>
      <c r="T277" s="61"/>
      <c r="U277" s="62"/>
      <c r="V277" s="61"/>
      <c r="W277" s="62"/>
      <c r="X277" s="61"/>
      <c r="Y277" s="62"/>
      <c r="Z277" s="61"/>
      <c r="AA277" s="62"/>
    </row>
    <row r="278" spans="3:27" ht="16.5" customHeight="1">
      <c r="C278" s="118"/>
      <c r="E278" s="61"/>
      <c r="H278" s="61"/>
      <c r="I278" s="60"/>
      <c r="K278" s="62"/>
      <c r="O278" s="60"/>
      <c r="P278" s="61"/>
      <c r="Q278" s="62"/>
      <c r="R278" s="61"/>
      <c r="S278" s="62"/>
      <c r="T278" s="61"/>
      <c r="U278" s="62"/>
      <c r="V278" s="61"/>
      <c r="W278" s="62"/>
      <c r="X278" s="61"/>
      <c r="Y278" s="62"/>
      <c r="Z278" s="61"/>
      <c r="AA278" s="62"/>
    </row>
    <row r="279" spans="3:27" ht="16.5" customHeight="1">
      <c r="C279" s="118"/>
      <c r="E279" s="61"/>
      <c r="H279" s="61"/>
      <c r="I279" s="60"/>
      <c r="K279" s="62"/>
      <c r="O279" s="60"/>
      <c r="P279" s="61"/>
      <c r="Q279" s="62"/>
      <c r="R279" s="61"/>
      <c r="S279" s="62"/>
      <c r="T279" s="61"/>
      <c r="U279" s="62"/>
      <c r="V279" s="61"/>
      <c r="W279" s="62"/>
      <c r="X279" s="61"/>
      <c r="Y279" s="62"/>
      <c r="Z279" s="61"/>
      <c r="AA279" s="62"/>
    </row>
    <row r="280" spans="3:27" ht="16.5" customHeight="1">
      <c r="C280" s="118"/>
      <c r="E280" s="61"/>
      <c r="H280" s="61"/>
      <c r="I280" s="60"/>
      <c r="K280" s="62"/>
      <c r="O280" s="60"/>
      <c r="P280" s="61"/>
      <c r="Q280" s="62"/>
      <c r="R280" s="61"/>
      <c r="S280" s="62"/>
      <c r="T280" s="61"/>
      <c r="U280" s="62"/>
      <c r="V280" s="61"/>
      <c r="W280" s="62"/>
      <c r="X280" s="61"/>
      <c r="Y280" s="62"/>
      <c r="Z280" s="61"/>
      <c r="AA280" s="62"/>
    </row>
    <row r="281" spans="3:27" ht="16.5" customHeight="1">
      <c r="C281" s="118"/>
      <c r="E281" s="61"/>
      <c r="H281" s="61"/>
      <c r="I281" s="60"/>
      <c r="K281" s="62"/>
      <c r="O281" s="60"/>
      <c r="P281" s="61"/>
      <c r="Q281" s="62"/>
      <c r="R281" s="61"/>
      <c r="S281" s="62"/>
      <c r="T281" s="61"/>
      <c r="U281" s="62"/>
      <c r="V281" s="61"/>
      <c r="W281" s="62"/>
      <c r="X281" s="61"/>
      <c r="Y281" s="62"/>
      <c r="Z281" s="61"/>
      <c r="AA281" s="62"/>
    </row>
    <row r="282" spans="3:27" ht="16.5" customHeight="1">
      <c r="C282" s="118"/>
      <c r="E282" s="61"/>
      <c r="H282" s="61"/>
      <c r="I282" s="60"/>
      <c r="K282" s="62"/>
      <c r="O282" s="60"/>
      <c r="P282" s="61"/>
      <c r="Q282" s="62"/>
      <c r="R282" s="61"/>
      <c r="S282" s="62"/>
      <c r="T282" s="61"/>
      <c r="U282" s="62"/>
      <c r="V282" s="61"/>
      <c r="W282" s="62"/>
      <c r="X282" s="61"/>
      <c r="Y282" s="62"/>
      <c r="Z282" s="61"/>
      <c r="AA282" s="62"/>
    </row>
    <row r="283" spans="3:27" ht="16.5" customHeight="1">
      <c r="C283" s="118"/>
      <c r="E283" s="61"/>
      <c r="H283" s="61"/>
      <c r="I283" s="60"/>
      <c r="K283" s="62"/>
      <c r="O283" s="60"/>
      <c r="P283" s="61"/>
      <c r="Q283" s="62"/>
      <c r="R283" s="61"/>
      <c r="S283" s="62"/>
      <c r="T283" s="61"/>
      <c r="U283" s="62"/>
      <c r="V283" s="61"/>
      <c r="W283" s="62"/>
      <c r="X283" s="61"/>
      <c r="Y283" s="62"/>
      <c r="Z283" s="61"/>
      <c r="AA283" s="62"/>
    </row>
    <row r="284" spans="3:27" ht="16.5" customHeight="1">
      <c r="C284" s="118"/>
      <c r="E284" s="61"/>
      <c r="H284" s="61"/>
      <c r="I284" s="60"/>
      <c r="K284" s="62"/>
      <c r="O284" s="60"/>
      <c r="P284" s="61"/>
      <c r="Q284" s="62"/>
      <c r="R284" s="61"/>
      <c r="S284" s="62"/>
      <c r="T284" s="61"/>
      <c r="U284" s="62"/>
      <c r="V284" s="61"/>
      <c r="W284" s="62"/>
      <c r="X284" s="61"/>
      <c r="Y284" s="62"/>
      <c r="Z284" s="61"/>
      <c r="AA284" s="62"/>
    </row>
    <row r="285" spans="3:27" ht="16.5" customHeight="1">
      <c r="C285" s="118"/>
      <c r="E285" s="61"/>
      <c r="H285" s="61"/>
      <c r="I285" s="60"/>
      <c r="K285" s="62"/>
      <c r="O285" s="60"/>
      <c r="P285" s="61"/>
      <c r="Q285" s="62"/>
      <c r="R285" s="61"/>
      <c r="S285" s="62"/>
      <c r="T285" s="61"/>
      <c r="U285" s="62"/>
      <c r="V285" s="61"/>
      <c r="W285" s="62"/>
      <c r="X285" s="61"/>
      <c r="Y285" s="62"/>
      <c r="Z285" s="61"/>
      <c r="AA285" s="62"/>
    </row>
    <row r="286" spans="3:27" ht="16.5" customHeight="1">
      <c r="C286" s="118"/>
      <c r="E286" s="61"/>
      <c r="H286" s="61"/>
      <c r="I286" s="60"/>
      <c r="K286" s="62"/>
      <c r="O286" s="60"/>
      <c r="P286" s="61"/>
      <c r="Q286" s="62"/>
      <c r="R286" s="61"/>
      <c r="S286" s="62"/>
      <c r="T286" s="61"/>
      <c r="U286" s="62"/>
      <c r="V286" s="61"/>
      <c r="W286" s="62"/>
      <c r="X286" s="61"/>
      <c r="Y286" s="62"/>
      <c r="Z286" s="61"/>
      <c r="AA286" s="62"/>
    </row>
    <row r="287" spans="3:27" ht="16.5" customHeight="1">
      <c r="C287" s="118"/>
      <c r="E287" s="61"/>
      <c r="H287" s="61"/>
      <c r="I287" s="60"/>
      <c r="K287" s="62"/>
      <c r="O287" s="60"/>
      <c r="P287" s="61"/>
      <c r="Q287" s="62"/>
      <c r="R287" s="61"/>
      <c r="S287" s="62"/>
      <c r="T287" s="61"/>
      <c r="U287" s="62"/>
      <c r="V287" s="61"/>
      <c r="W287" s="62"/>
      <c r="X287" s="61"/>
      <c r="Y287" s="62"/>
      <c r="Z287" s="61"/>
      <c r="AA287" s="62"/>
    </row>
    <row r="288" spans="3:27" ht="16.5" customHeight="1">
      <c r="C288" s="118"/>
      <c r="E288" s="61"/>
      <c r="H288" s="61"/>
      <c r="I288" s="60"/>
      <c r="K288" s="62"/>
      <c r="O288" s="60"/>
      <c r="P288" s="61"/>
      <c r="Q288" s="62"/>
      <c r="R288" s="61"/>
      <c r="S288" s="62"/>
      <c r="T288" s="61"/>
      <c r="U288" s="62"/>
      <c r="V288" s="61"/>
      <c r="W288" s="62"/>
      <c r="X288" s="61"/>
      <c r="Y288" s="62"/>
      <c r="Z288" s="61"/>
      <c r="AA288" s="62"/>
    </row>
    <row r="289" spans="3:27" ht="16.5" customHeight="1">
      <c r="C289" s="118"/>
      <c r="E289" s="61"/>
      <c r="H289" s="61"/>
      <c r="I289" s="60"/>
      <c r="K289" s="62"/>
      <c r="O289" s="60"/>
      <c r="P289" s="61"/>
      <c r="Q289" s="62"/>
      <c r="R289" s="61"/>
      <c r="S289" s="62"/>
      <c r="T289" s="61"/>
      <c r="U289" s="62"/>
      <c r="V289" s="61"/>
      <c r="W289" s="62"/>
      <c r="X289" s="61"/>
      <c r="Y289" s="62"/>
      <c r="Z289" s="61"/>
      <c r="AA289" s="62"/>
    </row>
    <row r="290" spans="3:27" ht="16.5" customHeight="1">
      <c r="C290" s="118"/>
      <c r="E290" s="61"/>
      <c r="H290" s="61"/>
      <c r="I290" s="60"/>
      <c r="K290" s="62"/>
      <c r="O290" s="60"/>
      <c r="P290" s="61"/>
      <c r="Q290" s="62"/>
      <c r="R290" s="61"/>
      <c r="S290" s="62"/>
      <c r="T290" s="61"/>
      <c r="U290" s="62"/>
      <c r="V290" s="61"/>
      <c r="W290" s="62"/>
      <c r="X290" s="61"/>
      <c r="Y290" s="62"/>
      <c r="Z290" s="61"/>
      <c r="AA290" s="62"/>
    </row>
    <row r="291" spans="3:27" ht="16.5" customHeight="1">
      <c r="C291" s="118"/>
      <c r="E291" s="61"/>
      <c r="H291" s="61"/>
      <c r="I291" s="60"/>
      <c r="K291" s="62"/>
      <c r="O291" s="60"/>
      <c r="P291" s="61"/>
      <c r="Q291" s="62"/>
      <c r="R291" s="61"/>
      <c r="S291" s="62"/>
      <c r="T291" s="61"/>
      <c r="U291" s="62"/>
      <c r="V291" s="61"/>
      <c r="W291" s="62"/>
      <c r="X291" s="61"/>
      <c r="Y291" s="62"/>
      <c r="Z291" s="61"/>
      <c r="AA291" s="62"/>
    </row>
    <row r="292" spans="3:27" ht="16.5" customHeight="1">
      <c r="C292" s="118"/>
      <c r="E292" s="61"/>
      <c r="H292" s="61"/>
      <c r="I292" s="60"/>
      <c r="K292" s="62"/>
      <c r="O292" s="60"/>
      <c r="P292" s="61"/>
      <c r="Q292" s="62"/>
      <c r="R292" s="61"/>
      <c r="S292" s="62"/>
      <c r="T292" s="61"/>
      <c r="U292" s="62"/>
      <c r="V292" s="61"/>
      <c r="W292" s="62"/>
      <c r="X292" s="61"/>
      <c r="Y292" s="62"/>
      <c r="Z292" s="61"/>
      <c r="AA292" s="62"/>
    </row>
    <row r="293" spans="3:27" ht="16.5" customHeight="1">
      <c r="C293" s="118"/>
      <c r="E293" s="61"/>
      <c r="H293" s="61"/>
      <c r="I293" s="60"/>
      <c r="K293" s="62"/>
      <c r="O293" s="60"/>
      <c r="P293" s="61"/>
      <c r="Q293" s="62"/>
      <c r="R293" s="61"/>
      <c r="S293" s="62"/>
      <c r="T293" s="61"/>
      <c r="U293" s="62"/>
      <c r="V293" s="61"/>
      <c r="W293" s="62"/>
      <c r="X293" s="61"/>
      <c r="Y293" s="62"/>
      <c r="Z293" s="61"/>
      <c r="AA293" s="62"/>
    </row>
    <row r="294" spans="3:27" ht="16.5" customHeight="1">
      <c r="C294" s="118"/>
      <c r="E294" s="61"/>
      <c r="H294" s="61"/>
      <c r="I294" s="60"/>
      <c r="K294" s="62"/>
      <c r="O294" s="60"/>
      <c r="P294" s="61"/>
      <c r="Q294" s="62"/>
      <c r="R294" s="61"/>
      <c r="S294" s="62"/>
      <c r="T294" s="61"/>
      <c r="U294" s="62"/>
      <c r="V294" s="61"/>
      <c r="W294" s="62"/>
      <c r="X294" s="61"/>
      <c r="Y294" s="62"/>
      <c r="Z294" s="61"/>
      <c r="AA294" s="62"/>
    </row>
    <row r="295" spans="3:27" ht="16.5" customHeight="1">
      <c r="C295" s="118"/>
      <c r="E295" s="61"/>
      <c r="H295" s="61"/>
      <c r="I295" s="60"/>
      <c r="K295" s="62"/>
      <c r="O295" s="60"/>
      <c r="P295" s="61"/>
      <c r="Q295" s="62"/>
      <c r="R295" s="61"/>
      <c r="S295" s="62"/>
      <c r="T295" s="61"/>
      <c r="U295" s="62"/>
      <c r="V295" s="61"/>
      <c r="W295" s="62"/>
      <c r="X295" s="61"/>
      <c r="Y295" s="62"/>
      <c r="Z295" s="61"/>
      <c r="AA295" s="62"/>
    </row>
    <row r="296" spans="3:27" ht="16.5" customHeight="1">
      <c r="C296" s="118"/>
      <c r="E296" s="61"/>
      <c r="H296" s="61"/>
      <c r="I296" s="60"/>
      <c r="K296" s="62"/>
      <c r="O296" s="60"/>
      <c r="P296" s="61"/>
      <c r="Q296" s="62"/>
      <c r="R296" s="61"/>
      <c r="S296" s="62"/>
      <c r="T296" s="61"/>
      <c r="U296" s="62"/>
      <c r="V296" s="61"/>
      <c r="W296" s="62"/>
      <c r="X296" s="61"/>
      <c r="Y296" s="62"/>
      <c r="Z296" s="61"/>
      <c r="AA296" s="62"/>
    </row>
    <row r="297" spans="3:27" ht="16.5" customHeight="1">
      <c r="C297" s="118"/>
      <c r="E297" s="61"/>
      <c r="H297" s="61"/>
      <c r="I297" s="60"/>
      <c r="K297" s="62"/>
      <c r="O297" s="60"/>
      <c r="P297" s="61"/>
      <c r="Q297" s="62"/>
      <c r="R297" s="61"/>
      <c r="S297" s="62"/>
      <c r="T297" s="61"/>
      <c r="U297" s="62"/>
      <c r="V297" s="61"/>
      <c r="W297" s="62"/>
      <c r="X297" s="61"/>
      <c r="Y297" s="62"/>
      <c r="Z297" s="61"/>
      <c r="AA297" s="62"/>
    </row>
    <row r="298" spans="3:27" ht="16.5" customHeight="1">
      <c r="C298" s="118"/>
      <c r="E298" s="61"/>
      <c r="H298" s="61"/>
      <c r="I298" s="60"/>
      <c r="K298" s="62"/>
      <c r="O298" s="60"/>
      <c r="P298" s="61"/>
      <c r="Q298" s="62"/>
      <c r="R298" s="61"/>
      <c r="S298" s="62"/>
      <c r="T298" s="61"/>
      <c r="U298" s="62"/>
      <c r="V298" s="61"/>
      <c r="W298" s="62"/>
      <c r="X298" s="61"/>
      <c r="Y298" s="62"/>
      <c r="Z298" s="61"/>
      <c r="AA298" s="62"/>
    </row>
    <row r="299" spans="3:27" ht="16.5" customHeight="1">
      <c r="C299" s="118"/>
      <c r="E299" s="61"/>
      <c r="H299" s="61"/>
      <c r="I299" s="60"/>
      <c r="K299" s="62"/>
      <c r="O299" s="60"/>
      <c r="P299" s="61"/>
      <c r="Q299" s="62"/>
      <c r="R299" s="61"/>
      <c r="S299" s="62"/>
      <c r="T299" s="61"/>
      <c r="U299" s="62"/>
      <c r="V299" s="61"/>
      <c r="W299" s="62"/>
      <c r="X299" s="61"/>
      <c r="Y299" s="62"/>
      <c r="Z299" s="61"/>
      <c r="AA299" s="62"/>
    </row>
    <row r="300" spans="3:27" ht="16.5" customHeight="1">
      <c r="C300" s="118"/>
      <c r="E300" s="61"/>
      <c r="H300" s="61"/>
      <c r="I300" s="60"/>
      <c r="K300" s="62"/>
      <c r="O300" s="60"/>
      <c r="P300" s="61"/>
      <c r="Q300" s="62"/>
      <c r="R300" s="61"/>
      <c r="S300" s="62"/>
      <c r="T300" s="61"/>
      <c r="U300" s="62"/>
      <c r="V300" s="61"/>
      <c r="W300" s="62"/>
      <c r="X300" s="61"/>
      <c r="Y300" s="62"/>
      <c r="Z300" s="61"/>
      <c r="AA300" s="62"/>
    </row>
    <row r="301" spans="3:27" ht="16.5" customHeight="1">
      <c r="C301" s="118"/>
      <c r="E301" s="61"/>
      <c r="H301" s="61"/>
      <c r="I301" s="60"/>
      <c r="K301" s="62"/>
      <c r="O301" s="60"/>
      <c r="P301" s="61"/>
      <c r="Q301" s="62"/>
      <c r="R301" s="61"/>
      <c r="S301" s="62"/>
      <c r="T301" s="61"/>
      <c r="U301" s="62"/>
      <c r="V301" s="61"/>
      <c r="W301" s="62"/>
      <c r="X301" s="61"/>
      <c r="Y301" s="62"/>
      <c r="Z301" s="61"/>
      <c r="AA301" s="62"/>
    </row>
    <row r="302" spans="3:27" ht="16.5" customHeight="1">
      <c r="C302" s="118"/>
      <c r="E302" s="61"/>
      <c r="H302" s="61"/>
      <c r="I302" s="60"/>
      <c r="K302" s="62"/>
      <c r="O302" s="60"/>
      <c r="P302" s="61"/>
      <c r="Q302" s="62"/>
      <c r="R302" s="61"/>
      <c r="S302" s="62"/>
      <c r="T302" s="61"/>
      <c r="U302" s="62"/>
      <c r="V302" s="61"/>
      <c r="W302" s="62"/>
      <c r="X302" s="61"/>
      <c r="Y302" s="62"/>
      <c r="Z302" s="61"/>
      <c r="AA302" s="62"/>
    </row>
    <row r="303" spans="3:27" ht="16.5" customHeight="1">
      <c r="C303" s="118"/>
      <c r="E303" s="61"/>
      <c r="H303" s="61"/>
      <c r="I303" s="60"/>
      <c r="K303" s="62"/>
      <c r="O303" s="60"/>
      <c r="P303" s="61"/>
      <c r="Q303" s="62"/>
      <c r="R303" s="61"/>
      <c r="S303" s="62"/>
      <c r="T303" s="61"/>
      <c r="U303" s="62"/>
      <c r="V303" s="61"/>
      <c r="W303" s="62"/>
      <c r="X303" s="61"/>
      <c r="Y303" s="62"/>
      <c r="Z303" s="61"/>
      <c r="AA303" s="62"/>
    </row>
    <row r="304" spans="3:27" ht="16.5" customHeight="1">
      <c r="C304" s="118"/>
      <c r="E304" s="61"/>
      <c r="H304" s="61"/>
      <c r="I304" s="60"/>
      <c r="K304" s="62"/>
      <c r="O304" s="60"/>
      <c r="P304" s="61"/>
      <c r="Q304" s="62"/>
      <c r="R304" s="61"/>
      <c r="S304" s="62"/>
      <c r="T304" s="61"/>
      <c r="U304" s="62"/>
      <c r="V304" s="61"/>
      <c r="W304" s="62"/>
      <c r="X304" s="61"/>
      <c r="Y304" s="62"/>
      <c r="Z304" s="61"/>
      <c r="AA304" s="62"/>
    </row>
    <row r="305" spans="3:27" ht="16.5" customHeight="1">
      <c r="C305" s="118"/>
      <c r="E305" s="61"/>
      <c r="H305" s="61"/>
      <c r="I305" s="60"/>
      <c r="K305" s="62"/>
      <c r="O305" s="60"/>
      <c r="P305" s="61"/>
      <c r="Q305" s="62"/>
      <c r="R305" s="61"/>
      <c r="S305" s="62"/>
      <c r="T305" s="61"/>
      <c r="U305" s="62"/>
      <c r="V305" s="61"/>
      <c r="W305" s="62"/>
      <c r="X305" s="61"/>
      <c r="Y305" s="62"/>
      <c r="Z305" s="61"/>
      <c r="AA305" s="62"/>
    </row>
    <row r="306" spans="3:27" ht="16.5" customHeight="1">
      <c r="C306" s="118"/>
      <c r="E306" s="61"/>
      <c r="H306" s="61"/>
      <c r="I306" s="60"/>
      <c r="K306" s="62"/>
      <c r="O306" s="60"/>
      <c r="P306" s="61"/>
      <c r="Q306" s="62"/>
      <c r="R306" s="61"/>
      <c r="S306" s="62"/>
      <c r="T306" s="61"/>
      <c r="U306" s="62"/>
      <c r="V306" s="61"/>
      <c r="W306" s="62"/>
      <c r="X306" s="61"/>
      <c r="Y306" s="62"/>
      <c r="Z306" s="61"/>
      <c r="AA306" s="62"/>
    </row>
    <row r="307" spans="3:27" ht="16.5" customHeight="1">
      <c r="C307" s="118"/>
      <c r="E307" s="61"/>
      <c r="H307" s="61"/>
      <c r="I307" s="60"/>
      <c r="K307" s="62"/>
      <c r="O307" s="60"/>
      <c r="P307" s="61"/>
      <c r="Q307" s="62"/>
      <c r="R307" s="61"/>
      <c r="S307" s="62"/>
      <c r="T307" s="61"/>
      <c r="U307" s="62"/>
      <c r="V307" s="61"/>
      <c r="W307" s="62"/>
      <c r="X307" s="61"/>
      <c r="Y307" s="62"/>
      <c r="Z307" s="61"/>
      <c r="AA307" s="62"/>
    </row>
    <row r="308" spans="3:27" ht="16.5" customHeight="1">
      <c r="C308" s="118"/>
      <c r="E308" s="61"/>
      <c r="H308" s="61"/>
      <c r="I308" s="60"/>
      <c r="K308" s="62"/>
      <c r="O308" s="60"/>
      <c r="P308" s="61"/>
      <c r="Q308" s="62"/>
      <c r="R308" s="61"/>
      <c r="S308" s="62"/>
      <c r="T308" s="61"/>
      <c r="U308" s="62"/>
      <c r="V308" s="61"/>
      <c r="W308" s="62"/>
      <c r="X308" s="61"/>
      <c r="Y308" s="62"/>
      <c r="Z308" s="61"/>
      <c r="AA308" s="62"/>
    </row>
    <row r="309" spans="3:27" ht="16.5" customHeight="1">
      <c r="C309" s="118"/>
      <c r="E309" s="61"/>
      <c r="H309" s="61"/>
      <c r="I309" s="60"/>
      <c r="K309" s="62"/>
      <c r="O309" s="60"/>
      <c r="P309" s="61"/>
      <c r="Q309" s="62"/>
      <c r="R309" s="61"/>
      <c r="S309" s="62"/>
      <c r="T309" s="61"/>
      <c r="U309" s="62"/>
      <c r="V309" s="61"/>
      <c r="W309" s="62"/>
      <c r="X309" s="61"/>
      <c r="Y309" s="62"/>
      <c r="Z309" s="61"/>
      <c r="AA309" s="62"/>
    </row>
    <row r="310" spans="3:27" ht="16.5" customHeight="1">
      <c r="C310" s="118"/>
      <c r="E310" s="61"/>
      <c r="H310" s="61"/>
      <c r="I310" s="60"/>
      <c r="K310" s="62"/>
      <c r="O310" s="60"/>
      <c r="P310" s="61"/>
      <c r="Q310" s="62"/>
      <c r="R310" s="61"/>
      <c r="S310" s="62"/>
      <c r="T310" s="61"/>
      <c r="U310" s="62"/>
      <c r="V310" s="61"/>
      <c r="W310" s="62"/>
      <c r="X310" s="61"/>
      <c r="Y310" s="62"/>
      <c r="Z310" s="61"/>
      <c r="AA310" s="62"/>
    </row>
    <row r="311" spans="3:27" ht="16.5" customHeight="1">
      <c r="C311" s="118"/>
      <c r="E311" s="61"/>
      <c r="H311" s="61"/>
      <c r="I311" s="60"/>
      <c r="K311" s="62"/>
      <c r="O311" s="60"/>
      <c r="P311" s="61"/>
      <c r="Q311" s="62"/>
      <c r="R311" s="61"/>
      <c r="S311" s="62"/>
      <c r="T311" s="61"/>
      <c r="U311" s="62"/>
      <c r="V311" s="61"/>
      <c r="W311" s="62"/>
      <c r="X311" s="61"/>
      <c r="Y311" s="62"/>
      <c r="Z311" s="61"/>
      <c r="AA311" s="62"/>
    </row>
    <row r="312" spans="3:27" ht="16.5" customHeight="1">
      <c r="C312" s="118"/>
      <c r="E312" s="61"/>
      <c r="H312" s="61"/>
      <c r="I312" s="60"/>
      <c r="K312" s="62"/>
      <c r="O312" s="60"/>
      <c r="P312" s="61"/>
      <c r="Q312" s="62"/>
      <c r="R312" s="61"/>
      <c r="S312" s="62"/>
      <c r="T312" s="61"/>
      <c r="U312" s="62"/>
      <c r="V312" s="61"/>
      <c r="W312" s="62"/>
      <c r="X312" s="61"/>
      <c r="Y312" s="62"/>
      <c r="Z312" s="61"/>
      <c r="AA312" s="62"/>
    </row>
    <row r="313" spans="3:27" ht="16.5" customHeight="1">
      <c r="C313" s="118"/>
      <c r="E313" s="61"/>
      <c r="H313" s="61"/>
      <c r="I313" s="60"/>
      <c r="K313" s="62"/>
      <c r="O313" s="60"/>
      <c r="P313" s="61"/>
      <c r="Q313" s="62"/>
      <c r="R313" s="61"/>
      <c r="S313" s="62"/>
      <c r="T313" s="61"/>
      <c r="U313" s="62"/>
      <c r="V313" s="61"/>
      <c r="W313" s="62"/>
      <c r="X313" s="61"/>
      <c r="Y313" s="62"/>
      <c r="Z313" s="61"/>
      <c r="AA313" s="62"/>
    </row>
    <row r="314" spans="3:27" ht="16.5" customHeight="1">
      <c r="C314" s="118"/>
      <c r="E314" s="61"/>
      <c r="H314" s="61"/>
      <c r="I314" s="60"/>
      <c r="K314" s="62"/>
      <c r="O314" s="60"/>
      <c r="P314" s="61"/>
      <c r="Q314" s="62"/>
      <c r="R314" s="61"/>
      <c r="S314" s="62"/>
      <c r="T314" s="61"/>
      <c r="U314" s="62"/>
      <c r="V314" s="61"/>
      <c r="W314" s="62"/>
      <c r="X314" s="61"/>
      <c r="Y314" s="62"/>
      <c r="Z314" s="61"/>
      <c r="AA314" s="62"/>
    </row>
    <row r="315" spans="3:27" ht="16.5" customHeight="1">
      <c r="C315" s="118"/>
      <c r="E315" s="61"/>
      <c r="H315" s="61"/>
      <c r="I315" s="60"/>
      <c r="K315" s="62"/>
      <c r="O315" s="60"/>
      <c r="P315" s="61"/>
      <c r="Q315" s="62"/>
      <c r="R315" s="61"/>
      <c r="S315" s="62"/>
      <c r="T315" s="61"/>
      <c r="U315" s="62"/>
      <c r="V315" s="61"/>
      <c r="W315" s="62"/>
      <c r="X315" s="61"/>
      <c r="Y315" s="62"/>
      <c r="Z315" s="61"/>
      <c r="AA315" s="62"/>
    </row>
    <row r="316" spans="3:27" ht="16.5" customHeight="1">
      <c r="C316" s="118"/>
      <c r="E316" s="61"/>
      <c r="H316" s="61"/>
      <c r="I316" s="60"/>
      <c r="K316" s="62"/>
      <c r="O316" s="60"/>
      <c r="P316" s="61"/>
      <c r="Q316" s="62"/>
      <c r="R316" s="61"/>
      <c r="S316" s="62"/>
      <c r="T316" s="61"/>
      <c r="U316" s="62"/>
      <c r="V316" s="61"/>
      <c r="W316" s="62"/>
      <c r="X316" s="61"/>
      <c r="Y316" s="62"/>
      <c r="Z316" s="61"/>
      <c r="AA316" s="62"/>
    </row>
    <row r="317" spans="3:27" ht="16.5" customHeight="1">
      <c r="C317" s="118"/>
      <c r="E317" s="61"/>
      <c r="H317" s="61"/>
      <c r="I317" s="60"/>
      <c r="K317" s="62"/>
      <c r="O317" s="60"/>
      <c r="P317" s="61"/>
      <c r="Q317" s="62"/>
      <c r="R317" s="61"/>
      <c r="S317" s="62"/>
      <c r="T317" s="61"/>
      <c r="U317" s="62"/>
      <c r="V317" s="61"/>
      <c r="W317" s="62"/>
      <c r="X317" s="61"/>
      <c r="Y317" s="62"/>
      <c r="Z317" s="61"/>
      <c r="AA317" s="62"/>
    </row>
    <row r="318" spans="3:27" ht="16.5" customHeight="1">
      <c r="C318" s="118"/>
      <c r="E318" s="61"/>
      <c r="H318" s="61"/>
      <c r="I318" s="60"/>
      <c r="K318" s="62"/>
      <c r="O318" s="60"/>
      <c r="P318" s="61"/>
      <c r="Q318" s="62"/>
      <c r="R318" s="61"/>
      <c r="S318" s="62"/>
      <c r="T318" s="61"/>
      <c r="U318" s="62"/>
      <c r="V318" s="61"/>
      <c r="W318" s="62"/>
      <c r="X318" s="61"/>
      <c r="Y318" s="62"/>
      <c r="Z318" s="61"/>
      <c r="AA318" s="62"/>
    </row>
    <row r="319" spans="3:27" ht="16.5" customHeight="1">
      <c r="C319" s="118"/>
      <c r="E319" s="61"/>
      <c r="H319" s="61"/>
      <c r="I319" s="60"/>
      <c r="K319" s="62"/>
      <c r="O319" s="60"/>
      <c r="P319" s="61"/>
      <c r="Q319" s="62"/>
      <c r="R319" s="61"/>
      <c r="S319" s="62"/>
      <c r="T319" s="61"/>
      <c r="U319" s="62"/>
      <c r="V319" s="61"/>
      <c r="W319" s="62"/>
      <c r="X319" s="61"/>
      <c r="Y319" s="62"/>
      <c r="Z319" s="61"/>
      <c r="AA319" s="62"/>
    </row>
    <row r="320" spans="3:27" ht="16.5" customHeight="1">
      <c r="C320" s="118"/>
      <c r="E320" s="61"/>
      <c r="H320" s="61"/>
      <c r="I320" s="60"/>
      <c r="K320" s="62"/>
      <c r="O320" s="60"/>
      <c r="P320" s="61"/>
      <c r="Q320" s="62"/>
      <c r="R320" s="61"/>
      <c r="S320" s="62"/>
      <c r="T320" s="61"/>
      <c r="U320" s="62"/>
      <c r="V320" s="61"/>
      <c r="W320" s="62"/>
      <c r="X320" s="61"/>
      <c r="Y320" s="62"/>
      <c r="Z320" s="61"/>
      <c r="AA320" s="62"/>
    </row>
    <row r="321" spans="3:27" ht="16.5" customHeight="1">
      <c r="C321" s="118"/>
      <c r="E321" s="61"/>
      <c r="H321" s="61"/>
      <c r="I321" s="60"/>
      <c r="K321" s="62"/>
      <c r="O321" s="60"/>
      <c r="P321" s="61"/>
      <c r="Q321" s="62"/>
      <c r="R321" s="61"/>
      <c r="S321" s="62"/>
      <c r="T321" s="61"/>
      <c r="U321" s="62"/>
      <c r="V321" s="61"/>
      <c r="W321" s="62"/>
      <c r="X321" s="61"/>
      <c r="Y321" s="62"/>
      <c r="Z321" s="61"/>
      <c r="AA321" s="62"/>
    </row>
    <row r="322" spans="3:27" ht="16.5" customHeight="1">
      <c r="C322" s="118"/>
      <c r="E322" s="61"/>
      <c r="H322" s="61"/>
      <c r="I322" s="60"/>
      <c r="K322" s="62"/>
      <c r="O322" s="60"/>
      <c r="P322" s="61"/>
      <c r="Q322" s="62"/>
      <c r="R322" s="61"/>
      <c r="S322" s="62"/>
      <c r="T322" s="61"/>
      <c r="U322" s="62"/>
      <c r="V322" s="61"/>
      <c r="W322" s="62"/>
      <c r="X322" s="61"/>
      <c r="Y322" s="62"/>
      <c r="Z322" s="61"/>
      <c r="AA322" s="62"/>
    </row>
    <row r="323" spans="3:27" ht="16.5" customHeight="1">
      <c r="C323" s="118"/>
      <c r="E323" s="61"/>
      <c r="H323" s="61"/>
      <c r="I323" s="60"/>
      <c r="K323" s="62"/>
      <c r="O323" s="60"/>
      <c r="P323" s="61"/>
      <c r="Q323" s="62"/>
      <c r="R323" s="61"/>
      <c r="S323" s="62"/>
      <c r="T323" s="61"/>
      <c r="U323" s="62"/>
      <c r="V323" s="61"/>
      <c r="W323" s="62"/>
      <c r="X323" s="61"/>
      <c r="Y323" s="62"/>
      <c r="Z323" s="61"/>
      <c r="AA323" s="62"/>
    </row>
    <row r="324" spans="3:27" ht="16.5" customHeight="1">
      <c r="C324" s="118"/>
      <c r="E324" s="61"/>
      <c r="H324" s="61"/>
      <c r="I324" s="60"/>
      <c r="K324" s="62"/>
      <c r="O324" s="60"/>
      <c r="P324" s="61"/>
      <c r="Q324" s="62"/>
      <c r="R324" s="61"/>
      <c r="S324" s="62"/>
      <c r="T324" s="61"/>
      <c r="U324" s="62"/>
      <c r="V324" s="61"/>
      <c r="W324" s="62"/>
      <c r="X324" s="61"/>
      <c r="Y324" s="62"/>
      <c r="Z324" s="61"/>
      <c r="AA324" s="62"/>
    </row>
    <row r="325" spans="3:27" ht="16.5" customHeight="1">
      <c r="C325" s="118"/>
      <c r="E325" s="61"/>
      <c r="H325" s="61"/>
      <c r="I325" s="60"/>
      <c r="K325" s="62"/>
      <c r="O325" s="60"/>
      <c r="P325" s="61"/>
      <c r="Q325" s="62"/>
      <c r="R325" s="61"/>
      <c r="S325" s="62"/>
      <c r="T325" s="61"/>
      <c r="U325" s="62"/>
      <c r="V325" s="61"/>
      <c r="W325" s="62"/>
      <c r="X325" s="61"/>
      <c r="Y325" s="62"/>
      <c r="Z325" s="61"/>
      <c r="AA325" s="62"/>
    </row>
    <row r="326" spans="3:27" ht="16.5" customHeight="1">
      <c r="C326" s="118"/>
      <c r="E326" s="61"/>
      <c r="H326" s="61"/>
      <c r="I326" s="60"/>
      <c r="K326" s="62"/>
      <c r="O326" s="60"/>
      <c r="P326" s="61"/>
      <c r="Q326" s="62"/>
      <c r="R326" s="61"/>
      <c r="S326" s="62"/>
      <c r="T326" s="61"/>
      <c r="U326" s="62"/>
      <c r="V326" s="61"/>
      <c r="W326" s="62"/>
      <c r="X326" s="61"/>
      <c r="Y326" s="62"/>
      <c r="Z326" s="61"/>
      <c r="AA326" s="62"/>
    </row>
    <row r="327" spans="3:27" ht="16.5" customHeight="1">
      <c r="C327" s="118"/>
      <c r="E327" s="61"/>
      <c r="H327" s="61"/>
      <c r="I327" s="60"/>
      <c r="K327" s="62"/>
      <c r="O327" s="60"/>
      <c r="P327" s="61"/>
      <c r="Q327" s="62"/>
      <c r="R327" s="61"/>
      <c r="S327" s="62"/>
      <c r="T327" s="61"/>
      <c r="U327" s="62"/>
      <c r="V327" s="61"/>
      <c r="W327" s="62"/>
      <c r="X327" s="61"/>
      <c r="Y327" s="62"/>
      <c r="Z327" s="61"/>
      <c r="AA327" s="62"/>
    </row>
    <row r="328" spans="3:27" ht="16.5" customHeight="1">
      <c r="C328" s="118"/>
      <c r="E328" s="61"/>
      <c r="H328" s="61"/>
      <c r="I328" s="60"/>
      <c r="K328" s="62"/>
      <c r="O328" s="60"/>
      <c r="P328" s="61"/>
      <c r="Q328" s="62"/>
      <c r="R328" s="61"/>
      <c r="S328" s="62"/>
      <c r="T328" s="61"/>
      <c r="U328" s="62"/>
      <c r="V328" s="61"/>
      <c r="W328" s="62"/>
      <c r="X328" s="61"/>
      <c r="Y328" s="62"/>
      <c r="Z328" s="61"/>
      <c r="AA328" s="62"/>
    </row>
    <row r="329" spans="3:27" ht="16.5" customHeight="1">
      <c r="C329" s="118"/>
      <c r="E329" s="61"/>
      <c r="H329" s="61"/>
      <c r="I329" s="60"/>
      <c r="K329" s="62"/>
      <c r="O329" s="60"/>
      <c r="P329" s="61"/>
      <c r="Q329" s="62"/>
      <c r="R329" s="61"/>
      <c r="S329" s="62"/>
      <c r="T329" s="61"/>
      <c r="U329" s="62"/>
      <c r="V329" s="61"/>
      <c r="W329" s="62"/>
      <c r="X329" s="61"/>
      <c r="Y329" s="62"/>
      <c r="Z329" s="61"/>
      <c r="AA329" s="62"/>
    </row>
    <row r="330" spans="3:27" ht="16.5" customHeight="1">
      <c r="C330" s="118"/>
      <c r="E330" s="61"/>
      <c r="H330" s="61"/>
      <c r="I330" s="60"/>
      <c r="K330" s="62"/>
      <c r="O330" s="60"/>
      <c r="P330" s="61"/>
      <c r="Q330" s="62"/>
      <c r="R330" s="61"/>
      <c r="S330" s="62"/>
      <c r="T330" s="61"/>
      <c r="U330" s="62"/>
      <c r="V330" s="61"/>
      <c r="W330" s="62"/>
      <c r="X330" s="61"/>
      <c r="Y330" s="62"/>
      <c r="Z330" s="61"/>
      <c r="AA330" s="62"/>
    </row>
    <row r="331" spans="3:27" ht="16.5" customHeight="1">
      <c r="C331" s="118"/>
      <c r="E331" s="61"/>
      <c r="H331" s="61"/>
      <c r="I331" s="60"/>
      <c r="K331" s="62"/>
      <c r="O331" s="60"/>
      <c r="P331" s="61"/>
      <c r="Q331" s="62"/>
      <c r="R331" s="61"/>
      <c r="S331" s="62"/>
      <c r="T331" s="61"/>
      <c r="U331" s="62"/>
      <c r="V331" s="61"/>
      <c r="W331" s="62"/>
      <c r="X331" s="61"/>
      <c r="Y331" s="62"/>
      <c r="Z331" s="61"/>
      <c r="AA331" s="62"/>
    </row>
    <row r="332" spans="3:27" ht="16.5" customHeight="1">
      <c r="C332" s="118"/>
      <c r="E332" s="61"/>
      <c r="H332" s="61"/>
      <c r="I332" s="60"/>
      <c r="K332" s="62"/>
      <c r="O332" s="60"/>
      <c r="P332" s="61"/>
      <c r="Q332" s="62"/>
      <c r="R332" s="61"/>
      <c r="S332" s="62"/>
      <c r="T332" s="61"/>
      <c r="U332" s="62"/>
      <c r="V332" s="61"/>
      <c r="W332" s="62"/>
      <c r="X332" s="61"/>
      <c r="Y332" s="62"/>
      <c r="Z332" s="61"/>
      <c r="AA332" s="62"/>
    </row>
    <row r="333" spans="3:27" ht="16.5" customHeight="1">
      <c r="C333" s="118"/>
      <c r="E333" s="61"/>
      <c r="H333" s="61"/>
      <c r="I333" s="60"/>
      <c r="K333" s="62"/>
      <c r="O333" s="60"/>
      <c r="P333" s="61"/>
      <c r="Q333" s="62"/>
      <c r="R333" s="61"/>
      <c r="S333" s="62"/>
      <c r="T333" s="61"/>
      <c r="U333" s="62"/>
      <c r="V333" s="61"/>
      <c r="W333" s="62"/>
      <c r="X333" s="61"/>
      <c r="Y333" s="62"/>
      <c r="Z333" s="61"/>
      <c r="AA333" s="62"/>
    </row>
    <row r="334" spans="3:27" ht="16.5" customHeight="1">
      <c r="C334" s="118"/>
      <c r="E334" s="61"/>
      <c r="H334" s="61"/>
      <c r="I334" s="60"/>
      <c r="K334" s="62"/>
      <c r="O334" s="60"/>
      <c r="P334" s="61"/>
      <c r="Q334" s="62"/>
      <c r="R334" s="61"/>
      <c r="S334" s="62"/>
      <c r="T334" s="61"/>
      <c r="U334" s="62"/>
      <c r="V334" s="61"/>
      <c r="W334" s="62"/>
      <c r="X334" s="61"/>
      <c r="Y334" s="62"/>
      <c r="Z334" s="61"/>
      <c r="AA334" s="62"/>
    </row>
    <row r="335" spans="3:27" ht="16.5" customHeight="1">
      <c r="C335" s="118"/>
      <c r="E335" s="61"/>
      <c r="H335" s="61"/>
      <c r="I335" s="60"/>
      <c r="K335" s="62"/>
      <c r="O335" s="60"/>
      <c r="P335" s="61"/>
      <c r="Q335" s="62"/>
      <c r="R335" s="61"/>
      <c r="S335" s="62"/>
      <c r="T335" s="61"/>
      <c r="U335" s="62"/>
      <c r="V335" s="61"/>
      <c r="W335" s="62"/>
      <c r="X335" s="61"/>
      <c r="Y335" s="62"/>
      <c r="Z335" s="61"/>
      <c r="AA335" s="62"/>
    </row>
    <row r="336" spans="3:27" ht="16.5" customHeight="1">
      <c r="C336" s="118"/>
      <c r="E336" s="61"/>
      <c r="H336" s="61"/>
      <c r="I336" s="60"/>
      <c r="K336" s="62"/>
      <c r="O336" s="60"/>
      <c r="P336" s="61"/>
      <c r="Q336" s="62"/>
      <c r="R336" s="61"/>
      <c r="S336" s="62"/>
      <c r="T336" s="61"/>
      <c r="U336" s="62"/>
      <c r="V336" s="61"/>
      <c r="W336" s="62"/>
      <c r="X336" s="61"/>
      <c r="Y336" s="62"/>
      <c r="Z336" s="61"/>
      <c r="AA336" s="62"/>
    </row>
    <row r="337" spans="3:27" ht="16.5" customHeight="1">
      <c r="C337" s="118"/>
      <c r="E337" s="61"/>
      <c r="H337" s="61"/>
      <c r="I337" s="60"/>
      <c r="K337" s="62"/>
      <c r="O337" s="60"/>
      <c r="P337" s="61"/>
      <c r="Q337" s="62"/>
      <c r="R337" s="61"/>
      <c r="S337" s="62"/>
      <c r="T337" s="61"/>
      <c r="U337" s="62"/>
      <c r="V337" s="61"/>
      <c r="W337" s="62"/>
      <c r="X337" s="61"/>
      <c r="Y337" s="62"/>
      <c r="Z337" s="61"/>
      <c r="AA337" s="62"/>
    </row>
    <row r="338" spans="3:27" ht="16.5" customHeight="1">
      <c r="C338" s="118"/>
      <c r="E338" s="61"/>
      <c r="H338" s="61"/>
      <c r="I338" s="60"/>
      <c r="K338" s="62"/>
      <c r="O338" s="60"/>
      <c r="P338" s="61"/>
      <c r="Q338" s="62"/>
      <c r="R338" s="61"/>
      <c r="S338" s="62"/>
      <c r="T338" s="61"/>
      <c r="U338" s="62"/>
      <c r="V338" s="61"/>
      <c r="W338" s="62"/>
      <c r="X338" s="61"/>
      <c r="Y338" s="62"/>
      <c r="Z338" s="61"/>
      <c r="AA338" s="62"/>
    </row>
    <row r="339" spans="3:27" ht="16.5" customHeight="1">
      <c r="C339" s="118"/>
      <c r="E339" s="61"/>
      <c r="H339" s="61"/>
      <c r="I339" s="60"/>
      <c r="K339" s="62"/>
      <c r="O339" s="60"/>
      <c r="P339" s="61"/>
      <c r="Q339" s="62"/>
      <c r="R339" s="61"/>
      <c r="S339" s="62"/>
      <c r="T339" s="61"/>
      <c r="U339" s="62"/>
      <c r="V339" s="61"/>
      <c r="W339" s="62"/>
      <c r="X339" s="61"/>
      <c r="Y339" s="62"/>
      <c r="Z339" s="61"/>
      <c r="AA339" s="62"/>
    </row>
    <row r="340" spans="3:27" ht="16.5" customHeight="1">
      <c r="C340" s="118"/>
      <c r="E340" s="61"/>
      <c r="H340" s="61"/>
      <c r="I340" s="60"/>
      <c r="K340" s="62"/>
      <c r="O340" s="60"/>
      <c r="P340" s="61"/>
      <c r="Q340" s="62"/>
      <c r="R340" s="61"/>
      <c r="S340" s="62"/>
      <c r="T340" s="61"/>
      <c r="U340" s="62"/>
      <c r="V340" s="61"/>
      <c r="W340" s="62"/>
      <c r="X340" s="61"/>
      <c r="Y340" s="62"/>
      <c r="Z340" s="61"/>
      <c r="AA340" s="62"/>
    </row>
    <row r="341" spans="3:27" ht="16.5" customHeight="1">
      <c r="C341" s="118"/>
      <c r="E341" s="61"/>
      <c r="H341" s="61"/>
      <c r="I341" s="60"/>
      <c r="K341" s="62"/>
      <c r="O341" s="60"/>
      <c r="P341" s="61"/>
      <c r="Q341" s="62"/>
      <c r="R341" s="61"/>
      <c r="S341" s="62"/>
      <c r="T341" s="61"/>
      <c r="U341" s="62"/>
      <c r="V341" s="61"/>
      <c r="W341" s="62"/>
      <c r="X341" s="61"/>
      <c r="Y341" s="62"/>
      <c r="Z341" s="61"/>
      <c r="AA341" s="62"/>
    </row>
    <row r="342" spans="3:27" ht="16.5" customHeight="1">
      <c r="C342" s="118"/>
      <c r="E342" s="61"/>
      <c r="H342" s="61"/>
      <c r="I342" s="60"/>
      <c r="K342" s="62"/>
      <c r="O342" s="60"/>
      <c r="P342" s="61"/>
      <c r="Q342" s="62"/>
      <c r="R342" s="61"/>
      <c r="S342" s="62"/>
      <c r="T342" s="61"/>
      <c r="U342" s="62"/>
      <c r="V342" s="61"/>
      <c r="W342" s="62"/>
      <c r="X342" s="61"/>
      <c r="Y342" s="62"/>
      <c r="Z342" s="61"/>
      <c r="AA342" s="62"/>
    </row>
    <row r="343" spans="3:27" ht="16.5" customHeight="1">
      <c r="C343" s="118"/>
      <c r="E343" s="61"/>
      <c r="H343" s="61"/>
      <c r="I343" s="60"/>
      <c r="K343" s="62"/>
      <c r="O343" s="60"/>
      <c r="P343" s="61"/>
      <c r="Q343" s="62"/>
      <c r="R343" s="61"/>
      <c r="S343" s="62"/>
      <c r="T343" s="61"/>
      <c r="U343" s="62"/>
      <c r="V343" s="61"/>
      <c r="W343" s="62"/>
      <c r="X343" s="61"/>
      <c r="Y343" s="62"/>
      <c r="Z343" s="61"/>
      <c r="AA343" s="62"/>
    </row>
    <row r="344" spans="3:27" ht="16.5" customHeight="1">
      <c r="C344" s="118"/>
      <c r="E344" s="61"/>
      <c r="H344" s="61"/>
      <c r="I344" s="60"/>
      <c r="K344" s="62"/>
      <c r="O344" s="60"/>
      <c r="P344" s="61"/>
      <c r="Q344" s="62"/>
      <c r="R344" s="61"/>
      <c r="S344" s="62"/>
      <c r="T344" s="61"/>
      <c r="U344" s="62"/>
      <c r="V344" s="61"/>
      <c r="W344" s="62"/>
      <c r="X344" s="61"/>
      <c r="Y344" s="62"/>
      <c r="Z344" s="61"/>
      <c r="AA344" s="62"/>
    </row>
    <row r="345" spans="3:27" ht="16.5" customHeight="1">
      <c r="C345" s="118"/>
      <c r="E345" s="61"/>
      <c r="H345" s="61"/>
      <c r="I345" s="60"/>
      <c r="K345" s="62"/>
      <c r="O345" s="60"/>
      <c r="P345" s="61"/>
      <c r="Q345" s="62"/>
      <c r="R345" s="61"/>
      <c r="S345" s="62"/>
      <c r="T345" s="61"/>
      <c r="U345" s="62"/>
      <c r="V345" s="61"/>
      <c r="W345" s="62"/>
      <c r="X345" s="61"/>
      <c r="Y345" s="62"/>
      <c r="Z345" s="61"/>
      <c r="AA345" s="62"/>
    </row>
    <row r="346" spans="3:27" ht="16.5" customHeight="1">
      <c r="C346" s="118"/>
      <c r="E346" s="61"/>
      <c r="H346" s="61"/>
      <c r="I346" s="60"/>
      <c r="K346" s="62"/>
      <c r="O346" s="60"/>
      <c r="P346" s="61"/>
      <c r="Q346" s="62"/>
      <c r="R346" s="61"/>
      <c r="S346" s="62"/>
      <c r="T346" s="61"/>
      <c r="U346" s="62"/>
      <c r="V346" s="61"/>
      <c r="W346" s="62"/>
      <c r="X346" s="61"/>
      <c r="Y346" s="62"/>
      <c r="Z346" s="61"/>
      <c r="AA346" s="62"/>
    </row>
    <row r="347" spans="3:27" ht="16.5" customHeight="1">
      <c r="C347" s="118"/>
      <c r="E347" s="61"/>
      <c r="H347" s="61"/>
      <c r="I347" s="60"/>
      <c r="K347" s="62"/>
      <c r="O347" s="60"/>
      <c r="P347" s="61"/>
      <c r="Q347" s="62"/>
      <c r="R347" s="61"/>
      <c r="S347" s="62"/>
      <c r="T347" s="61"/>
      <c r="U347" s="62"/>
      <c r="V347" s="61"/>
      <c r="W347" s="62"/>
      <c r="X347" s="61"/>
      <c r="Y347" s="62"/>
      <c r="Z347" s="61"/>
      <c r="AA347" s="62"/>
    </row>
    <row r="348" spans="3:27" ht="16.5" customHeight="1">
      <c r="C348" s="118"/>
      <c r="E348" s="61"/>
      <c r="H348" s="61"/>
      <c r="I348" s="60"/>
      <c r="K348" s="62"/>
      <c r="O348" s="60"/>
      <c r="P348" s="61"/>
      <c r="Q348" s="62"/>
      <c r="R348" s="61"/>
      <c r="S348" s="62"/>
      <c r="T348" s="61"/>
      <c r="U348" s="62"/>
      <c r="V348" s="61"/>
      <c r="W348" s="62"/>
      <c r="X348" s="61"/>
      <c r="Y348" s="62"/>
      <c r="Z348" s="61"/>
      <c r="AA348" s="62"/>
    </row>
    <row r="349" spans="3:27" ht="16.5" customHeight="1">
      <c r="C349" s="118"/>
      <c r="E349" s="61"/>
      <c r="H349" s="61"/>
      <c r="I349" s="60"/>
      <c r="K349" s="62"/>
      <c r="O349" s="60"/>
      <c r="P349" s="61"/>
      <c r="Q349" s="62"/>
      <c r="R349" s="61"/>
      <c r="S349" s="62"/>
      <c r="T349" s="61"/>
      <c r="U349" s="62"/>
      <c r="V349" s="61"/>
      <c r="W349" s="62"/>
      <c r="X349" s="61"/>
      <c r="Y349" s="62"/>
      <c r="Z349" s="61"/>
      <c r="AA349" s="62"/>
    </row>
    <row r="350" spans="3:27" ht="16.5" customHeight="1">
      <c r="C350" s="118"/>
      <c r="E350" s="61"/>
      <c r="H350" s="61"/>
      <c r="I350" s="60"/>
      <c r="K350" s="62"/>
      <c r="O350" s="60"/>
      <c r="P350" s="61"/>
      <c r="Q350" s="62"/>
      <c r="R350" s="61"/>
      <c r="S350" s="62"/>
      <c r="T350" s="61"/>
      <c r="U350" s="62"/>
      <c r="V350" s="61"/>
      <c r="W350" s="62"/>
      <c r="X350" s="61"/>
      <c r="Y350" s="62"/>
      <c r="Z350" s="61"/>
      <c r="AA350" s="62"/>
    </row>
    <row r="351" spans="3:27" ht="16.5" customHeight="1">
      <c r="C351" s="118"/>
      <c r="E351" s="61"/>
      <c r="H351" s="61"/>
      <c r="I351" s="60"/>
      <c r="K351" s="62"/>
      <c r="O351" s="60"/>
      <c r="P351" s="61"/>
      <c r="Q351" s="62"/>
      <c r="R351" s="61"/>
      <c r="S351" s="62"/>
      <c r="T351" s="61"/>
      <c r="U351" s="62"/>
      <c r="V351" s="61"/>
      <c r="W351" s="62"/>
      <c r="X351" s="61"/>
      <c r="Y351" s="62"/>
      <c r="Z351" s="61"/>
      <c r="AA351" s="62"/>
    </row>
    <row r="352" spans="3:27" ht="16.5" customHeight="1">
      <c r="C352" s="118"/>
      <c r="E352" s="61"/>
      <c r="H352" s="61"/>
      <c r="I352" s="60"/>
      <c r="K352" s="62"/>
      <c r="O352" s="60"/>
      <c r="P352" s="61"/>
      <c r="Q352" s="62"/>
      <c r="R352" s="61"/>
      <c r="S352" s="62"/>
      <c r="T352" s="61"/>
      <c r="U352" s="62"/>
      <c r="V352" s="61"/>
      <c r="W352" s="62"/>
      <c r="X352" s="61"/>
      <c r="Y352" s="62"/>
      <c r="Z352" s="61"/>
      <c r="AA352" s="62"/>
    </row>
    <row r="353" spans="3:27" ht="16.5" customHeight="1">
      <c r="C353" s="118"/>
      <c r="E353" s="61"/>
      <c r="H353" s="61"/>
      <c r="I353" s="60"/>
      <c r="K353" s="62"/>
      <c r="O353" s="60"/>
      <c r="P353" s="61"/>
      <c r="Q353" s="62"/>
      <c r="R353" s="61"/>
      <c r="S353" s="62"/>
      <c r="T353" s="61"/>
      <c r="U353" s="62"/>
      <c r="V353" s="61"/>
      <c r="W353" s="62"/>
      <c r="X353" s="61"/>
      <c r="Y353" s="62"/>
      <c r="Z353" s="61"/>
      <c r="AA353" s="62"/>
    </row>
    <row r="354" spans="3:27" ht="16.5" customHeight="1">
      <c r="C354" s="118"/>
      <c r="E354" s="61"/>
      <c r="H354" s="61"/>
      <c r="I354" s="60"/>
      <c r="K354" s="62"/>
      <c r="O354" s="60"/>
      <c r="P354" s="61"/>
      <c r="Q354" s="62"/>
      <c r="R354" s="61"/>
      <c r="S354" s="62"/>
      <c r="T354" s="61"/>
      <c r="U354" s="62"/>
      <c r="V354" s="61"/>
      <c r="W354" s="62"/>
      <c r="X354" s="61"/>
      <c r="Y354" s="62"/>
      <c r="Z354" s="61"/>
      <c r="AA354" s="62"/>
    </row>
    <row r="355" spans="3:27" ht="16.5" customHeight="1">
      <c r="C355" s="118"/>
      <c r="E355" s="61"/>
      <c r="H355" s="61"/>
      <c r="I355" s="60"/>
      <c r="K355" s="62"/>
      <c r="O355" s="60"/>
      <c r="P355" s="61"/>
      <c r="Q355" s="62"/>
      <c r="R355" s="61"/>
      <c r="S355" s="62"/>
      <c r="T355" s="61"/>
      <c r="U355" s="62"/>
      <c r="V355" s="61"/>
      <c r="W355" s="62"/>
      <c r="X355" s="61"/>
      <c r="Y355" s="62"/>
      <c r="Z355" s="61"/>
      <c r="AA355" s="62"/>
    </row>
    <row r="356" spans="3:27" ht="16.5" customHeight="1">
      <c r="C356" s="118"/>
      <c r="E356" s="61"/>
      <c r="H356" s="61"/>
      <c r="I356" s="60"/>
      <c r="K356" s="62"/>
      <c r="O356" s="60"/>
      <c r="P356" s="61"/>
      <c r="Q356" s="62"/>
      <c r="R356" s="61"/>
      <c r="S356" s="62"/>
      <c r="T356" s="61"/>
      <c r="U356" s="62"/>
      <c r="V356" s="61"/>
      <c r="W356" s="62"/>
      <c r="X356" s="61"/>
      <c r="Y356" s="62"/>
      <c r="Z356" s="61"/>
      <c r="AA356" s="62"/>
    </row>
    <row r="357" spans="3:27" ht="16.5" customHeight="1">
      <c r="C357" s="118"/>
      <c r="E357" s="61"/>
      <c r="H357" s="61"/>
      <c r="I357" s="60"/>
      <c r="K357" s="62"/>
      <c r="O357" s="60"/>
      <c r="P357" s="61"/>
      <c r="Q357" s="62"/>
      <c r="R357" s="61"/>
      <c r="S357" s="62"/>
      <c r="T357" s="61"/>
      <c r="U357" s="62"/>
      <c r="V357" s="61"/>
      <c r="W357" s="62"/>
      <c r="X357" s="61"/>
      <c r="Y357" s="62"/>
      <c r="Z357" s="61"/>
      <c r="AA357" s="62"/>
    </row>
    <row r="358" spans="3:27" ht="16.5" customHeight="1">
      <c r="C358" s="118"/>
      <c r="E358" s="61"/>
      <c r="H358" s="61"/>
      <c r="I358" s="60"/>
      <c r="K358" s="62"/>
      <c r="O358" s="60"/>
      <c r="P358" s="61"/>
      <c r="Q358" s="62"/>
      <c r="R358" s="61"/>
      <c r="S358" s="62"/>
      <c r="T358" s="61"/>
      <c r="U358" s="62"/>
      <c r="V358" s="61"/>
      <c r="W358" s="62"/>
      <c r="X358" s="61"/>
      <c r="Y358" s="62"/>
      <c r="Z358" s="61"/>
      <c r="AA358" s="62"/>
    </row>
    <row r="359" spans="3:27" ht="16.5" customHeight="1">
      <c r="C359" s="118"/>
      <c r="E359" s="61"/>
      <c r="H359" s="61"/>
      <c r="I359" s="60"/>
      <c r="K359" s="62"/>
      <c r="O359" s="60"/>
      <c r="P359" s="61"/>
      <c r="Q359" s="62"/>
      <c r="R359" s="61"/>
      <c r="S359" s="62"/>
      <c r="T359" s="61"/>
      <c r="U359" s="62"/>
      <c r="V359" s="61"/>
      <c r="W359" s="62"/>
      <c r="X359" s="61"/>
      <c r="Y359" s="62"/>
      <c r="Z359" s="61"/>
      <c r="AA359" s="62"/>
    </row>
    <row r="360" spans="3:27" ht="16.5" customHeight="1">
      <c r="C360" s="118"/>
      <c r="E360" s="61"/>
      <c r="H360" s="61"/>
      <c r="I360" s="60"/>
      <c r="K360" s="62"/>
      <c r="O360" s="60"/>
      <c r="P360" s="61"/>
      <c r="Q360" s="62"/>
      <c r="R360" s="61"/>
      <c r="S360" s="62"/>
      <c r="T360" s="61"/>
      <c r="U360" s="62"/>
      <c r="V360" s="61"/>
      <c r="W360" s="62"/>
      <c r="X360" s="61"/>
      <c r="Y360" s="62"/>
      <c r="Z360" s="61"/>
      <c r="AA360" s="62"/>
    </row>
    <row r="361" spans="3:27" ht="16.5" customHeight="1">
      <c r="C361" s="118"/>
      <c r="E361" s="61"/>
      <c r="H361" s="61"/>
      <c r="I361" s="60"/>
      <c r="K361" s="62"/>
      <c r="O361" s="60"/>
      <c r="P361" s="61"/>
      <c r="Q361" s="62"/>
      <c r="R361" s="61"/>
      <c r="S361" s="62"/>
      <c r="T361" s="61"/>
      <c r="U361" s="62"/>
      <c r="V361" s="61"/>
      <c r="W361" s="62"/>
      <c r="X361" s="61"/>
      <c r="Y361" s="62"/>
      <c r="Z361" s="61"/>
      <c r="AA361" s="62"/>
    </row>
    <row r="362" spans="3:27" ht="16.5" customHeight="1">
      <c r="C362" s="118"/>
      <c r="E362" s="61"/>
      <c r="H362" s="61"/>
      <c r="I362" s="60"/>
      <c r="K362" s="62"/>
      <c r="O362" s="60"/>
      <c r="P362" s="61"/>
      <c r="Q362" s="62"/>
      <c r="R362" s="61"/>
      <c r="S362" s="62"/>
      <c r="T362" s="61"/>
      <c r="U362" s="62"/>
      <c r="V362" s="61"/>
      <c r="W362" s="62"/>
      <c r="X362" s="61"/>
      <c r="Y362" s="62"/>
      <c r="Z362" s="61"/>
      <c r="AA362" s="62"/>
    </row>
    <row r="363" spans="3:27" ht="16.5" customHeight="1">
      <c r="C363" s="118"/>
      <c r="E363" s="61"/>
      <c r="H363" s="61"/>
      <c r="I363" s="60"/>
      <c r="K363" s="62"/>
      <c r="O363" s="60"/>
      <c r="P363" s="61"/>
      <c r="Q363" s="62"/>
      <c r="R363" s="61"/>
      <c r="S363" s="62"/>
      <c r="T363" s="61"/>
      <c r="U363" s="62"/>
      <c r="V363" s="61"/>
      <c r="W363" s="62"/>
      <c r="X363" s="61"/>
      <c r="Y363" s="62"/>
      <c r="Z363" s="61"/>
      <c r="AA363" s="62"/>
    </row>
    <row r="364" spans="3:27" ht="16.5" customHeight="1">
      <c r="C364" s="118"/>
      <c r="E364" s="61"/>
      <c r="H364" s="61"/>
      <c r="I364" s="60"/>
      <c r="K364" s="62"/>
      <c r="O364" s="60"/>
      <c r="P364" s="61"/>
      <c r="Q364" s="62"/>
      <c r="R364" s="61"/>
      <c r="S364" s="62"/>
      <c r="T364" s="61"/>
      <c r="U364" s="62"/>
      <c r="V364" s="61"/>
      <c r="W364" s="62"/>
      <c r="X364" s="61"/>
      <c r="Y364" s="62"/>
      <c r="Z364" s="61"/>
      <c r="AA364" s="62"/>
    </row>
    <row r="365" spans="3:27" ht="16.5" customHeight="1">
      <c r="C365" s="118"/>
      <c r="E365" s="61"/>
      <c r="H365" s="61"/>
      <c r="I365" s="60"/>
      <c r="K365" s="62"/>
      <c r="O365" s="60"/>
      <c r="P365" s="61"/>
      <c r="Q365" s="62"/>
      <c r="R365" s="61"/>
      <c r="S365" s="62"/>
      <c r="T365" s="61"/>
      <c r="U365" s="62"/>
      <c r="V365" s="61"/>
      <c r="W365" s="62"/>
      <c r="X365" s="61"/>
      <c r="Y365" s="62"/>
      <c r="Z365" s="61"/>
      <c r="AA365" s="62"/>
    </row>
    <row r="366" spans="3:27" ht="16.5" customHeight="1">
      <c r="C366" s="118"/>
      <c r="E366" s="61"/>
      <c r="H366" s="61"/>
      <c r="I366" s="60"/>
      <c r="K366" s="62"/>
      <c r="O366" s="60"/>
      <c r="P366" s="61"/>
      <c r="Q366" s="62"/>
      <c r="R366" s="61"/>
      <c r="S366" s="62"/>
      <c r="T366" s="61"/>
      <c r="U366" s="62"/>
      <c r="V366" s="61"/>
      <c r="W366" s="62"/>
      <c r="X366" s="61"/>
      <c r="Y366" s="62"/>
      <c r="Z366" s="61"/>
      <c r="AA366" s="62"/>
    </row>
    <row r="367" spans="3:27" ht="16.5" customHeight="1">
      <c r="C367" s="118"/>
      <c r="E367" s="61"/>
      <c r="H367" s="61"/>
      <c r="I367" s="60"/>
      <c r="K367" s="62"/>
      <c r="O367" s="60"/>
      <c r="P367" s="61"/>
      <c r="Q367" s="62"/>
      <c r="R367" s="61"/>
      <c r="S367" s="62"/>
      <c r="T367" s="61"/>
      <c r="U367" s="62"/>
      <c r="V367" s="61"/>
      <c r="W367" s="62"/>
      <c r="X367" s="61"/>
      <c r="Y367" s="62"/>
      <c r="Z367" s="61"/>
      <c r="AA367" s="62"/>
    </row>
    <row r="368" spans="3:27" ht="16.5" customHeight="1">
      <c r="C368" s="118"/>
      <c r="E368" s="61"/>
      <c r="H368" s="61"/>
      <c r="I368" s="60"/>
      <c r="K368" s="62"/>
      <c r="O368" s="60"/>
      <c r="P368" s="61"/>
      <c r="Q368" s="62"/>
      <c r="R368" s="61"/>
      <c r="S368" s="62"/>
      <c r="T368" s="61"/>
      <c r="U368" s="62"/>
      <c r="V368" s="61"/>
      <c r="W368" s="62"/>
      <c r="X368" s="61"/>
      <c r="Y368" s="62"/>
      <c r="Z368" s="61"/>
      <c r="AA368" s="62"/>
    </row>
    <row r="369" spans="3:27" ht="16.5" customHeight="1">
      <c r="C369" s="118"/>
      <c r="E369" s="61"/>
      <c r="H369" s="61"/>
      <c r="I369" s="60"/>
      <c r="K369" s="62"/>
      <c r="O369" s="60"/>
      <c r="P369" s="61"/>
      <c r="Q369" s="62"/>
      <c r="R369" s="61"/>
      <c r="S369" s="62"/>
      <c r="T369" s="61"/>
      <c r="U369" s="62"/>
      <c r="V369" s="61"/>
      <c r="W369" s="62"/>
      <c r="X369" s="61"/>
      <c r="Y369" s="62"/>
      <c r="Z369" s="61"/>
      <c r="AA369" s="62"/>
    </row>
    <row r="370" spans="3:27" ht="16.5" customHeight="1">
      <c r="C370" s="118"/>
      <c r="E370" s="61"/>
      <c r="H370" s="61"/>
      <c r="I370" s="60"/>
      <c r="K370" s="62"/>
      <c r="O370" s="60"/>
      <c r="P370" s="61"/>
      <c r="Q370" s="62"/>
      <c r="R370" s="61"/>
      <c r="S370" s="62"/>
      <c r="T370" s="61"/>
      <c r="U370" s="62"/>
      <c r="V370" s="61"/>
      <c r="W370" s="62"/>
      <c r="X370" s="61"/>
      <c r="Y370" s="62"/>
      <c r="Z370" s="61"/>
      <c r="AA370" s="62"/>
    </row>
    <row r="371" spans="3:27" ht="16.5" customHeight="1">
      <c r="C371" s="118"/>
      <c r="E371" s="61"/>
      <c r="H371" s="61"/>
      <c r="I371" s="60"/>
      <c r="K371" s="62"/>
      <c r="O371" s="60"/>
      <c r="P371" s="61"/>
      <c r="Q371" s="62"/>
      <c r="R371" s="61"/>
      <c r="S371" s="62"/>
      <c r="T371" s="61"/>
      <c r="U371" s="62"/>
      <c r="V371" s="61"/>
      <c r="W371" s="62"/>
      <c r="X371" s="61"/>
      <c r="Y371" s="62"/>
      <c r="Z371" s="61"/>
      <c r="AA371" s="62"/>
    </row>
    <row r="372" spans="3:27" ht="16.5" customHeight="1">
      <c r="C372" s="118"/>
      <c r="E372" s="61"/>
      <c r="H372" s="61"/>
      <c r="I372" s="60"/>
      <c r="K372" s="62"/>
      <c r="O372" s="60"/>
      <c r="P372" s="61"/>
      <c r="Q372" s="62"/>
      <c r="R372" s="61"/>
      <c r="S372" s="62"/>
      <c r="T372" s="61"/>
      <c r="U372" s="62"/>
      <c r="V372" s="61"/>
      <c r="W372" s="62"/>
      <c r="X372" s="61"/>
      <c r="Y372" s="62"/>
      <c r="Z372" s="61"/>
      <c r="AA372" s="62"/>
    </row>
    <row r="373" spans="3:27" ht="16.5" customHeight="1">
      <c r="C373" s="118"/>
      <c r="E373" s="61"/>
      <c r="H373" s="61"/>
      <c r="I373" s="60"/>
      <c r="K373" s="62"/>
      <c r="O373" s="60"/>
      <c r="P373" s="61"/>
      <c r="Q373" s="62"/>
      <c r="R373" s="61"/>
      <c r="S373" s="62"/>
      <c r="T373" s="61"/>
      <c r="U373" s="62"/>
      <c r="V373" s="61"/>
      <c r="W373" s="62"/>
      <c r="X373" s="61"/>
      <c r="Y373" s="62"/>
      <c r="Z373" s="61"/>
      <c r="AA373" s="62"/>
    </row>
    <row r="374" spans="3:27" ht="16.5" customHeight="1">
      <c r="C374" s="118"/>
      <c r="E374" s="61"/>
      <c r="H374" s="61"/>
      <c r="I374" s="60"/>
      <c r="K374" s="62"/>
      <c r="O374" s="60"/>
      <c r="P374" s="61"/>
      <c r="Q374" s="62"/>
      <c r="R374" s="61"/>
      <c r="S374" s="62"/>
      <c r="T374" s="61"/>
      <c r="U374" s="62"/>
      <c r="V374" s="61"/>
      <c r="W374" s="62"/>
      <c r="X374" s="61"/>
      <c r="Y374" s="62"/>
      <c r="Z374" s="61"/>
      <c r="AA374" s="62"/>
    </row>
    <row r="375" spans="3:27" ht="16.5" customHeight="1">
      <c r="C375" s="118"/>
      <c r="E375" s="61"/>
      <c r="H375" s="61"/>
      <c r="I375" s="60"/>
      <c r="K375" s="62"/>
      <c r="O375" s="60"/>
      <c r="P375" s="61"/>
      <c r="Q375" s="62"/>
      <c r="R375" s="61"/>
      <c r="S375" s="62"/>
      <c r="T375" s="61"/>
      <c r="U375" s="62"/>
      <c r="V375" s="61"/>
      <c r="W375" s="62"/>
      <c r="X375" s="61"/>
      <c r="Y375" s="62"/>
      <c r="Z375" s="61"/>
      <c r="AA375" s="62"/>
    </row>
    <row r="376" spans="3:27" ht="16.5" customHeight="1">
      <c r="C376" s="118"/>
      <c r="E376" s="61"/>
      <c r="H376" s="61"/>
      <c r="I376" s="60"/>
      <c r="K376" s="62"/>
      <c r="O376" s="60"/>
      <c r="P376" s="61"/>
      <c r="Q376" s="62"/>
      <c r="R376" s="61"/>
      <c r="S376" s="62"/>
      <c r="T376" s="61"/>
      <c r="U376" s="62"/>
      <c r="V376" s="61"/>
      <c r="W376" s="62"/>
      <c r="X376" s="61"/>
      <c r="Y376" s="62"/>
      <c r="Z376" s="61"/>
      <c r="AA376" s="62"/>
    </row>
    <row r="377" spans="3:27" ht="16.5" customHeight="1">
      <c r="C377" s="118"/>
      <c r="E377" s="61"/>
      <c r="H377" s="61"/>
      <c r="I377" s="60"/>
      <c r="K377" s="62"/>
      <c r="O377" s="60"/>
      <c r="P377" s="61"/>
      <c r="Q377" s="62"/>
      <c r="R377" s="61"/>
      <c r="S377" s="62"/>
      <c r="T377" s="61"/>
      <c r="U377" s="62"/>
      <c r="V377" s="61"/>
      <c r="W377" s="62"/>
      <c r="X377" s="61"/>
      <c r="Y377" s="62"/>
      <c r="Z377" s="61"/>
      <c r="AA377" s="62"/>
    </row>
    <row r="378" spans="3:27" ht="16.5" customHeight="1">
      <c r="C378" s="118"/>
      <c r="E378" s="61"/>
      <c r="H378" s="61"/>
      <c r="I378" s="60"/>
      <c r="K378" s="62"/>
      <c r="O378" s="60"/>
      <c r="P378" s="61"/>
      <c r="Q378" s="62"/>
      <c r="R378" s="61"/>
      <c r="S378" s="62"/>
      <c r="T378" s="61"/>
      <c r="U378" s="62"/>
      <c r="V378" s="61"/>
      <c r="W378" s="62"/>
      <c r="X378" s="61"/>
      <c r="Y378" s="62"/>
      <c r="Z378" s="61"/>
      <c r="AA378" s="62"/>
    </row>
    <row r="379" spans="3:27" ht="16.5" customHeight="1">
      <c r="C379" s="118"/>
      <c r="E379" s="61"/>
      <c r="H379" s="61"/>
      <c r="I379" s="60"/>
      <c r="K379" s="62"/>
      <c r="O379" s="60"/>
      <c r="P379" s="61"/>
      <c r="Q379" s="62"/>
      <c r="R379" s="61"/>
      <c r="S379" s="62"/>
      <c r="T379" s="61"/>
      <c r="U379" s="62"/>
      <c r="V379" s="61"/>
      <c r="W379" s="62"/>
      <c r="X379" s="61"/>
      <c r="Y379" s="62"/>
      <c r="Z379" s="61"/>
      <c r="AA379" s="62"/>
    </row>
    <row r="380" spans="3:27" ht="16.5" customHeight="1">
      <c r="C380" s="118"/>
      <c r="E380" s="61"/>
      <c r="H380" s="61"/>
      <c r="I380" s="60"/>
      <c r="K380" s="62"/>
      <c r="O380" s="60"/>
      <c r="P380" s="61"/>
      <c r="Q380" s="62"/>
      <c r="R380" s="61"/>
      <c r="S380" s="62"/>
      <c r="T380" s="61"/>
      <c r="U380" s="62"/>
      <c r="V380" s="61"/>
      <c r="W380" s="62"/>
      <c r="X380" s="61"/>
      <c r="Y380" s="62"/>
      <c r="Z380" s="61"/>
      <c r="AA380" s="62"/>
    </row>
    <row r="381" spans="3:27" ht="16.5" customHeight="1">
      <c r="C381" s="118"/>
      <c r="E381" s="61"/>
      <c r="H381" s="61"/>
      <c r="I381" s="60"/>
      <c r="K381" s="62"/>
      <c r="O381" s="60"/>
      <c r="P381" s="61"/>
      <c r="Q381" s="62"/>
      <c r="R381" s="61"/>
      <c r="S381" s="62"/>
      <c r="T381" s="61"/>
      <c r="U381" s="62"/>
      <c r="V381" s="61"/>
      <c r="W381" s="62"/>
      <c r="X381" s="61"/>
      <c r="Y381" s="62"/>
      <c r="Z381" s="61"/>
      <c r="AA381" s="62"/>
    </row>
    <row r="382" spans="3:27" ht="16.5" customHeight="1">
      <c r="C382" s="118"/>
      <c r="E382" s="61"/>
      <c r="H382" s="61"/>
      <c r="I382" s="60"/>
      <c r="K382" s="62"/>
      <c r="O382" s="60"/>
      <c r="P382" s="61"/>
      <c r="Q382" s="62"/>
      <c r="R382" s="61"/>
      <c r="S382" s="62"/>
      <c r="T382" s="61"/>
      <c r="U382" s="62"/>
      <c r="V382" s="61"/>
      <c r="W382" s="62"/>
      <c r="X382" s="61"/>
      <c r="Y382" s="62"/>
      <c r="Z382" s="61"/>
      <c r="AA382" s="62"/>
    </row>
    <row r="383" spans="3:27" ht="16.5" customHeight="1">
      <c r="C383" s="118"/>
      <c r="E383" s="61"/>
      <c r="H383" s="61"/>
      <c r="I383" s="60"/>
      <c r="K383" s="62"/>
      <c r="O383" s="60"/>
      <c r="P383" s="61"/>
      <c r="Q383" s="62"/>
      <c r="R383" s="61"/>
      <c r="S383" s="62"/>
      <c r="T383" s="61"/>
      <c r="U383" s="62"/>
      <c r="V383" s="61"/>
      <c r="W383" s="62"/>
      <c r="X383" s="61"/>
      <c r="Y383" s="62"/>
      <c r="Z383" s="61"/>
      <c r="AA383" s="62"/>
    </row>
    <row r="384" spans="3:27" ht="16.5" customHeight="1">
      <c r="C384" s="118"/>
      <c r="E384" s="61"/>
      <c r="H384" s="61"/>
      <c r="I384" s="60"/>
      <c r="K384" s="62"/>
      <c r="O384" s="60"/>
      <c r="P384" s="61"/>
      <c r="Q384" s="62"/>
      <c r="R384" s="61"/>
      <c r="S384" s="62"/>
      <c r="T384" s="61"/>
      <c r="U384" s="62"/>
      <c r="V384" s="61"/>
      <c r="W384" s="62"/>
      <c r="X384" s="61"/>
      <c r="Y384" s="62"/>
      <c r="Z384" s="61"/>
      <c r="AA384" s="62"/>
    </row>
    <row r="385" spans="3:27" ht="16.5" customHeight="1">
      <c r="C385" s="118"/>
      <c r="E385" s="61"/>
      <c r="H385" s="61"/>
      <c r="I385" s="60"/>
      <c r="K385" s="62"/>
      <c r="O385" s="60"/>
      <c r="P385" s="61"/>
      <c r="Q385" s="62"/>
      <c r="R385" s="61"/>
      <c r="S385" s="62"/>
      <c r="T385" s="61"/>
      <c r="U385" s="62"/>
      <c r="V385" s="61"/>
      <c r="W385" s="62"/>
      <c r="X385" s="61"/>
      <c r="Y385" s="62"/>
      <c r="Z385" s="61"/>
      <c r="AA385" s="62"/>
    </row>
    <row r="386" spans="3:27" ht="16.5" customHeight="1">
      <c r="C386" s="118"/>
      <c r="E386" s="61"/>
      <c r="H386" s="61"/>
      <c r="I386" s="60"/>
      <c r="K386" s="62"/>
      <c r="O386" s="60"/>
      <c r="P386" s="61"/>
      <c r="Q386" s="62"/>
      <c r="R386" s="61"/>
      <c r="S386" s="62"/>
      <c r="T386" s="61"/>
      <c r="U386" s="62"/>
      <c r="V386" s="61"/>
      <c r="W386" s="62"/>
      <c r="X386" s="61"/>
      <c r="Y386" s="62"/>
      <c r="Z386" s="61"/>
      <c r="AA386" s="62"/>
    </row>
    <row r="387" spans="3:27" ht="16.5" customHeight="1">
      <c r="C387" s="118"/>
      <c r="E387" s="61"/>
      <c r="H387" s="61"/>
      <c r="I387" s="60"/>
      <c r="K387" s="62"/>
      <c r="O387" s="60"/>
      <c r="P387" s="61"/>
      <c r="Q387" s="62"/>
      <c r="R387" s="61"/>
      <c r="S387" s="62"/>
      <c r="T387" s="61"/>
      <c r="U387" s="62"/>
      <c r="V387" s="61"/>
      <c r="W387" s="62"/>
      <c r="X387" s="61"/>
      <c r="Y387" s="62"/>
      <c r="Z387" s="61"/>
      <c r="AA387" s="62"/>
    </row>
    <row r="388" spans="3:27" ht="16.5" customHeight="1">
      <c r="C388" s="118"/>
      <c r="E388" s="61"/>
      <c r="H388" s="61"/>
      <c r="I388" s="60"/>
      <c r="K388" s="62"/>
      <c r="O388" s="60"/>
      <c r="P388" s="61"/>
      <c r="Q388" s="62"/>
      <c r="R388" s="61"/>
      <c r="S388" s="62"/>
      <c r="T388" s="61"/>
      <c r="U388" s="62"/>
      <c r="V388" s="61"/>
      <c r="W388" s="62"/>
      <c r="X388" s="61"/>
      <c r="Y388" s="62"/>
      <c r="Z388" s="61"/>
      <c r="AA388" s="62"/>
    </row>
    <row r="389" spans="3:27" ht="16.5" customHeight="1">
      <c r="C389" s="118"/>
      <c r="E389" s="61"/>
      <c r="H389" s="61"/>
      <c r="I389" s="60"/>
      <c r="K389" s="62"/>
      <c r="O389" s="60"/>
      <c r="P389" s="61"/>
      <c r="Q389" s="62"/>
      <c r="R389" s="61"/>
      <c r="S389" s="62"/>
      <c r="T389" s="61"/>
      <c r="U389" s="62"/>
      <c r="V389" s="61"/>
      <c r="W389" s="62"/>
      <c r="X389" s="61"/>
      <c r="Y389" s="62"/>
      <c r="Z389" s="61"/>
      <c r="AA389" s="62"/>
    </row>
    <row r="390" spans="3:27" ht="16.5" customHeight="1">
      <c r="C390" s="118"/>
      <c r="E390" s="61"/>
      <c r="H390" s="61"/>
      <c r="I390" s="60"/>
      <c r="K390" s="62"/>
      <c r="O390" s="60"/>
      <c r="P390" s="61"/>
      <c r="Q390" s="62"/>
      <c r="R390" s="61"/>
      <c r="S390" s="62"/>
      <c r="T390" s="61"/>
      <c r="U390" s="62"/>
      <c r="V390" s="61"/>
      <c r="W390" s="62"/>
      <c r="X390" s="61"/>
      <c r="Y390" s="62"/>
      <c r="Z390" s="61"/>
      <c r="AA390" s="62"/>
    </row>
    <row r="391" spans="3:27" ht="16.5" customHeight="1">
      <c r="C391" s="118"/>
      <c r="E391" s="61"/>
      <c r="H391" s="61"/>
      <c r="I391" s="60"/>
      <c r="K391" s="62"/>
      <c r="O391" s="60"/>
      <c r="P391" s="61"/>
      <c r="Q391" s="62"/>
      <c r="R391" s="61"/>
      <c r="S391" s="62"/>
      <c r="T391" s="61"/>
      <c r="U391" s="62"/>
      <c r="V391" s="61"/>
      <c r="W391" s="62"/>
      <c r="X391" s="61"/>
      <c r="Y391" s="62"/>
      <c r="Z391" s="61"/>
      <c r="AA391" s="62"/>
    </row>
    <row r="392" spans="3:27" ht="16.5" customHeight="1">
      <c r="C392" s="118"/>
      <c r="E392" s="61"/>
      <c r="H392" s="61"/>
      <c r="I392" s="60"/>
      <c r="K392" s="62"/>
      <c r="O392" s="60"/>
      <c r="P392" s="61"/>
      <c r="Q392" s="62"/>
      <c r="R392" s="61"/>
      <c r="S392" s="62"/>
      <c r="T392" s="61"/>
      <c r="U392" s="62"/>
      <c r="V392" s="61"/>
      <c r="W392" s="62"/>
      <c r="X392" s="61"/>
      <c r="Y392" s="62"/>
      <c r="Z392" s="61"/>
      <c r="AA392" s="62"/>
    </row>
    <row r="393" spans="3:27" ht="16.5" customHeight="1">
      <c r="C393" s="118"/>
      <c r="E393" s="61"/>
      <c r="H393" s="61"/>
      <c r="I393" s="60"/>
      <c r="K393" s="62"/>
      <c r="O393" s="60"/>
      <c r="P393" s="61"/>
      <c r="Q393" s="62"/>
      <c r="R393" s="61"/>
      <c r="S393" s="62"/>
      <c r="T393" s="61"/>
      <c r="U393" s="62"/>
      <c r="V393" s="61"/>
      <c r="W393" s="62"/>
      <c r="X393" s="61"/>
      <c r="Y393" s="62"/>
      <c r="Z393" s="61"/>
      <c r="AA393" s="62"/>
    </row>
    <row r="394" spans="3:27" ht="16.5" customHeight="1">
      <c r="C394" s="118"/>
      <c r="E394" s="61"/>
      <c r="H394" s="61"/>
      <c r="I394" s="60"/>
      <c r="K394" s="62"/>
      <c r="O394" s="60"/>
      <c r="P394" s="61"/>
      <c r="Q394" s="62"/>
      <c r="R394" s="61"/>
      <c r="S394" s="62"/>
      <c r="T394" s="61"/>
      <c r="U394" s="62"/>
      <c r="V394" s="61"/>
      <c r="W394" s="62"/>
      <c r="X394" s="61"/>
      <c r="Y394" s="62"/>
      <c r="Z394" s="61"/>
      <c r="AA394" s="62"/>
    </row>
    <row r="395" spans="3:27" ht="16.5" customHeight="1">
      <c r="C395" s="118"/>
      <c r="E395" s="61"/>
      <c r="H395" s="61"/>
      <c r="I395" s="60"/>
      <c r="K395" s="62"/>
      <c r="O395" s="60"/>
      <c r="P395" s="61"/>
      <c r="Q395" s="62"/>
      <c r="R395" s="61"/>
      <c r="S395" s="62"/>
      <c r="T395" s="61"/>
      <c r="U395" s="62"/>
      <c r="V395" s="61"/>
      <c r="W395" s="62"/>
      <c r="X395" s="61"/>
      <c r="Y395" s="62"/>
      <c r="Z395" s="61"/>
      <c r="AA395" s="62"/>
    </row>
    <row r="396" spans="3:27" ht="16.5" customHeight="1">
      <c r="C396" s="118"/>
      <c r="E396" s="61"/>
      <c r="H396" s="61"/>
      <c r="I396" s="60"/>
      <c r="K396" s="62"/>
      <c r="O396" s="60"/>
      <c r="P396" s="61"/>
      <c r="Q396" s="62"/>
      <c r="R396" s="61"/>
      <c r="S396" s="62"/>
      <c r="T396" s="61"/>
      <c r="U396" s="62"/>
      <c r="V396" s="61"/>
      <c r="W396" s="62"/>
      <c r="X396" s="61"/>
      <c r="Y396" s="62"/>
      <c r="Z396" s="61"/>
      <c r="AA396" s="62"/>
    </row>
    <row r="397" spans="3:27" ht="16.5" customHeight="1">
      <c r="C397" s="118"/>
      <c r="E397" s="61"/>
      <c r="H397" s="61"/>
      <c r="I397" s="60"/>
      <c r="K397" s="62"/>
      <c r="O397" s="60"/>
      <c r="P397" s="61"/>
      <c r="Q397" s="62"/>
      <c r="R397" s="61"/>
      <c r="S397" s="62"/>
      <c r="T397" s="61"/>
      <c r="U397" s="62"/>
      <c r="V397" s="61"/>
      <c r="W397" s="62"/>
      <c r="X397" s="61"/>
      <c r="Y397" s="62"/>
      <c r="Z397" s="61"/>
      <c r="AA397" s="62"/>
    </row>
    <row r="398" spans="3:27" ht="16.5" customHeight="1">
      <c r="C398" s="118"/>
      <c r="E398" s="61"/>
      <c r="H398" s="61"/>
      <c r="I398" s="60"/>
      <c r="K398" s="62"/>
      <c r="O398" s="60"/>
      <c r="P398" s="61"/>
      <c r="Q398" s="62"/>
      <c r="R398" s="61"/>
      <c r="S398" s="62"/>
      <c r="T398" s="61"/>
      <c r="U398" s="62"/>
      <c r="V398" s="61"/>
      <c r="W398" s="62"/>
      <c r="X398" s="61"/>
      <c r="Y398" s="62"/>
      <c r="Z398" s="61"/>
      <c r="AA398" s="62"/>
    </row>
    <row r="399" spans="3:27" ht="16.5" customHeight="1">
      <c r="C399" s="118"/>
      <c r="E399" s="61"/>
      <c r="H399" s="61"/>
      <c r="I399" s="60"/>
      <c r="K399" s="62"/>
      <c r="O399" s="60"/>
      <c r="P399" s="61"/>
      <c r="Q399" s="62"/>
      <c r="R399" s="61"/>
      <c r="S399" s="62"/>
      <c r="T399" s="61"/>
      <c r="U399" s="62"/>
      <c r="V399" s="61"/>
      <c r="W399" s="62"/>
      <c r="X399" s="61"/>
      <c r="Y399" s="62"/>
      <c r="Z399" s="61"/>
      <c r="AA399" s="62"/>
    </row>
    <row r="400" spans="3:27" ht="16.5" customHeight="1">
      <c r="C400" s="118"/>
      <c r="E400" s="61"/>
      <c r="H400" s="61"/>
      <c r="I400" s="60"/>
      <c r="K400" s="62"/>
      <c r="O400" s="60"/>
      <c r="P400" s="61"/>
      <c r="Q400" s="62"/>
      <c r="R400" s="61"/>
      <c r="S400" s="62"/>
      <c r="T400" s="61"/>
      <c r="U400" s="62"/>
      <c r="V400" s="61"/>
      <c r="W400" s="62"/>
      <c r="X400" s="61"/>
      <c r="Y400" s="62"/>
      <c r="Z400" s="61"/>
      <c r="AA400" s="62"/>
    </row>
    <row r="401" spans="3:27" ht="16.5" customHeight="1">
      <c r="C401" s="118"/>
      <c r="E401" s="61"/>
      <c r="H401" s="61"/>
      <c r="I401" s="60"/>
      <c r="K401" s="62"/>
      <c r="O401" s="60"/>
      <c r="P401" s="61"/>
      <c r="Q401" s="62"/>
      <c r="R401" s="61"/>
      <c r="S401" s="62"/>
      <c r="T401" s="61"/>
      <c r="U401" s="62"/>
      <c r="V401" s="61"/>
      <c r="W401" s="62"/>
      <c r="X401" s="61"/>
      <c r="Y401" s="62"/>
      <c r="Z401" s="61"/>
      <c r="AA401" s="62"/>
    </row>
    <row r="402" spans="3:27" ht="16.5" customHeight="1">
      <c r="C402" s="118"/>
      <c r="E402" s="61"/>
      <c r="H402" s="61"/>
      <c r="I402" s="60"/>
      <c r="K402" s="62"/>
      <c r="O402" s="60"/>
      <c r="P402" s="61"/>
      <c r="Q402" s="62"/>
      <c r="R402" s="61"/>
      <c r="S402" s="62"/>
      <c r="T402" s="61"/>
      <c r="U402" s="62"/>
      <c r="V402" s="61"/>
      <c r="W402" s="62"/>
      <c r="X402" s="61"/>
      <c r="Y402" s="62"/>
      <c r="Z402" s="61"/>
      <c r="AA402" s="62"/>
    </row>
    <row r="403" spans="3:27" ht="16.5" customHeight="1">
      <c r="C403" s="118"/>
      <c r="E403" s="61"/>
      <c r="H403" s="61"/>
      <c r="I403" s="60"/>
      <c r="K403" s="62"/>
      <c r="O403" s="60"/>
      <c r="P403" s="61"/>
      <c r="Q403" s="62"/>
      <c r="R403" s="61"/>
      <c r="S403" s="62"/>
      <c r="T403" s="61"/>
      <c r="U403" s="62"/>
      <c r="V403" s="61"/>
      <c r="W403" s="62"/>
      <c r="X403" s="61"/>
      <c r="Y403" s="62"/>
      <c r="Z403" s="61"/>
      <c r="AA403" s="62"/>
    </row>
    <row r="404" spans="3:27" ht="16.5" customHeight="1">
      <c r="C404" s="118"/>
      <c r="E404" s="61"/>
      <c r="H404" s="61"/>
      <c r="I404" s="60"/>
      <c r="K404" s="62"/>
      <c r="O404" s="60"/>
      <c r="P404" s="61"/>
      <c r="Q404" s="62"/>
      <c r="R404" s="61"/>
      <c r="S404" s="62"/>
      <c r="T404" s="61"/>
      <c r="U404" s="62"/>
      <c r="V404" s="61"/>
      <c r="W404" s="62"/>
      <c r="X404" s="61"/>
      <c r="Y404" s="62"/>
      <c r="Z404" s="61"/>
      <c r="AA404" s="62"/>
    </row>
    <row r="405" spans="3:27" ht="16.5" customHeight="1">
      <c r="C405" s="118"/>
      <c r="E405" s="61"/>
      <c r="H405" s="61"/>
      <c r="I405" s="60"/>
      <c r="K405" s="62"/>
      <c r="O405" s="60"/>
      <c r="P405" s="61"/>
      <c r="Q405" s="62"/>
      <c r="R405" s="61"/>
      <c r="S405" s="62"/>
      <c r="T405" s="61"/>
      <c r="U405" s="62"/>
      <c r="V405" s="61"/>
      <c r="W405" s="62"/>
      <c r="X405" s="61"/>
      <c r="Y405" s="62"/>
      <c r="Z405" s="61"/>
      <c r="AA405" s="62"/>
    </row>
    <row r="406" spans="3:27" ht="16.5" customHeight="1">
      <c r="C406" s="118"/>
      <c r="E406" s="61"/>
      <c r="H406" s="61"/>
      <c r="I406" s="60"/>
      <c r="K406" s="62"/>
      <c r="O406" s="60"/>
      <c r="P406" s="61"/>
      <c r="Q406" s="62"/>
      <c r="R406" s="61"/>
      <c r="S406" s="62"/>
      <c r="T406" s="61"/>
      <c r="U406" s="62"/>
      <c r="V406" s="61"/>
      <c r="W406" s="62"/>
      <c r="X406" s="61"/>
      <c r="Y406" s="62"/>
      <c r="Z406" s="61"/>
      <c r="AA406" s="62"/>
    </row>
    <row r="407" spans="3:27" ht="16.5" customHeight="1">
      <c r="C407" s="118"/>
      <c r="E407" s="61"/>
      <c r="H407" s="61"/>
      <c r="I407" s="60"/>
      <c r="K407" s="62"/>
      <c r="O407" s="60"/>
      <c r="P407" s="61"/>
      <c r="Q407" s="62"/>
      <c r="R407" s="61"/>
      <c r="S407" s="62"/>
      <c r="T407" s="61"/>
      <c r="U407" s="62"/>
      <c r="V407" s="61"/>
      <c r="W407" s="62"/>
      <c r="X407" s="61"/>
      <c r="Y407" s="62"/>
      <c r="Z407" s="61"/>
      <c r="AA407" s="62"/>
    </row>
    <row r="408" spans="3:27" ht="16.5" customHeight="1">
      <c r="C408" s="118"/>
      <c r="E408" s="61"/>
      <c r="H408" s="61"/>
      <c r="I408" s="60"/>
      <c r="K408" s="62"/>
      <c r="O408" s="60"/>
      <c r="P408" s="61"/>
      <c r="Q408" s="62"/>
      <c r="R408" s="61"/>
      <c r="S408" s="62"/>
      <c r="T408" s="61"/>
      <c r="U408" s="62"/>
      <c r="V408" s="61"/>
      <c r="W408" s="62"/>
      <c r="X408" s="61"/>
      <c r="Y408" s="62"/>
      <c r="Z408" s="61"/>
      <c r="AA408" s="62"/>
    </row>
    <row r="409" spans="3:27" ht="16.5" customHeight="1">
      <c r="C409" s="118"/>
      <c r="E409" s="61"/>
      <c r="H409" s="61"/>
      <c r="I409" s="60"/>
      <c r="K409" s="62"/>
      <c r="O409" s="60"/>
      <c r="P409" s="61"/>
      <c r="Q409" s="62"/>
      <c r="R409" s="61"/>
      <c r="S409" s="62"/>
      <c r="T409" s="61"/>
      <c r="U409" s="62"/>
      <c r="V409" s="61"/>
      <c r="W409" s="62"/>
      <c r="X409" s="61"/>
      <c r="Y409" s="62"/>
      <c r="Z409" s="61"/>
      <c r="AA409" s="62"/>
    </row>
    <row r="410" spans="3:27" ht="16.5" customHeight="1">
      <c r="C410" s="118"/>
      <c r="E410" s="61"/>
      <c r="H410" s="61"/>
      <c r="I410" s="60"/>
      <c r="K410" s="62"/>
      <c r="O410" s="60"/>
      <c r="P410" s="61"/>
      <c r="Q410" s="62"/>
      <c r="R410" s="61"/>
      <c r="S410" s="62"/>
      <c r="T410" s="61"/>
      <c r="U410" s="62"/>
      <c r="V410" s="61"/>
      <c r="W410" s="62"/>
      <c r="X410" s="61"/>
      <c r="Y410" s="62"/>
      <c r="Z410" s="61"/>
      <c r="AA410" s="62"/>
    </row>
    <row r="411" spans="3:27" ht="16.5" customHeight="1">
      <c r="C411" s="118"/>
      <c r="E411" s="61"/>
      <c r="H411" s="61"/>
      <c r="I411" s="60"/>
      <c r="K411" s="62"/>
      <c r="O411" s="60"/>
      <c r="P411" s="61"/>
      <c r="Q411" s="62"/>
      <c r="R411" s="61"/>
      <c r="S411" s="62"/>
      <c r="T411" s="61"/>
      <c r="U411" s="62"/>
      <c r="V411" s="61"/>
      <c r="W411" s="62"/>
      <c r="X411" s="61"/>
      <c r="Y411" s="62"/>
      <c r="Z411" s="61"/>
      <c r="AA411" s="62"/>
    </row>
    <row r="412" spans="3:27" ht="16.5" customHeight="1">
      <c r="C412" s="118"/>
      <c r="E412" s="61"/>
      <c r="H412" s="61"/>
      <c r="I412" s="60"/>
      <c r="K412" s="62"/>
      <c r="O412" s="60"/>
      <c r="P412" s="61"/>
      <c r="Q412" s="62"/>
      <c r="R412" s="61"/>
      <c r="S412" s="62"/>
      <c r="T412" s="61"/>
      <c r="U412" s="62"/>
      <c r="V412" s="61"/>
      <c r="W412" s="62"/>
      <c r="X412" s="61"/>
      <c r="Y412" s="62"/>
      <c r="Z412" s="61"/>
      <c r="AA412" s="62"/>
    </row>
    <row r="413" spans="3:27" ht="16.5" customHeight="1">
      <c r="C413" s="118"/>
      <c r="E413" s="61"/>
      <c r="H413" s="61"/>
      <c r="I413" s="60"/>
      <c r="K413" s="62"/>
      <c r="O413" s="60"/>
      <c r="P413" s="61"/>
      <c r="Q413" s="62"/>
      <c r="R413" s="61"/>
      <c r="S413" s="62"/>
      <c r="T413" s="61"/>
      <c r="U413" s="62"/>
      <c r="V413" s="61"/>
      <c r="W413" s="62"/>
      <c r="X413" s="61"/>
      <c r="Y413" s="62"/>
      <c r="Z413" s="61"/>
      <c r="AA413" s="62"/>
    </row>
    <row r="414" spans="3:27" ht="16.5" customHeight="1">
      <c r="C414" s="118"/>
      <c r="E414" s="61"/>
      <c r="H414" s="61"/>
      <c r="I414" s="60"/>
      <c r="K414" s="62"/>
      <c r="O414" s="60"/>
      <c r="P414" s="61"/>
      <c r="Q414" s="62"/>
      <c r="R414" s="61"/>
      <c r="S414" s="62"/>
      <c r="T414" s="61"/>
      <c r="U414" s="62"/>
      <c r="V414" s="61"/>
      <c r="W414" s="62"/>
      <c r="X414" s="61"/>
      <c r="Y414" s="62"/>
      <c r="Z414" s="61"/>
      <c r="AA414" s="62"/>
    </row>
    <row r="415" spans="3:27" ht="16.5" customHeight="1">
      <c r="C415" s="118"/>
      <c r="E415" s="61"/>
      <c r="H415" s="61"/>
      <c r="I415" s="60"/>
      <c r="K415" s="62"/>
      <c r="O415" s="60"/>
      <c r="P415" s="61"/>
      <c r="Q415" s="62"/>
      <c r="R415" s="61"/>
      <c r="S415" s="62"/>
      <c r="T415" s="61"/>
      <c r="U415" s="62"/>
      <c r="V415" s="61"/>
      <c r="W415" s="62"/>
      <c r="X415" s="61"/>
      <c r="Y415" s="62"/>
      <c r="Z415" s="61"/>
      <c r="AA415" s="62"/>
    </row>
    <row r="416" spans="3:27" ht="16.5" customHeight="1">
      <c r="C416" s="118"/>
      <c r="E416" s="61"/>
      <c r="H416" s="61"/>
      <c r="I416" s="60"/>
      <c r="K416" s="62"/>
      <c r="O416" s="60"/>
      <c r="P416" s="61"/>
      <c r="Q416" s="62"/>
      <c r="R416" s="61"/>
      <c r="S416" s="62"/>
      <c r="T416" s="61"/>
      <c r="U416" s="62"/>
      <c r="V416" s="61"/>
      <c r="W416" s="62"/>
      <c r="X416" s="61"/>
      <c r="Y416" s="62"/>
      <c r="Z416" s="61"/>
      <c r="AA416" s="62"/>
    </row>
    <row r="417" spans="3:27" ht="16.5" customHeight="1">
      <c r="C417" s="118"/>
      <c r="E417" s="61"/>
      <c r="H417" s="61"/>
      <c r="I417" s="60"/>
      <c r="K417" s="62"/>
      <c r="O417" s="60"/>
      <c r="P417" s="61"/>
      <c r="Q417" s="62"/>
      <c r="R417" s="61"/>
      <c r="S417" s="62"/>
      <c r="T417" s="61"/>
      <c r="U417" s="62"/>
      <c r="V417" s="61"/>
      <c r="W417" s="62"/>
      <c r="X417" s="61"/>
      <c r="Y417" s="62"/>
      <c r="Z417" s="61"/>
      <c r="AA417" s="62"/>
    </row>
    <row r="418" spans="3:27" ht="16.5" customHeight="1">
      <c r="C418" s="118"/>
      <c r="E418" s="61"/>
      <c r="H418" s="61"/>
      <c r="I418" s="60"/>
      <c r="K418" s="62"/>
      <c r="O418" s="60"/>
      <c r="P418" s="61"/>
      <c r="Q418" s="62"/>
      <c r="R418" s="61"/>
      <c r="S418" s="62"/>
      <c r="T418" s="61"/>
      <c r="U418" s="62"/>
      <c r="V418" s="61"/>
      <c r="W418" s="62"/>
      <c r="X418" s="61"/>
      <c r="Y418" s="62"/>
      <c r="Z418" s="61"/>
      <c r="AA418" s="62"/>
    </row>
    <row r="419" spans="3:27" ht="16.5" customHeight="1">
      <c r="C419" s="118"/>
      <c r="E419" s="61"/>
      <c r="H419" s="61"/>
      <c r="I419" s="60"/>
      <c r="K419" s="62"/>
      <c r="O419" s="60"/>
      <c r="P419" s="61"/>
      <c r="Q419" s="62"/>
      <c r="R419" s="61"/>
      <c r="S419" s="62"/>
      <c r="T419" s="61"/>
      <c r="U419" s="62"/>
      <c r="V419" s="61"/>
      <c r="W419" s="62"/>
      <c r="X419" s="61"/>
      <c r="Y419" s="62"/>
      <c r="Z419" s="61"/>
      <c r="AA419" s="62"/>
    </row>
    <row r="420" spans="3:27" ht="16.5" customHeight="1">
      <c r="C420" s="118"/>
      <c r="E420" s="61"/>
      <c r="H420" s="61"/>
      <c r="I420" s="60"/>
      <c r="K420" s="62"/>
      <c r="O420" s="60"/>
      <c r="P420" s="61"/>
      <c r="Q420" s="62"/>
      <c r="R420" s="61"/>
      <c r="S420" s="62"/>
      <c r="T420" s="61"/>
      <c r="U420" s="62"/>
      <c r="V420" s="61"/>
      <c r="W420" s="62"/>
      <c r="X420" s="61"/>
      <c r="Y420" s="62"/>
      <c r="Z420" s="61"/>
      <c r="AA420" s="62"/>
    </row>
    <row r="421" spans="3:27" ht="16.5" customHeight="1">
      <c r="C421" s="118"/>
      <c r="E421" s="61"/>
      <c r="H421" s="61"/>
      <c r="I421" s="60"/>
      <c r="K421" s="62"/>
      <c r="O421" s="60"/>
      <c r="P421" s="61"/>
      <c r="Q421" s="62"/>
      <c r="R421" s="61"/>
      <c r="S421" s="62"/>
      <c r="T421" s="61"/>
      <c r="U421" s="62"/>
      <c r="V421" s="61"/>
      <c r="W421" s="62"/>
      <c r="X421" s="61"/>
      <c r="Y421" s="62"/>
      <c r="Z421" s="61"/>
      <c r="AA421" s="62"/>
    </row>
    <row r="422" spans="3:27" ht="16.5" customHeight="1">
      <c r="C422" s="118"/>
      <c r="E422" s="61"/>
      <c r="H422" s="61"/>
      <c r="I422" s="60"/>
      <c r="K422" s="62"/>
      <c r="O422" s="60"/>
      <c r="P422" s="61"/>
      <c r="Q422" s="62"/>
      <c r="R422" s="61"/>
      <c r="S422" s="62"/>
      <c r="T422" s="61"/>
      <c r="U422" s="62"/>
      <c r="V422" s="61"/>
      <c r="W422" s="62"/>
      <c r="X422" s="61"/>
      <c r="Y422" s="62"/>
      <c r="Z422" s="61"/>
      <c r="AA422" s="62"/>
    </row>
    <row r="423" spans="3:27" ht="16.5" customHeight="1">
      <c r="C423" s="118"/>
      <c r="E423" s="61"/>
      <c r="H423" s="61"/>
      <c r="I423" s="60"/>
      <c r="K423" s="62"/>
      <c r="O423" s="60"/>
      <c r="P423" s="61"/>
      <c r="Q423" s="62"/>
      <c r="R423" s="61"/>
      <c r="S423" s="62"/>
      <c r="T423" s="61"/>
      <c r="U423" s="62"/>
      <c r="V423" s="61"/>
      <c r="W423" s="62"/>
      <c r="X423" s="61"/>
      <c r="Y423" s="62"/>
      <c r="Z423" s="61"/>
      <c r="AA423" s="62"/>
    </row>
    <row r="424" spans="3:27" ht="16.5" customHeight="1">
      <c r="C424" s="118"/>
      <c r="E424" s="61"/>
      <c r="H424" s="61"/>
      <c r="I424" s="60"/>
      <c r="K424" s="62"/>
      <c r="O424" s="60"/>
      <c r="P424" s="61"/>
      <c r="Q424" s="62"/>
      <c r="R424" s="61"/>
      <c r="S424" s="62"/>
      <c r="T424" s="61"/>
      <c r="U424" s="62"/>
      <c r="V424" s="61"/>
      <c r="W424" s="62"/>
      <c r="X424" s="61"/>
      <c r="Y424" s="62"/>
      <c r="Z424" s="61"/>
      <c r="AA424" s="62"/>
    </row>
    <row r="425" spans="3:27" ht="16.5" customHeight="1">
      <c r="C425" s="118"/>
      <c r="E425" s="61"/>
      <c r="H425" s="61"/>
      <c r="I425" s="60"/>
      <c r="K425" s="62"/>
      <c r="O425" s="60"/>
      <c r="P425" s="61"/>
      <c r="Q425" s="62"/>
      <c r="R425" s="61"/>
      <c r="S425" s="62"/>
      <c r="T425" s="61"/>
      <c r="U425" s="62"/>
      <c r="V425" s="61"/>
      <c r="W425" s="62"/>
      <c r="X425" s="61"/>
      <c r="Y425" s="62"/>
      <c r="Z425" s="61"/>
      <c r="AA425" s="62"/>
    </row>
    <row r="426" spans="3:27" ht="16.5" customHeight="1">
      <c r="C426" s="118"/>
      <c r="E426" s="61"/>
      <c r="H426" s="61"/>
      <c r="I426" s="60"/>
      <c r="K426" s="62"/>
      <c r="O426" s="60"/>
      <c r="P426" s="61"/>
      <c r="Q426" s="62"/>
      <c r="R426" s="61"/>
      <c r="S426" s="62"/>
      <c r="T426" s="61"/>
      <c r="U426" s="62"/>
      <c r="V426" s="61"/>
      <c r="W426" s="62"/>
      <c r="X426" s="61"/>
      <c r="Y426" s="62"/>
      <c r="Z426" s="61"/>
      <c r="AA426" s="62"/>
    </row>
    <row r="427" spans="3:27" ht="16.5" customHeight="1">
      <c r="C427" s="118"/>
      <c r="E427" s="61"/>
      <c r="H427" s="61"/>
      <c r="I427" s="60"/>
      <c r="K427" s="62"/>
      <c r="O427" s="60"/>
      <c r="P427" s="61"/>
      <c r="Q427" s="62"/>
      <c r="R427" s="61"/>
      <c r="S427" s="62"/>
      <c r="T427" s="61"/>
      <c r="U427" s="62"/>
      <c r="V427" s="61"/>
      <c r="W427" s="62"/>
      <c r="X427" s="61"/>
      <c r="Y427" s="62"/>
      <c r="Z427" s="61"/>
      <c r="AA427" s="62"/>
    </row>
    <row r="428" spans="3:27" ht="16.5" customHeight="1">
      <c r="C428" s="118"/>
      <c r="E428" s="61"/>
      <c r="H428" s="61"/>
      <c r="I428" s="60"/>
      <c r="K428" s="62"/>
      <c r="O428" s="60"/>
      <c r="P428" s="61"/>
      <c r="Q428" s="62"/>
      <c r="R428" s="61"/>
      <c r="S428" s="62"/>
      <c r="T428" s="61"/>
      <c r="U428" s="62"/>
      <c r="V428" s="61"/>
      <c r="W428" s="62"/>
      <c r="X428" s="61"/>
      <c r="Y428" s="62"/>
      <c r="Z428" s="61"/>
      <c r="AA428" s="62"/>
    </row>
    <row r="429" spans="3:27" ht="16.5" customHeight="1">
      <c r="C429" s="118"/>
      <c r="E429" s="61"/>
      <c r="H429" s="61"/>
      <c r="I429" s="60"/>
      <c r="K429" s="62"/>
      <c r="O429" s="60"/>
      <c r="P429" s="61"/>
      <c r="Q429" s="62"/>
      <c r="R429" s="61"/>
      <c r="S429" s="62"/>
      <c r="T429" s="61"/>
      <c r="U429" s="62"/>
      <c r="V429" s="61"/>
      <c r="W429" s="62"/>
      <c r="X429" s="61"/>
      <c r="Y429" s="62"/>
      <c r="Z429" s="61"/>
      <c r="AA429" s="62"/>
    </row>
    <row r="430" spans="3:27" ht="16.5" customHeight="1">
      <c r="C430" s="118"/>
      <c r="E430" s="61"/>
      <c r="H430" s="61"/>
      <c r="I430" s="60"/>
      <c r="K430" s="62"/>
      <c r="O430" s="60"/>
      <c r="P430" s="61"/>
      <c r="Q430" s="62"/>
      <c r="R430" s="61"/>
      <c r="S430" s="62"/>
      <c r="T430" s="61"/>
      <c r="U430" s="62"/>
      <c r="V430" s="61"/>
      <c r="W430" s="62"/>
      <c r="X430" s="61"/>
      <c r="Y430" s="62"/>
      <c r="Z430" s="61"/>
      <c r="AA430" s="62"/>
    </row>
    <row r="431" spans="3:27" ht="16.5" customHeight="1">
      <c r="C431" s="118"/>
      <c r="E431" s="61"/>
      <c r="H431" s="61"/>
      <c r="I431" s="60"/>
      <c r="K431" s="62"/>
      <c r="O431" s="60"/>
      <c r="P431" s="61"/>
      <c r="Q431" s="62"/>
      <c r="R431" s="61"/>
      <c r="S431" s="62"/>
      <c r="T431" s="61"/>
      <c r="U431" s="62"/>
      <c r="V431" s="61"/>
      <c r="W431" s="62"/>
      <c r="X431" s="61"/>
      <c r="Y431" s="62"/>
      <c r="Z431" s="61"/>
      <c r="AA431" s="62"/>
    </row>
    <row r="432" spans="3:27" ht="16.5" customHeight="1">
      <c r="C432" s="118"/>
      <c r="E432" s="61"/>
      <c r="H432" s="61"/>
      <c r="I432" s="60"/>
      <c r="K432" s="62"/>
      <c r="O432" s="60"/>
      <c r="P432" s="61"/>
      <c r="Q432" s="62"/>
      <c r="R432" s="61"/>
      <c r="S432" s="62"/>
      <c r="T432" s="61"/>
      <c r="U432" s="62"/>
      <c r="V432" s="61"/>
      <c r="W432" s="62"/>
      <c r="X432" s="61"/>
      <c r="Y432" s="62"/>
      <c r="Z432" s="61"/>
      <c r="AA432" s="62"/>
    </row>
    <row r="433" spans="3:27" ht="16.5" customHeight="1">
      <c r="C433" s="118"/>
      <c r="E433" s="61"/>
      <c r="H433" s="61"/>
      <c r="I433" s="60"/>
      <c r="K433" s="62"/>
      <c r="O433" s="60"/>
      <c r="P433" s="61"/>
      <c r="Q433" s="62"/>
      <c r="R433" s="61"/>
      <c r="S433" s="62"/>
      <c r="T433" s="61"/>
      <c r="U433" s="62"/>
      <c r="V433" s="61"/>
      <c r="W433" s="62"/>
      <c r="X433" s="61"/>
      <c r="Y433" s="62"/>
      <c r="Z433" s="61"/>
      <c r="AA433" s="62"/>
    </row>
    <row r="434" spans="3:27" ht="16.5" customHeight="1">
      <c r="C434" s="118"/>
      <c r="E434" s="61"/>
      <c r="H434" s="61"/>
      <c r="I434" s="60"/>
      <c r="K434" s="62"/>
      <c r="O434" s="60"/>
      <c r="P434" s="61"/>
      <c r="Q434" s="62"/>
      <c r="R434" s="61"/>
      <c r="S434" s="62"/>
      <c r="T434" s="61"/>
      <c r="U434" s="62"/>
      <c r="V434" s="61"/>
      <c r="W434" s="62"/>
      <c r="X434" s="61"/>
      <c r="Y434" s="62"/>
      <c r="Z434" s="61"/>
      <c r="AA434" s="62"/>
    </row>
    <row r="435" spans="3:27" ht="16.5" customHeight="1">
      <c r="C435" s="118"/>
      <c r="E435" s="61"/>
      <c r="H435" s="61"/>
      <c r="I435" s="60"/>
      <c r="K435" s="62"/>
      <c r="O435" s="60"/>
      <c r="P435" s="61"/>
      <c r="Q435" s="62"/>
      <c r="R435" s="61"/>
      <c r="S435" s="62"/>
      <c r="T435" s="61"/>
      <c r="U435" s="62"/>
      <c r="V435" s="61"/>
      <c r="W435" s="62"/>
      <c r="X435" s="61"/>
      <c r="Y435" s="62"/>
      <c r="Z435" s="61"/>
      <c r="AA435" s="62"/>
    </row>
    <row r="436" spans="3:27" ht="16.5" customHeight="1">
      <c r="C436" s="118"/>
      <c r="E436" s="61"/>
      <c r="H436" s="61"/>
      <c r="I436" s="60"/>
      <c r="K436" s="62"/>
      <c r="O436" s="60"/>
      <c r="P436" s="61"/>
      <c r="Q436" s="62"/>
      <c r="R436" s="61"/>
      <c r="S436" s="62"/>
      <c r="T436" s="61"/>
      <c r="U436" s="62"/>
      <c r="V436" s="61"/>
      <c r="W436" s="62"/>
      <c r="X436" s="61"/>
      <c r="Y436" s="62"/>
      <c r="Z436" s="61"/>
      <c r="AA436" s="62"/>
    </row>
    <row r="437" spans="3:27" ht="16.5" customHeight="1">
      <c r="C437" s="118"/>
      <c r="E437" s="61"/>
      <c r="H437" s="61"/>
      <c r="I437" s="60"/>
      <c r="K437" s="62"/>
      <c r="O437" s="60"/>
      <c r="P437" s="61"/>
      <c r="Q437" s="62"/>
      <c r="R437" s="61"/>
      <c r="S437" s="62"/>
      <c r="T437" s="61"/>
      <c r="U437" s="62"/>
      <c r="V437" s="61"/>
      <c r="W437" s="62"/>
      <c r="X437" s="61"/>
      <c r="Y437" s="62"/>
      <c r="Z437" s="61"/>
      <c r="AA437" s="62"/>
    </row>
    <row r="438" spans="3:27" ht="16.5" customHeight="1">
      <c r="C438" s="118"/>
      <c r="E438" s="61"/>
      <c r="H438" s="61"/>
      <c r="I438" s="60"/>
      <c r="K438" s="62"/>
      <c r="O438" s="60"/>
      <c r="P438" s="61"/>
      <c r="Q438" s="62"/>
      <c r="R438" s="61"/>
      <c r="S438" s="62"/>
      <c r="T438" s="61"/>
      <c r="U438" s="62"/>
      <c r="V438" s="61"/>
      <c r="W438" s="62"/>
      <c r="X438" s="61"/>
      <c r="Y438" s="62"/>
      <c r="Z438" s="61"/>
      <c r="AA438" s="62"/>
    </row>
    <row r="439" spans="3:27" ht="16.5" customHeight="1">
      <c r="C439" s="118"/>
      <c r="E439" s="61"/>
      <c r="H439" s="61"/>
      <c r="I439" s="60"/>
      <c r="K439" s="62"/>
      <c r="O439" s="60"/>
      <c r="P439" s="61"/>
      <c r="Q439" s="62"/>
      <c r="R439" s="61"/>
      <c r="S439" s="62"/>
      <c r="T439" s="61"/>
      <c r="U439" s="62"/>
      <c r="V439" s="61"/>
      <c r="W439" s="62"/>
      <c r="X439" s="61"/>
      <c r="Y439" s="62"/>
      <c r="Z439" s="61"/>
      <c r="AA439" s="62"/>
    </row>
    <row r="440" spans="3:27" ht="16.5" customHeight="1">
      <c r="C440" s="118"/>
      <c r="E440" s="61"/>
      <c r="H440" s="61"/>
      <c r="I440" s="60"/>
      <c r="K440" s="62"/>
      <c r="O440" s="60"/>
      <c r="P440" s="61"/>
      <c r="Q440" s="62"/>
      <c r="R440" s="61"/>
      <c r="S440" s="62"/>
      <c r="T440" s="61"/>
      <c r="U440" s="62"/>
      <c r="V440" s="61"/>
      <c r="W440" s="62"/>
      <c r="X440" s="61"/>
      <c r="Y440" s="62"/>
      <c r="Z440" s="61"/>
      <c r="AA440" s="62"/>
    </row>
    <row r="441" spans="3:27" ht="16.5" customHeight="1">
      <c r="C441" s="118"/>
      <c r="E441" s="61"/>
      <c r="H441" s="61"/>
      <c r="I441" s="60"/>
      <c r="K441" s="62"/>
      <c r="O441" s="60"/>
      <c r="P441" s="61"/>
      <c r="Q441" s="62"/>
      <c r="R441" s="61"/>
      <c r="S441" s="62"/>
      <c r="T441" s="61"/>
      <c r="U441" s="62"/>
      <c r="V441" s="61"/>
      <c r="W441" s="62"/>
      <c r="X441" s="61"/>
      <c r="Y441" s="62"/>
      <c r="Z441" s="61"/>
      <c r="AA441" s="62"/>
    </row>
    <row r="442" spans="3:27" ht="16.5" customHeight="1">
      <c r="C442" s="118"/>
      <c r="E442" s="61"/>
      <c r="H442" s="61"/>
      <c r="I442" s="60"/>
      <c r="K442" s="62"/>
      <c r="O442" s="60"/>
      <c r="P442" s="61"/>
      <c r="Q442" s="62"/>
      <c r="R442" s="61"/>
      <c r="S442" s="62"/>
      <c r="T442" s="61"/>
      <c r="U442" s="62"/>
      <c r="V442" s="61"/>
      <c r="W442" s="62"/>
      <c r="X442" s="61"/>
      <c r="Y442" s="62"/>
      <c r="Z442" s="61"/>
      <c r="AA442" s="62"/>
    </row>
    <row r="443" spans="3:27" ht="16.5" customHeight="1">
      <c r="C443" s="118"/>
      <c r="E443" s="61"/>
      <c r="H443" s="61"/>
      <c r="I443" s="60"/>
      <c r="K443" s="62"/>
      <c r="O443" s="60"/>
      <c r="P443" s="61"/>
      <c r="Q443" s="62"/>
      <c r="R443" s="61"/>
      <c r="S443" s="62"/>
      <c r="T443" s="61"/>
      <c r="U443" s="62"/>
      <c r="V443" s="61"/>
      <c r="W443" s="62"/>
      <c r="X443" s="61"/>
      <c r="Y443" s="62"/>
      <c r="Z443" s="61"/>
      <c r="AA443" s="62"/>
    </row>
    <row r="444" spans="3:27" ht="16.5" customHeight="1">
      <c r="C444" s="118"/>
      <c r="E444" s="61"/>
      <c r="H444" s="61"/>
      <c r="I444" s="60"/>
      <c r="K444" s="62"/>
      <c r="O444" s="60"/>
      <c r="P444" s="61"/>
      <c r="Q444" s="62"/>
      <c r="R444" s="61"/>
      <c r="S444" s="62"/>
      <c r="T444" s="61"/>
      <c r="U444" s="62"/>
      <c r="V444" s="61"/>
      <c r="W444" s="62"/>
      <c r="X444" s="61"/>
      <c r="Y444" s="62"/>
      <c r="Z444" s="61"/>
      <c r="AA444" s="62"/>
    </row>
    <row r="445" spans="3:27" ht="16.5" customHeight="1">
      <c r="C445" s="118"/>
      <c r="E445" s="61"/>
      <c r="H445" s="61"/>
      <c r="I445" s="60"/>
      <c r="K445" s="62"/>
      <c r="O445" s="60"/>
      <c r="P445" s="61"/>
      <c r="Q445" s="62"/>
      <c r="R445" s="61"/>
      <c r="S445" s="62"/>
      <c r="T445" s="61"/>
      <c r="U445" s="62"/>
      <c r="V445" s="61"/>
      <c r="W445" s="62"/>
      <c r="X445" s="61"/>
      <c r="Y445" s="62"/>
      <c r="Z445" s="61"/>
      <c r="AA445" s="62"/>
    </row>
    <row r="446" spans="3:27" ht="16.5" customHeight="1">
      <c r="C446" s="118"/>
      <c r="E446" s="61"/>
      <c r="H446" s="61"/>
      <c r="I446" s="60"/>
      <c r="K446" s="62"/>
      <c r="O446" s="60"/>
      <c r="P446" s="61"/>
      <c r="Q446" s="62"/>
      <c r="R446" s="61"/>
      <c r="S446" s="62"/>
      <c r="T446" s="61"/>
      <c r="U446" s="62"/>
      <c r="V446" s="61"/>
      <c r="W446" s="62"/>
      <c r="X446" s="61"/>
      <c r="Y446" s="62"/>
      <c r="Z446" s="61"/>
      <c r="AA446" s="62"/>
    </row>
    <row r="447" spans="3:27" ht="16.5" customHeight="1">
      <c r="C447" s="118"/>
      <c r="E447" s="61"/>
      <c r="H447" s="61"/>
      <c r="I447" s="60"/>
      <c r="K447" s="62"/>
      <c r="O447" s="60"/>
      <c r="P447" s="61"/>
      <c r="Q447" s="62"/>
      <c r="R447" s="61"/>
      <c r="S447" s="62"/>
      <c r="T447" s="61"/>
      <c r="U447" s="62"/>
      <c r="V447" s="61"/>
      <c r="W447" s="62"/>
      <c r="X447" s="61"/>
      <c r="Y447" s="62"/>
      <c r="Z447" s="61"/>
      <c r="AA447" s="62"/>
    </row>
    <row r="448" spans="3:27" ht="16.5" customHeight="1">
      <c r="C448" s="118"/>
      <c r="E448" s="61"/>
      <c r="H448" s="61"/>
      <c r="I448" s="60"/>
      <c r="K448" s="62"/>
      <c r="O448" s="60"/>
      <c r="P448" s="61"/>
      <c r="Q448" s="62"/>
      <c r="R448" s="61"/>
      <c r="S448" s="62"/>
      <c r="T448" s="61"/>
      <c r="U448" s="62"/>
      <c r="V448" s="61"/>
      <c r="W448" s="62"/>
      <c r="X448" s="61"/>
      <c r="Y448" s="62"/>
      <c r="Z448" s="61"/>
      <c r="AA448" s="62"/>
    </row>
    <row r="449" spans="3:27" ht="16.5" customHeight="1">
      <c r="C449" s="118"/>
      <c r="E449" s="61"/>
      <c r="H449" s="61"/>
      <c r="I449" s="60"/>
      <c r="K449" s="62"/>
      <c r="O449" s="60"/>
      <c r="P449" s="61"/>
      <c r="Q449" s="62"/>
      <c r="R449" s="61"/>
      <c r="S449" s="62"/>
      <c r="T449" s="61"/>
      <c r="U449" s="62"/>
      <c r="V449" s="61"/>
      <c r="W449" s="62"/>
      <c r="X449" s="61"/>
      <c r="Y449" s="62"/>
      <c r="Z449" s="61"/>
      <c r="AA449" s="62"/>
    </row>
    <row r="450" spans="3:27" ht="16.5" customHeight="1">
      <c r="C450" s="118"/>
      <c r="E450" s="61"/>
      <c r="H450" s="61"/>
      <c r="I450" s="60"/>
      <c r="K450" s="62"/>
      <c r="O450" s="60"/>
      <c r="P450" s="61"/>
      <c r="Q450" s="62"/>
      <c r="R450" s="61"/>
      <c r="S450" s="62"/>
      <c r="T450" s="61"/>
      <c r="U450" s="62"/>
      <c r="V450" s="61"/>
      <c r="W450" s="62"/>
      <c r="X450" s="61"/>
      <c r="Y450" s="62"/>
      <c r="Z450" s="61"/>
      <c r="AA450" s="62"/>
    </row>
    <row r="451" spans="3:27" ht="16.5" customHeight="1">
      <c r="C451" s="118"/>
      <c r="E451" s="61"/>
      <c r="H451" s="61"/>
      <c r="I451" s="60"/>
      <c r="K451" s="62"/>
      <c r="O451" s="60"/>
      <c r="P451" s="61"/>
      <c r="Q451" s="62"/>
      <c r="R451" s="61"/>
      <c r="S451" s="62"/>
      <c r="T451" s="61"/>
      <c r="U451" s="62"/>
      <c r="V451" s="61"/>
      <c r="W451" s="62"/>
      <c r="X451" s="61"/>
      <c r="Y451" s="62"/>
      <c r="Z451" s="61"/>
      <c r="AA451" s="62"/>
    </row>
    <row r="452" spans="3:27" ht="16.5" customHeight="1">
      <c r="C452" s="118"/>
      <c r="E452" s="61"/>
      <c r="H452" s="61"/>
      <c r="I452" s="60"/>
      <c r="K452" s="62"/>
      <c r="O452" s="60"/>
      <c r="P452" s="61"/>
      <c r="Q452" s="62"/>
      <c r="R452" s="61"/>
      <c r="S452" s="62"/>
      <c r="T452" s="61"/>
      <c r="U452" s="62"/>
      <c r="V452" s="61"/>
      <c r="W452" s="62"/>
      <c r="X452" s="61"/>
      <c r="Y452" s="62"/>
      <c r="Z452" s="61"/>
      <c r="AA452" s="62"/>
    </row>
    <row r="453" spans="3:27" ht="16.5" customHeight="1">
      <c r="C453" s="118"/>
      <c r="E453" s="61"/>
      <c r="H453" s="61"/>
      <c r="I453" s="60"/>
      <c r="K453" s="62"/>
      <c r="O453" s="60"/>
      <c r="P453" s="61"/>
      <c r="Q453" s="62"/>
      <c r="R453" s="61"/>
      <c r="S453" s="62"/>
      <c r="T453" s="61"/>
      <c r="U453" s="62"/>
      <c r="V453" s="61"/>
      <c r="W453" s="62"/>
      <c r="X453" s="61"/>
      <c r="Y453" s="62"/>
      <c r="Z453" s="61"/>
      <c r="AA453" s="62"/>
    </row>
    <row r="454" spans="3:27" ht="16.5" customHeight="1">
      <c r="C454" s="118"/>
      <c r="E454" s="61"/>
      <c r="H454" s="61"/>
      <c r="I454" s="60"/>
      <c r="K454" s="62"/>
      <c r="O454" s="60"/>
      <c r="P454" s="61"/>
      <c r="Q454" s="62"/>
      <c r="R454" s="61"/>
      <c r="S454" s="62"/>
      <c r="T454" s="61"/>
      <c r="U454" s="62"/>
      <c r="V454" s="61"/>
      <c r="W454" s="62"/>
      <c r="X454" s="61"/>
      <c r="Y454" s="62"/>
      <c r="Z454" s="61"/>
      <c r="AA454" s="62"/>
    </row>
    <row r="455" spans="3:27" ht="16.5" customHeight="1">
      <c r="C455" s="118"/>
      <c r="E455" s="61"/>
      <c r="H455" s="61"/>
      <c r="I455" s="60"/>
      <c r="K455" s="62"/>
      <c r="O455" s="60"/>
      <c r="P455" s="61"/>
      <c r="Q455" s="62"/>
      <c r="R455" s="61"/>
      <c r="S455" s="62"/>
      <c r="T455" s="61"/>
      <c r="U455" s="62"/>
      <c r="V455" s="61"/>
      <c r="W455" s="62"/>
      <c r="X455" s="61"/>
      <c r="Y455" s="62"/>
      <c r="Z455" s="61"/>
      <c r="AA455" s="62"/>
    </row>
    <row r="456" spans="3:27" ht="16.5" customHeight="1">
      <c r="C456" s="118"/>
      <c r="E456" s="61"/>
      <c r="H456" s="61"/>
      <c r="I456" s="60"/>
      <c r="K456" s="62"/>
      <c r="O456" s="60"/>
      <c r="P456" s="61"/>
      <c r="Q456" s="62"/>
      <c r="R456" s="61"/>
      <c r="S456" s="62"/>
      <c r="T456" s="61"/>
      <c r="U456" s="62"/>
      <c r="V456" s="61"/>
      <c r="W456" s="62"/>
      <c r="X456" s="61"/>
      <c r="Y456" s="62"/>
      <c r="Z456" s="61"/>
      <c r="AA456" s="62"/>
    </row>
    <row r="457" spans="3:27" ht="16.5" customHeight="1">
      <c r="C457" s="118"/>
      <c r="E457" s="61"/>
      <c r="H457" s="61"/>
      <c r="I457" s="60"/>
      <c r="K457" s="62"/>
      <c r="O457" s="60"/>
      <c r="P457" s="61"/>
      <c r="Q457" s="62"/>
      <c r="R457" s="61"/>
      <c r="S457" s="62"/>
      <c r="T457" s="61"/>
      <c r="U457" s="62"/>
      <c r="V457" s="61"/>
      <c r="W457" s="62"/>
      <c r="X457" s="61"/>
      <c r="Y457" s="62"/>
      <c r="Z457" s="61"/>
      <c r="AA457" s="62"/>
    </row>
    <row r="458" spans="3:27" ht="16.5" customHeight="1">
      <c r="C458" s="118"/>
      <c r="E458" s="61"/>
      <c r="H458" s="61"/>
      <c r="I458" s="60"/>
      <c r="K458" s="62"/>
      <c r="O458" s="60"/>
      <c r="P458" s="61"/>
      <c r="Q458" s="62"/>
      <c r="R458" s="61"/>
      <c r="S458" s="62"/>
      <c r="T458" s="61"/>
      <c r="U458" s="62"/>
      <c r="V458" s="61"/>
      <c r="W458" s="62"/>
      <c r="X458" s="61"/>
      <c r="Y458" s="62"/>
      <c r="Z458" s="61"/>
      <c r="AA458" s="62"/>
    </row>
    <row r="459" spans="3:27" ht="16.5" customHeight="1">
      <c r="C459" s="118"/>
      <c r="E459" s="61"/>
      <c r="H459" s="61"/>
      <c r="I459" s="60"/>
      <c r="K459" s="62"/>
      <c r="O459" s="60"/>
      <c r="P459" s="61"/>
      <c r="Q459" s="62"/>
      <c r="R459" s="61"/>
      <c r="S459" s="62"/>
      <c r="T459" s="61"/>
      <c r="U459" s="62"/>
      <c r="V459" s="61"/>
      <c r="W459" s="62"/>
      <c r="X459" s="61"/>
      <c r="Y459" s="62"/>
      <c r="Z459" s="61"/>
      <c r="AA459" s="62"/>
    </row>
    <row r="460" spans="3:27" ht="16.5" customHeight="1">
      <c r="C460" s="118"/>
      <c r="E460" s="61"/>
      <c r="H460" s="61"/>
      <c r="I460" s="60"/>
      <c r="K460" s="62"/>
      <c r="O460" s="60"/>
      <c r="P460" s="61"/>
      <c r="Q460" s="62"/>
      <c r="R460" s="61"/>
      <c r="S460" s="62"/>
      <c r="T460" s="61"/>
      <c r="U460" s="62"/>
      <c r="V460" s="61"/>
      <c r="W460" s="62"/>
      <c r="X460" s="61"/>
      <c r="Y460" s="62"/>
      <c r="Z460" s="61"/>
      <c r="AA460" s="62"/>
    </row>
    <row r="461" spans="3:27" ht="16.5" customHeight="1">
      <c r="C461" s="118"/>
      <c r="E461" s="61"/>
      <c r="H461" s="61"/>
      <c r="I461" s="60"/>
      <c r="K461" s="62"/>
      <c r="O461" s="60"/>
      <c r="P461" s="61"/>
      <c r="Q461" s="62"/>
      <c r="R461" s="61"/>
      <c r="S461" s="62"/>
      <c r="T461" s="61"/>
      <c r="U461" s="62"/>
      <c r="V461" s="61"/>
      <c r="W461" s="62"/>
      <c r="X461" s="61"/>
      <c r="Y461" s="62"/>
      <c r="Z461" s="61"/>
      <c r="AA461" s="62"/>
    </row>
    <row r="462" spans="3:27" ht="16.5" customHeight="1">
      <c r="C462" s="118"/>
      <c r="E462" s="61"/>
      <c r="H462" s="61"/>
      <c r="I462" s="60"/>
      <c r="K462" s="62"/>
      <c r="O462" s="60"/>
      <c r="P462" s="61"/>
      <c r="Q462" s="62"/>
      <c r="R462" s="61"/>
      <c r="S462" s="62"/>
      <c r="T462" s="61"/>
      <c r="U462" s="62"/>
      <c r="V462" s="61"/>
      <c r="W462" s="62"/>
      <c r="X462" s="61"/>
      <c r="Y462" s="62"/>
      <c r="Z462" s="61"/>
      <c r="AA462" s="62"/>
    </row>
    <row r="463" spans="3:27" ht="16.5" customHeight="1">
      <c r="C463" s="118"/>
      <c r="E463" s="61"/>
      <c r="H463" s="61"/>
      <c r="I463" s="60"/>
      <c r="K463" s="62"/>
      <c r="O463" s="60"/>
      <c r="P463" s="61"/>
      <c r="Q463" s="62"/>
      <c r="R463" s="61"/>
      <c r="S463" s="62"/>
      <c r="T463" s="61"/>
      <c r="U463" s="62"/>
      <c r="V463" s="61"/>
      <c r="W463" s="62"/>
      <c r="X463" s="61"/>
      <c r="Y463" s="62"/>
      <c r="Z463" s="61"/>
      <c r="AA463" s="62"/>
    </row>
    <row r="464" spans="3:27" ht="16.5" customHeight="1">
      <c r="C464" s="118"/>
      <c r="E464" s="61"/>
      <c r="H464" s="61"/>
      <c r="I464" s="60"/>
      <c r="K464" s="62"/>
      <c r="O464" s="60"/>
      <c r="P464" s="61"/>
      <c r="Q464" s="62"/>
      <c r="R464" s="61"/>
      <c r="S464" s="62"/>
      <c r="T464" s="61"/>
      <c r="U464" s="62"/>
      <c r="V464" s="61"/>
      <c r="W464" s="62"/>
      <c r="X464" s="61"/>
      <c r="Y464" s="62"/>
      <c r="Z464" s="61"/>
      <c r="AA464" s="62"/>
    </row>
    <row r="465" spans="3:27" ht="16.5" customHeight="1">
      <c r="C465" s="118"/>
      <c r="E465" s="61"/>
      <c r="H465" s="61"/>
      <c r="I465" s="60"/>
      <c r="K465" s="62"/>
      <c r="O465" s="60"/>
      <c r="P465" s="61"/>
      <c r="Q465" s="62"/>
      <c r="R465" s="61"/>
      <c r="S465" s="62"/>
      <c r="T465" s="61"/>
      <c r="U465" s="62"/>
      <c r="V465" s="61"/>
      <c r="W465" s="62"/>
      <c r="X465" s="61"/>
      <c r="Y465" s="62"/>
      <c r="Z465" s="61"/>
      <c r="AA465" s="62"/>
    </row>
    <row r="466" spans="3:27" ht="16.5" customHeight="1">
      <c r="C466" s="118"/>
      <c r="E466" s="61"/>
      <c r="H466" s="61"/>
      <c r="I466" s="60"/>
      <c r="K466" s="62"/>
      <c r="O466" s="60"/>
      <c r="P466" s="61"/>
      <c r="Q466" s="62"/>
      <c r="R466" s="61"/>
      <c r="S466" s="62"/>
      <c r="T466" s="61"/>
      <c r="U466" s="62"/>
      <c r="V466" s="61"/>
      <c r="W466" s="62"/>
      <c r="X466" s="61"/>
      <c r="Y466" s="62"/>
      <c r="Z466" s="61"/>
      <c r="AA466" s="62"/>
    </row>
    <row r="467" spans="3:27" ht="16.5" customHeight="1">
      <c r="C467" s="118"/>
      <c r="E467" s="61"/>
      <c r="H467" s="61"/>
      <c r="I467" s="60"/>
      <c r="K467" s="62"/>
      <c r="O467" s="60"/>
      <c r="P467" s="61"/>
      <c r="Q467" s="62"/>
      <c r="R467" s="61"/>
      <c r="S467" s="62"/>
      <c r="T467" s="61"/>
      <c r="U467" s="62"/>
      <c r="V467" s="61"/>
      <c r="W467" s="62"/>
      <c r="X467" s="61"/>
      <c r="Y467" s="62"/>
      <c r="Z467" s="61"/>
      <c r="AA467" s="62"/>
    </row>
    <row r="468" spans="3:27" ht="16.5" customHeight="1">
      <c r="C468" s="118"/>
      <c r="E468" s="61"/>
      <c r="H468" s="61"/>
      <c r="I468" s="60"/>
      <c r="K468" s="62"/>
      <c r="O468" s="60"/>
      <c r="P468" s="61"/>
      <c r="Q468" s="62"/>
      <c r="R468" s="61"/>
      <c r="S468" s="62"/>
      <c r="T468" s="61"/>
      <c r="U468" s="62"/>
      <c r="V468" s="61"/>
      <c r="W468" s="62"/>
      <c r="X468" s="61"/>
      <c r="Y468" s="62"/>
      <c r="Z468" s="61"/>
      <c r="AA468" s="62"/>
    </row>
    <row r="469" spans="3:27" ht="16.5" customHeight="1">
      <c r="C469" s="118"/>
      <c r="E469" s="61"/>
      <c r="H469" s="61"/>
      <c r="I469" s="60"/>
      <c r="K469" s="62"/>
      <c r="O469" s="60"/>
      <c r="P469" s="61"/>
      <c r="Q469" s="62"/>
      <c r="R469" s="61"/>
      <c r="S469" s="62"/>
      <c r="T469" s="61"/>
      <c r="U469" s="62"/>
      <c r="V469" s="61"/>
      <c r="W469" s="62"/>
      <c r="X469" s="61"/>
      <c r="Y469" s="62"/>
      <c r="Z469" s="61"/>
      <c r="AA469" s="62"/>
    </row>
    <row r="470" spans="3:27" ht="16.5" customHeight="1">
      <c r="C470" s="118"/>
      <c r="E470" s="61"/>
      <c r="H470" s="61"/>
      <c r="I470" s="60"/>
      <c r="K470" s="62"/>
      <c r="O470" s="60"/>
      <c r="P470" s="61"/>
      <c r="Q470" s="62"/>
      <c r="R470" s="61"/>
      <c r="S470" s="62"/>
      <c r="T470" s="61"/>
      <c r="U470" s="62"/>
      <c r="V470" s="61"/>
      <c r="W470" s="62"/>
      <c r="X470" s="61"/>
      <c r="Y470" s="62"/>
      <c r="Z470" s="61"/>
      <c r="AA470" s="62"/>
    </row>
    <row r="471" spans="3:27" ht="16.5" customHeight="1">
      <c r="C471" s="118"/>
      <c r="E471" s="61"/>
      <c r="H471" s="61"/>
      <c r="I471" s="60"/>
      <c r="K471" s="62"/>
      <c r="O471" s="60"/>
      <c r="P471" s="61"/>
      <c r="Q471" s="62"/>
      <c r="R471" s="61"/>
      <c r="S471" s="62"/>
      <c r="T471" s="61"/>
      <c r="U471" s="62"/>
      <c r="V471" s="61"/>
      <c r="W471" s="62"/>
      <c r="X471" s="61"/>
      <c r="Y471" s="62"/>
      <c r="Z471" s="61"/>
      <c r="AA471" s="62"/>
    </row>
    <row r="472" spans="3:27" ht="16.5" customHeight="1">
      <c r="C472" s="118"/>
      <c r="E472" s="61"/>
      <c r="H472" s="61"/>
      <c r="I472" s="60"/>
      <c r="K472" s="62"/>
      <c r="O472" s="60"/>
      <c r="P472" s="61"/>
      <c r="Q472" s="62"/>
      <c r="R472" s="61"/>
      <c r="S472" s="62"/>
      <c r="T472" s="61"/>
      <c r="U472" s="62"/>
      <c r="V472" s="61"/>
      <c r="W472" s="62"/>
      <c r="X472" s="61"/>
      <c r="Y472" s="62"/>
      <c r="Z472" s="61"/>
      <c r="AA472" s="62"/>
    </row>
    <row r="473" spans="3:27" ht="16.5" customHeight="1">
      <c r="C473" s="118"/>
      <c r="E473" s="61"/>
      <c r="H473" s="61"/>
      <c r="I473" s="60"/>
      <c r="K473" s="62"/>
      <c r="O473" s="60"/>
      <c r="P473" s="61"/>
      <c r="Q473" s="62"/>
      <c r="R473" s="61"/>
      <c r="S473" s="62"/>
      <c r="T473" s="61"/>
      <c r="U473" s="62"/>
      <c r="V473" s="61"/>
      <c r="W473" s="62"/>
      <c r="X473" s="61"/>
      <c r="Y473" s="62"/>
      <c r="Z473" s="61"/>
      <c r="AA473" s="62"/>
    </row>
    <row r="474" spans="3:27" ht="16.5" customHeight="1">
      <c r="C474" s="118"/>
      <c r="E474" s="61"/>
      <c r="H474" s="61"/>
      <c r="I474" s="60"/>
      <c r="K474" s="62"/>
      <c r="O474" s="60"/>
      <c r="P474" s="61"/>
      <c r="Q474" s="62"/>
      <c r="R474" s="61"/>
      <c r="S474" s="62"/>
      <c r="T474" s="61"/>
      <c r="U474" s="62"/>
      <c r="V474" s="61"/>
      <c r="W474" s="62"/>
      <c r="X474" s="61"/>
      <c r="Y474" s="62"/>
      <c r="Z474" s="61"/>
      <c r="AA474" s="62"/>
    </row>
    <row r="475" spans="3:27" ht="16.5" customHeight="1">
      <c r="C475" s="118"/>
      <c r="E475" s="61"/>
      <c r="H475" s="61"/>
      <c r="I475" s="60"/>
      <c r="K475" s="62"/>
      <c r="O475" s="60"/>
      <c r="P475" s="61"/>
      <c r="Q475" s="62"/>
      <c r="R475" s="61"/>
      <c r="S475" s="62"/>
      <c r="T475" s="61"/>
      <c r="U475" s="62"/>
      <c r="V475" s="61"/>
      <c r="W475" s="62"/>
      <c r="X475" s="61"/>
      <c r="Y475" s="62"/>
      <c r="Z475" s="61"/>
      <c r="AA475" s="62"/>
    </row>
    <row r="476" spans="3:27" ht="16.5" customHeight="1">
      <c r="C476" s="118"/>
      <c r="E476" s="61"/>
      <c r="H476" s="61"/>
      <c r="I476" s="60"/>
      <c r="K476" s="62"/>
      <c r="O476" s="60"/>
      <c r="P476" s="61"/>
      <c r="Q476" s="62"/>
      <c r="R476" s="61"/>
      <c r="S476" s="62"/>
      <c r="T476" s="61"/>
      <c r="U476" s="62"/>
      <c r="V476" s="61"/>
      <c r="W476" s="62"/>
      <c r="X476" s="61"/>
      <c r="Y476" s="62"/>
      <c r="Z476" s="61"/>
      <c r="AA476" s="62"/>
    </row>
    <row r="477" spans="3:27" ht="16.5" customHeight="1">
      <c r="C477" s="118"/>
      <c r="E477" s="61"/>
      <c r="H477" s="61"/>
      <c r="I477" s="60"/>
      <c r="K477" s="62"/>
      <c r="O477" s="60"/>
      <c r="P477" s="61"/>
      <c r="Q477" s="62"/>
      <c r="R477" s="61"/>
      <c r="S477" s="62"/>
      <c r="T477" s="61"/>
      <c r="U477" s="62"/>
      <c r="V477" s="61"/>
      <c r="W477" s="62"/>
      <c r="X477" s="61"/>
      <c r="Y477" s="62"/>
      <c r="Z477" s="61"/>
      <c r="AA477" s="62"/>
    </row>
    <row r="478" spans="3:27" ht="16.5" customHeight="1">
      <c r="C478" s="118"/>
      <c r="E478" s="61"/>
      <c r="H478" s="61"/>
      <c r="I478" s="60"/>
      <c r="K478" s="62"/>
      <c r="O478" s="60"/>
      <c r="P478" s="61"/>
      <c r="Q478" s="62"/>
      <c r="R478" s="61"/>
      <c r="S478" s="62"/>
      <c r="T478" s="61"/>
      <c r="U478" s="62"/>
      <c r="V478" s="61"/>
      <c r="W478" s="62"/>
      <c r="X478" s="61"/>
      <c r="Y478" s="62"/>
      <c r="Z478" s="61"/>
      <c r="AA478" s="62"/>
    </row>
    <row r="479" spans="3:27" ht="16.5" customHeight="1">
      <c r="C479" s="118"/>
      <c r="E479" s="61"/>
      <c r="H479" s="61"/>
      <c r="I479" s="60"/>
      <c r="K479" s="62"/>
      <c r="O479" s="60"/>
      <c r="P479" s="61"/>
      <c r="Q479" s="62"/>
      <c r="R479" s="61"/>
      <c r="S479" s="62"/>
      <c r="T479" s="61"/>
      <c r="U479" s="62"/>
      <c r="V479" s="61"/>
      <c r="W479" s="62"/>
      <c r="X479" s="61"/>
      <c r="Y479" s="62"/>
      <c r="Z479" s="61"/>
      <c r="AA479" s="62"/>
    </row>
    <row r="480" spans="3:27" ht="16.5" customHeight="1">
      <c r="C480" s="118"/>
      <c r="E480" s="61"/>
      <c r="H480" s="61"/>
      <c r="I480" s="60"/>
      <c r="K480" s="62"/>
      <c r="O480" s="60"/>
      <c r="P480" s="61"/>
      <c r="Q480" s="62"/>
      <c r="R480" s="61"/>
      <c r="S480" s="62"/>
      <c r="T480" s="61"/>
      <c r="U480" s="62"/>
      <c r="V480" s="61"/>
      <c r="W480" s="62"/>
      <c r="X480" s="61"/>
      <c r="Y480" s="62"/>
      <c r="Z480" s="61"/>
      <c r="AA480" s="62"/>
    </row>
    <row r="481" spans="3:27" ht="16.5" customHeight="1">
      <c r="C481" s="118"/>
      <c r="E481" s="61"/>
      <c r="H481" s="61"/>
      <c r="I481" s="60"/>
      <c r="K481" s="62"/>
      <c r="O481" s="60"/>
      <c r="P481" s="61"/>
      <c r="Q481" s="62"/>
      <c r="R481" s="61"/>
      <c r="S481" s="62"/>
      <c r="T481" s="61"/>
      <c r="U481" s="62"/>
      <c r="V481" s="61"/>
      <c r="W481" s="62"/>
      <c r="X481" s="61"/>
      <c r="Y481" s="62"/>
      <c r="Z481" s="61"/>
      <c r="AA481" s="62"/>
    </row>
    <row r="482" spans="3:27" ht="16.5" customHeight="1">
      <c r="C482" s="118"/>
      <c r="E482" s="61"/>
      <c r="H482" s="61"/>
      <c r="I482" s="60"/>
      <c r="K482" s="62"/>
      <c r="O482" s="60"/>
      <c r="P482" s="61"/>
      <c r="Q482" s="62"/>
      <c r="R482" s="61"/>
      <c r="S482" s="62"/>
      <c r="T482" s="61"/>
      <c r="U482" s="62"/>
      <c r="V482" s="61"/>
      <c r="W482" s="62"/>
      <c r="X482" s="61"/>
      <c r="Y482" s="62"/>
      <c r="Z482" s="61"/>
      <c r="AA482" s="62"/>
    </row>
    <row r="483" spans="3:27" ht="16.5" customHeight="1">
      <c r="C483" s="118"/>
      <c r="E483" s="61"/>
      <c r="H483" s="61"/>
      <c r="I483" s="60"/>
      <c r="K483" s="62"/>
      <c r="O483" s="60"/>
      <c r="P483" s="61"/>
      <c r="Q483" s="62"/>
      <c r="R483" s="61"/>
      <c r="S483" s="62"/>
      <c r="T483" s="61"/>
      <c r="U483" s="62"/>
      <c r="V483" s="61"/>
      <c r="W483" s="62"/>
      <c r="X483" s="61"/>
      <c r="Y483" s="62"/>
      <c r="Z483" s="61"/>
      <c r="AA483" s="62"/>
    </row>
    <row r="484" spans="3:27" ht="16.5" customHeight="1">
      <c r="C484" s="118"/>
      <c r="E484" s="61"/>
      <c r="H484" s="61"/>
      <c r="I484" s="60"/>
      <c r="K484" s="62"/>
      <c r="O484" s="60"/>
      <c r="P484" s="61"/>
      <c r="Q484" s="62"/>
      <c r="R484" s="61"/>
      <c r="S484" s="62"/>
      <c r="T484" s="61"/>
      <c r="U484" s="62"/>
      <c r="V484" s="61"/>
      <c r="W484" s="62"/>
      <c r="X484" s="61"/>
      <c r="Y484" s="62"/>
      <c r="Z484" s="61"/>
      <c r="AA484" s="62"/>
    </row>
    <row r="485" spans="3:27" ht="16.5" customHeight="1">
      <c r="C485" s="118"/>
      <c r="E485" s="61"/>
      <c r="H485" s="61"/>
      <c r="I485" s="60"/>
      <c r="K485" s="62"/>
      <c r="O485" s="60"/>
      <c r="P485" s="61"/>
      <c r="Q485" s="62"/>
      <c r="R485" s="61"/>
      <c r="S485" s="62"/>
      <c r="T485" s="61"/>
      <c r="U485" s="62"/>
      <c r="V485" s="61"/>
      <c r="W485" s="62"/>
      <c r="X485" s="61"/>
      <c r="Y485" s="62"/>
      <c r="Z485" s="61"/>
      <c r="AA485" s="62"/>
    </row>
    <row r="486" spans="3:27" ht="16.5" customHeight="1">
      <c r="C486" s="118"/>
      <c r="E486" s="61"/>
      <c r="H486" s="61"/>
      <c r="I486" s="60"/>
      <c r="K486" s="62"/>
      <c r="O486" s="60"/>
      <c r="P486" s="61"/>
      <c r="Q486" s="62"/>
      <c r="R486" s="61"/>
      <c r="S486" s="62"/>
      <c r="T486" s="61"/>
      <c r="U486" s="62"/>
      <c r="V486" s="61"/>
      <c r="W486" s="62"/>
      <c r="X486" s="61"/>
      <c r="Y486" s="62"/>
      <c r="Z486" s="61"/>
      <c r="AA486" s="62"/>
    </row>
    <row r="487" spans="3:27" ht="16.5" customHeight="1">
      <c r="C487" s="118"/>
      <c r="E487" s="61"/>
      <c r="H487" s="61"/>
      <c r="I487" s="60"/>
      <c r="K487" s="62"/>
      <c r="O487" s="60"/>
      <c r="P487" s="61"/>
      <c r="Q487" s="62"/>
      <c r="R487" s="61"/>
      <c r="S487" s="62"/>
      <c r="T487" s="61"/>
      <c r="U487" s="62"/>
      <c r="V487" s="61"/>
      <c r="W487" s="62"/>
      <c r="X487" s="61"/>
      <c r="Y487" s="62"/>
      <c r="Z487" s="61"/>
      <c r="AA487" s="62"/>
    </row>
    <row r="488" spans="3:27" ht="16.5" customHeight="1">
      <c r="C488" s="118"/>
      <c r="E488" s="61"/>
      <c r="H488" s="61"/>
      <c r="I488" s="60"/>
      <c r="K488" s="62"/>
      <c r="O488" s="60"/>
      <c r="P488" s="61"/>
      <c r="Q488" s="62"/>
      <c r="R488" s="61"/>
      <c r="S488" s="62"/>
      <c r="T488" s="61"/>
      <c r="U488" s="62"/>
      <c r="V488" s="61"/>
      <c r="W488" s="62"/>
      <c r="X488" s="61"/>
      <c r="Y488" s="62"/>
      <c r="Z488" s="61"/>
      <c r="AA488" s="62"/>
    </row>
    <row r="489" spans="3:27" ht="16.5" customHeight="1">
      <c r="C489" s="118"/>
      <c r="E489" s="61"/>
      <c r="H489" s="61"/>
      <c r="I489" s="60"/>
      <c r="K489" s="62"/>
      <c r="O489" s="60"/>
      <c r="P489" s="61"/>
      <c r="Q489" s="62"/>
      <c r="R489" s="61"/>
      <c r="S489" s="62"/>
      <c r="T489" s="61"/>
      <c r="U489" s="62"/>
      <c r="V489" s="61"/>
      <c r="W489" s="62"/>
      <c r="X489" s="61"/>
      <c r="Y489" s="62"/>
      <c r="Z489" s="61"/>
      <c r="AA489" s="62"/>
    </row>
    <row r="490" spans="3:27" ht="16.5" customHeight="1">
      <c r="C490" s="118"/>
      <c r="E490" s="61"/>
      <c r="H490" s="61"/>
      <c r="I490" s="60"/>
      <c r="K490" s="62"/>
      <c r="O490" s="60"/>
      <c r="P490" s="61"/>
      <c r="Q490" s="62"/>
      <c r="R490" s="61"/>
      <c r="S490" s="62"/>
      <c r="T490" s="61"/>
      <c r="U490" s="62"/>
      <c r="V490" s="61"/>
      <c r="W490" s="62"/>
      <c r="X490" s="61"/>
      <c r="Y490" s="62"/>
      <c r="Z490" s="61"/>
      <c r="AA490" s="62"/>
    </row>
    <row r="491" spans="3:27" ht="16.5" customHeight="1">
      <c r="C491" s="118"/>
      <c r="E491" s="61"/>
      <c r="H491" s="61"/>
      <c r="I491" s="60"/>
      <c r="K491" s="62"/>
      <c r="O491" s="60"/>
      <c r="P491" s="61"/>
      <c r="Q491" s="62"/>
      <c r="R491" s="61"/>
      <c r="S491" s="62"/>
      <c r="T491" s="61"/>
      <c r="U491" s="62"/>
      <c r="V491" s="61"/>
      <c r="W491" s="62"/>
      <c r="X491" s="61"/>
      <c r="Y491" s="62"/>
      <c r="Z491" s="61"/>
      <c r="AA491" s="62"/>
    </row>
    <row r="492" spans="3:27" ht="16.5" customHeight="1">
      <c r="C492" s="118"/>
      <c r="E492" s="61"/>
      <c r="H492" s="61"/>
      <c r="I492" s="60"/>
      <c r="K492" s="62"/>
      <c r="O492" s="60"/>
      <c r="P492" s="61"/>
      <c r="Q492" s="62"/>
      <c r="R492" s="61"/>
      <c r="S492" s="62"/>
      <c r="T492" s="61"/>
      <c r="U492" s="62"/>
      <c r="V492" s="61"/>
      <c r="W492" s="62"/>
      <c r="X492" s="61"/>
      <c r="Y492" s="62"/>
      <c r="Z492" s="61"/>
      <c r="AA492" s="62"/>
    </row>
    <row r="493" spans="3:27" ht="16.5" customHeight="1">
      <c r="C493" s="118"/>
      <c r="E493" s="61"/>
      <c r="H493" s="61"/>
      <c r="I493" s="60"/>
      <c r="K493" s="62"/>
      <c r="O493" s="60"/>
      <c r="P493" s="61"/>
      <c r="Q493" s="62"/>
      <c r="R493" s="61"/>
      <c r="S493" s="62"/>
      <c r="T493" s="61"/>
      <c r="U493" s="62"/>
      <c r="V493" s="61"/>
      <c r="W493" s="62"/>
      <c r="X493" s="61"/>
      <c r="Y493" s="62"/>
      <c r="Z493" s="61"/>
      <c r="AA493" s="62"/>
    </row>
    <row r="494" spans="3:27" ht="16.5" customHeight="1">
      <c r="C494" s="118"/>
      <c r="E494" s="61"/>
      <c r="H494" s="61"/>
      <c r="I494" s="60"/>
      <c r="K494" s="62"/>
      <c r="O494" s="60"/>
      <c r="P494" s="61"/>
      <c r="Q494" s="62"/>
      <c r="R494" s="61"/>
      <c r="S494" s="62"/>
      <c r="T494" s="61"/>
      <c r="U494" s="62"/>
      <c r="V494" s="61"/>
      <c r="W494" s="62"/>
      <c r="X494" s="61"/>
      <c r="Y494" s="62"/>
      <c r="Z494" s="61"/>
      <c r="AA494" s="62"/>
    </row>
    <row r="495" spans="3:27" ht="16.5" customHeight="1">
      <c r="C495" s="118"/>
      <c r="E495" s="61"/>
      <c r="H495" s="61"/>
      <c r="I495" s="60"/>
      <c r="K495" s="62"/>
      <c r="O495" s="60"/>
      <c r="P495" s="61"/>
      <c r="Q495" s="62"/>
      <c r="R495" s="61"/>
      <c r="S495" s="62"/>
      <c r="T495" s="61"/>
      <c r="U495" s="62"/>
      <c r="V495" s="61"/>
      <c r="W495" s="62"/>
      <c r="X495" s="61"/>
      <c r="Y495" s="62"/>
      <c r="Z495" s="61"/>
      <c r="AA495" s="62"/>
    </row>
    <row r="496" spans="3:27" ht="16.5" customHeight="1">
      <c r="C496" s="118"/>
      <c r="E496" s="61"/>
      <c r="H496" s="61"/>
      <c r="I496" s="60"/>
      <c r="K496" s="62"/>
      <c r="O496" s="60"/>
      <c r="P496" s="61"/>
      <c r="Q496" s="62"/>
      <c r="R496" s="61"/>
      <c r="S496" s="62"/>
      <c r="T496" s="61"/>
      <c r="U496" s="62"/>
      <c r="V496" s="61"/>
      <c r="W496" s="62"/>
      <c r="X496" s="61"/>
      <c r="Y496" s="62"/>
      <c r="Z496" s="61"/>
      <c r="AA496" s="62"/>
    </row>
    <row r="497" spans="3:27" ht="16.5" customHeight="1">
      <c r="C497" s="118"/>
      <c r="E497" s="61"/>
      <c r="H497" s="61"/>
      <c r="I497" s="60"/>
      <c r="K497" s="62"/>
      <c r="O497" s="60"/>
      <c r="P497" s="61"/>
      <c r="Q497" s="62"/>
      <c r="R497" s="61"/>
      <c r="S497" s="62"/>
      <c r="T497" s="61"/>
      <c r="U497" s="62"/>
      <c r="V497" s="61"/>
      <c r="W497" s="62"/>
      <c r="X497" s="61"/>
      <c r="Y497" s="62"/>
      <c r="Z497" s="61"/>
      <c r="AA497" s="62"/>
    </row>
    <row r="498" spans="3:27" ht="16.5" customHeight="1">
      <c r="C498" s="118"/>
      <c r="E498" s="61"/>
      <c r="H498" s="61"/>
      <c r="I498" s="60"/>
      <c r="K498" s="62"/>
      <c r="O498" s="60"/>
      <c r="P498" s="61"/>
      <c r="Q498" s="62"/>
      <c r="R498" s="61"/>
      <c r="S498" s="62"/>
      <c r="T498" s="61"/>
      <c r="U498" s="62"/>
      <c r="V498" s="61"/>
      <c r="W498" s="62"/>
      <c r="X498" s="61"/>
      <c r="Y498" s="62"/>
      <c r="Z498" s="61"/>
      <c r="AA498" s="62"/>
    </row>
    <row r="499" spans="3:27" ht="16.5" customHeight="1">
      <c r="C499" s="118"/>
      <c r="E499" s="61"/>
      <c r="H499" s="61"/>
      <c r="I499" s="60"/>
      <c r="K499" s="62"/>
      <c r="O499" s="60"/>
      <c r="P499" s="61"/>
      <c r="Q499" s="62"/>
      <c r="R499" s="61"/>
      <c r="S499" s="62"/>
      <c r="T499" s="61"/>
      <c r="U499" s="62"/>
      <c r="V499" s="61"/>
      <c r="W499" s="62"/>
      <c r="X499" s="61"/>
      <c r="Y499" s="62"/>
      <c r="Z499" s="61"/>
      <c r="AA499" s="62"/>
    </row>
    <row r="500" spans="3:27" ht="16.5" customHeight="1">
      <c r="C500" s="118"/>
      <c r="E500" s="61"/>
      <c r="H500" s="61"/>
      <c r="I500" s="60"/>
      <c r="K500" s="62"/>
      <c r="O500" s="60"/>
      <c r="P500" s="61"/>
      <c r="Q500" s="62"/>
      <c r="R500" s="61"/>
      <c r="S500" s="62"/>
      <c r="T500" s="61"/>
      <c r="U500" s="62"/>
      <c r="V500" s="61"/>
      <c r="W500" s="62"/>
      <c r="X500" s="61"/>
      <c r="Y500" s="62"/>
      <c r="Z500" s="61"/>
      <c r="AA500" s="62"/>
    </row>
    <row r="501" spans="3:27" ht="16.5" customHeight="1">
      <c r="C501" s="118"/>
      <c r="E501" s="61"/>
      <c r="H501" s="61"/>
      <c r="I501" s="60"/>
      <c r="K501" s="62"/>
      <c r="O501" s="60"/>
      <c r="P501" s="61"/>
      <c r="Q501" s="62"/>
      <c r="R501" s="61"/>
      <c r="S501" s="62"/>
      <c r="T501" s="61"/>
      <c r="U501" s="62"/>
      <c r="V501" s="61"/>
      <c r="W501" s="62"/>
      <c r="X501" s="61"/>
      <c r="Y501" s="62"/>
      <c r="Z501" s="61"/>
      <c r="AA501" s="62"/>
    </row>
    <row r="502" spans="3:27" ht="16.5" customHeight="1">
      <c r="C502" s="118"/>
      <c r="E502" s="61"/>
      <c r="H502" s="61"/>
      <c r="I502" s="60"/>
      <c r="K502" s="62"/>
      <c r="O502" s="60"/>
      <c r="P502" s="61"/>
      <c r="Q502" s="62"/>
      <c r="R502" s="61"/>
      <c r="S502" s="62"/>
      <c r="T502" s="61"/>
      <c r="U502" s="62"/>
      <c r="V502" s="61"/>
      <c r="W502" s="62"/>
      <c r="X502" s="61"/>
      <c r="Y502" s="62"/>
      <c r="Z502" s="61"/>
      <c r="AA502" s="62"/>
    </row>
    <row r="503" spans="3:27" ht="16.5" customHeight="1">
      <c r="C503" s="118"/>
      <c r="E503" s="61"/>
      <c r="H503" s="61"/>
      <c r="I503" s="60"/>
      <c r="K503" s="62"/>
      <c r="O503" s="60"/>
      <c r="P503" s="61"/>
      <c r="Q503" s="62"/>
      <c r="R503" s="61"/>
      <c r="S503" s="62"/>
      <c r="T503" s="61"/>
      <c r="U503" s="62"/>
      <c r="V503" s="61"/>
      <c r="W503" s="62"/>
      <c r="X503" s="61"/>
      <c r="Y503" s="62"/>
      <c r="Z503" s="61"/>
      <c r="AA503" s="62"/>
    </row>
    <row r="504" spans="3:27" ht="16.5" customHeight="1">
      <c r="C504" s="118"/>
      <c r="E504" s="61"/>
      <c r="H504" s="61"/>
      <c r="I504" s="60"/>
      <c r="K504" s="62"/>
      <c r="O504" s="60"/>
      <c r="P504" s="61"/>
      <c r="Q504" s="62"/>
      <c r="R504" s="61"/>
      <c r="S504" s="62"/>
      <c r="T504" s="61"/>
      <c r="U504" s="62"/>
      <c r="V504" s="61"/>
      <c r="W504" s="62"/>
      <c r="X504" s="61"/>
      <c r="Y504" s="62"/>
      <c r="Z504" s="61"/>
      <c r="AA504" s="62"/>
    </row>
    <row r="505" spans="3:27" ht="16.5" customHeight="1">
      <c r="C505" s="118"/>
      <c r="E505" s="61"/>
      <c r="H505" s="61"/>
      <c r="I505" s="60"/>
      <c r="K505" s="62"/>
      <c r="O505" s="60"/>
      <c r="P505" s="61"/>
      <c r="Q505" s="62"/>
      <c r="R505" s="61"/>
      <c r="S505" s="62"/>
      <c r="T505" s="61"/>
      <c r="U505" s="62"/>
      <c r="V505" s="61"/>
      <c r="W505" s="62"/>
      <c r="X505" s="61"/>
      <c r="Y505" s="62"/>
      <c r="Z505" s="61"/>
      <c r="AA505" s="62"/>
    </row>
    <row r="506" spans="3:27" ht="16.5" customHeight="1">
      <c r="C506" s="118"/>
      <c r="E506" s="61"/>
      <c r="H506" s="61"/>
      <c r="I506" s="60"/>
      <c r="K506" s="62"/>
      <c r="O506" s="60"/>
      <c r="P506" s="61"/>
      <c r="Q506" s="62"/>
      <c r="R506" s="61"/>
      <c r="S506" s="62"/>
      <c r="T506" s="61"/>
      <c r="U506" s="62"/>
      <c r="V506" s="61"/>
      <c r="W506" s="62"/>
      <c r="X506" s="61"/>
      <c r="Y506" s="62"/>
      <c r="Z506" s="61"/>
      <c r="AA506" s="62"/>
    </row>
    <row r="507" spans="3:27" ht="16.5" customHeight="1">
      <c r="C507" s="118"/>
      <c r="E507" s="61"/>
      <c r="H507" s="61"/>
      <c r="I507" s="60"/>
      <c r="K507" s="62"/>
      <c r="O507" s="60"/>
      <c r="P507" s="61"/>
      <c r="Q507" s="62"/>
      <c r="R507" s="61"/>
      <c r="S507" s="62"/>
      <c r="T507" s="61"/>
      <c r="U507" s="62"/>
      <c r="V507" s="61"/>
      <c r="W507" s="62"/>
      <c r="X507" s="61"/>
      <c r="Y507" s="62"/>
      <c r="Z507" s="61"/>
      <c r="AA507" s="62"/>
    </row>
    <row r="508" spans="3:27" ht="16.5" customHeight="1">
      <c r="C508" s="118"/>
      <c r="E508" s="61"/>
      <c r="H508" s="61"/>
      <c r="I508" s="60"/>
      <c r="K508" s="62"/>
      <c r="O508" s="60"/>
      <c r="P508" s="61"/>
      <c r="Q508" s="62"/>
      <c r="R508" s="61"/>
      <c r="S508" s="62"/>
      <c r="T508" s="61"/>
      <c r="U508" s="62"/>
      <c r="V508" s="61"/>
      <c r="W508" s="62"/>
      <c r="X508" s="61"/>
      <c r="Y508" s="62"/>
      <c r="Z508" s="61"/>
      <c r="AA508" s="62"/>
    </row>
    <row r="509" spans="3:27" ht="16.5" customHeight="1">
      <c r="C509" s="118"/>
      <c r="E509" s="61"/>
      <c r="H509" s="61"/>
      <c r="I509" s="60"/>
      <c r="K509" s="62"/>
      <c r="O509" s="60"/>
      <c r="P509" s="61"/>
      <c r="Q509" s="62"/>
      <c r="R509" s="61"/>
      <c r="S509" s="62"/>
      <c r="T509" s="61"/>
      <c r="U509" s="62"/>
      <c r="V509" s="61"/>
      <c r="W509" s="62"/>
      <c r="X509" s="61"/>
      <c r="Y509" s="62"/>
      <c r="Z509" s="61"/>
      <c r="AA509" s="62"/>
    </row>
    <row r="510" spans="3:27" ht="16.5" customHeight="1">
      <c r="C510" s="118"/>
      <c r="E510" s="61"/>
      <c r="H510" s="61"/>
      <c r="I510" s="60"/>
      <c r="K510" s="62"/>
      <c r="O510" s="60"/>
      <c r="P510" s="61"/>
      <c r="Q510" s="62"/>
      <c r="R510" s="61"/>
      <c r="S510" s="62"/>
      <c r="T510" s="61"/>
      <c r="U510" s="62"/>
      <c r="V510" s="61"/>
      <c r="W510" s="62"/>
      <c r="X510" s="61"/>
      <c r="Y510" s="62"/>
      <c r="Z510" s="61"/>
      <c r="AA510" s="62"/>
    </row>
    <row r="511" spans="3:27" ht="16.5" customHeight="1">
      <c r="C511" s="118"/>
      <c r="E511" s="61"/>
      <c r="H511" s="61"/>
      <c r="I511" s="60"/>
      <c r="K511" s="62"/>
      <c r="O511" s="60"/>
      <c r="P511" s="61"/>
      <c r="Q511" s="62"/>
      <c r="R511" s="61"/>
      <c r="S511" s="62"/>
      <c r="T511" s="61"/>
      <c r="U511" s="62"/>
      <c r="V511" s="61"/>
      <c r="W511" s="62"/>
      <c r="X511" s="61"/>
      <c r="Y511" s="62"/>
      <c r="Z511" s="61"/>
      <c r="AA511" s="62"/>
    </row>
    <row r="512" spans="3:27" ht="16.5" customHeight="1">
      <c r="C512" s="118"/>
      <c r="E512" s="61"/>
      <c r="H512" s="61"/>
      <c r="I512" s="60"/>
      <c r="K512" s="62"/>
      <c r="O512" s="60"/>
      <c r="P512" s="61"/>
      <c r="Q512" s="62"/>
      <c r="R512" s="61"/>
      <c r="S512" s="62"/>
      <c r="T512" s="61"/>
      <c r="U512" s="62"/>
      <c r="V512" s="61"/>
      <c r="W512" s="62"/>
      <c r="X512" s="61"/>
      <c r="Y512" s="62"/>
      <c r="Z512" s="61"/>
      <c r="AA512" s="62"/>
    </row>
    <row r="513" spans="3:27" ht="16.5" customHeight="1">
      <c r="C513" s="118"/>
      <c r="E513" s="61"/>
      <c r="H513" s="61"/>
      <c r="I513" s="60"/>
      <c r="K513" s="62"/>
      <c r="O513" s="60"/>
      <c r="P513" s="61"/>
      <c r="Q513" s="62"/>
      <c r="R513" s="61"/>
      <c r="S513" s="62"/>
      <c r="T513" s="61"/>
      <c r="U513" s="62"/>
      <c r="V513" s="61"/>
      <c r="W513" s="62"/>
      <c r="X513" s="61"/>
      <c r="Y513" s="62"/>
      <c r="Z513" s="61"/>
      <c r="AA513" s="62"/>
    </row>
    <row r="514" spans="3:27" ht="16.5" customHeight="1">
      <c r="C514" s="118"/>
      <c r="E514" s="61"/>
      <c r="H514" s="61"/>
      <c r="I514" s="60"/>
      <c r="K514" s="62"/>
      <c r="O514" s="60"/>
      <c r="P514" s="61"/>
      <c r="Q514" s="62"/>
      <c r="R514" s="61"/>
      <c r="S514" s="62"/>
      <c r="T514" s="61"/>
      <c r="U514" s="62"/>
      <c r="V514" s="61"/>
      <c r="W514" s="62"/>
      <c r="X514" s="61"/>
      <c r="Y514" s="62"/>
      <c r="Z514" s="61"/>
      <c r="AA514" s="62"/>
    </row>
    <row r="515" spans="3:27" ht="16.5" customHeight="1">
      <c r="C515" s="118"/>
      <c r="E515" s="61"/>
      <c r="H515" s="61"/>
      <c r="I515" s="60"/>
      <c r="K515" s="62"/>
      <c r="O515" s="60"/>
      <c r="P515" s="61"/>
      <c r="Q515" s="62"/>
      <c r="R515" s="61"/>
      <c r="S515" s="62"/>
      <c r="T515" s="61"/>
      <c r="U515" s="62"/>
      <c r="V515" s="61"/>
      <c r="W515" s="62"/>
      <c r="X515" s="61"/>
      <c r="Y515" s="62"/>
      <c r="Z515" s="61"/>
      <c r="AA515" s="62"/>
    </row>
    <row r="516" spans="3:27" ht="16.5" customHeight="1">
      <c r="C516" s="118"/>
      <c r="E516" s="61"/>
      <c r="H516" s="61"/>
      <c r="I516" s="60"/>
      <c r="K516" s="62"/>
      <c r="O516" s="60"/>
      <c r="P516" s="61"/>
      <c r="Q516" s="62"/>
      <c r="R516" s="61"/>
      <c r="S516" s="62"/>
      <c r="T516" s="61"/>
      <c r="U516" s="62"/>
      <c r="V516" s="61"/>
      <c r="W516" s="62"/>
      <c r="X516" s="61"/>
      <c r="Y516" s="62"/>
      <c r="Z516" s="61"/>
      <c r="AA516" s="62"/>
    </row>
    <row r="517" spans="3:27" ht="16.5" customHeight="1">
      <c r="C517" s="118"/>
      <c r="E517" s="61"/>
      <c r="H517" s="61"/>
      <c r="I517" s="60"/>
      <c r="K517" s="62"/>
      <c r="O517" s="60"/>
      <c r="P517" s="61"/>
      <c r="Q517" s="62"/>
      <c r="R517" s="61"/>
      <c r="S517" s="62"/>
      <c r="T517" s="61"/>
      <c r="U517" s="62"/>
      <c r="V517" s="61"/>
      <c r="W517" s="62"/>
      <c r="X517" s="61"/>
      <c r="Y517" s="62"/>
      <c r="Z517" s="61"/>
      <c r="AA517" s="62"/>
    </row>
    <row r="518" spans="3:27" ht="16.5" customHeight="1">
      <c r="C518" s="118"/>
      <c r="E518" s="61"/>
      <c r="H518" s="61"/>
      <c r="I518" s="60"/>
      <c r="K518" s="62"/>
      <c r="O518" s="60"/>
      <c r="P518" s="61"/>
      <c r="Q518" s="62"/>
      <c r="R518" s="61"/>
      <c r="S518" s="62"/>
      <c r="T518" s="61"/>
      <c r="U518" s="62"/>
      <c r="V518" s="61"/>
      <c r="W518" s="62"/>
      <c r="X518" s="61"/>
      <c r="Y518" s="62"/>
      <c r="Z518" s="61"/>
      <c r="AA518" s="62"/>
    </row>
    <row r="519" spans="3:27" ht="16.5" customHeight="1">
      <c r="C519" s="118"/>
      <c r="E519" s="61"/>
      <c r="H519" s="61"/>
      <c r="I519" s="60"/>
      <c r="K519" s="62"/>
      <c r="O519" s="60"/>
      <c r="P519" s="61"/>
      <c r="Q519" s="62"/>
      <c r="R519" s="61"/>
      <c r="S519" s="62"/>
      <c r="T519" s="61"/>
      <c r="U519" s="62"/>
      <c r="V519" s="61"/>
      <c r="W519" s="62"/>
      <c r="X519" s="61"/>
      <c r="Y519" s="62"/>
      <c r="Z519" s="61"/>
      <c r="AA519" s="62"/>
    </row>
    <row r="520" spans="3:27" ht="16.5" customHeight="1">
      <c r="C520" s="118"/>
      <c r="E520" s="61"/>
      <c r="H520" s="61"/>
      <c r="I520" s="60"/>
      <c r="K520" s="62"/>
      <c r="O520" s="60"/>
      <c r="P520" s="61"/>
      <c r="Q520" s="62"/>
      <c r="R520" s="61"/>
      <c r="S520" s="62"/>
      <c r="T520" s="61"/>
      <c r="U520" s="62"/>
      <c r="V520" s="61"/>
      <c r="W520" s="62"/>
      <c r="X520" s="61"/>
      <c r="Y520" s="62"/>
      <c r="Z520" s="61"/>
      <c r="AA520" s="62"/>
    </row>
    <row r="521" spans="3:27" ht="16.5" customHeight="1">
      <c r="C521" s="118"/>
      <c r="E521" s="61"/>
      <c r="H521" s="61"/>
      <c r="I521" s="60"/>
      <c r="K521" s="62"/>
      <c r="O521" s="60"/>
      <c r="P521" s="61"/>
      <c r="Q521" s="62"/>
      <c r="R521" s="61"/>
      <c r="S521" s="62"/>
      <c r="T521" s="61"/>
      <c r="U521" s="62"/>
      <c r="V521" s="61"/>
      <c r="W521" s="62"/>
      <c r="X521" s="61"/>
      <c r="Y521" s="62"/>
      <c r="Z521" s="61"/>
      <c r="AA521" s="62"/>
    </row>
    <row r="522" spans="3:27" ht="16.5" customHeight="1">
      <c r="C522" s="118"/>
      <c r="E522" s="61"/>
      <c r="H522" s="61"/>
      <c r="I522" s="60"/>
      <c r="K522" s="62"/>
      <c r="O522" s="60"/>
      <c r="P522" s="61"/>
      <c r="Q522" s="62"/>
      <c r="R522" s="61"/>
      <c r="S522" s="62"/>
      <c r="T522" s="61"/>
      <c r="U522" s="62"/>
      <c r="V522" s="61"/>
      <c r="W522" s="62"/>
      <c r="X522" s="61"/>
      <c r="Y522" s="62"/>
      <c r="Z522" s="61"/>
      <c r="AA522" s="62"/>
    </row>
    <row r="523" spans="3:27" ht="16.5" customHeight="1">
      <c r="C523" s="118"/>
      <c r="E523" s="61"/>
      <c r="H523" s="61"/>
      <c r="I523" s="60"/>
      <c r="K523" s="62"/>
      <c r="O523" s="60"/>
      <c r="P523" s="61"/>
      <c r="Q523" s="62"/>
      <c r="R523" s="61"/>
      <c r="S523" s="62"/>
      <c r="T523" s="61"/>
      <c r="U523" s="62"/>
      <c r="V523" s="61"/>
      <c r="W523" s="62"/>
      <c r="X523" s="61"/>
      <c r="Y523" s="62"/>
      <c r="Z523" s="61"/>
      <c r="AA523" s="62"/>
    </row>
    <row r="524" spans="3:27" ht="16.5" customHeight="1">
      <c r="C524" s="118"/>
      <c r="E524" s="61"/>
      <c r="H524" s="61"/>
      <c r="I524" s="60"/>
      <c r="K524" s="62"/>
      <c r="O524" s="60"/>
      <c r="P524" s="61"/>
      <c r="Q524" s="62"/>
      <c r="R524" s="61"/>
      <c r="S524" s="62"/>
      <c r="T524" s="61"/>
      <c r="U524" s="62"/>
      <c r="V524" s="61"/>
      <c r="W524" s="62"/>
      <c r="X524" s="61"/>
      <c r="Y524" s="62"/>
      <c r="Z524" s="61"/>
      <c r="AA524" s="62"/>
    </row>
    <row r="525" spans="3:27" ht="16.5" customHeight="1">
      <c r="C525" s="118"/>
      <c r="E525" s="61"/>
      <c r="H525" s="61"/>
      <c r="I525" s="60"/>
      <c r="K525" s="62"/>
      <c r="O525" s="60"/>
      <c r="P525" s="61"/>
      <c r="Q525" s="62"/>
      <c r="R525" s="61"/>
      <c r="S525" s="62"/>
      <c r="T525" s="61"/>
      <c r="U525" s="62"/>
      <c r="V525" s="61"/>
      <c r="W525" s="62"/>
      <c r="X525" s="61"/>
      <c r="Y525" s="62"/>
      <c r="Z525" s="61"/>
      <c r="AA525" s="62"/>
    </row>
    <row r="526" spans="3:27" ht="16.5" customHeight="1">
      <c r="C526" s="118"/>
      <c r="E526" s="61"/>
      <c r="H526" s="61"/>
      <c r="I526" s="60"/>
      <c r="K526" s="62"/>
      <c r="O526" s="60"/>
      <c r="P526" s="61"/>
      <c r="Q526" s="62"/>
      <c r="R526" s="61"/>
      <c r="S526" s="62"/>
      <c r="T526" s="61"/>
      <c r="U526" s="62"/>
      <c r="V526" s="61"/>
      <c r="W526" s="62"/>
      <c r="X526" s="61"/>
      <c r="Y526" s="62"/>
      <c r="Z526" s="61"/>
      <c r="AA526" s="62"/>
    </row>
    <row r="527" spans="3:27" ht="16.5" customHeight="1">
      <c r="C527" s="118"/>
      <c r="E527" s="61"/>
      <c r="H527" s="61"/>
      <c r="I527" s="60"/>
      <c r="K527" s="62"/>
      <c r="O527" s="60"/>
      <c r="P527" s="61"/>
      <c r="Q527" s="62"/>
      <c r="R527" s="61"/>
      <c r="S527" s="62"/>
      <c r="T527" s="61"/>
      <c r="U527" s="62"/>
      <c r="V527" s="61"/>
      <c r="W527" s="62"/>
      <c r="X527" s="61"/>
      <c r="Y527" s="62"/>
      <c r="Z527" s="61"/>
      <c r="AA527" s="62"/>
    </row>
    <row r="528" spans="3:27" ht="16.5" customHeight="1">
      <c r="C528" s="118"/>
      <c r="E528" s="61"/>
      <c r="H528" s="61"/>
      <c r="I528" s="60"/>
      <c r="K528" s="62"/>
      <c r="O528" s="60"/>
      <c r="P528" s="61"/>
      <c r="Q528" s="62"/>
      <c r="R528" s="61"/>
      <c r="S528" s="62"/>
      <c r="T528" s="61"/>
      <c r="U528" s="62"/>
      <c r="V528" s="61"/>
      <c r="W528" s="62"/>
      <c r="X528" s="61"/>
      <c r="Y528" s="62"/>
      <c r="Z528" s="61"/>
      <c r="AA528" s="62"/>
    </row>
    <row r="529" spans="3:27" ht="16.5" customHeight="1">
      <c r="C529" s="118"/>
      <c r="E529" s="61"/>
      <c r="H529" s="61"/>
      <c r="I529" s="60"/>
      <c r="K529" s="62"/>
      <c r="O529" s="60"/>
      <c r="P529" s="61"/>
      <c r="Q529" s="62"/>
      <c r="R529" s="61"/>
      <c r="S529" s="62"/>
      <c r="T529" s="61"/>
      <c r="U529" s="62"/>
      <c r="V529" s="61"/>
      <c r="W529" s="62"/>
      <c r="X529" s="61"/>
      <c r="Y529" s="62"/>
      <c r="Z529" s="61"/>
      <c r="AA529" s="62"/>
    </row>
    <row r="530" spans="3:27" ht="16.5" customHeight="1">
      <c r="C530" s="118"/>
      <c r="E530" s="61"/>
      <c r="H530" s="61"/>
      <c r="I530" s="60"/>
      <c r="K530" s="62"/>
      <c r="O530" s="60"/>
      <c r="P530" s="61"/>
      <c r="Q530" s="62"/>
      <c r="R530" s="61"/>
      <c r="S530" s="62"/>
      <c r="T530" s="61"/>
      <c r="U530" s="62"/>
      <c r="V530" s="61"/>
      <c r="W530" s="62"/>
      <c r="X530" s="61"/>
      <c r="Y530" s="62"/>
      <c r="Z530" s="61"/>
      <c r="AA530" s="62"/>
    </row>
    <row r="531" spans="3:27" ht="16.5" customHeight="1">
      <c r="C531" s="118"/>
      <c r="E531" s="61"/>
      <c r="H531" s="61"/>
      <c r="I531" s="60"/>
      <c r="K531" s="62"/>
      <c r="O531" s="60"/>
      <c r="P531" s="61"/>
      <c r="Q531" s="62"/>
      <c r="R531" s="61"/>
      <c r="S531" s="62"/>
      <c r="T531" s="61"/>
      <c r="U531" s="62"/>
      <c r="V531" s="61"/>
      <c r="W531" s="62"/>
      <c r="X531" s="61"/>
      <c r="Y531" s="62"/>
      <c r="Z531" s="61"/>
      <c r="AA531" s="62"/>
    </row>
    <row r="532" spans="3:27" ht="16.5" customHeight="1">
      <c r="C532" s="118"/>
      <c r="E532" s="61"/>
      <c r="H532" s="61"/>
      <c r="I532" s="60"/>
      <c r="K532" s="62"/>
      <c r="O532" s="60"/>
      <c r="P532" s="61"/>
      <c r="Q532" s="62"/>
      <c r="R532" s="61"/>
      <c r="S532" s="62"/>
      <c r="T532" s="61"/>
      <c r="U532" s="62"/>
      <c r="V532" s="61"/>
      <c r="W532" s="62"/>
      <c r="X532" s="61"/>
      <c r="Y532" s="62"/>
      <c r="Z532" s="61"/>
      <c r="AA532" s="62"/>
    </row>
    <row r="533" spans="3:27" ht="16.5" customHeight="1">
      <c r="C533" s="118"/>
      <c r="E533" s="61"/>
      <c r="H533" s="61"/>
      <c r="I533" s="60"/>
      <c r="K533" s="62"/>
      <c r="O533" s="60"/>
      <c r="P533" s="61"/>
      <c r="Q533" s="62"/>
      <c r="R533" s="61"/>
      <c r="S533" s="62"/>
      <c r="T533" s="61"/>
      <c r="U533" s="62"/>
      <c r="V533" s="61"/>
      <c r="W533" s="62"/>
      <c r="X533" s="61"/>
      <c r="Y533" s="62"/>
      <c r="Z533" s="61"/>
      <c r="AA533" s="62"/>
    </row>
    <row r="534" spans="3:27" ht="16.5" customHeight="1">
      <c r="C534" s="118"/>
      <c r="E534" s="61"/>
      <c r="H534" s="61"/>
      <c r="I534" s="60"/>
      <c r="K534" s="62"/>
      <c r="O534" s="60"/>
      <c r="P534" s="61"/>
      <c r="Q534" s="62"/>
      <c r="R534" s="61"/>
      <c r="S534" s="62"/>
      <c r="T534" s="61"/>
      <c r="U534" s="62"/>
      <c r="V534" s="61"/>
      <c r="W534" s="62"/>
      <c r="X534" s="61"/>
      <c r="Y534" s="62"/>
      <c r="Z534" s="61"/>
      <c r="AA534" s="62"/>
    </row>
    <row r="535" spans="3:27" ht="16.5" customHeight="1">
      <c r="C535" s="118"/>
      <c r="E535" s="61"/>
      <c r="H535" s="61"/>
      <c r="I535" s="60"/>
      <c r="K535" s="62"/>
      <c r="O535" s="60"/>
      <c r="P535" s="61"/>
      <c r="Q535" s="62"/>
      <c r="R535" s="61"/>
      <c r="S535" s="62"/>
      <c r="T535" s="61"/>
      <c r="U535" s="62"/>
      <c r="V535" s="61"/>
      <c r="W535" s="62"/>
      <c r="X535" s="61"/>
      <c r="Y535" s="62"/>
      <c r="Z535" s="61"/>
      <c r="AA535" s="62"/>
    </row>
    <row r="536" spans="3:27" ht="16.5" customHeight="1">
      <c r="C536" s="118"/>
      <c r="E536" s="61"/>
      <c r="H536" s="61"/>
      <c r="I536" s="60"/>
      <c r="K536" s="62"/>
      <c r="O536" s="60"/>
      <c r="P536" s="61"/>
      <c r="Q536" s="62"/>
      <c r="R536" s="61"/>
      <c r="S536" s="62"/>
      <c r="T536" s="61"/>
      <c r="U536" s="62"/>
      <c r="V536" s="61"/>
      <c r="W536" s="62"/>
      <c r="X536" s="61"/>
      <c r="Y536" s="62"/>
      <c r="Z536" s="61"/>
      <c r="AA536" s="62"/>
    </row>
    <row r="537" spans="3:27" ht="16.5" customHeight="1">
      <c r="C537" s="118"/>
      <c r="E537" s="61"/>
      <c r="H537" s="61"/>
      <c r="I537" s="60"/>
      <c r="K537" s="62"/>
      <c r="O537" s="60"/>
      <c r="P537" s="61"/>
      <c r="Q537" s="62"/>
      <c r="R537" s="61"/>
      <c r="S537" s="62"/>
      <c r="T537" s="61"/>
      <c r="U537" s="62"/>
      <c r="V537" s="61"/>
      <c r="W537" s="62"/>
      <c r="X537" s="61"/>
      <c r="Y537" s="62"/>
      <c r="Z537" s="61"/>
      <c r="AA537" s="62"/>
    </row>
    <row r="538" spans="3:27" ht="16.5" customHeight="1">
      <c r="C538" s="118"/>
      <c r="E538" s="61"/>
      <c r="H538" s="61"/>
      <c r="I538" s="60"/>
      <c r="K538" s="62"/>
      <c r="O538" s="60"/>
      <c r="P538" s="61"/>
      <c r="Q538" s="62"/>
      <c r="R538" s="61"/>
      <c r="S538" s="62"/>
      <c r="T538" s="61"/>
      <c r="U538" s="62"/>
      <c r="V538" s="61"/>
      <c r="W538" s="62"/>
      <c r="X538" s="61"/>
      <c r="Y538" s="62"/>
      <c r="Z538" s="61"/>
      <c r="AA538" s="62"/>
    </row>
    <row r="539" spans="3:27" ht="16.5" customHeight="1">
      <c r="C539" s="118"/>
      <c r="E539" s="61"/>
      <c r="H539" s="61"/>
      <c r="I539" s="60"/>
      <c r="K539" s="62"/>
      <c r="O539" s="60"/>
      <c r="P539" s="61"/>
      <c r="Q539" s="62"/>
      <c r="R539" s="61"/>
      <c r="S539" s="62"/>
      <c r="T539" s="61"/>
      <c r="U539" s="62"/>
      <c r="V539" s="61"/>
      <c r="W539" s="62"/>
      <c r="X539" s="61"/>
      <c r="Y539" s="62"/>
      <c r="Z539" s="61"/>
      <c r="AA539" s="62"/>
    </row>
    <row r="540" spans="3:27" ht="16.5" customHeight="1">
      <c r="C540" s="118"/>
      <c r="E540" s="61"/>
      <c r="H540" s="61"/>
      <c r="I540" s="60"/>
      <c r="K540" s="62"/>
      <c r="O540" s="60"/>
      <c r="P540" s="61"/>
      <c r="Q540" s="62"/>
      <c r="R540" s="61"/>
      <c r="S540" s="62"/>
      <c r="T540" s="61"/>
      <c r="U540" s="62"/>
      <c r="V540" s="61"/>
      <c r="W540" s="62"/>
      <c r="X540" s="61"/>
      <c r="Y540" s="62"/>
      <c r="Z540" s="61"/>
      <c r="AA540" s="62"/>
    </row>
    <row r="541" spans="3:27" ht="16.5" customHeight="1">
      <c r="C541" s="118"/>
      <c r="E541" s="61"/>
      <c r="H541" s="61"/>
      <c r="I541" s="60"/>
      <c r="K541" s="62"/>
      <c r="O541" s="60"/>
      <c r="P541" s="61"/>
      <c r="Q541" s="62"/>
      <c r="R541" s="61"/>
      <c r="S541" s="62"/>
      <c r="T541" s="61"/>
      <c r="U541" s="62"/>
      <c r="V541" s="61"/>
      <c r="W541" s="62"/>
      <c r="X541" s="61"/>
      <c r="Y541" s="62"/>
      <c r="Z541" s="61"/>
      <c r="AA541" s="62"/>
    </row>
    <row r="542" spans="3:27" ht="16.5" customHeight="1">
      <c r="C542" s="118"/>
      <c r="E542" s="61"/>
      <c r="H542" s="61"/>
      <c r="I542" s="60"/>
      <c r="K542" s="62"/>
      <c r="O542" s="60"/>
      <c r="P542" s="61"/>
      <c r="Q542" s="62"/>
      <c r="R542" s="61"/>
      <c r="S542" s="62"/>
      <c r="T542" s="61"/>
      <c r="U542" s="62"/>
      <c r="V542" s="61"/>
      <c r="W542" s="62"/>
      <c r="X542" s="61"/>
      <c r="Y542" s="62"/>
      <c r="Z542" s="61"/>
      <c r="AA542" s="62"/>
    </row>
    <row r="543" spans="3:27" ht="16.5" customHeight="1">
      <c r="C543" s="118"/>
      <c r="E543" s="61"/>
      <c r="H543" s="61"/>
      <c r="I543" s="60"/>
      <c r="K543" s="62"/>
      <c r="O543" s="60"/>
      <c r="P543" s="61"/>
      <c r="Q543" s="62"/>
      <c r="R543" s="61"/>
      <c r="S543" s="62"/>
      <c r="T543" s="61"/>
      <c r="U543" s="62"/>
      <c r="V543" s="61"/>
      <c r="W543" s="62"/>
      <c r="X543" s="61"/>
      <c r="Y543" s="62"/>
      <c r="Z543" s="61"/>
      <c r="AA543" s="62"/>
    </row>
    <row r="544" spans="3:27" ht="16.5" customHeight="1">
      <c r="C544" s="118"/>
      <c r="E544" s="61"/>
      <c r="H544" s="61"/>
      <c r="I544" s="60"/>
      <c r="K544" s="62"/>
      <c r="O544" s="60"/>
      <c r="P544" s="61"/>
      <c r="Q544" s="62"/>
      <c r="R544" s="61"/>
      <c r="S544" s="62"/>
      <c r="T544" s="61"/>
      <c r="U544" s="62"/>
      <c r="V544" s="61"/>
      <c r="W544" s="62"/>
      <c r="X544" s="61"/>
      <c r="Y544" s="62"/>
      <c r="Z544" s="61"/>
      <c r="AA544" s="62"/>
    </row>
    <row r="545" spans="3:27" ht="16.5" customHeight="1">
      <c r="C545" s="118"/>
      <c r="E545" s="61"/>
      <c r="H545" s="61"/>
      <c r="I545" s="60"/>
      <c r="K545" s="62"/>
      <c r="O545" s="60"/>
      <c r="P545" s="61"/>
      <c r="Q545" s="62"/>
      <c r="R545" s="61"/>
      <c r="S545" s="62"/>
      <c r="T545" s="61"/>
      <c r="U545" s="62"/>
      <c r="V545" s="61"/>
      <c r="W545" s="62"/>
      <c r="X545" s="61"/>
      <c r="Y545" s="62"/>
      <c r="Z545" s="61"/>
      <c r="AA545" s="62"/>
    </row>
    <row r="546" spans="3:27" ht="16.5" customHeight="1">
      <c r="C546" s="118"/>
      <c r="E546" s="61"/>
      <c r="H546" s="61"/>
      <c r="I546" s="60"/>
      <c r="K546" s="62"/>
      <c r="O546" s="60"/>
      <c r="P546" s="61"/>
      <c r="Q546" s="62"/>
      <c r="R546" s="61"/>
      <c r="S546" s="62"/>
      <c r="T546" s="61"/>
      <c r="U546" s="62"/>
      <c r="V546" s="61"/>
      <c r="W546" s="62"/>
      <c r="X546" s="61"/>
      <c r="Y546" s="62"/>
      <c r="Z546" s="61"/>
      <c r="AA546" s="62"/>
    </row>
    <row r="547" spans="3:27" ht="16.5" customHeight="1">
      <c r="C547" s="118"/>
      <c r="E547" s="61"/>
      <c r="H547" s="61"/>
      <c r="I547" s="60"/>
      <c r="K547" s="62"/>
      <c r="O547" s="60"/>
      <c r="P547" s="61"/>
      <c r="Q547" s="62"/>
      <c r="R547" s="61"/>
      <c r="S547" s="62"/>
      <c r="T547" s="61"/>
      <c r="U547" s="62"/>
      <c r="V547" s="61"/>
      <c r="W547" s="62"/>
      <c r="X547" s="61"/>
      <c r="Y547" s="62"/>
      <c r="Z547" s="61"/>
      <c r="AA547" s="62"/>
    </row>
    <row r="548" spans="3:27" ht="16.5" customHeight="1">
      <c r="C548" s="118"/>
      <c r="E548" s="61"/>
      <c r="H548" s="61"/>
      <c r="I548" s="60"/>
      <c r="K548" s="62"/>
      <c r="O548" s="60"/>
      <c r="P548" s="61"/>
      <c r="Q548" s="62"/>
      <c r="R548" s="61"/>
      <c r="S548" s="62"/>
      <c r="T548" s="61"/>
      <c r="U548" s="62"/>
      <c r="V548" s="61"/>
      <c r="W548" s="62"/>
      <c r="X548" s="61"/>
      <c r="Y548" s="62"/>
      <c r="Z548" s="61"/>
      <c r="AA548" s="62"/>
    </row>
    <row r="549" spans="3:27" ht="16.5" customHeight="1">
      <c r="C549" s="118"/>
      <c r="E549" s="61"/>
      <c r="H549" s="61"/>
      <c r="I549" s="60"/>
      <c r="K549" s="62"/>
      <c r="O549" s="60"/>
      <c r="P549" s="61"/>
      <c r="Q549" s="62"/>
      <c r="R549" s="61"/>
      <c r="S549" s="62"/>
      <c r="T549" s="61"/>
      <c r="U549" s="62"/>
      <c r="V549" s="61"/>
      <c r="W549" s="62"/>
      <c r="X549" s="61"/>
      <c r="Y549" s="62"/>
      <c r="Z549" s="61"/>
      <c r="AA549" s="62"/>
    </row>
    <row r="550" spans="3:27" ht="16.5" customHeight="1">
      <c r="C550" s="118"/>
      <c r="E550" s="61"/>
      <c r="H550" s="61"/>
      <c r="I550" s="60"/>
      <c r="K550" s="62"/>
      <c r="O550" s="60"/>
      <c r="P550" s="61"/>
      <c r="Q550" s="62"/>
      <c r="R550" s="61"/>
      <c r="S550" s="62"/>
      <c r="T550" s="61"/>
      <c r="U550" s="62"/>
      <c r="V550" s="61"/>
      <c r="W550" s="62"/>
      <c r="X550" s="61"/>
      <c r="Y550" s="62"/>
      <c r="Z550" s="61"/>
      <c r="AA550" s="62"/>
    </row>
    <row r="551" spans="3:27" ht="16.5" customHeight="1">
      <c r="C551" s="118"/>
      <c r="E551" s="61"/>
      <c r="H551" s="61"/>
      <c r="I551" s="60"/>
      <c r="K551" s="62"/>
      <c r="O551" s="60"/>
      <c r="P551" s="61"/>
      <c r="Q551" s="62"/>
      <c r="R551" s="61"/>
      <c r="S551" s="62"/>
      <c r="T551" s="61"/>
      <c r="U551" s="62"/>
      <c r="V551" s="61"/>
      <c r="W551" s="62"/>
      <c r="X551" s="61"/>
      <c r="Y551" s="62"/>
      <c r="Z551" s="61"/>
      <c r="AA551" s="62"/>
    </row>
    <row r="552" spans="3:27" ht="16.5" customHeight="1">
      <c r="C552" s="118"/>
      <c r="E552" s="61"/>
      <c r="H552" s="61"/>
      <c r="I552" s="60"/>
      <c r="K552" s="62"/>
      <c r="O552" s="60"/>
      <c r="P552" s="61"/>
      <c r="Q552" s="62"/>
      <c r="R552" s="61"/>
      <c r="S552" s="62"/>
      <c r="T552" s="61"/>
      <c r="U552" s="62"/>
      <c r="V552" s="61"/>
      <c r="W552" s="62"/>
      <c r="X552" s="61"/>
      <c r="Y552" s="62"/>
      <c r="Z552" s="61"/>
      <c r="AA552" s="62"/>
    </row>
    <row r="553" spans="3:27" ht="16.5" customHeight="1">
      <c r="C553" s="118"/>
      <c r="E553" s="61"/>
      <c r="H553" s="61"/>
      <c r="I553" s="60"/>
      <c r="K553" s="62"/>
      <c r="O553" s="60"/>
      <c r="P553" s="61"/>
      <c r="Q553" s="62"/>
      <c r="R553" s="61"/>
      <c r="S553" s="62"/>
      <c r="T553" s="61"/>
      <c r="U553" s="62"/>
      <c r="V553" s="61"/>
      <c r="W553" s="62"/>
      <c r="X553" s="61"/>
      <c r="Y553" s="62"/>
      <c r="Z553" s="61"/>
      <c r="AA553" s="62"/>
    </row>
    <row r="554" spans="3:27" ht="16.5" customHeight="1">
      <c r="C554" s="118"/>
      <c r="E554" s="61"/>
      <c r="H554" s="61"/>
      <c r="I554" s="60"/>
      <c r="K554" s="62"/>
      <c r="O554" s="60"/>
      <c r="P554" s="61"/>
      <c r="Q554" s="62"/>
      <c r="R554" s="61"/>
      <c r="S554" s="62"/>
      <c r="T554" s="61"/>
      <c r="U554" s="62"/>
      <c r="V554" s="61"/>
      <c r="W554" s="62"/>
      <c r="X554" s="61"/>
      <c r="Y554" s="62"/>
      <c r="Z554" s="61"/>
      <c r="AA554" s="62"/>
    </row>
    <row r="555" spans="3:27" ht="16.5" customHeight="1">
      <c r="C555" s="118"/>
      <c r="E555" s="61"/>
      <c r="H555" s="61"/>
      <c r="I555" s="60"/>
      <c r="K555" s="62"/>
      <c r="O555" s="60"/>
      <c r="P555" s="61"/>
      <c r="Q555" s="62"/>
      <c r="R555" s="61"/>
      <c r="S555" s="62"/>
      <c r="T555" s="61"/>
      <c r="U555" s="62"/>
      <c r="V555" s="61"/>
      <c r="W555" s="62"/>
      <c r="X555" s="61"/>
      <c r="Y555" s="62"/>
      <c r="Z555" s="61"/>
      <c r="AA555" s="62"/>
    </row>
    <row r="556" spans="3:27" ht="16.5" customHeight="1">
      <c r="C556" s="118"/>
      <c r="E556" s="61"/>
      <c r="H556" s="61"/>
      <c r="I556" s="60"/>
      <c r="K556" s="62"/>
      <c r="O556" s="60"/>
      <c r="P556" s="61"/>
      <c r="Q556" s="62"/>
      <c r="R556" s="61"/>
      <c r="S556" s="62"/>
      <c r="T556" s="61"/>
      <c r="U556" s="62"/>
      <c r="V556" s="61"/>
      <c r="W556" s="62"/>
      <c r="X556" s="61"/>
      <c r="Y556" s="62"/>
      <c r="Z556" s="61"/>
      <c r="AA556" s="62"/>
    </row>
    <row r="557" spans="3:27" ht="16.5" customHeight="1">
      <c r="C557" s="118"/>
      <c r="E557" s="61"/>
      <c r="H557" s="61"/>
      <c r="I557" s="60"/>
      <c r="K557" s="62"/>
      <c r="O557" s="60"/>
      <c r="P557" s="61"/>
      <c r="Q557" s="62"/>
      <c r="R557" s="61"/>
      <c r="S557" s="62"/>
      <c r="T557" s="61"/>
      <c r="U557" s="62"/>
      <c r="V557" s="61"/>
      <c r="W557" s="62"/>
      <c r="X557" s="61"/>
      <c r="Y557" s="62"/>
      <c r="Z557" s="61"/>
      <c r="AA557" s="62"/>
    </row>
    <row r="558" spans="3:27" ht="16.5" customHeight="1">
      <c r="C558" s="118"/>
      <c r="E558" s="61"/>
      <c r="H558" s="61"/>
      <c r="I558" s="60"/>
      <c r="K558" s="62"/>
      <c r="O558" s="60"/>
      <c r="P558" s="61"/>
      <c r="Q558" s="62"/>
      <c r="R558" s="61"/>
      <c r="S558" s="62"/>
      <c r="T558" s="61"/>
      <c r="U558" s="62"/>
      <c r="V558" s="61"/>
      <c r="W558" s="62"/>
      <c r="X558" s="61"/>
      <c r="Y558" s="62"/>
      <c r="Z558" s="61"/>
      <c r="AA558" s="62"/>
    </row>
    <row r="559" spans="3:27" ht="16.5" customHeight="1">
      <c r="C559" s="118"/>
      <c r="E559" s="61"/>
      <c r="H559" s="61"/>
      <c r="I559" s="60"/>
      <c r="K559" s="62"/>
      <c r="O559" s="60"/>
      <c r="P559" s="61"/>
      <c r="Q559" s="62"/>
      <c r="R559" s="61"/>
      <c r="S559" s="62"/>
      <c r="T559" s="61"/>
      <c r="U559" s="62"/>
      <c r="V559" s="61"/>
      <c r="W559" s="62"/>
      <c r="X559" s="61"/>
      <c r="Y559" s="62"/>
      <c r="Z559" s="61"/>
      <c r="AA559" s="62"/>
    </row>
    <row r="560" spans="3:27" ht="16.5" customHeight="1">
      <c r="C560" s="118"/>
      <c r="E560" s="61"/>
      <c r="H560" s="61"/>
      <c r="I560" s="60"/>
      <c r="K560" s="62"/>
      <c r="O560" s="60"/>
      <c r="P560" s="61"/>
      <c r="Q560" s="62"/>
      <c r="R560" s="61"/>
      <c r="S560" s="62"/>
      <c r="T560" s="61"/>
      <c r="U560" s="62"/>
      <c r="V560" s="61"/>
      <c r="W560" s="62"/>
      <c r="X560" s="61"/>
      <c r="Y560" s="62"/>
      <c r="Z560" s="61"/>
      <c r="AA560" s="62"/>
    </row>
    <row r="561" spans="3:27" ht="16.5" customHeight="1">
      <c r="C561" s="118"/>
      <c r="E561" s="61"/>
      <c r="H561" s="61"/>
      <c r="I561" s="60"/>
      <c r="K561" s="62"/>
      <c r="O561" s="60"/>
      <c r="P561" s="61"/>
      <c r="Q561" s="62"/>
      <c r="R561" s="61"/>
      <c r="S561" s="62"/>
      <c r="T561" s="61"/>
      <c r="U561" s="62"/>
      <c r="V561" s="61"/>
      <c r="W561" s="62"/>
      <c r="X561" s="61"/>
      <c r="Y561" s="62"/>
      <c r="Z561" s="61"/>
      <c r="AA561" s="62"/>
    </row>
    <row r="562" spans="3:27" ht="16.5" customHeight="1">
      <c r="C562" s="118"/>
      <c r="E562" s="61"/>
      <c r="H562" s="61"/>
      <c r="I562" s="60"/>
      <c r="K562" s="62"/>
      <c r="O562" s="60"/>
      <c r="P562" s="61"/>
      <c r="Q562" s="62"/>
      <c r="R562" s="61"/>
      <c r="S562" s="62"/>
      <c r="T562" s="61"/>
      <c r="U562" s="62"/>
      <c r="V562" s="61"/>
      <c r="W562" s="62"/>
      <c r="X562" s="61"/>
      <c r="Y562" s="62"/>
      <c r="Z562" s="61"/>
      <c r="AA562" s="62"/>
    </row>
    <row r="563" spans="3:27" ht="16.5" customHeight="1">
      <c r="C563" s="118"/>
      <c r="E563" s="61"/>
      <c r="H563" s="61"/>
      <c r="I563" s="60"/>
      <c r="K563" s="62"/>
      <c r="O563" s="60"/>
      <c r="P563" s="61"/>
      <c r="Q563" s="62"/>
      <c r="R563" s="61"/>
      <c r="S563" s="62"/>
      <c r="T563" s="61"/>
      <c r="U563" s="62"/>
      <c r="V563" s="61"/>
      <c r="W563" s="62"/>
      <c r="X563" s="61"/>
      <c r="Y563" s="62"/>
      <c r="Z563" s="61"/>
      <c r="AA563" s="62"/>
    </row>
    <row r="564" spans="3:27" ht="16.5" customHeight="1">
      <c r="C564" s="118"/>
      <c r="E564" s="61"/>
      <c r="H564" s="61"/>
      <c r="I564" s="60"/>
      <c r="K564" s="62"/>
      <c r="O564" s="60"/>
      <c r="P564" s="61"/>
      <c r="Q564" s="62"/>
      <c r="R564" s="61"/>
      <c r="S564" s="62"/>
      <c r="T564" s="61"/>
      <c r="U564" s="62"/>
      <c r="V564" s="61"/>
      <c r="W564" s="62"/>
      <c r="X564" s="61"/>
      <c r="Y564" s="62"/>
      <c r="Z564" s="61"/>
      <c r="AA564" s="62"/>
    </row>
    <row r="565" spans="3:27" ht="16.5" customHeight="1">
      <c r="C565" s="118"/>
      <c r="E565" s="61"/>
      <c r="H565" s="61"/>
      <c r="I565" s="60"/>
      <c r="K565" s="62"/>
      <c r="O565" s="60"/>
      <c r="P565" s="61"/>
      <c r="Q565" s="62"/>
      <c r="R565" s="61"/>
      <c r="S565" s="62"/>
      <c r="T565" s="61"/>
      <c r="U565" s="62"/>
      <c r="V565" s="61"/>
      <c r="W565" s="62"/>
      <c r="X565" s="61"/>
      <c r="Y565" s="62"/>
      <c r="Z565" s="61"/>
      <c r="AA565" s="62"/>
    </row>
    <row r="566" spans="3:27" ht="16.5" customHeight="1">
      <c r="C566" s="118"/>
      <c r="E566" s="61"/>
      <c r="H566" s="61"/>
      <c r="I566" s="60"/>
      <c r="K566" s="62"/>
      <c r="O566" s="60"/>
      <c r="P566" s="61"/>
      <c r="Q566" s="62"/>
      <c r="R566" s="61"/>
      <c r="S566" s="62"/>
      <c r="T566" s="61"/>
      <c r="U566" s="62"/>
      <c r="V566" s="61"/>
      <c r="W566" s="62"/>
      <c r="X566" s="61"/>
      <c r="Y566" s="62"/>
      <c r="Z566" s="61"/>
      <c r="AA566" s="62"/>
    </row>
    <row r="567" spans="3:27" ht="16.5" customHeight="1">
      <c r="C567" s="118"/>
      <c r="E567" s="61"/>
      <c r="H567" s="61"/>
      <c r="I567" s="60"/>
      <c r="K567" s="62"/>
      <c r="O567" s="60"/>
      <c r="P567" s="61"/>
      <c r="Q567" s="62"/>
      <c r="R567" s="61"/>
      <c r="S567" s="62"/>
      <c r="T567" s="61"/>
      <c r="U567" s="62"/>
      <c r="V567" s="61"/>
      <c r="W567" s="62"/>
      <c r="X567" s="61"/>
      <c r="Y567" s="62"/>
      <c r="Z567" s="61"/>
      <c r="AA567" s="62"/>
    </row>
    <row r="568" spans="3:27" ht="16.5" customHeight="1">
      <c r="C568" s="118"/>
      <c r="E568" s="61"/>
      <c r="H568" s="61"/>
      <c r="I568" s="60"/>
      <c r="K568" s="62"/>
      <c r="O568" s="60"/>
      <c r="P568" s="61"/>
      <c r="Q568" s="62"/>
      <c r="R568" s="61"/>
      <c r="S568" s="62"/>
      <c r="T568" s="61"/>
      <c r="U568" s="62"/>
      <c r="V568" s="61"/>
      <c r="W568" s="62"/>
      <c r="X568" s="61"/>
      <c r="Y568" s="62"/>
      <c r="Z568" s="61"/>
      <c r="AA568" s="62"/>
    </row>
    <row r="569" spans="3:27" ht="16.5" customHeight="1">
      <c r="C569" s="118"/>
      <c r="E569" s="61"/>
      <c r="H569" s="61"/>
      <c r="I569" s="60"/>
      <c r="K569" s="62"/>
      <c r="O569" s="60"/>
      <c r="P569" s="61"/>
      <c r="Q569" s="62"/>
      <c r="R569" s="61"/>
      <c r="S569" s="62"/>
      <c r="T569" s="61"/>
      <c r="U569" s="62"/>
      <c r="V569" s="61"/>
      <c r="W569" s="62"/>
      <c r="X569" s="61"/>
      <c r="Y569" s="62"/>
      <c r="Z569" s="61"/>
      <c r="AA569" s="62"/>
    </row>
    <row r="570" spans="3:27" ht="16.5" customHeight="1">
      <c r="C570" s="118"/>
      <c r="E570" s="61"/>
      <c r="H570" s="61"/>
      <c r="I570" s="60"/>
      <c r="K570" s="62"/>
      <c r="O570" s="60"/>
      <c r="P570" s="61"/>
      <c r="Q570" s="62"/>
      <c r="R570" s="61"/>
      <c r="S570" s="62"/>
      <c r="T570" s="61"/>
      <c r="U570" s="62"/>
      <c r="V570" s="61"/>
      <c r="W570" s="62"/>
      <c r="X570" s="61"/>
      <c r="Y570" s="62"/>
      <c r="Z570" s="61"/>
      <c r="AA570" s="62"/>
    </row>
    <row r="571" spans="3:27" ht="16.5" customHeight="1">
      <c r="C571" s="118"/>
      <c r="E571" s="61"/>
      <c r="H571" s="61"/>
      <c r="I571" s="60"/>
      <c r="K571" s="62"/>
      <c r="O571" s="60"/>
      <c r="P571" s="61"/>
      <c r="Q571" s="62"/>
      <c r="R571" s="61"/>
      <c r="S571" s="62"/>
      <c r="T571" s="61"/>
      <c r="U571" s="62"/>
      <c r="V571" s="61"/>
      <c r="W571" s="62"/>
      <c r="X571" s="61"/>
      <c r="Y571" s="62"/>
      <c r="Z571" s="61"/>
      <c r="AA571" s="62"/>
    </row>
    <row r="572" spans="3:27" ht="16.5" customHeight="1">
      <c r="C572" s="118"/>
      <c r="E572" s="61"/>
      <c r="H572" s="61"/>
      <c r="I572" s="60"/>
      <c r="K572" s="62"/>
      <c r="O572" s="60"/>
      <c r="P572" s="61"/>
      <c r="Q572" s="62"/>
      <c r="R572" s="61"/>
      <c r="S572" s="62"/>
      <c r="T572" s="61"/>
      <c r="U572" s="62"/>
      <c r="V572" s="61"/>
      <c r="W572" s="62"/>
      <c r="X572" s="61"/>
      <c r="Y572" s="62"/>
      <c r="Z572" s="61"/>
      <c r="AA572" s="62"/>
    </row>
    <row r="573" spans="3:27" ht="16.5" customHeight="1">
      <c r="C573" s="118"/>
      <c r="E573" s="61"/>
      <c r="H573" s="61"/>
      <c r="I573" s="60"/>
      <c r="K573" s="62"/>
      <c r="O573" s="60"/>
      <c r="P573" s="61"/>
      <c r="Q573" s="62"/>
      <c r="R573" s="61"/>
      <c r="S573" s="62"/>
      <c r="T573" s="61"/>
      <c r="U573" s="62"/>
      <c r="V573" s="61"/>
      <c r="W573" s="62"/>
      <c r="X573" s="61"/>
      <c r="Y573" s="62"/>
      <c r="Z573" s="61"/>
      <c r="AA573" s="62"/>
    </row>
    <row r="574" spans="3:27" ht="16.5" customHeight="1">
      <c r="C574" s="118"/>
      <c r="E574" s="61"/>
      <c r="H574" s="61"/>
      <c r="I574" s="60"/>
      <c r="K574" s="62"/>
      <c r="O574" s="60"/>
      <c r="P574" s="61"/>
      <c r="Q574" s="62"/>
      <c r="R574" s="61"/>
      <c r="S574" s="62"/>
      <c r="T574" s="61"/>
      <c r="U574" s="62"/>
      <c r="V574" s="61"/>
      <c r="W574" s="62"/>
      <c r="X574" s="61"/>
      <c r="Y574" s="62"/>
      <c r="Z574" s="61"/>
      <c r="AA574" s="62"/>
    </row>
    <row r="575" spans="3:27" ht="16.5" customHeight="1">
      <c r="C575" s="118"/>
      <c r="E575" s="61"/>
      <c r="H575" s="61"/>
      <c r="I575" s="60"/>
      <c r="K575" s="62"/>
      <c r="O575" s="60"/>
      <c r="P575" s="61"/>
      <c r="Q575" s="62"/>
      <c r="R575" s="61"/>
      <c r="S575" s="62"/>
      <c r="T575" s="61"/>
      <c r="U575" s="62"/>
      <c r="V575" s="61"/>
      <c r="W575" s="62"/>
      <c r="X575" s="61"/>
      <c r="Y575" s="62"/>
      <c r="Z575" s="61"/>
      <c r="AA575" s="62"/>
    </row>
    <row r="576" spans="3:27" ht="16.5" customHeight="1">
      <c r="C576" s="118"/>
      <c r="E576" s="61"/>
      <c r="H576" s="61"/>
      <c r="I576" s="60"/>
      <c r="K576" s="62"/>
      <c r="O576" s="60"/>
      <c r="P576" s="61"/>
      <c r="Q576" s="62"/>
      <c r="R576" s="61"/>
      <c r="S576" s="62"/>
      <c r="T576" s="61"/>
      <c r="U576" s="62"/>
      <c r="V576" s="61"/>
      <c r="W576" s="62"/>
      <c r="X576" s="61"/>
      <c r="Y576" s="62"/>
      <c r="Z576" s="61"/>
      <c r="AA576" s="62"/>
    </row>
    <row r="577" spans="3:27" ht="16.5" customHeight="1">
      <c r="C577" s="118"/>
      <c r="E577" s="61"/>
      <c r="H577" s="61"/>
      <c r="I577" s="60"/>
      <c r="K577" s="62"/>
      <c r="O577" s="60"/>
      <c r="P577" s="61"/>
      <c r="Q577" s="62"/>
      <c r="R577" s="61"/>
      <c r="S577" s="62"/>
      <c r="T577" s="61"/>
      <c r="U577" s="62"/>
      <c r="V577" s="61"/>
      <c r="W577" s="62"/>
      <c r="X577" s="61"/>
      <c r="Y577" s="62"/>
      <c r="Z577" s="61"/>
      <c r="AA577" s="62"/>
    </row>
    <row r="578" spans="3:27" ht="16.5" customHeight="1">
      <c r="C578" s="118"/>
      <c r="E578" s="61"/>
      <c r="H578" s="61"/>
      <c r="I578" s="60"/>
      <c r="K578" s="62"/>
      <c r="O578" s="60"/>
      <c r="P578" s="61"/>
      <c r="Q578" s="62"/>
      <c r="R578" s="61"/>
      <c r="S578" s="62"/>
      <c r="T578" s="61"/>
      <c r="U578" s="62"/>
      <c r="V578" s="61"/>
      <c r="W578" s="62"/>
      <c r="X578" s="61"/>
      <c r="Y578" s="62"/>
      <c r="Z578" s="61"/>
      <c r="AA578" s="62"/>
    </row>
    <row r="579" spans="3:27" ht="16.5" customHeight="1">
      <c r="C579" s="118"/>
      <c r="E579" s="61"/>
      <c r="H579" s="61"/>
      <c r="I579" s="60"/>
      <c r="K579" s="62"/>
      <c r="O579" s="60"/>
      <c r="P579" s="61"/>
      <c r="Q579" s="62"/>
      <c r="R579" s="61"/>
      <c r="S579" s="62"/>
      <c r="T579" s="61"/>
      <c r="U579" s="62"/>
      <c r="V579" s="61"/>
      <c r="W579" s="62"/>
      <c r="X579" s="61"/>
      <c r="Y579" s="62"/>
      <c r="Z579" s="61"/>
      <c r="AA579" s="62"/>
    </row>
    <row r="580" spans="3:27" ht="16.5" customHeight="1">
      <c r="C580" s="118"/>
      <c r="E580" s="61"/>
      <c r="H580" s="61"/>
      <c r="I580" s="60"/>
      <c r="K580" s="62"/>
      <c r="O580" s="60"/>
      <c r="P580" s="61"/>
      <c r="Q580" s="62"/>
      <c r="R580" s="61"/>
      <c r="S580" s="62"/>
      <c r="T580" s="61"/>
      <c r="U580" s="62"/>
      <c r="V580" s="61"/>
      <c r="W580" s="62"/>
      <c r="X580" s="61"/>
      <c r="Y580" s="62"/>
      <c r="Z580" s="61"/>
      <c r="AA580" s="62"/>
    </row>
    <row r="581" spans="3:27" ht="16.5" customHeight="1">
      <c r="C581" s="118"/>
      <c r="E581" s="61"/>
      <c r="H581" s="61"/>
      <c r="I581" s="60"/>
      <c r="K581" s="62"/>
      <c r="O581" s="60"/>
      <c r="P581" s="61"/>
      <c r="Q581" s="62"/>
      <c r="R581" s="61"/>
      <c r="S581" s="62"/>
      <c r="T581" s="61"/>
      <c r="U581" s="62"/>
      <c r="V581" s="61"/>
      <c r="W581" s="62"/>
      <c r="X581" s="61"/>
      <c r="Y581" s="62"/>
      <c r="Z581" s="61"/>
      <c r="AA581" s="62"/>
    </row>
    <row r="582" spans="3:27" ht="16.5" customHeight="1">
      <c r="C582" s="118"/>
      <c r="E582" s="61"/>
      <c r="H582" s="61"/>
      <c r="I582" s="60"/>
      <c r="K582" s="62"/>
      <c r="O582" s="60"/>
      <c r="P582" s="61"/>
      <c r="Q582" s="62"/>
      <c r="R582" s="61"/>
      <c r="S582" s="62"/>
      <c r="T582" s="61"/>
      <c r="U582" s="62"/>
      <c r="V582" s="61"/>
      <c r="W582" s="62"/>
      <c r="X582" s="61"/>
      <c r="Y582" s="62"/>
      <c r="Z582" s="61"/>
      <c r="AA582" s="62"/>
    </row>
    <row r="583" spans="3:27" ht="16.5" customHeight="1">
      <c r="C583" s="118"/>
      <c r="E583" s="61"/>
      <c r="H583" s="61"/>
      <c r="I583" s="60"/>
      <c r="K583" s="62"/>
      <c r="O583" s="60"/>
      <c r="P583" s="61"/>
      <c r="Q583" s="62"/>
      <c r="R583" s="61"/>
      <c r="S583" s="62"/>
      <c r="T583" s="61"/>
      <c r="U583" s="62"/>
      <c r="V583" s="61"/>
      <c r="W583" s="62"/>
      <c r="X583" s="61"/>
      <c r="Y583" s="62"/>
      <c r="Z583" s="61"/>
      <c r="AA583" s="62"/>
    </row>
    <row r="584" spans="3:27" ht="16.5" customHeight="1">
      <c r="C584" s="118"/>
      <c r="E584" s="61"/>
      <c r="H584" s="61"/>
      <c r="I584" s="60"/>
      <c r="K584" s="62"/>
      <c r="O584" s="60"/>
      <c r="P584" s="61"/>
      <c r="Q584" s="62"/>
      <c r="R584" s="61"/>
      <c r="S584" s="62"/>
      <c r="T584" s="61"/>
      <c r="U584" s="62"/>
      <c r="V584" s="61"/>
      <c r="W584" s="62"/>
      <c r="X584" s="61"/>
      <c r="Y584" s="62"/>
      <c r="Z584" s="61"/>
      <c r="AA584" s="62"/>
    </row>
    <row r="585" spans="3:27" ht="16.5" customHeight="1">
      <c r="C585" s="118"/>
      <c r="E585" s="61"/>
      <c r="H585" s="61"/>
      <c r="I585" s="60"/>
      <c r="K585" s="62"/>
      <c r="O585" s="60"/>
      <c r="P585" s="61"/>
      <c r="Q585" s="62"/>
      <c r="R585" s="61"/>
      <c r="S585" s="62"/>
      <c r="T585" s="61"/>
      <c r="U585" s="62"/>
      <c r="V585" s="61"/>
      <c r="W585" s="62"/>
      <c r="X585" s="61"/>
      <c r="Y585" s="62"/>
      <c r="Z585" s="61"/>
      <c r="AA585" s="62"/>
    </row>
    <row r="586" spans="3:27" ht="16.5" customHeight="1">
      <c r="C586" s="118"/>
      <c r="E586" s="61"/>
      <c r="H586" s="61"/>
      <c r="I586" s="60"/>
      <c r="K586" s="62"/>
      <c r="O586" s="60"/>
      <c r="P586" s="61"/>
      <c r="Q586" s="62"/>
      <c r="R586" s="61"/>
      <c r="S586" s="62"/>
      <c r="T586" s="61"/>
      <c r="U586" s="62"/>
      <c r="V586" s="61"/>
      <c r="W586" s="62"/>
      <c r="X586" s="61"/>
      <c r="Y586" s="62"/>
      <c r="Z586" s="61"/>
      <c r="AA586" s="62"/>
    </row>
    <row r="587" spans="3:27" ht="16.5" customHeight="1">
      <c r="C587" s="118"/>
      <c r="E587" s="61"/>
      <c r="H587" s="61"/>
      <c r="I587" s="60"/>
      <c r="K587" s="62"/>
      <c r="O587" s="60"/>
      <c r="P587" s="61"/>
      <c r="Q587" s="62"/>
      <c r="R587" s="61"/>
      <c r="S587" s="62"/>
      <c r="T587" s="61"/>
      <c r="U587" s="62"/>
      <c r="V587" s="61"/>
      <c r="W587" s="62"/>
      <c r="X587" s="61"/>
      <c r="Y587" s="62"/>
      <c r="Z587" s="61"/>
      <c r="AA587" s="62"/>
    </row>
    <row r="588" spans="3:27" ht="16.5" customHeight="1">
      <c r="C588" s="118"/>
      <c r="E588" s="61"/>
      <c r="H588" s="61"/>
      <c r="I588" s="60"/>
      <c r="K588" s="62"/>
      <c r="O588" s="60"/>
      <c r="P588" s="61"/>
      <c r="Q588" s="62"/>
      <c r="R588" s="61"/>
      <c r="S588" s="62"/>
      <c r="T588" s="61"/>
      <c r="U588" s="62"/>
      <c r="V588" s="61"/>
      <c r="W588" s="62"/>
      <c r="X588" s="61"/>
      <c r="Y588" s="62"/>
      <c r="Z588" s="61"/>
      <c r="AA588" s="62"/>
    </row>
    <row r="589" spans="3:27" ht="16.5" customHeight="1">
      <c r="C589" s="118"/>
      <c r="E589" s="61"/>
      <c r="H589" s="61"/>
      <c r="I589" s="60"/>
      <c r="K589" s="62"/>
      <c r="O589" s="60"/>
      <c r="P589" s="61"/>
      <c r="Q589" s="62"/>
      <c r="R589" s="61"/>
      <c r="S589" s="62"/>
      <c r="T589" s="61"/>
      <c r="U589" s="62"/>
      <c r="V589" s="61"/>
      <c r="W589" s="62"/>
      <c r="X589" s="61"/>
      <c r="Y589" s="62"/>
      <c r="Z589" s="61"/>
      <c r="AA589" s="62"/>
    </row>
    <row r="590" spans="3:27" ht="16.5" customHeight="1">
      <c r="C590" s="118"/>
      <c r="E590" s="61"/>
      <c r="H590" s="61"/>
      <c r="I590" s="60"/>
      <c r="K590" s="62"/>
      <c r="O590" s="60"/>
      <c r="P590" s="61"/>
      <c r="Q590" s="62"/>
      <c r="R590" s="61"/>
      <c r="S590" s="62"/>
      <c r="T590" s="61"/>
      <c r="U590" s="62"/>
      <c r="V590" s="61"/>
      <c r="W590" s="62"/>
      <c r="X590" s="61"/>
      <c r="Y590" s="62"/>
      <c r="Z590" s="61"/>
      <c r="AA590" s="62"/>
    </row>
    <row r="591" spans="3:27" ht="16.5" customHeight="1">
      <c r="C591" s="118"/>
      <c r="E591" s="61"/>
      <c r="H591" s="61"/>
      <c r="I591" s="60"/>
      <c r="K591" s="62"/>
      <c r="O591" s="60"/>
      <c r="P591" s="61"/>
      <c r="Q591" s="62"/>
      <c r="R591" s="61"/>
      <c r="S591" s="62"/>
      <c r="T591" s="61"/>
      <c r="U591" s="62"/>
      <c r="V591" s="61"/>
      <c r="W591" s="62"/>
      <c r="X591" s="61"/>
      <c r="Y591" s="62"/>
      <c r="Z591" s="61"/>
      <c r="AA591" s="62"/>
    </row>
    <row r="592" spans="3:27" ht="16.5" customHeight="1">
      <c r="C592" s="118"/>
      <c r="E592" s="61"/>
      <c r="H592" s="61"/>
      <c r="I592" s="60"/>
      <c r="K592" s="62"/>
      <c r="O592" s="60"/>
      <c r="P592" s="61"/>
      <c r="Q592" s="62"/>
      <c r="R592" s="61"/>
      <c r="S592" s="62"/>
      <c r="T592" s="61"/>
      <c r="U592" s="62"/>
      <c r="V592" s="61"/>
      <c r="W592" s="62"/>
      <c r="X592" s="61"/>
      <c r="Y592" s="62"/>
      <c r="Z592" s="61"/>
      <c r="AA592" s="62"/>
    </row>
    <row r="593" spans="3:27" ht="16.5" customHeight="1">
      <c r="C593" s="118"/>
      <c r="E593" s="61"/>
      <c r="H593" s="61"/>
      <c r="I593" s="60"/>
      <c r="K593" s="62"/>
      <c r="O593" s="60"/>
      <c r="P593" s="61"/>
      <c r="Q593" s="62"/>
      <c r="R593" s="61"/>
      <c r="S593" s="62"/>
      <c r="T593" s="61"/>
      <c r="U593" s="62"/>
      <c r="V593" s="61"/>
      <c r="W593" s="62"/>
      <c r="X593" s="61"/>
      <c r="Y593" s="62"/>
      <c r="Z593" s="61"/>
      <c r="AA593" s="62"/>
    </row>
    <row r="594" spans="3:27" ht="16.5" customHeight="1">
      <c r="C594" s="118"/>
      <c r="E594" s="61"/>
      <c r="H594" s="61"/>
      <c r="I594" s="60"/>
      <c r="K594" s="62"/>
      <c r="O594" s="60"/>
      <c r="P594" s="61"/>
      <c r="Q594" s="62"/>
      <c r="R594" s="61"/>
      <c r="S594" s="62"/>
      <c r="T594" s="61"/>
      <c r="U594" s="62"/>
      <c r="V594" s="61"/>
      <c r="W594" s="62"/>
      <c r="X594" s="61"/>
      <c r="Y594" s="62"/>
      <c r="Z594" s="61"/>
      <c r="AA594" s="62"/>
    </row>
    <row r="595" spans="3:27" ht="16.5" customHeight="1">
      <c r="C595" s="118"/>
      <c r="E595" s="61"/>
      <c r="H595" s="61"/>
      <c r="I595" s="60"/>
      <c r="K595" s="62"/>
      <c r="O595" s="60"/>
      <c r="P595" s="61"/>
      <c r="Q595" s="62"/>
      <c r="R595" s="61"/>
      <c r="S595" s="62"/>
      <c r="T595" s="61"/>
      <c r="U595" s="62"/>
      <c r="V595" s="61"/>
      <c r="W595" s="62"/>
      <c r="X595" s="61"/>
      <c r="Y595" s="62"/>
      <c r="Z595" s="61"/>
      <c r="AA595" s="62"/>
    </row>
    <row r="596" spans="3:27" ht="16.5" customHeight="1">
      <c r="C596" s="118"/>
      <c r="E596" s="61"/>
      <c r="H596" s="61"/>
      <c r="I596" s="60"/>
      <c r="K596" s="62"/>
      <c r="O596" s="60"/>
      <c r="P596" s="61"/>
      <c r="Q596" s="62"/>
      <c r="R596" s="61"/>
      <c r="S596" s="62"/>
      <c r="T596" s="61"/>
      <c r="U596" s="62"/>
      <c r="V596" s="61"/>
      <c r="W596" s="62"/>
      <c r="X596" s="61"/>
      <c r="Y596" s="62"/>
      <c r="Z596" s="61"/>
      <c r="AA596" s="62"/>
    </row>
    <row r="597" spans="3:27" ht="16.5" customHeight="1">
      <c r="C597" s="118"/>
      <c r="E597" s="61"/>
      <c r="H597" s="61"/>
      <c r="I597" s="60"/>
      <c r="K597" s="62"/>
      <c r="O597" s="60"/>
      <c r="P597" s="61"/>
      <c r="Q597" s="62"/>
      <c r="R597" s="61"/>
      <c r="S597" s="62"/>
      <c r="T597" s="61"/>
      <c r="U597" s="62"/>
      <c r="V597" s="61"/>
      <c r="W597" s="62"/>
      <c r="X597" s="61"/>
      <c r="Y597" s="62"/>
      <c r="Z597" s="61"/>
      <c r="AA597" s="62"/>
    </row>
    <row r="598" spans="3:27" ht="16.5" customHeight="1">
      <c r="C598" s="118"/>
      <c r="E598" s="61"/>
      <c r="H598" s="61"/>
      <c r="I598" s="60"/>
      <c r="K598" s="62"/>
      <c r="O598" s="60"/>
      <c r="P598" s="61"/>
      <c r="Q598" s="62"/>
      <c r="R598" s="61"/>
      <c r="S598" s="62"/>
      <c r="T598" s="61"/>
      <c r="U598" s="62"/>
      <c r="V598" s="61"/>
      <c r="W598" s="62"/>
      <c r="X598" s="61"/>
      <c r="Y598" s="62"/>
      <c r="Z598" s="61"/>
      <c r="AA598" s="62"/>
    </row>
    <row r="599" spans="3:27" ht="16.5" customHeight="1">
      <c r="C599" s="118"/>
      <c r="E599" s="61"/>
      <c r="H599" s="61"/>
      <c r="I599" s="60"/>
      <c r="K599" s="62"/>
      <c r="O599" s="60"/>
      <c r="P599" s="61"/>
      <c r="Q599" s="62"/>
      <c r="R599" s="61"/>
      <c r="S599" s="62"/>
      <c r="T599" s="61"/>
      <c r="U599" s="62"/>
      <c r="V599" s="61"/>
      <c r="W599" s="62"/>
      <c r="X599" s="61"/>
      <c r="Y599" s="62"/>
      <c r="Z599" s="61"/>
      <c r="AA599" s="62"/>
    </row>
    <row r="600" spans="3:27" ht="16.5" customHeight="1">
      <c r="C600" s="118"/>
      <c r="E600" s="61"/>
      <c r="H600" s="61"/>
      <c r="I600" s="60"/>
      <c r="K600" s="62"/>
      <c r="O600" s="60"/>
      <c r="P600" s="61"/>
      <c r="Q600" s="62"/>
      <c r="R600" s="61"/>
      <c r="S600" s="62"/>
      <c r="T600" s="61"/>
      <c r="U600" s="62"/>
      <c r="V600" s="61"/>
      <c r="W600" s="62"/>
      <c r="X600" s="61"/>
      <c r="Y600" s="62"/>
      <c r="Z600" s="61"/>
      <c r="AA600" s="62"/>
    </row>
    <row r="601" spans="3:27" ht="16.5" customHeight="1">
      <c r="C601" s="118"/>
      <c r="E601" s="61"/>
      <c r="H601" s="61"/>
      <c r="I601" s="60"/>
      <c r="K601" s="62"/>
      <c r="O601" s="60"/>
      <c r="P601" s="61"/>
      <c r="Q601" s="62"/>
      <c r="R601" s="61"/>
      <c r="S601" s="62"/>
      <c r="T601" s="61"/>
      <c r="U601" s="62"/>
      <c r="V601" s="61"/>
      <c r="W601" s="62"/>
      <c r="X601" s="61"/>
      <c r="Y601" s="62"/>
      <c r="Z601" s="61"/>
      <c r="AA601" s="62"/>
    </row>
    <row r="602" spans="3:27" ht="16.5" customHeight="1">
      <c r="C602" s="118"/>
      <c r="E602" s="61"/>
      <c r="H602" s="61"/>
      <c r="I602" s="60"/>
      <c r="K602" s="62"/>
      <c r="O602" s="60"/>
      <c r="P602" s="61"/>
      <c r="Q602" s="62"/>
      <c r="R602" s="61"/>
      <c r="S602" s="62"/>
      <c r="T602" s="61"/>
      <c r="U602" s="62"/>
      <c r="V602" s="61"/>
      <c r="W602" s="62"/>
      <c r="X602" s="61"/>
      <c r="Y602" s="62"/>
      <c r="Z602" s="61"/>
      <c r="AA602" s="62"/>
    </row>
    <row r="603" spans="3:27" ht="16.5" customHeight="1">
      <c r="C603" s="118"/>
      <c r="E603" s="61"/>
      <c r="H603" s="61"/>
      <c r="I603" s="60"/>
      <c r="K603" s="62"/>
      <c r="O603" s="60"/>
      <c r="P603" s="61"/>
      <c r="Q603" s="62"/>
      <c r="R603" s="61"/>
      <c r="S603" s="62"/>
      <c r="T603" s="61"/>
      <c r="U603" s="62"/>
      <c r="V603" s="61"/>
      <c r="W603" s="62"/>
      <c r="X603" s="61"/>
      <c r="Y603" s="62"/>
      <c r="Z603" s="61"/>
      <c r="AA603" s="62"/>
    </row>
    <row r="604" spans="3:27" ht="16.5" customHeight="1">
      <c r="C604" s="118"/>
      <c r="E604" s="61"/>
      <c r="H604" s="61"/>
      <c r="I604" s="60"/>
      <c r="K604" s="62"/>
      <c r="O604" s="60"/>
      <c r="P604" s="61"/>
      <c r="Q604" s="62"/>
      <c r="R604" s="61"/>
      <c r="S604" s="62"/>
      <c r="T604" s="61"/>
      <c r="U604" s="62"/>
      <c r="V604" s="61"/>
      <c r="W604" s="62"/>
      <c r="X604" s="61"/>
      <c r="Y604" s="62"/>
      <c r="Z604" s="61"/>
      <c r="AA604" s="62"/>
    </row>
    <row r="605" spans="3:27" ht="16.5" customHeight="1">
      <c r="C605" s="118"/>
      <c r="E605" s="61"/>
      <c r="H605" s="61"/>
      <c r="I605" s="60"/>
      <c r="K605" s="62"/>
      <c r="O605" s="60"/>
      <c r="P605" s="61"/>
      <c r="Q605" s="62"/>
      <c r="R605" s="61"/>
      <c r="S605" s="62"/>
      <c r="T605" s="61"/>
      <c r="U605" s="62"/>
      <c r="V605" s="61"/>
      <c r="W605" s="62"/>
      <c r="X605" s="61"/>
      <c r="Y605" s="62"/>
      <c r="Z605" s="61"/>
      <c r="AA605" s="62"/>
    </row>
    <row r="606" spans="3:27" ht="16.5" customHeight="1">
      <c r="C606" s="118"/>
      <c r="E606" s="61"/>
      <c r="H606" s="61"/>
      <c r="I606" s="60"/>
      <c r="K606" s="62"/>
      <c r="O606" s="60"/>
      <c r="P606" s="61"/>
      <c r="Q606" s="62"/>
      <c r="R606" s="61"/>
      <c r="S606" s="62"/>
      <c r="T606" s="61"/>
      <c r="U606" s="62"/>
      <c r="V606" s="61"/>
      <c r="W606" s="62"/>
      <c r="X606" s="61"/>
      <c r="Y606" s="62"/>
      <c r="Z606" s="61"/>
      <c r="AA606" s="62"/>
    </row>
    <row r="607" spans="3:27" ht="16.5" customHeight="1">
      <c r="C607" s="118"/>
      <c r="E607" s="61"/>
      <c r="H607" s="61"/>
      <c r="I607" s="60"/>
      <c r="K607" s="62"/>
      <c r="O607" s="60"/>
      <c r="P607" s="61"/>
      <c r="Q607" s="62"/>
      <c r="R607" s="61"/>
      <c r="S607" s="62"/>
      <c r="T607" s="61"/>
      <c r="U607" s="62"/>
      <c r="V607" s="61"/>
      <c r="W607" s="62"/>
      <c r="X607" s="61"/>
      <c r="Y607" s="62"/>
      <c r="Z607" s="61"/>
      <c r="AA607" s="62"/>
    </row>
    <row r="608" spans="3:27" ht="16.5" customHeight="1">
      <c r="C608" s="118"/>
      <c r="E608" s="61"/>
      <c r="H608" s="61"/>
      <c r="I608" s="60"/>
      <c r="K608" s="62"/>
      <c r="O608" s="60"/>
      <c r="P608" s="61"/>
      <c r="Q608" s="62"/>
      <c r="R608" s="61"/>
      <c r="S608" s="62"/>
      <c r="T608" s="61"/>
      <c r="U608" s="62"/>
      <c r="V608" s="61"/>
      <c r="W608" s="62"/>
      <c r="X608" s="61"/>
      <c r="Y608" s="62"/>
      <c r="Z608" s="61"/>
      <c r="AA608" s="62"/>
    </row>
    <row r="609" spans="3:27" ht="16.5" customHeight="1">
      <c r="C609" s="118"/>
      <c r="E609" s="61"/>
      <c r="H609" s="61"/>
      <c r="I609" s="60"/>
      <c r="K609" s="62"/>
      <c r="O609" s="60"/>
      <c r="P609" s="61"/>
      <c r="Q609" s="62"/>
      <c r="R609" s="61"/>
      <c r="S609" s="62"/>
      <c r="T609" s="61"/>
      <c r="U609" s="62"/>
      <c r="V609" s="61"/>
      <c r="W609" s="62"/>
      <c r="X609" s="61"/>
      <c r="Y609" s="62"/>
      <c r="Z609" s="61"/>
      <c r="AA609" s="62"/>
    </row>
    <row r="610" spans="3:27" ht="16.5" customHeight="1">
      <c r="C610" s="118"/>
      <c r="E610" s="61"/>
      <c r="H610" s="61"/>
      <c r="I610" s="60"/>
      <c r="K610" s="62"/>
      <c r="O610" s="60"/>
      <c r="P610" s="61"/>
      <c r="Q610" s="62"/>
      <c r="R610" s="61"/>
      <c r="S610" s="62"/>
      <c r="T610" s="61"/>
      <c r="U610" s="62"/>
      <c r="V610" s="61"/>
      <c r="W610" s="62"/>
      <c r="X610" s="61"/>
      <c r="Y610" s="62"/>
      <c r="Z610" s="61"/>
      <c r="AA610" s="62"/>
    </row>
    <row r="611" spans="3:27" ht="16.5" customHeight="1">
      <c r="C611" s="118"/>
      <c r="E611" s="61"/>
      <c r="H611" s="61"/>
      <c r="I611" s="60"/>
      <c r="K611" s="62"/>
      <c r="O611" s="60"/>
      <c r="P611" s="61"/>
      <c r="Q611" s="62"/>
      <c r="R611" s="61"/>
      <c r="S611" s="62"/>
      <c r="T611" s="61"/>
      <c r="U611" s="62"/>
      <c r="V611" s="61"/>
      <c r="W611" s="62"/>
      <c r="X611" s="61"/>
      <c r="Y611" s="62"/>
      <c r="Z611" s="61"/>
      <c r="AA611" s="62"/>
    </row>
    <row r="612" spans="3:27" ht="16.5" customHeight="1">
      <c r="C612" s="118"/>
      <c r="E612" s="61"/>
      <c r="H612" s="61"/>
      <c r="I612" s="60"/>
      <c r="K612" s="62"/>
      <c r="O612" s="60"/>
      <c r="P612" s="61"/>
      <c r="Q612" s="62"/>
      <c r="R612" s="61"/>
      <c r="S612" s="62"/>
      <c r="T612" s="61"/>
      <c r="U612" s="62"/>
      <c r="V612" s="61"/>
      <c r="W612" s="62"/>
      <c r="X612" s="61"/>
      <c r="Y612" s="62"/>
      <c r="Z612" s="61"/>
      <c r="AA612" s="62"/>
    </row>
    <row r="613" spans="3:27" ht="16.5" customHeight="1">
      <c r="C613" s="118"/>
      <c r="E613" s="61"/>
      <c r="H613" s="61"/>
      <c r="I613" s="60"/>
      <c r="K613" s="62"/>
      <c r="O613" s="60"/>
      <c r="P613" s="61"/>
      <c r="Q613" s="62"/>
      <c r="R613" s="61"/>
      <c r="S613" s="62"/>
      <c r="T613" s="61"/>
      <c r="U613" s="62"/>
      <c r="V613" s="61"/>
      <c r="W613" s="62"/>
      <c r="X613" s="61"/>
      <c r="Y613" s="62"/>
      <c r="Z613" s="61"/>
      <c r="AA613" s="62"/>
    </row>
    <row r="614" spans="3:27" ht="16.5" customHeight="1">
      <c r="C614" s="118"/>
      <c r="E614" s="61"/>
      <c r="H614" s="61"/>
      <c r="I614" s="60"/>
      <c r="K614" s="62"/>
      <c r="O614" s="60"/>
      <c r="P614" s="61"/>
      <c r="Q614" s="62"/>
      <c r="R614" s="61"/>
      <c r="S614" s="62"/>
      <c r="T614" s="61"/>
      <c r="U614" s="62"/>
      <c r="V614" s="61"/>
      <c r="W614" s="62"/>
      <c r="X614" s="61"/>
      <c r="Y614" s="62"/>
      <c r="Z614" s="61"/>
      <c r="AA614" s="62"/>
    </row>
    <row r="615" spans="3:27" ht="16.5" customHeight="1">
      <c r="C615" s="118"/>
      <c r="E615" s="61"/>
      <c r="H615" s="61"/>
      <c r="I615" s="60"/>
      <c r="K615" s="62"/>
      <c r="O615" s="60"/>
      <c r="P615" s="61"/>
      <c r="Q615" s="62"/>
      <c r="R615" s="61"/>
      <c r="S615" s="62"/>
      <c r="T615" s="61"/>
      <c r="U615" s="62"/>
      <c r="V615" s="61"/>
      <c r="W615" s="62"/>
      <c r="X615" s="61"/>
      <c r="Y615" s="62"/>
      <c r="Z615" s="61"/>
      <c r="AA615" s="62"/>
    </row>
    <row r="616" spans="3:27" ht="16.5" customHeight="1">
      <c r="C616" s="118"/>
      <c r="E616" s="61"/>
      <c r="H616" s="61"/>
      <c r="I616" s="60"/>
      <c r="K616" s="62"/>
      <c r="O616" s="60"/>
      <c r="P616" s="61"/>
      <c r="Q616" s="62"/>
      <c r="R616" s="61"/>
      <c r="S616" s="62"/>
      <c r="T616" s="61"/>
      <c r="U616" s="62"/>
      <c r="V616" s="61"/>
      <c r="W616" s="62"/>
      <c r="X616" s="61"/>
      <c r="Y616" s="62"/>
      <c r="Z616" s="61"/>
      <c r="AA616" s="62"/>
    </row>
    <row r="617" spans="3:27" ht="16.5" customHeight="1">
      <c r="C617" s="118"/>
      <c r="E617" s="61"/>
      <c r="H617" s="61"/>
      <c r="I617" s="60"/>
      <c r="K617" s="62"/>
      <c r="O617" s="60"/>
      <c r="P617" s="61"/>
      <c r="Q617" s="62"/>
      <c r="R617" s="61"/>
      <c r="S617" s="62"/>
      <c r="T617" s="61"/>
      <c r="U617" s="62"/>
      <c r="V617" s="61"/>
      <c r="W617" s="62"/>
      <c r="X617" s="61"/>
      <c r="Y617" s="62"/>
      <c r="Z617" s="61"/>
      <c r="AA617" s="62"/>
    </row>
    <row r="618" spans="3:27" ht="16.5" customHeight="1">
      <c r="C618" s="118"/>
      <c r="E618" s="61"/>
      <c r="H618" s="61"/>
      <c r="I618" s="60"/>
      <c r="K618" s="62"/>
      <c r="O618" s="60"/>
      <c r="P618" s="61"/>
      <c r="Q618" s="62"/>
      <c r="R618" s="61"/>
      <c r="S618" s="62"/>
      <c r="T618" s="61"/>
      <c r="U618" s="62"/>
      <c r="V618" s="61"/>
      <c r="W618" s="62"/>
      <c r="X618" s="61"/>
      <c r="Y618" s="62"/>
      <c r="Z618" s="61"/>
      <c r="AA618" s="62"/>
    </row>
    <row r="619" spans="3:27" ht="16.5" customHeight="1">
      <c r="C619" s="118"/>
      <c r="E619" s="61"/>
      <c r="H619" s="61"/>
      <c r="I619" s="60"/>
      <c r="K619" s="62"/>
      <c r="O619" s="60"/>
      <c r="P619" s="61"/>
      <c r="Q619" s="62"/>
      <c r="R619" s="61"/>
      <c r="S619" s="62"/>
      <c r="T619" s="61"/>
      <c r="U619" s="62"/>
      <c r="V619" s="61"/>
      <c r="W619" s="62"/>
      <c r="X619" s="61"/>
      <c r="Y619" s="62"/>
      <c r="Z619" s="61"/>
      <c r="AA619" s="62"/>
    </row>
    <row r="620" spans="3:27" ht="16.5" customHeight="1">
      <c r="C620" s="118"/>
      <c r="E620" s="61"/>
      <c r="H620" s="61"/>
      <c r="I620" s="60"/>
      <c r="K620" s="62"/>
      <c r="O620" s="60"/>
      <c r="P620" s="61"/>
      <c r="Q620" s="62"/>
      <c r="R620" s="61"/>
      <c r="S620" s="62"/>
      <c r="T620" s="61"/>
      <c r="U620" s="62"/>
      <c r="V620" s="61"/>
      <c r="W620" s="62"/>
      <c r="X620" s="61"/>
      <c r="Y620" s="62"/>
      <c r="Z620" s="61"/>
      <c r="AA620" s="62"/>
    </row>
    <row r="621" spans="3:27" ht="16.5" customHeight="1">
      <c r="C621" s="118"/>
      <c r="E621" s="61"/>
      <c r="H621" s="61"/>
      <c r="I621" s="60"/>
      <c r="K621" s="62"/>
      <c r="O621" s="60"/>
      <c r="P621" s="61"/>
      <c r="Q621" s="62"/>
      <c r="R621" s="61"/>
      <c r="S621" s="62"/>
      <c r="T621" s="61"/>
      <c r="U621" s="62"/>
      <c r="V621" s="61"/>
      <c r="W621" s="62"/>
      <c r="X621" s="61"/>
      <c r="Y621" s="62"/>
      <c r="Z621" s="61"/>
      <c r="AA621" s="62"/>
    </row>
    <row r="622" spans="3:27" ht="16.5" customHeight="1">
      <c r="C622" s="118"/>
      <c r="E622" s="61"/>
      <c r="H622" s="61"/>
      <c r="I622" s="60"/>
      <c r="K622" s="62"/>
      <c r="O622" s="60"/>
      <c r="P622" s="61"/>
      <c r="Q622" s="62"/>
      <c r="R622" s="61"/>
      <c r="S622" s="62"/>
      <c r="T622" s="61"/>
      <c r="U622" s="62"/>
      <c r="V622" s="61"/>
      <c r="W622" s="62"/>
      <c r="X622" s="61"/>
      <c r="Y622" s="62"/>
      <c r="Z622" s="61"/>
      <c r="AA622" s="62"/>
    </row>
    <row r="623" spans="3:27" ht="16.5" customHeight="1">
      <c r="C623" s="118"/>
      <c r="E623" s="61"/>
      <c r="H623" s="61"/>
      <c r="I623" s="60"/>
      <c r="K623" s="62"/>
      <c r="O623" s="60"/>
      <c r="P623" s="61"/>
      <c r="Q623" s="62"/>
      <c r="R623" s="61"/>
      <c r="S623" s="62"/>
      <c r="T623" s="61"/>
      <c r="U623" s="62"/>
      <c r="V623" s="61"/>
      <c r="W623" s="62"/>
      <c r="X623" s="61"/>
      <c r="Y623" s="62"/>
      <c r="Z623" s="61"/>
      <c r="AA623" s="62"/>
    </row>
    <row r="624" spans="3:27" ht="16.5" customHeight="1">
      <c r="C624" s="118"/>
      <c r="E624" s="61"/>
      <c r="H624" s="61"/>
      <c r="I624" s="60"/>
      <c r="K624" s="62"/>
      <c r="O624" s="60"/>
      <c r="P624" s="61"/>
      <c r="Q624" s="62"/>
      <c r="R624" s="61"/>
      <c r="S624" s="62"/>
      <c r="T624" s="61"/>
      <c r="U624" s="62"/>
      <c r="V624" s="61"/>
      <c r="W624" s="62"/>
      <c r="X624" s="61"/>
      <c r="Y624" s="62"/>
      <c r="Z624" s="61"/>
      <c r="AA624" s="62"/>
    </row>
    <row r="625" spans="3:27" ht="16.5" customHeight="1">
      <c r="C625" s="118"/>
      <c r="E625" s="61"/>
      <c r="H625" s="61"/>
      <c r="I625" s="60"/>
      <c r="K625" s="62"/>
      <c r="O625" s="60"/>
      <c r="P625" s="61"/>
      <c r="Q625" s="62"/>
      <c r="R625" s="61"/>
      <c r="S625" s="62"/>
      <c r="T625" s="61"/>
      <c r="U625" s="62"/>
      <c r="V625" s="61"/>
      <c r="W625" s="62"/>
      <c r="X625" s="61"/>
      <c r="Y625" s="62"/>
      <c r="Z625" s="61"/>
      <c r="AA625" s="62"/>
    </row>
    <row r="626" spans="3:27" ht="16.5" customHeight="1">
      <c r="C626" s="118"/>
      <c r="E626" s="61"/>
      <c r="H626" s="61"/>
      <c r="I626" s="60"/>
      <c r="K626" s="62"/>
      <c r="O626" s="60"/>
      <c r="P626" s="61"/>
      <c r="Q626" s="62"/>
      <c r="R626" s="61"/>
      <c r="S626" s="62"/>
      <c r="T626" s="61"/>
      <c r="U626" s="62"/>
      <c r="V626" s="61"/>
      <c r="W626" s="62"/>
      <c r="X626" s="61"/>
      <c r="Y626" s="62"/>
      <c r="Z626" s="61"/>
      <c r="AA626" s="62"/>
    </row>
    <row r="627" spans="3:27" ht="16.5" customHeight="1">
      <c r="C627" s="118"/>
      <c r="E627" s="61"/>
      <c r="H627" s="61"/>
      <c r="I627" s="60"/>
      <c r="K627" s="62"/>
      <c r="O627" s="60"/>
      <c r="P627" s="61"/>
      <c r="Q627" s="62"/>
      <c r="R627" s="61"/>
      <c r="S627" s="62"/>
      <c r="T627" s="61"/>
      <c r="U627" s="62"/>
      <c r="V627" s="61"/>
      <c r="W627" s="62"/>
      <c r="X627" s="61"/>
      <c r="Y627" s="62"/>
      <c r="Z627" s="61"/>
      <c r="AA627" s="62"/>
    </row>
    <row r="628" spans="3:27" ht="16.5" customHeight="1">
      <c r="C628" s="118"/>
      <c r="E628" s="61"/>
      <c r="H628" s="61"/>
      <c r="I628" s="60"/>
      <c r="K628" s="62"/>
      <c r="O628" s="60"/>
      <c r="P628" s="61"/>
      <c r="Q628" s="62"/>
      <c r="R628" s="61"/>
      <c r="S628" s="62"/>
      <c r="T628" s="61"/>
      <c r="U628" s="62"/>
      <c r="V628" s="61"/>
      <c r="W628" s="62"/>
      <c r="X628" s="61"/>
      <c r="Y628" s="62"/>
      <c r="Z628" s="61"/>
      <c r="AA628" s="62"/>
    </row>
    <row r="629" spans="3:27" ht="16.5" customHeight="1">
      <c r="C629" s="118"/>
      <c r="E629" s="61"/>
      <c r="H629" s="61"/>
      <c r="I629" s="60"/>
      <c r="K629" s="62"/>
      <c r="O629" s="60"/>
      <c r="P629" s="61"/>
      <c r="Q629" s="62"/>
      <c r="R629" s="61"/>
      <c r="S629" s="62"/>
      <c r="T629" s="61"/>
      <c r="U629" s="62"/>
      <c r="V629" s="61"/>
      <c r="W629" s="62"/>
      <c r="X629" s="61"/>
      <c r="Y629" s="62"/>
      <c r="Z629" s="61"/>
      <c r="AA629" s="62"/>
    </row>
    <row r="630" spans="3:27" ht="16.5" customHeight="1">
      <c r="C630" s="118"/>
      <c r="E630" s="61"/>
      <c r="H630" s="61"/>
      <c r="I630" s="60"/>
      <c r="K630" s="62"/>
      <c r="O630" s="60"/>
      <c r="P630" s="61"/>
      <c r="Q630" s="62"/>
      <c r="R630" s="61"/>
      <c r="S630" s="62"/>
      <c r="T630" s="61"/>
      <c r="U630" s="62"/>
      <c r="V630" s="61"/>
      <c r="W630" s="62"/>
      <c r="X630" s="61"/>
      <c r="Y630" s="62"/>
      <c r="Z630" s="61"/>
      <c r="AA630" s="62"/>
    </row>
    <row r="631" spans="3:27" ht="16.5" customHeight="1">
      <c r="C631" s="118"/>
      <c r="E631" s="61"/>
      <c r="H631" s="61"/>
      <c r="I631" s="60"/>
      <c r="K631" s="62"/>
      <c r="O631" s="60"/>
      <c r="P631" s="61"/>
      <c r="Q631" s="62"/>
      <c r="R631" s="61"/>
      <c r="S631" s="62"/>
      <c r="T631" s="61"/>
      <c r="U631" s="62"/>
      <c r="V631" s="61"/>
      <c r="W631" s="62"/>
      <c r="X631" s="61"/>
      <c r="Y631" s="62"/>
      <c r="Z631" s="61"/>
      <c r="AA631" s="62"/>
    </row>
    <row r="632" spans="3:27" ht="16.5" customHeight="1">
      <c r="C632" s="118"/>
      <c r="E632" s="61"/>
      <c r="H632" s="61"/>
      <c r="I632" s="60"/>
      <c r="K632" s="62"/>
      <c r="O632" s="60"/>
      <c r="P632" s="61"/>
      <c r="Q632" s="62"/>
      <c r="R632" s="61"/>
      <c r="S632" s="62"/>
      <c r="T632" s="61"/>
      <c r="U632" s="62"/>
      <c r="V632" s="61"/>
      <c r="W632" s="62"/>
      <c r="X632" s="61"/>
      <c r="Y632" s="62"/>
      <c r="Z632" s="61"/>
      <c r="AA632" s="62"/>
    </row>
    <row r="633" spans="3:27" ht="16.5" customHeight="1">
      <c r="C633" s="118"/>
      <c r="E633" s="61"/>
      <c r="H633" s="61"/>
      <c r="I633" s="60"/>
      <c r="K633" s="62"/>
      <c r="O633" s="60"/>
      <c r="P633" s="61"/>
      <c r="Q633" s="62"/>
      <c r="R633" s="61"/>
      <c r="S633" s="62"/>
      <c r="T633" s="61"/>
      <c r="U633" s="62"/>
      <c r="V633" s="61"/>
      <c r="W633" s="62"/>
      <c r="X633" s="61"/>
      <c r="Y633" s="62"/>
      <c r="Z633" s="61"/>
      <c r="AA633" s="62"/>
    </row>
    <row r="634" spans="3:27" ht="16.5" customHeight="1">
      <c r="C634" s="118"/>
      <c r="E634" s="61"/>
      <c r="H634" s="61"/>
      <c r="I634" s="60"/>
      <c r="K634" s="62"/>
      <c r="O634" s="60"/>
      <c r="P634" s="61"/>
      <c r="Q634" s="62"/>
      <c r="R634" s="61"/>
      <c r="S634" s="62"/>
      <c r="T634" s="61"/>
      <c r="U634" s="62"/>
      <c r="V634" s="61"/>
      <c r="W634" s="62"/>
      <c r="X634" s="61"/>
      <c r="Y634" s="62"/>
      <c r="Z634" s="61"/>
      <c r="AA634" s="62"/>
    </row>
    <row r="635" spans="3:27" ht="16.5" customHeight="1">
      <c r="C635" s="118"/>
      <c r="E635" s="61"/>
      <c r="H635" s="61"/>
      <c r="I635" s="60"/>
      <c r="K635" s="62"/>
      <c r="O635" s="60"/>
      <c r="P635" s="61"/>
      <c r="Q635" s="62"/>
      <c r="R635" s="61"/>
      <c r="S635" s="62"/>
      <c r="T635" s="61"/>
      <c r="U635" s="62"/>
      <c r="V635" s="61"/>
      <c r="W635" s="62"/>
      <c r="X635" s="61"/>
      <c r="Y635" s="62"/>
      <c r="Z635" s="61"/>
      <c r="AA635" s="62"/>
    </row>
    <row r="636" spans="3:27" ht="16.5" customHeight="1">
      <c r="C636" s="118"/>
      <c r="E636" s="61"/>
      <c r="H636" s="61"/>
      <c r="I636" s="60"/>
      <c r="K636" s="62"/>
      <c r="O636" s="60"/>
      <c r="P636" s="61"/>
      <c r="Q636" s="62"/>
      <c r="R636" s="61"/>
      <c r="S636" s="62"/>
      <c r="T636" s="61"/>
      <c r="U636" s="62"/>
      <c r="V636" s="61"/>
      <c r="W636" s="62"/>
      <c r="X636" s="61"/>
      <c r="Y636" s="62"/>
      <c r="Z636" s="61"/>
      <c r="AA636" s="62"/>
    </row>
    <row r="637" spans="3:27" ht="16.5" customHeight="1">
      <c r="C637" s="118"/>
      <c r="E637" s="61"/>
      <c r="H637" s="61"/>
      <c r="I637" s="60"/>
      <c r="K637" s="62"/>
      <c r="O637" s="60"/>
      <c r="P637" s="61"/>
      <c r="Q637" s="62"/>
      <c r="R637" s="61"/>
      <c r="S637" s="62"/>
      <c r="T637" s="61"/>
      <c r="U637" s="62"/>
      <c r="V637" s="61"/>
      <c r="W637" s="62"/>
      <c r="X637" s="61"/>
      <c r="Y637" s="62"/>
      <c r="Z637" s="61"/>
      <c r="AA637" s="62"/>
    </row>
    <row r="638" spans="3:27" ht="16.5" customHeight="1">
      <c r="C638" s="118"/>
      <c r="E638" s="61"/>
      <c r="H638" s="61"/>
      <c r="I638" s="60"/>
      <c r="K638" s="62"/>
      <c r="O638" s="60"/>
      <c r="P638" s="61"/>
      <c r="Q638" s="62"/>
      <c r="R638" s="61"/>
      <c r="S638" s="62"/>
      <c r="T638" s="61"/>
      <c r="U638" s="62"/>
      <c r="V638" s="61"/>
      <c r="W638" s="62"/>
      <c r="X638" s="61"/>
      <c r="Y638" s="62"/>
      <c r="Z638" s="61"/>
      <c r="AA638" s="62"/>
    </row>
    <row r="639" spans="3:27" ht="16.5" customHeight="1">
      <c r="C639" s="118"/>
      <c r="E639" s="61"/>
      <c r="H639" s="61"/>
      <c r="I639" s="60"/>
      <c r="K639" s="62"/>
      <c r="O639" s="60"/>
      <c r="P639" s="61"/>
      <c r="Q639" s="62"/>
      <c r="R639" s="61"/>
      <c r="S639" s="62"/>
      <c r="T639" s="61"/>
      <c r="U639" s="62"/>
      <c r="V639" s="61"/>
      <c r="W639" s="62"/>
      <c r="X639" s="61"/>
      <c r="Y639" s="62"/>
      <c r="Z639" s="61"/>
      <c r="AA639" s="62"/>
    </row>
    <row r="640" spans="3:27" ht="16.5" customHeight="1">
      <c r="C640" s="118"/>
      <c r="E640" s="61"/>
      <c r="H640" s="61"/>
      <c r="I640" s="60"/>
      <c r="K640" s="62"/>
      <c r="O640" s="60"/>
      <c r="P640" s="61"/>
      <c r="Q640" s="62"/>
      <c r="R640" s="61"/>
      <c r="S640" s="62"/>
      <c r="T640" s="61"/>
      <c r="U640" s="62"/>
      <c r="V640" s="61"/>
      <c r="W640" s="62"/>
      <c r="X640" s="61"/>
      <c r="Y640" s="62"/>
      <c r="Z640" s="61"/>
      <c r="AA640" s="62"/>
    </row>
    <row r="641" spans="3:27" ht="16.5" customHeight="1">
      <c r="C641" s="118"/>
      <c r="E641" s="61"/>
      <c r="H641" s="61"/>
      <c r="I641" s="60"/>
      <c r="K641" s="62"/>
      <c r="O641" s="60"/>
      <c r="P641" s="61"/>
      <c r="Q641" s="62"/>
      <c r="R641" s="61"/>
      <c r="S641" s="62"/>
      <c r="T641" s="61"/>
      <c r="U641" s="62"/>
      <c r="V641" s="61"/>
      <c r="W641" s="62"/>
      <c r="X641" s="61"/>
      <c r="Y641" s="62"/>
      <c r="Z641" s="61"/>
      <c r="AA641" s="62"/>
    </row>
    <row r="642" spans="3:27" ht="16.5" customHeight="1">
      <c r="C642" s="118"/>
      <c r="E642" s="61"/>
      <c r="H642" s="61"/>
      <c r="I642" s="60"/>
      <c r="K642" s="62"/>
      <c r="O642" s="60"/>
      <c r="P642" s="61"/>
      <c r="Q642" s="62"/>
      <c r="R642" s="61"/>
      <c r="S642" s="62"/>
      <c r="T642" s="61"/>
      <c r="U642" s="62"/>
      <c r="V642" s="61"/>
      <c r="W642" s="62"/>
      <c r="X642" s="61"/>
      <c r="Y642" s="62"/>
      <c r="Z642" s="61"/>
      <c r="AA642" s="62"/>
    </row>
    <row r="643" spans="3:27" ht="16.5" customHeight="1">
      <c r="C643" s="118"/>
      <c r="E643" s="61"/>
      <c r="H643" s="61"/>
      <c r="I643" s="60"/>
      <c r="K643" s="62"/>
      <c r="O643" s="60"/>
      <c r="P643" s="61"/>
      <c r="Q643" s="62"/>
      <c r="R643" s="61"/>
      <c r="S643" s="62"/>
      <c r="T643" s="61"/>
      <c r="U643" s="62"/>
      <c r="V643" s="61"/>
      <c r="W643" s="62"/>
      <c r="X643" s="61"/>
      <c r="Y643" s="62"/>
      <c r="Z643" s="61"/>
      <c r="AA643" s="62"/>
    </row>
    <row r="644" spans="3:27" ht="16.5" customHeight="1">
      <c r="C644" s="118"/>
      <c r="E644" s="61"/>
      <c r="H644" s="61"/>
      <c r="I644" s="60"/>
      <c r="K644" s="62"/>
      <c r="O644" s="60"/>
      <c r="P644" s="61"/>
      <c r="Q644" s="62"/>
      <c r="R644" s="61"/>
      <c r="S644" s="62"/>
      <c r="T644" s="61"/>
      <c r="U644" s="62"/>
      <c r="V644" s="61"/>
      <c r="W644" s="62"/>
      <c r="X644" s="61"/>
      <c r="Y644" s="62"/>
      <c r="Z644" s="61"/>
      <c r="AA644" s="62"/>
    </row>
    <row r="645" spans="3:27" ht="16.5" customHeight="1">
      <c r="C645" s="118"/>
      <c r="E645" s="61"/>
      <c r="H645" s="61"/>
      <c r="I645" s="60"/>
      <c r="K645" s="62"/>
      <c r="O645" s="60"/>
      <c r="P645" s="61"/>
      <c r="Q645" s="62"/>
      <c r="R645" s="61"/>
      <c r="S645" s="62"/>
      <c r="T645" s="61"/>
      <c r="U645" s="62"/>
      <c r="V645" s="61"/>
      <c r="W645" s="62"/>
      <c r="X645" s="61"/>
      <c r="Y645" s="62"/>
      <c r="Z645" s="61"/>
      <c r="AA645" s="62"/>
    </row>
    <row r="646" spans="3:27" ht="16.5" customHeight="1">
      <c r="C646" s="118"/>
      <c r="E646" s="61"/>
      <c r="H646" s="61"/>
      <c r="I646" s="60"/>
      <c r="K646" s="62"/>
      <c r="O646" s="60"/>
      <c r="P646" s="61"/>
      <c r="Q646" s="62"/>
      <c r="R646" s="61"/>
      <c r="S646" s="62"/>
      <c r="T646" s="61"/>
      <c r="U646" s="62"/>
      <c r="V646" s="61"/>
      <c r="W646" s="62"/>
      <c r="X646" s="61"/>
      <c r="Y646" s="62"/>
      <c r="Z646" s="61"/>
      <c r="AA646" s="62"/>
    </row>
    <row r="647" spans="3:27" ht="16.5" customHeight="1">
      <c r="C647" s="118"/>
      <c r="E647" s="61"/>
      <c r="H647" s="61"/>
      <c r="I647" s="60"/>
      <c r="K647" s="62"/>
      <c r="O647" s="60"/>
      <c r="P647" s="61"/>
      <c r="Q647" s="62"/>
      <c r="R647" s="61"/>
      <c r="S647" s="62"/>
      <c r="T647" s="61"/>
      <c r="U647" s="62"/>
      <c r="V647" s="61"/>
      <c r="W647" s="62"/>
      <c r="X647" s="61"/>
      <c r="Y647" s="62"/>
      <c r="Z647" s="61"/>
      <c r="AA647" s="62"/>
    </row>
    <row r="648" spans="3:27" ht="16.5" customHeight="1">
      <c r="C648" s="118"/>
      <c r="E648" s="61"/>
      <c r="H648" s="61"/>
      <c r="I648" s="60"/>
      <c r="K648" s="62"/>
      <c r="O648" s="60"/>
      <c r="P648" s="61"/>
      <c r="Q648" s="62"/>
      <c r="R648" s="61"/>
      <c r="S648" s="62"/>
      <c r="T648" s="61"/>
      <c r="U648" s="62"/>
      <c r="V648" s="61"/>
      <c r="W648" s="62"/>
      <c r="X648" s="61"/>
      <c r="Y648" s="62"/>
      <c r="Z648" s="61"/>
      <c r="AA648" s="62"/>
    </row>
    <row r="649" spans="3:27" ht="16.5" customHeight="1">
      <c r="C649" s="118"/>
      <c r="E649" s="61"/>
      <c r="H649" s="61"/>
      <c r="I649" s="60"/>
      <c r="K649" s="62"/>
      <c r="O649" s="60"/>
      <c r="P649" s="61"/>
      <c r="Q649" s="62"/>
      <c r="R649" s="61"/>
      <c r="S649" s="62"/>
      <c r="T649" s="61"/>
      <c r="U649" s="62"/>
      <c r="V649" s="61"/>
      <c r="W649" s="62"/>
      <c r="X649" s="61"/>
      <c r="Y649" s="62"/>
      <c r="Z649" s="61"/>
      <c r="AA649" s="62"/>
    </row>
    <row r="650" spans="3:27" ht="16.5" customHeight="1">
      <c r="C650" s="118"/>
      <c r="E650" s="61"/>
      <c r="H650" s="61"/>
      <c r="I650" s="60"/>
      <c r="K650" s="62"/>
      <c r="O650" s="60"/>
      <c r="P650" s="61"/>
      <c r="Q650" s="62"/>
      <c r="R650" s="61"/>
      <c r="S650" s="62"/>
      <c r="T650" s="61"/>
      <c r="U650" s="62"/>
      <c r="V650" s="61"/>
      <c r="W650" s="62"/>
      <c r="X650" s="61"/>
      <c r="Y650" s="62"/>
      <c r="Z650" s="61"/>
      <c r="AA650" s="62"/>
    </row>
    <row r="651" spans="3:27" ht="16.5" customHeight="1">
      <c r="C651" s="118"/>
      <c r="E651" s="61"/>
      <c r="H651" s="61"/>
      <c r="I651" s="60"/>
      <c r="K651" s="62"/>
      <c r="O651" s="60"/>
      <c r="P651" s="61"/>
      <c r="Q651" s="62"/>
      <c r="R651" s="61"/>
      <c r="S651" s="62"/>
      <c r="T651" s="61"/>
      <c r="U651" s="62"/>
      <c r="V651" s="61"/>
      <c r="W651" s="62"/>
      <c r="X651" s="61"/>
      <c r="Y651" s="62"/>
      <c r="Z651" s="61"/>
      <c r="AA651" s="62"/>
    </row>
    <row r="652" spans="3:27" ht="16.5" customHeight="1">
      <c r="C652" s="118"/>
      <c r="E652" s="61"/>
      <c r="H652" s="61"/>
      <c r="I652" s="60"/>
      <c r="K652" s="62"/>
      <c r="O652" s="60"/>
      <c r="P652" s="61"/>
      <c r="Q652" s="62"/>
      <c r="R652" s="61"/>
      <c r="S652" s="62"/>
      <c r="T652" s="61"/>
      <c r="U652" s="62"/>
      <c r="V652" s="61"/>
      <c r="W652" s="62"/>
      <c r="X652" s="61"/>
      <c r="Y652" s="62"/>
      <c r="Z652" s="61"/>
      <c r="AA652" s="62"/>
    </row>
    <row r="653" spans="3:27" ht="16.5" customHeight="1">
      <c r="C653" s="118"/>
      <c r="E653" s="61"/>
      <c r="H653" s="61"/>
      <c r="I653" s="60"/>
      <c r="K653" s="62"/>
      <c r="O653" s="60"/>
      <c r="P653" s="61"/>
      <c r="Q653" s="62"/>
      <c r="R653" s="61"/>
      <c r="S653" s="62"/>
      <c r="T653" s="61"/>
      <c r="U653" s="62"/>
      <c r="V653" s="61"/>
      <c r="W653" s="62"/>
      <c r="X653" s="61"/>
      <c r="Y653" s="62"/>
      <c r="Z653" s="61"/>
      <c r="AA653" s="62"/>
    </row>
    <row r="654" spans="3:27" ht="16.5" customHeight="1">
      <c r="C654" s="118"/>
      <c r="E654" s="61"/>
      <c r="H654" s="61"/>
      <c r="I654" s="60"/>
      <c r="K654" s="62"/>
      <c r="O654" s="60"/>
      <c r="P654" s="61"/>
      <c r="Q654" s="62"/>
      <c r="R654" s="61"/>
      <c r="S654" s="62"/>
      <c r="T654" s="61"/>
      <c r="U654" s="62"/>
      <c r="V654" s="61"/>
      <c r="W654" s="62"/>
      <c r="X654" s="61"/>
      <c r="Y654" s="62"/>
      <c r="Z654" s="61"/>
      <c r="AA654" s="62"/>
    </row>
    <row r="655" spans="3:27" ht="16.5" customHeight="1">
      <c r="C655" s="118"/>
      <c r="E655" s="61"/>
      <c r="H655" s="61"/>
      <c r="I655" s="60"/>
      <c r="K655" s="62"/>
      <c r="O655" s="60"/>
      <c r="P655" s="61"/>
      <c r="Q655" s="62"/>
      <c r="R655" s="61"/>
      <c r="S655" s="62"/>
      <c r="T655" s="61"/>
      <c r="U655" s="62"/>
      <c r="V655" s="61"/>
      <c r="W655" s="62"/>
      <c r="X655" s="61"/>
      <c r="Y655" s="62"/>
      <c r="Z655" s="61"/>
      <c r="AA655" s="62"/>
    </row>
    <row r="656" spans="3:27" ht="16.5" customHeight="1">
      <c r="C656" s="118"/>
      <c r="E656" s="61"/>
      <c r="H656" s="61"/>
      <c r="I656" s="60"/>
      <c r="K656" s="62"/>
      <c r="O656" s="60"/>
      <c r="P656" s="61"/>
      <c r="Q656" s="62"/>
      <c r="R656" s="61"/>
      <c r="S656" s="62"/>
      <c r="T656" s="61"/>
      <c r="U656" s="62"/>
      <c r="V656" s="61"/>
      <c r="W656" s="62"/>
      <c r="X656" s="61"/>
      <c r="Y656" s="62"/>
      <c r="Z656" s="61"/>
      <c r="AA656" s="62"/>
    </row>
    <row r="657" spans="3:27" ht="16.5" customHeight="1">
      <c r="C657" s="118"/>
      <c r="E657" s="61"/>
      <c r="H657" s="61"/>
      <c r="I657" s="60"/>
      <c r="K657" s="62"/>
      <c r="O657" s="60"/>
      <c r="P657" s="61"/>
      <c r="Q657" s="62"/>
      <c r="R657" s="61"/>
      <c r="S657" s="62"/>
      <c r="T657" s="61"/>
      <c r="U657" s="62"/>
      <c r="V657" s="61"/>
      <c r="W657" s="62"/>
      <c r="X657" s="61"/>
      <c r="Y657" s="62"/>
      <c r="Z657" s="61"/>
      <c r="AA657" s="62"/>
    </row>
    <row r="658" spans="3:27" ht="16.5" customHeight="1">
      <c r="C658" s="118"/>
      <c r="E658" s="61"/>
      <c r="H658" s="61"/>
      <c r="I658" s="60"/>
      <c r="K658" s="62"/>
      <c r="O658" s="60"/>
      <c r="P658" s="61"/>
      <c r="Q658" s="62"/>
      <c r="R658" s="61"/>
      <c r="S658" s="62"/>
      <c r="T658" s="61"/>
      <c r="U658" s="62"/>
      <c r="V658" s="61"/>
      <c r="W658" s="62"/>
      <c r="X658" s="61"/>
      <c r="Y658" s="62"/>
      <c r="Z658" s="61"/>
      <c r="AA658" s="62"/>
    </row>
    <row r="659" spans="3:27" ht="16.5" customHeight="1">
      <c r="C659" s="118"/>
      <c r="E659" s="61"/>
      <c r="H659" s="61"/>
      <c r="I659" s="60"/>
      <c r="K659" s="62"/>
      <c r="O659" s="60"/>
      <c r="P659" s="61"/>
      <c r="Q659" s="62"/>
      <c r="R659" s="61"/>
      <c r="S659" s="62"/>
      <c r="T659" s="61"/>
      <c r="U659" s="62"/>
      <c r="V659" s="61"/>
      <c r="W659" s="62"/>
      <c r="X659" s="61"/>
      <c r="Y659" s="62"/>
      <c r="Z659" s="61"/>
      <c r="AA659" s="62"/>
    </row>
    <row r="660" spans="3:27" ht="16.5" customHeight="1">
      <c r="C660" s="118"/>
      <c r="E660" s="61"/>
      <c r="H660" s="61"/>
      <c r="I660" s="60"/>
      <c r="K660" s="62"/>
      <c r="O660" s="60"/>
      <c r="P660" s="61"/>
      <c r="Q660" s="62"/>
      <c r="R660" s="61"/>
      <c r="S660" s="62"/>
      <c r="T660" s="61"/>
      <c r="U660" s="62"/>
      <c r="V660" s="61"/>
      <c r="W660" s="62"/>
      <c r="X660" s="61"/>
      <c r="Y660" s="62"/>
      <c r="Z660" s="61"/>
      <c r="AA660" s="62"/>
    </row>
    <row r="661" spans="3:27" ht="16.5" customHeight="1">
      <c r="C661" s="118"/>
      <c r="E661" s="61"/>
      <c r="H661" s="61"/>
      <c r="I661" s="60"/>
      <c r="K661" s="62"/>
      <c r="O661" s="60"/>
      <c r="P661" s="61"/>
      <c r="Q661" s="62"/>
      <c r="R661" s="61"/>
      <c r="S661" s="62"/>
      <c r="T661" s="61"/>
      <c r="U661" s="62"/>
      <c r="V661" s="61"/>
      <c r="W661" s="62"/>
      <c r="X661" s="61"/>
      <c r="Y661" s="62"/>
      <c r="Z661" s="61"/>
      <c r="AA661" s="62"/>
    </row>
    <row r="662" spans="3:27" ht="16.5" customHeight="1">
      <c r="C662" s="118"/>
      <c r="E662" s="61"/>
      <c r="H662" s="61"/>
      <c r="I662" s="60"/>
      <c r="K662" s="62"/>
      <c r="O662" s="60"/>
      <c r="P662" s="61"/>
      <c r="Q662" s="62"/>
      <c r="R662" s="61"/>
      <c r="S662" s="62"/>
      <c r="T662" s="61"/>
      <c r="U662" s="62"/>
      <c r="V662" s="61"/>
      <c r="W662" s="62"/>
      <c r="X662" s="61"/>
      <c r="Y662" s="62"/>
      <c r="Z662" s="61"/>
      <c r="AA662" s="62"/>
    </row>
    <row r="663" spans="3:27" ht="16.5" customHeight="1">
      <c r="C663" s="118"/>
      <c r="E663" s="61"/>
      <c r="H663" s="61"/>
      <c r="I663" s="60"/>
      <c r="K663" s="62"/>
      <c r="O663" s="60"/>
      <c r="P663" s="61"/>
      <c r="Q663" s="62"/>
      <c r="R663" s="61"/>
      <c r="S663" s="62"/>
      <c r="T663" s="61"/>
      <c r="U663" s="62"/>
      <c r="V663" s="61"/>
      <c r="W663" s="62"/>
      <c r="X663" s="61"/>
      <c r="Y663" s="62"/>
      <c r="Z663" s="61"/>
      <c r="AA663" s="62"/>
    </row>
    <row r="664" spans="3:27" ht="16.5" customHeight="1">
      <c r="C664" s="118"/>
      <c r="E664" s="61"/>
      <c r="H664" s="61"/>
      <c r="I664" s="60"/>
      <c r="K664" s="62"/>
      <c r="O664" s="60"/>
      <c r="P664" s="61"/>
      <c r="Q664" s="62"/>
      <c r="R664" s="61"/>
      <c r="S664" s="62"/>
      <c r="T664" s="61"/>
      <c r="U664" s="62"/>
      <c r="V664" s="61"/>
      <c r="W664" s="62"/>
      <c r="X664" s="61"/>
      <c r="Y664" s="62"/>
      <c r="Z664" s="61"/>
      <c r="AA664" s="62"/>
    </row>
    <row r="665" spans="3:27" ht="16.5" customHeight="1">
      <c r="C665" s="118"/>
      <c r="E665" s="61"/>
      <c r="H665" s="61"/>
      <c r="I665" s="60"/>
      <c r="K665" s="62"/>
      <c r="O665" s="60"/>
      <c r="P665" s="61"/>
      <c r="Q665" s="62"/>
      <c r="R665" s="61"/>
      <c r="S665" s="62"/>
      <c r="T665" s="61"/>
      <c r="U665" s="62"/>
      <c r="V665" s="61"/>
      <c r="W665" s="62"/>
      <c r="X665" s="61"/>
      <c r="Y665" s="62"/>
      <c r="Z665" s="61"/>
      <c r="AA665" s="62"/>
    </row>
    <row r="666" spans="3:27" ht="16.5" customHeight="1">
      <c r="C666" s="118"/>
      <c r="E666" s="61"/>
      <c r="H666" s="61"/>
      <c r="I666" s="60"/>
      <c r="K666" s="62"/>
      <c r="O666" s="60"/>
      <c r="P666" s="61"/>
      <c r="Q666" s="62"/>
      <c r="R666" s="61"/>
      <c r="S666" s="62"/>
      <c r="T666" s="61"/>
      <c r="U666" s="62"/>
      <c r="V666" s="61"/>
      <c r="W666" s="62"/>
      <c r="X666" s="61"/>
      <c r="Y666" s="62"/>
      <c r="Z666" s="61"/>
      <c r="AA666" s="62"/>
    </row>
    <row r="667" spans="3:27" ht="16.5" customHeight="1">
      <c r="C667" s="118"/>
      <c r="E667" s="61"/>
      <c r="H667" s="61"/>
      <c r="I667" s="60"/>
      <c r="K667" s="62"/>
      <c r="O667" s="60"/>
      <c r="P667" s="61"/>
      <c r="Q667" s="62"/>
      <c r="R667" s="61"/>
      <c r="S667" s="62"/>
      <c r="T667" s="61"/>
      <c r="U667" s="62"/>
      <c r="V667" s="61"/>
      <c r="W667" s="62"/>
      <c r="X667" s="61"/>
      <c r="Y667" s="62"/>
      <c r="Z667" s="61"/>
      <c r="AA667" s="62"/>
    </row>
    <row r="668" spans="3:27" ht="16.5" customHeight="1">
      <c r="C668" s="118"/>
      <c r="E668" s="61"/>
      <c r="H668" s="61"/>
      <c r="I668" s="60"/>
      <c r="K668" s="62"/>
      <c r="O668" s="60"/>
      <c r="P668" s="61"/>
      <c r="Q668" s="62"/>
      <c r="R668" s="61"/>
      <c r="S668" s="62"/>
      <c r="T668" s="61"/>
      <c r="U668" s="62"/>
      <c r="V668" s="61"/>
      <c r="W668" s="62"/>
      <c r="X668" s="61"/>
      <c r="Y668" s="62"/>
      <c r="Z668" s="61"/>
      <c r="AA668" s="62"/>
    </row>
    <row r="669" spans="3:27" ht="16.5" customHeight="1">
      <c r="C669" s="118"/>
      <c r="E669" s="61"/>
      <c r="H669" s="61"/>
      <c r="I669" s="60"/>
      <c r="K669" s="62"/>
      <c r="O669" s="60"/>
      <c r="P669" s="61"/>
      <c r="Q669" s="62"/>
      <c r="R669" s="61"/>
      <c r="S669" s="62"/>
      <c r="T669" s="61"/>
      <c r="U669" s="62"/>
      <c r="V669" s="61"/>
      <c r="W669" s="62"/>
      <c r="X669" s="61"/>
      <c r="Y669" s="62"/>
      <c r="Z669" s="61"/>
      <c r="AA669" s="62"/>
    </row>
    <row r="670" spans="3:27" ht="16.5" customHeight="1">
      <c r="C670" s="118"/>
      <c r="E670" s="61"/>
      <c r="H670" s="61"/>
      <c r="I670" s="60"/>
      <c r="K670" s="62"/>
      <c r="O670" s="60"/>
      <c r="P670" s="61"/>
      <c r="Q670" s="62"/>
      <c r="R670" s="61"/>
      <c r="S670" s="62"/>
      <c r="T670" s="61"/>
      <c r="U670" s="62"/>
      <c r="V670" s="61"/>
      <c r="W670" s="62"/>
      <c r="X670" s="61"/>
      <c r="Y670" s="62"/>
      <c r="Z670" s="61"/>
      <c r="AA670" s="62"/>
    </row>
    <row r="671" spans="3:27" ht="16.5" customHeight="1">
      <c r="C671" s="118"/>
      <c r="E671" s="61"/>
      <c r="H671" s="61"/>
      <c r="I671" s="60"/>
      <c r="K671" s="62"/>
      <c r="O671" s="60"/>
      <c r="P671" s="61"/>
      <c r="Q671" s="62"/>
      <c r="R671" s="61"/>
      <c r="S671" s="62"/>
      <c r="T671" s="61"/>
      <c r="U671" s="62"/>
      <c r="V671" s="61"/>
      <c r="W671" s="62"/>
      <c r="X671" s="61"/>
      <c r="Y671" s="62"/>
      <c r="Z671" s="61"/>
      <c r="AA671" s="62"/>
    </row>
    <row r="672" spans="3:27" ht="16.5" customHeight="1">
      <c r="C672" s="118"/>
      <c r="E672" s="61"/>
      <c r="H672" s="61"/>
      <c r="I672" s="60"/>
      <c r="K672" s="62"/>
      <c r="O672" s="60"/>
      <c r="P672" s="61"/>
      <c r="Q672" s="62"/>
      <c r="R672" s="61"/>
      <c r="S672" s="62"/>
      <c r="T672" s="61"/>
      <c r="U672" s="62"/>
      <c r="V672" s="61"/>
      <c r="W672" s="62"/>
      <c r="X672" s="61"/>
      <c r="Y672" s="62"/>
      <c r="Z672" s="61"/>
      <c r="AA672" s="62"/>
    </row>
    <row r="673" spans="3:27" ht="16.5" customHeight="1">
      <c r="C673" s="118"/>
      <c r="E673" s="61"/>
      <c r="H673" s="61"/>
      <c r="I673" s="60"/>
      <c r="K673" s="62"/>
      <c r="O673" s="60"/>
      <c r="P673" s="61"/>
      <c r="Q673" s="62"/>
      <c r="R673" s="61"/>
      <c r="S673" s="62"/>
      <c r="T673" s="61"/>
      <c r="U673" s="62"/>
      <c r="V673" s="61"/>
      <c r="W673" s="62"/>
      <c r="X673" s="61"/>
      <c r="Y673" s="62"/>
      <c r="Z673" s="61"/>
      <c r="AA673" s="62"/>
    </row>
    <row r="674" spans="3:27" ht="16.5" customHeight="1">
      <c r="C674" s="118"/>
      <c r="E674" s="61"/>
      <c r="H674" s="61"/>
      <c r="I674" s="60"/>
      <c r="K674" s="62"/>
      <c r="O674" s="60"/>
      <c r="P674" s="61"/>
      <c r="Q674" s="62"/>
      <c r="R674" s="61"/>
      <c r="S674" s="62"/>
      <c r="T674" s="61"/>
      <c r="U674" s="62"/>
      <c r="V674" s="61"/>
      <c r="W674" s="62"/>
      <c r="X674" s="61"/>
      <c r="Y674" s="62"/>
      <c r="Z674" s="61"/>
      <c r="AA674" s="62"/>
    </row>
    <row r="675" spans="3:27" ht="16.5" customHeight="1">
      <c r="C675" s="118"/>
      <c r="E675" s="61"/>
      <c r="H675" s="61"/>
      <c r="I675" s="60"/>
      <c r="K675" s="62"/>
      <c r="O675" s="60"/>
      <c r="P675" s="61"/>
      <c r="Q675" s="62"/>
      <c r="R675" s="61"/>
      <c r="S675" s="62"/>
      <c r="T675" s="61"/>
      <c r="U675" s="62"/>
      <c r="V675" s="61"/>
      <c r="W675" s="62"/>
      <c r="X675" s="61"/>
      <c r="Y675" s="62"/>
      <c r="Z675" s="61"/>
      <c r="AA675" s="62"/>
    </row>
    <row r="676" spans="3:27" ht="16.5" customHeight="1">
      <c r="C676" s="118"/>
      <c r="E676" s="61"/>
      <c r="H676" s="61"/>
      <c r="I676" s="60"/>
      <c r="K676" s="62"/>
      <c r="O676" s="60"/>
      <c r="P676" s="61"/>
      <c r="Q676" s="62"/>
      <c r="R676" s="61"/>
      <c r="S676" s="62"/>
      <c r="T676" s="61"/>
      <c r="U676" s="62"/>
      <c r="V676" s="61"/>
      <c r="W676" s="62"/>
      <c r="X676" s="61"/>
      <c r="Y676" s="62"/>
      <c r="Z676" s="61"/>
      <c r="AA676" s="62"/>
    </row>
    <row r="677" spans="3:27" ht="16.5" customHeight="1">
      <c r="C677" s="118"/>
      <c r="E677" s="61"/>
      <c r="H677" s="61"/>
      <c r="I677" s="60"/>
      <c r="K677" s="62"/>
      <c r="O677" s="60"/>
      <c r="P677" s="61"/>
      <c r="Q677" s="62"/>
      <c r="R677" s="61"/>
      <c r="S677" s="62"/>
      <c r="T677" s="61"/>
      <c r="U677" s="62"/>
      <c r="V677" s="61"/>
      <c r="W677" s="62"/>
      <c r="X677" s="61"/>
      <c r="Y677" s="62"/>
      <c r="Z677" s="61"/>
      <c r="AA677" s="62"/>
    </row>
    <row r="678" spans="3:27" ht="16.5" customHeight="1">
      <c r="C678" s="118"/>
      <c r="E678" s="61"/>
      <c r="H678" s="61"/>
      <c r="I678" s="60"/>
      <c r="K678" s="62"/>
      <c r="O678" s="60"/>
      <c r="P678" s="61"/>
      <c r="Q678" s="62"/>
      <c r="R678" s="61"/>
      <c r="S678" s="62"/>
      <c r="T678" s="61"/>
      <c r="U678" s="62"/>
      <c r="V678" s="61"/>
      <c r="W678" s="62"/>
      <c r="X678" s="61"/>
      <c r="Y678" s="62"/>
      <c r="Z678" s="61"/>
      <c r="AA678" s="62"/>
    </row>
    <row r="679" spans="3:27" ht="16.5" customHeight="1">
      <c r="C679" s="118"/>
      <c r="E679" s="61"/>
      <c r="H679" s="61"/>
      <c r="I679" s="60"/>
      <c r="K679" s="62"/>
      <c r="O679" s="60"/>
      <c r="P679" s="61"/>
      <c r="Q679" s="62"/>
      <c r="R679" s="61"/>
      <c r="S679" s="62"/>
      <c r="T679" s="61"/>
      <c r="U679" s="62"/>
      <c r="V679" s="61"/>
      <c r="W679" s="62"/>
      <c r="X679" s="61"/>
      <c r="Y679" s="62"/>
      <c r="Z679" s="61"/>
      <c r="AA679" s="62"/>
    </row>
    <row r="680" spans="3:27" ht="16.5" customHeight="1">
      <c r="C680" s="118"/>
      <c r="E680" s="61"/>
      <c r="H680" s="61"/>
      <c r="I680" s="60"/>
      <c r="K680" s="62"/>
      <c r="O680" s="60"/>
      <c r="P680" s="61"/>
      <c r="Q680" s="62"/>
      <c r="R680" s="61"/>
      <c r="S680" s="62"/>
      <c r="T680" s="61"/>
      <c r="U680" s="62"/>
      <c r="V680" s="61"/>
      <c r="W680" s="62"/>
      <c r="X680" s="61"/>
      <c r="Y680" s="62"/>
      <c r="Z680" s="61"/>
      <c r="AA680" s="62"/>
    </row>
    <row r="681" spans="3:27" ht="16.5" customHeight="1">
      <c r="C681" s="118"/>
      <c r="E681" s="61"/>
      <c r="H681" s="61"/>
      <c r="I681" s="60"/>
      <c r="K681" s="62"/>
      <c r="O681" s="60"/>
      <c r="P681" s="61"/>
      <c r="Q681" s="62"/>
      <c r="R681" s="61"/>
      <c r="S681" s="62"/>
      <c r="T681" s="61"/>
      <c r="U681" s="62"/>
      <c r="V681" s="61"/>
      <c r="W681" s="62"/>
      <c r="X681" s="61"/>
      <c r="Y681" s="62"/>
      <c r="Z681" s="61"/>
      <c r="AA681" s="62"/>
    </row>
    <row r="682" spans="3:27" ht="16.5" customHeight="1">
      <c r="C682" s="118"/>
      <c r="E682" s="61"/>
      <c r="H682" s="61"/>
      <c r="I682" s="60"/>
      <c r="K682" s="62"/>
      <c r="O682" s="60"/>
      <c r="P682" s="61"/>
      <c r="Q682" s="62"/>
      <c r="R682" s="61"/>
      <c r="S682" s="62"/>
      <c r="T682" s="61"/>
      <c r="U682" s="62"/>
      <c r="V682" s="61"/>
      <c r="W682" s="62"/>
      <c r="X682" s="61"/>
      <c r="Y682" s="62"/>
      <c r="Z682" s="61"/>
      <c r="AA682" s="62"/>
    </row>
    <row r="683" spans="3:27" ht="16.5" customHeight="1">
      <c r="C683" s="118"/>
      <c r="E683" s="61"/>
      <c r="H683" s="61"/>
      <c r="I683" s="60"/>
      <c r="K683" s="62"/>
      <c r="O683" s="60"/>
      <c r="P683" s="61"/>
      <c r="Q683" s="62"/>
      <c r="R683" s="61"/>
      <c r="S683" s="62"/>
      <c r="T683" s="61"/>
      <c r="U683" s="62"/>
      <c r="V683" s="61"/>
      <c r="W683" s="62"/>
      <c r="X683" s="61"/>
      <c r="Y683" s="62"/>
      <c r="Z683" s="61"/>
      <c r="AA683" s="62"/>
    </row>
    <row r="684" spans="3:27" ht="16.5" customHeight="1">
      <c r="C684" s="118"/>
      <c r="E684" s="61"/>
      <c r="H684" s="61"/>
      <c r="I684" s="60"/>
      <c r="K684" s="62"/>
      <c r="O684" s="60"/>
      <c r="P684" s="61"/>
      <c r="Q684" s="62"/>
      <c r="R684" s="61"/>
      <c r="S684" s="62"/>
      <c r="T684" s="61"/>
      <c r="U684" s="62"/>
      <c r="V684" s="61"/>
      <c r="W684" s="62"/>
      <c r="X684" s="61"/>
      <c r="Y684" s="62"/>
      <c r="Z684" s="61"/>
      <c r="AA684" s="62"/>
    </row>
    <row r="685" spans="3:27" ht="16.5" customHeight="1">
      <c r="C685" s="118"/>
      <c r="E685" s="61"/>
      <c r="H685" s="61"/>
      <c r="I685" s="60"/>
      <c r="K685" s="62"/>
      <c r="O685" s="60"/>
      <c r="P685" s="61"/>
      <c r="Q685" s="62"/>
      <c r="R685" s="61"/>
      <c r="S685" s="62"/>
      <c r="T685" s="61"/>
      <c r="U685" s="62"/>
      <c r="V685" s="61"/>
      <c r="W685" s="62"/>
      <c r="X685" s="61"/>
      <c r="Y685" s="62"/>
      <c r="Z685" s="61"/>
      <c r="AA685" s="62"/>
    </row>
    <row r="686" spans="3:27" ht="16.5" customHeight="1">
      <c r="C686" s="118"/>
      <c r="E686" s="61"/>
      <c r="H686" s="61"/>
      <c r="I686" s="60"/>
      <c r="K686" s="62"/>
      <c r="O686" s="60"/>
      <c r="P686" s="61"/>
      <c r="Q686" s="62"/>
      <c r="R686" s="61"/>
      <c r="S686" s="62"/>
      <c r="T686" s="61"/>
      <c r="U686" s="62"/>
      <c r="V686" s="61"/>
      <c r="W686" s="62"/>
      <c r="X686" s="61"/>
      <c r="Y686" s="62"/>
      <c r="Z686" s="61"/>
      <c r="AA686" s="62"/>
    </row>
    <row r="687" spans="3:27" ht="16.5" customHeight="1">
      <c r="C687" s="118"/>
      <c r="E687" s="61"/>
      <c r="H687" s="61"/>
      <c r="I687" s="60"/>
      <c r="K687" s="62"/>
      <c r="O687" s="60"/>
      <c r="P687" s="61"/>
      <c r="Q687" s="62"/>
      <c r="R687" s="61"/>
      <c r="S687" s="62"/>
      <c r="T687" s="61"/>
      <c r="U687" s="62"/>
      <c r="V687" s="61"/>
      <c r="W687" s="62"/>
      <c r="X687" s="61"/>
      <c r="Y687" s="62"/>
      <c r="Z687" s="61"/>
      <c r="AA687" s="62"/>
    </row>
    <row r="688" spans="3:27" ht="16.5" customHeight="1">
      <c r="C688" s="118"/>
      <c r="E688" s="61"/>
      <c r="H688" s="61"/>
      <c r="I688" s="60"/>
      <c r="K688" s="62"/>
      <c r="O688" s="60"/>
      <c r="P688" s="61"/>
      <c r="Q688" s="62"/>
      <c r="R688" s="61"/>
      <c r="S688" s="62"/>
      <c r="T688" s="61"/>
      <c r="U688" s="62"/>
      <c r="V688" s="61"/>
      <c r="W688" s="62"/>
      <c r="X688" s="61"/>
      <c r="Y688" s="62"/>
      <c r="Z688" s="61"/>
      <c r="AA688" s="62"/>
    </row>
    <row r="689" spans="3:27" ht="16.5" customHeight="1">
      <c r="C689" s="118"/>
      <c r="E689" s="61"/>
      <c r="H689" s="61"/>
      <c r="I689" s="60"/>
      <c r="K689" s="62"/>
      <c r="O689" s="60"/>
      <c r="P689" s="61"/>
      <c r="Q689" s="62"/>
      <c r="R689" s="61"/>
      <c r="S689" s="62"/>
      <c r="T689" s="61"/>
      <c r="U689" s="62"/>
      <c r="V689" s="61"/>
      <c r="W689" s="62"/>
      <c r="X689" s="61"/>
      <c r="Y689" s="62"/>
      <c r="Z689" s="61"/>
      <c r="AA689" s="62"/>
    </row>
    <row r="690" spans="3:27" ht="16.5" customHeight="1">
      <c r="C690" s="118"/>
      <c r="E690" s="61"/>
      <c r="H690" s="61"/>
      <c r="I690" s="60"/>
      <c r="K690" s="62"/>
      <c r="O690" s="60"/>
      <c r="P690" s="61"/>
      <c r="Q690" s="62"/>
      <c r="R690" s="61"/>
      <c r="S690" s="62"/>
      <c r="T690" s="61"/>
      <c r="U690" s="62"/>
      <c r="V690" s="61"/>
      <c r="W690" s="62"/>
      <c r="X690" s="61"/>
      <c r="Y690" s="62"/>
      <c r="Z690" s="61"/>
      <c r="AA690" s="62"/>
    </row>
    <row r="691" spans="3:27" ht="16.5" customHeight="1">
      <c r="C691" s="118"/>
      <c r="E691" s="61"/>
      <c r="H691" s="61"/>
      <c r="I691" s="60"/>
      <c r="K691" s="62"/>
      <c r="O691" s="60"/>
      <c r="P691" s="61"/>
      <c r="Q691" s="62"/>
      <c r="R691" s="61"/>
      <c r="S691" s="62"/>
      <c r="T691" s="61"/>
      <c r="U691" s="62"/>
      <c r="V691" s="61"/>
      <c r="W691" s="62"/>
      <c r="X691" s="61"/>
      <c r="Y691" s="62"/>
      <c r="Z691" s="61"/>
      <c r="AA691" s="62"/>
    </row>
    <row r="692" spans="3:27" ht="16.5" customHeight="1">
      <c r="C692" s="118"/>
      <c r="E692" s="61"/>
      <c r="H692" s="61"/>
      <c r="I692" s="60"/>
      <c r="K692" s="62"/>
      <c r="O692" s="60"/>
      <c r="P692" s="61"/>
      <c r="Q692" s="62"/>
      <c r="R692" s="61"/>
      <c r="S692" s="62"/>
      <c r="T692" s="61"/>
      <c r="U692" s="62"/>
      <c r="V692" s="61"/>
      <c r="W692" s="62"/>
      <c r="X692" s="61"/>
      <c r="Y692" s="62"/>
      <c r="Z692" s="61"/>
      <c r="AA692" s="62"/>
    </row>
    <row r="693" spans="3:27" ht="16.5" customHeight="1">
      <c r="C693" s="118"/>
      <c r="E693" s="61"/>
      <c r="H693" s="61"/>
      <c r="I693" s="60"/>
      <c r="K693" s="62"/>
      <c r="O693" s="60"/>
      <c r="P693" s="61"/>
      <c r="Q693" s="62"/>
      <c r="R693" s="61"/>
      <c r="S693" s="62"/>
      <c r="T693" s="61"/>
      <c r="U693" s="62"/>
      <c r="V693" s="61"/>
      <c r="W693" s="62"/>
      <c r="X693" s="61"/>
      <c r="Y693" s="62"/>
      <c r="Z693" s="61"/>
      <c r="AA693" s="62"/>
    </row>
    <row r="694" spans="3:27" ht="16.5" customHeight="1">
      <c r="C694" s="118"/>
      <c r="E694" s="61"/>
      <c r="H694" s="61"/>
      <c r="I694" s="60"/>
      <c r="K694" s="62"/>
      <c r="O694" s="60"/>
      <c r="P694" s="61"/>
      <c r="Q694" s="62"/>
      <c r="R694" s="61"/>
      <c r="S694" s="62"/>
      <c r="T694" s="61"/>
      <c r="U694" s="62"/>
      <c r="V694" s="61"/>
      <c r="W694" s="62"/>
      <c r="X694" s="61"/>
      <c r="Y694" s="62"/>
      <c r="Z694" s="61"/>
      <c r="AA694" s="62"/>
    </row>
    <row r="695" spans="3:27" ht="16.5" customHeight="1">
      <c r="C695" s="118"/>
      <c r="E695" s="61"/>
      <c r="H695" s="61"/>
      <c r="I695" s="60"/>
      <c r="K695" s="62"/>
      <c r="O695" s="60"/>
      <c r="P695" s="61"/>
      <c r="Q695" s="62"/>
      <c r="R695" s="61"/>
      <c r="S695" s="62"/>
      <c r="T695" s="61"/>
      <c r="U695" s="62"/>
      <c r="V695" s="61"/>
      <c r="W695" s="62"/>
      <c r="X695" s="61"/>
      <c r="Y695" s="62"/>
      <c r="Z695" s="61"/>
      <c r="AA695" s="62"/>
    </row>
    <row r="696" spans="3:27" ht="16.5" customHeight="1">
      <c r="C696" s="118"/>
      <c r="E696" s="61"/>
      <c r="H696" s="61"/>
      <c r="I696" s="60"/>
      <c r="K696" s="62"/>
      <c r="O696" s="60"/>
      <c r="P696" s="61"/>
      <c r="Q696" s="62"/>
      <c r="R696" s="61"/>
      <c r="S696" s="62"/>
      <c r="T696" s="61"/>
      <c r="U696" s="62"/>
      <c r="V696" s="61"/>
      <c r="W696" s="62"/>
      <c r="X696" s="61"/>
      <c r="Y696" s="62"/>
      <c r="Z696" s="61"/>
      <c r="AA696" s="62"/>
    </row>
    <row r="697" spans="3:27" ht="16.5" customHeight="1">
      <c r="C697" s="118"/>
      <c r="E697" s="61"/>
      <c r="H697" s="61"/>
      <c r="I697" s="60"/>
      <c r="K697" s="62"/>
      <c r="O697" s="60"/>
      <c r="P697" s="61"/>
      <c r="Q697" s="62"/>
      <c r="R697" s="61"/>
      <c r="S697" s="62"/>
      <c r="T697" s="61"/>
      <c r="U697" s="62"/>
      <c r="V697" s="61"/>
      <c r="W697" s="62"/>
      <c r="X697" s="61"/>
      <c r="Y697" s="62"/>
      <c r="Z697" s="61"/>
      <c r="AA697" s="62"/>
    </row>
    <row r="698" spans="3:27" ht="16.5" customHeight="1">
      <c r="C698" s="118"/>
      <c r="E698" s="61"/>
      <c r="H698" s="61"/>
      <c r="I698" s="60"/>
      <c r="K698" s="62"/>
      <c r="O698" s="60"/>
      <c r="P698" s="61"/>
      <c r="Q698" s="62"/>
      <c r="R698" s="61"/>
      <c r="S698" s="62"/>
      <c r="T698" s="61"/>
      <c r="U698" s="62"/>
      <c r="V698" s="61"/>
      <c r="W698" s="62"/>
      <c r="X698" s="61"/>
      <c r="Y698" s="62"/>
      <c r="Z698" s="61"/>
      <c r="AA698" s="62"/>
    </row>
    <row r="699" spans="3:27" ht="16.5" customHeight="1">
      <c r="C699" s="118"/>
      <c r="E699" s="61"/>
      <c r="H699" s="61"/>
      <c r="I699" s="60"/>
      <c r="K699" s="62"/>
      <c r="O699" s="60"/>
      <c r="P699" s="61"/>
      <c r="Q699" s="62"/>
      <c r="R699" s="61"/>
      <c r="S699" s="62"/>
      <c r="T699" s="61"/>
      <c r="U699" s="62"/>
      <c r="V699" s="61"/>
      <c r="W699" s="62"/>
      <c r="X699" s="61"/>
      <c r="Y699" s="62"/>
      <c r="Z699" s="61"/>
      <c r="AA699" s="62"/>
    </row>
    <row r="700" spans="3:27" ht="16.5" customHeight="1">
      <c r="C700" s="118"/>
      <c r="E700" s="61"/>
      <c r="H700" s="61"/>
      <c r="I700" s="60"/>
      <c r="K700" s="62"/>
      <c r="O700" s="60"/>
      <c r="P700" s="61"/>
      <c r="Q700" s="62"/>
      <c r="R700" s="61"/>
      <c r="S700" s="62"/>
      <c r="T700" s="61"/>
      <c r="U700" s="62"/>
      <c r="V700" s="61"/>
      <c r="W700" s="62"/>
      <c r="X700" s="61"/>
      <c r="Y700" s="62"/>
      <c r="Z700" s="61"/>
      <c r="AA700" s="62"/>
    </row>
    <row r="701" spans="3:27" ht="16.5" customHeight="1">
      <c r="C701" s="118"/>
      <c r="E701" s="61"/>
      <c r="H701" s="61"/>
      <c r="I701" s="60"/>
      <c r="K701" s="62"/>
      <c r="O701" s="60"/>
      <c r="P701" s="61"/>
      <c r="Q701" s="62"/>
      <c r="R701" s="61"/>
      <c r="S701" s="62"/>
      <c r="T701" s="61"/>
      <c r="U701" s="62"/>
      <c r="V701" s="61"/>
      <c r="W701" s="62"/>
      <c r="X701" s="61"/>
      <c r="Y701" s="62"/>
      <c r="Z701" s="61"/>
      <c r="AA701" s="62"/>
    </row>
    <row r="702" spans="3:27" ht="16.5" customHeight="1">
      <c r="C702" s="118"/>
      <c r="E702" s="61"/>
      <c r="H702" s="61"/>
      <c r="I702" s="60"/>
      <c r="K702" s="62"/>
      <c r="O702" s="60"/>
      <c r="P702" s="61"/>
      <c r="Q702" s="62"/>
      <c r="R702" s="61"/>
      <c r="S702" s="62"/>
      <c r="T702" s="61"/>
      <c r="U702" s="62"/>
      <c r="V702" s="61"/>
      <c r="W702" s="62"/>
      <c r="X702" s="61"/>
      <c r="Y702" s="62"/>
      <c r="Z702" s="61"/>
      <c r="AA702" s="62"/>
    </row>
    <row r="703" spans="3:27" ht="16.5" customHeight="1">
      <c r="C703" s="118"/>
      <c r="E703" s="61"/>
      <c r="H703" s="61"/>
      <c r="I703" s="60"/>
      <c r="K703" s="62"/>
      <c r="O703" s="60"/>
      <c r="P703" s="61"/>
      <c r="Q703" s="62"/>
      <c r="R703" s="61"/>
      <c r="S703" s="62"/>
      <c r="T703" s="61"/>
      <c r="U703" s="62"/>
      <c r="V703" s="61"/>
      <c r="W703" s="62"/>
      <c r="X703" s="61"/>
      <c r="Y703" s="62"/>
      <c r="Z703" s="61"/>
      <c r="AA703" s="62"/>
    </row>
    <row r="704" spans="3:27" ht="16.5" customHeight="1">
      <c r="C704" s="118"/>
      <c r="E704" s="61"/>
      <c r="H704" s="61"/>
      <c r="I704" s="60"/>
      <c r="K704" s="62"/>
      <c r="O704" s="60"/>
      <c r="P704" s="61"/>
      <c r="Q704" s="62"/>
      <c r="R704" s="61"/>
      <c r="S704" s="62"/>
      <c r="T704" s="61"/>
      <c r="U704" s="62"/>
      <c r="V704" s="61"/>
      <c r="W704" s="62"/>
      <c r="X704" s="61"/>
      <c r="Y704" s="62"/>
      <c r="Z704" s="61"/>
      <c r="AA704" s="62"/>
    </row>
    <row r="705" spans="3:27" ht="16.5" customHeight="1">
      <c r="C705" s="118"/>
      <c r="E705" s="61"/>
      <c r="H705" s="61"/>
      <c r="I705" s="60"/>
      <c r="K705" s="62"/>
      <c r="O705" s="60"/>
      <c r="P705" s="61"/>
      <c r="Q705" s="62"/>
      <c r="R705" s="61"/>
      <c r="S705" s="62"/>
      <c r="T705" s="61"/>
      <c r="U705" s="62"/>
      <c r="V705" s="61"/>
      <c r="W705" s="62"/>
      <c r="X705" s="61"/>
      <c r="Y705" s="62"/>
      <c r="Z705" s="61"/>
      <c r="AA705" s="62"/>
    </row>
    <row r="706" spans="3:27" ht="16.5" customHeight="1">
      <c r="C706" s="118"/>
      <c r="E706" s="61"/>
      <c r="H706" s="61"/>
      <c r="I706" s="60"/>
      <c r="K706" s="62"/>
      <c r="O706" s="60"/>
      <c r="P706" s="61"/>
      <c r="Q706" s="62"/>
      <c r="R706" s="61"/>
      <c r="S706" s="62"/>
      <c r="T706" s="61"/>
      <c r="U706" s="62"/>
      <c r="V706" s="61"/>
      <c r="W706" s="62"/>
      <c r="X706" s="61"/>
      <c r="Y706" s="62"/>
      <c r="Z706" s="61"/>
      <c r="AA706" s="62"/>
    </row>
    <row r="707" spans="3:27" ht="16.5" customHeight="1">
      <c r="C707" s="118"/>
      <c r="E707" s="61"/>
      <c r="H707" s="61"/>
      <c r="I707" s="60"/>
      <c r="K707" s="62"/>
      <c r="O707" s="60"/>
      <c r="P707" s="61"/>
      <c r="Q707" s="62"/>
      <c r="R707" s="61"/>
      <c r="S707" s="62"/>
      <c r="T707" s="61"/>
      <c r="U707" s="62"/>
      <c r="V707" s="61"/>
      <c r="W707" s="62"/>
      <c r="X707" s="61"/>
      <c r="Y707" s="62"/>
      <c r="Z707" s="61"/>
      <c r="AA707" s="62"/>
    </row>
    <row r="708" spans="3:27" ht="16.5" customHeight="1">
      <c r="C708" s="118"/>
      <c r="E708" s="61"/>
      <c r="H708" s="61"/>
      <c r="I708" s="60"/>
      <c r="K708" s="62"/>
      <c r="O708" s="60"/>
      <c r="P708" s="61"/>
      <c r="Q708" s="62"/>
      <c r="R708" s="61"/>
      <c r="S708" s="62"/>
      <c r="T708" s="61"/>
      <c r="U708" s="62"/>
      <c r="V708" s="61"/>
      <c r="W708" s="62"/>
      <c r="X708" s="61"/>
      <c r="Y708" s="62"/>
      <c r="Z708" s="61"/>
      <c r="AA708" s="62"/>
    </row>
    <row r="709" spans="3:27" ht="16.5" customHeight="1">
      <c r="C709" s="118"/>
      <c r="E709" s="61"/>
      <c r="H709" s="61"/>
      <c r="I709" s="60"/>
      <c r="K709" s="62"/>
      <c r="O709" s="60"/>
      <c r="P709" s="61"/>
      <c r="Q709" s="62"/>
      <c r="R709" s="61"/>
      <c r="S709" s="62"/>
      <c r="T709" s="61"/>
      <c r="U709" s="62"/>
      <c r="V709" s="61"/>
      <c r="W709" s="62"/>
      <c r="X709" s="61"/>
      <c r="Y709" s="62"/>
      <c r="Z709" s="61"/>
      <c r="AA709" s="62"/>
    </row>
    <row r="710" spans="3:27" ht="16.5" customHeight="1">
      <c r="C710" s="118"/>
      <c r="E710" s="61"/>
      <c r="H710" s="61"/>
      <c r="I710" s="60"/>
      <c r="K710" s="62"/>
      <c r="O710" s="60"/>
      <c r="P710" s="61"/>
      <c r="Q710" s="62"/>
      <c r="R710" s="61"/>
      <c r="S710" s="62"/>
      <c r="T710" s="61"/>
      <c r="U710" s="62"/>
      <c r="V710" s="61"/>
      <c r="W710" s="62"/>
      <c r="X710" s="61"/>
      <c r="Y710" s="62"/>
      <c r="Z710" s="61"/>
      <c r="AA710" s="62"/>
    </row>
    <row r="711" spans="3:27" ht="16.5" customHeight="1">
      <c r="C711" s="118"/>
      <c r="E711" s="61"/>
      <c r="H711" s="61"/>
      <c r="I711" s="60"/>
      <c r="K711" s="62"/>
      <c r="O711" s="60"/>
      <c r="P711" s="61"/>
      <c r="Q711" s="62"/>
      <c r="R711" s="61"/>
      <c r="S711" s="62"/>
      <c r="T711" s="61"/>
      <c r="U711" s="62"/>
      <c r="V711" s="61"/>
      <c r="W711" s="62"/>
      <c r="X711" s="61"/>
      <c r="Y711" s="62"/>
      <c r="Z711" s="61"/>
      <c r="AA711" s="62"/>
    </row>
    <row r="712" spans="3:27" ht="16.5" customHeight="1">
      <c r="C712" s="118"/>
      <c r="E712" s="61"/>
      <c r="H712" s="61"/>
      <c r="I712" s="60"/>
      <c r="K712" s="62"/>
      <c r="O712" s="60"/>
      <c r="P712" s="61"/>
      <c r="Q712" s="62"/>
      <c r="R712" s="61"/>
      <c r="S712" s="62"/>
      <c r="T712" s="61"/>
      <c r="U712" s="62"/>
      <c r="V712" s="61"/>
      <c r="W712" s="62"/>
      <c r="X712" s="61"/>
      <c r="Y712" s="62"/>
      <c r="Z712" s="61"/>
      <c r="AA712" s="62"/>
    </row>
    <row r="713" spans="3:27" ht="16.5" customHeight="1">
      <c r="C713" s="118"/>
      <c r="E713" s="61"/>
      <c r="H713" s="61"/>
      <c r="I713" s="60"/>
      <c r="K713" s="62"/>
      <c r="O713" s="60"/>
      <c r="P713" s="61"/>
      <c r="Q713" s="62"/>
      <c r="R713" s="61"/>
      <c r="S713" s="62"/>
      <c r="T713" s="61"/>
      <c r="U713" s="62"/>
      <c r="V713" s="61"/>
      <c r="W713" s="62"/>
      <c r="X713" s="61"/>
      <c r="Y713" s="62"/>
      <c r="Z713" s="61"/>
      <c r="AA713" s="62"/>
    </row>
    <row r="714" spans="3:27" ht="16.5" customHeight="1">
      <c r="C714" s="118"/>
      <c r="E714" s="61"/>
      <c r="H714" s="61"/>
      <c r="I714" s="60"/>
      <c r="K714" s="62"/>
      <c r="O714" s="60"/>
      <c r="P714" s="61"/>
      <c r="Q714" s="62"/>
      <c r="R714" s="61"/>
      <c r="S714" s="62"/>
      <c r="T714" s="61"/>
      <c r="U714" s="62"/>
      <c r="V714" s="61"/>
      <c r="W714" s="62"/>
      <c r="X714" s="61"/>
      <c r="Y714" s="62"/>
      <c r="Z714" s="61"/>
      <c r="AA714" s="62"/>
    </row>
    <row r="715" spans="3:27" ht="16.5" customHeight="1">
      <c r="C715" s="118"/>
      <c r="E715" s="61"/>
      <c r="H715" s="61"/>
      <c r="I715" s="60"/>
      <c r="K715" s="62"/>
      <c r="O715" s="60"/>
      <c r="P715" s="61"/>
      <c r="Q715" s="62"/>
      <c r="R715" s="61"/>
      <c r="S715" s="62"/>
      <c r="T715" s="61"/>
      <c r="U715" s="62"/>
      <c r="V715" s="61"/>
      <c r="W715" s="62"/>
      <c r="X715" s="61"/>
      <c r="Y715" s="62"/>
      <c r="Z715" s="61"/>
      <c r="AA715" s="62"/>
    </row>
    <row r="716" spans="3:27" ht="16.5" customHeight="1">
      <c r="C716" s="118"/>
      <c r="E716" s="61"/>
      <c r="H716" s="61"/>
      <c r="I716" s="60"/>
      <c r="K716" s="62"/>
      <c r="O716" s="60"/>
      <c r="P716" s="61"/>
      <c r="Q716" s="62"/>
      <c r="R716" s="61"/>
      <c r="S716" s="62"/>
      <c r="T716" s="61"/>
      <c r="U716" s="62"/>
      <c r="V716" s="61"/>
      <c r="W716" s="62"/>
      <c r="X716" s="61"/>
      <c r="Y716" s="62"/>
      <c r="Z716" s="61"/>
      <c r="AA716" s="62"/>
    </row>
    <row r="717" spans="3:27" ht="16.5" customHeight="1">
      <c r="C717" s="118"/>
      <c r="E717" s="61"/>
      <c r="H717" s="61"/>
      <c r="I717" s="60"/>
      <c r="K717" s="62"/>
      <c r="O717" s="60"/>
      <c r="P717" s="61"/>
      <c r="Q717" s="62"/>
      <c r="R717" s="61"/>
      <c r="S717" s="62"/>
      <c r="T717" s="61"/>
      <c r="U717" s="62"/>
      <c r="V717" s="61"/>
      <c r="W717" s="62"/>
      <c r="X717" s="61"/>
      <c r="Y717" s="62"/>
      <c r="Z717" s="61"/>
      <c r="AA717" s="62"/>
    </row>
    <row r="718" spans="3:27" ht="16.5" customHeight="1">
      <c r="C718" s="118"/>
      <c r="E718" s="61"/>
      <c r="H718" s="61"/>
      <c r="I718" s="60"/>
      <c r="K718" s="62"/>
      <c r="O718" s="60"/>
      <c r="P718" s="61"/>
      <c r="Q718" s="62"/>
      <c r="R718" s="61"/>
      <c r="S718" s="62"/>
      <c r="T718" s="61"/>
      <c r="U718" s="62"/>
      <c r="V718" s="61"/>
      <c r="W718" s="62"/>
      <c r="X718" s="61"/>
      <c r="Y718" s="62"/>
      <c r="Z718" s="61"/>
      <c r="AA718" s="62"/>
    </row>
    <row r="719" spans="3:27" ht="16.5" customHeight="1">
      <c r="C719" s="118"/>
      <c r="E719" s="61"/>
      <c r="H719" s="61"/>
      <c r="I719" s="60"/>
      <c r="K719" s="62"/>
      <c r="O719" s="60"/>
      <c r="P719" s="61"/>
      <c r="Q719" s="62"/>
      <c r="R719" s="61"/>
      <c r="S719" s="62"/>
      <c r="T719" s="61"/>
      <c r="U719" s="62"/>
      <c r="V719" s="61"/>
      <c r="W719" s="62"/>
      <c r="X719" s="61"/>
      <c r="Y719" s="62"/>
      <c r="Z719" s="61"/>
      <c r="AA719" s="62"/>
    </row>
    <row r="720" spans="3:27" ht="16.5" customHeight="1">
      <c r="C720" s="118"/>
      <c r="E720" s="61"/>
      <c r="H720" s="61"/>
      <c r="I720" s="60"/>
      <c r="K720" s="62"/>
      <c r="O720" s="60"/>
      <c r="P720" s="61"/>
      <c r="Q720" s="62"/>
      <c r="R720" s="61"/>
      <c r="S720" s="62"/>
      <c r="T720" s="61"/>
      <c r="U720" s="62"/>
      <c r="V720" s="61"/>
      <c r="W720" s="62"/>
      <c r="X720" s="61"/>
      <c r="Y720" s="62"/>
      <c r="Z720" s="61"/>
      <c r="AA720" s="62"/>
    </row>
    <row r="721" spans="3:27" ht="16.5" customHeight="1">
      <c r="C721" s="118"/>
      <c r="E721" s="61"/>
      <c r="H721" s="61"/>
      <c r="I721" s="60"/>
      <c r="K721" s="62"/>
      <c r="O721" s="60"/>
      <c r="P721" s="61"/>
      <c r="Q721" s="62"/>
      <c r="R721" s="61"/>
      <c r="S721" s="62"/>
      <c r="T721" s="61"/>
      <c r="U721" s="62"/>
      <c r="V721" s="61"/>
      <c r="W721" s="62"/>
      <c r="X721" s="61"/>
      <c r="Y721" s="62"/>
      <c r="Z721" s="61"/>
      <c r="AA721" s="62"/>
    </row>
    <row r="722" spans="3:27" ht="16.5" customHeight="1">
      <c r="C722" s="118"/>
      <c r="E722" s="61"/>
      <c r="H722" s="61"/>
      <c r="I722" s="60"/>
      <c r="K722" s="62"/>
      <c r="O722" s="60"/>
      <c r="P722" s="61"/>
      <c r="Q722" s="62"/>
      <c r="R722" s="61"/>
      <c r="S722" s="62"/>
      <c r="T722" s="61"/>
      <c r="U722" s="62"/>
      <c r="V722" s="61"/>
      <c r="W722" s="62"/>
      <c r="X722" s="61"/>
      <c r="Y722" s="62"/>
      <c r="Z722" s="61"/>
      <c r="AA722" s="62"/>
    </row>
    <row r="723" spans="3:27" ht="16.5" customHeight="1">
      <c r="C723" s="118"/>
      <c r="E723" s="61"/>
      <c r="H723" s="61"/>
      <c r="I723" s="60"/>
      <c r="K723" s="62"/>
      <c r="O723" s="60"/>
      <c r="P723" s="61"/>
      <c r="Q723" s="62"/>
      <c r="R723" s="61"/>
      <c r="S723" s="62"/>
      <c r="T723" s="61"/>
      <c r="U723" s="62"/>
      <c r="V723" s="61"/>
      <c r="W723" s="62"/>
      <c r="X723" s="61"/>
      <c r="Y723" s="62"/>
      <c r="Z723" s="61"/>
      <c r="AA723" s="62"/>
    </row>
    <row r="724" spans="3:27" ht="16.5" customHeight="1">
      <c r="C724" s="118"/>
      <c r="E724" s="61"/>
      <c r="H724" s="61"/>
      <c r="I724" s="60"/>
      <c r="K724" s="62"/>
      <c r="O724" s="60"/>
      <c r="P724" s="61"/>
      <c r="Q724" s="62"/>
      <c r="R724" s="61"/>
      <c r="S724" s="62"/>
      <c r="T724" s="61"/>
      <c r="U724" s="62"/>
      <c r="V724" s="61"/>
      <c r="W724" s="62"/>
      <c r="X724" s="61"/>
      <c r="Y724" s="62"/>
      <c r="Z724" s="61"/>
      <c r="AA724" s="62"/>
    </row>
    <row r="725" spans="3:27" ht="16.5" customHeight="1">
      <c r="C725" s="118"/>
      <c r="E725" s="61"/>
      <c r="H725" s="61"/>
      <c r="I725" s="60"/>
      <c r="K725" s="62"/>
      <c r="O725" s="60"/>
      <c r="P725" s="61"/>
      <c r="Q725" s="62"/>
      <c r="R725" s="61"/>
      <c r="S725" s="62"/>
      <c r="T725" s="61"/>
      <c r="U725" s="62"/>
      <c r="V725" s="61"/>
      <c r="W725" s="62"/>
      <c r="X725" s="61"/>
      <c r="Y725" s="62"/>
      <c r="Z725" s="61"/>
      <c r="AA725" s="62"/>
    </row>
    <row r="726" spans="3:27" ht="16.5" customHeight="1">
      <c r="C726" s="118"/>
      <c r="E726" s="61"/>
      <c r="H726" s="61"/>
      <c r="I726" s="60"/>
      <c r="K726" s="62"/>
      <c r="O726" s="60"/>
      <c r="P726" s="61"/>
      <c r="Q726" s="62"/>
      <c r="R726" s="61"/>
      <c r="S726" s="62"/>
      <c r="T726" s="61"/>
      <c r="U726" s="62"/>
      <c r="V726" s="61"/>
      <c r="W726" s="62"/>
      <c r="X726" s="61"/>
      <c r="Y726" s="62"/>
      <c r="Z726" s="61"/>
      <c r="AA726" s="62"/>
    </row>
    <row r="727" spans="3:27" ht="16.5" customHeight="1">
      <c r="C727" s="118"/>
      <c r="E727" s="61"/>
      <c r="H727" s="61"/>
      <c r="I727" s="60"/>
      <c r="K727" s="62"/>
      <c r="O727" s="60"/>
      <c r="P727" s="61"/>
      <c r="Q727" s="62"/>
      <c r="R727" s="61"/>
      <c r="S727" s="62"/>
      <c r="T727" s="61"/>
      <c r="U727" s="62"/>
      <c r="V727" s="61"/>
      <c r="W727" s="62"/>
      <c r="X727" s="61"/>
      <c r="Y727" s="62"/>
      <c r="Z727" s="61"/>
      <c r="AA727" s="62"/>
    </row>
    <row r="728" spans="3:27" ht="16.5" customHeight="1">
      <c r="C728" s="118"/>
      <c r="E728" s="61"/>
      <c r="H728" s="61"/>
      <c r="I728" s="60"/>
      <c r="K728" s="62"/>
      <c r="O728" s="60"/>
      <c r="P728" s="61"/>
      <c r="Q728" s="62"/>
      <c r="R728" s="61"/>
      <c r="S728" s="62"/>
      <c r="T728" s="61"/>
      <c r="U728" s="62"/>
      <c r="V728" s="61"/>
      <c r="W728" s="62"/>
      <c r="X728" s="61"/>
      <c r="Y728" s="62"/>
      <c r="Z728" s="61"/>
      <c r="AA728" s="62"/>
    </row>
    <row r="729" spans="3:27" ht="16.5" customHeight="1">
      <c r="C729" s="118"/>
      <c r="E729" s="61"/>
      <c r="H729" s="61"/>
      <c r="I729" s="60"/>
      <c r="K729" s="62"/>
      <c r="O729" s="60"/>
      <c r="P729" s="61"/>
      <c r="Q729" s="62"/>
      <c r="R729" s="61"/>
      <c r="S729" s="62"/>
      <c r="T729" s="61"/>
      <c r="U729" s="62"/>
      <c r="V729" s="61"/>
      <c r="W729" s="62"/>
      <c r="X729" s="61"/>
      <c r="Y729" s="62"/>
      <c r="Z729" s="61"/>
      <c r="AA729" s="62"/>
    </row>
    <row r="730" spans="3:27" ht="16.5" customHeight="1">
      <c r="C730" s="118"/>
      <c r="E730" s="61"/>
      <c r="H730" s="61"/>
      <c r="I730" s="60"/>
      <c r="K730" s="62"/>
      <c r="O730" s="60"/>
      <c r="P730" s="61"/>
      <c r="Q730" s="62"/>
      <c r="R730" s="61"/>
      <c r="S730" s="62"/>
      <c r="T730" s="61"/>
      <c r="U730" s="62"/>
      <c r="V730" s="61"/>
      <c r="W730" s="62"/>
      <c r="X730" s="61"/>
      <c r="Y730" s="62"/>
      <c r="Z730" s="61"/>
      <c r="AA730" s="62"/>
    </row>
    <row r="731" spans="3:27" ht="16.5" customHeight="1">
      <c r="C731" s="118"/>
      <c r="E731" s="61"/>
      <c r="H731" s="61"/>
      <c r="I731" s="60"/>
      <c r="K731" s="62"/>
      <c r="O731" s="60"/>
      <c r="P731" s="61"/>
      <c r="Q731" s="62"/>
      <c r="R731" s="61"/>
      <c r="S731" s="62"/>
      <c r="T731" s="61"/>
      <c r="U731" s="62"/>
      <c r="V731" s="61"/>
      <c r="W731" s="62"/>
      <c r="X731" s="61"/>
      <c r="Y731" s="62"/>
      <c r="Z731" s="61"/>
      <c r="AA731" s="62"/>
    </row>
    <row r="732" spans="3:27" ht="16.5" customHeight="1">
      <c r="C732" s="118"/>
      <c r="E732" s="61"/>
      <c r="H732" s="61"/>
      <c r="I732" s="60"/>
      <c r="K732" s="62"/>
      <c r="O732" s="60"/>
      <c r="P732" s="61"/>
      <c r="Q732" s="62"/>
      <c r="R732" s="61"/>
      <c r="S732" s="62"/>
      <c r="T732" s="61"/>
      <c r="U732" s="62"/>
      <c r="V732" s="61"/>
      <c r="W732" s="62"/>
      <c r="X732" s="61"/>
      <c r="Y732" s="62"/>
      <c r="Z732" s="61"/>
      <c r="AA732" s="62"/>
    </row>
    <row r="733" spans="3:27" ht="16.5" customHeight="1">
      <c r="C733" s="118"/>
      <c r="E733" s="61"/>
      <c r="H733" s="61"/>
      <c r="I733" s="60"/>
      <c r="K733" s="62"/>
      <c r="O733" s="60"/>
      <c r="P733" s="61"/>
      <c r="Q733" s="62"/>
      <c r="R733" s="61"/>
      <c r="S733" s="62"/>
      <c r="T733" s="61"/>
      <c r="U733" s="62"/>
      <c r="V733" s="61"/>
      <c r="W733" s="62"/>
      <c r="X733" s="61"/>
      <c r="Y733" s="62"/>
      <c r="Z733" s="61"/>
      <c r="AA733" s="62"/>
    </row>
    <row r="734" spans="3:27" ht="16.5" customHeight="1">
      <c r="C734" s="118"/>
      <c r="E734" s="61"/>
      <c r="H734" s="61"/>
      <c r="I734" s="60"/>
      <c r="K734" s="62"/>
      <c r="O734" s="60"/>
      <c r="P734" s="61"/>
      <c r="Q734" s="62"/>
      <c r="R734" s="61"/>
      <c r="S734" s="62"/>
      <c r="T734" s="61"/>
      <c r="U734" s="62"/>
      <c r="V734" s="61"/>
      <c r="W734" s="62"/>
      <c r="X734" s="61"/>
      <c r="Y734" s="62"/>
      <c r="Z734" s="61"/>
      <c r="AA734" s="62"/>
    </row>
    <row r="735" spans="3:27" ht="16.5" customHeight="1">
      <c r="C735" s="118"/>
      <c r="E735" s="61"/>
      <c r="H735" s="61"/>
      <c r="I735" s="60"/>
      <c r="K735" s="62"/>
      <c r="O735" s="60"/>
      <c r="P735" s="61"/>
      <c r="Q735" s="62"/>
      <c r="R735" s="61"/>
      <c r="S735" s="62"/>
      <c r="T735" s="61"/>
      <c r="U735" s="62"/>
      <c r="V735" s="61"/>
      <c r="W735" s="62"/>
      <c r="X735" s="61"/>
      <c r="Y735" s="62"/>
      <c r="Z735" s="61"/>
      <c r="AA735" s="62"/>
    </row>
    <row r="736" spans="3:27" ht="16.5" customHeight="1">
      <c r="C736" s="118"/>
      <c r="E736" s="61"/>
      <c r="H736" s="61"/>
      <c r="I736" s="60"/>
      <c r="K736" s="62"/>
      <c r="O736" s="60"/>
      <c r="P736" s="61"/>
      <c r="Q736" s="62"/>
      <c r="R736" s="61"/>
      <c r="S736" s="62"/>
      <c r="T736" s="61"/>
      <c r="U736" s="62"/>
      <c r="V736" s="61"/>
      <c r="W736" s="62"/>
      <c r="X736" s="61"/>
      <c r="Y736" s="62"/>
      <c r="Z736" s="61"/>
      <c r="AA736" s="62"/>
    </row>
    <row r="737" spans="3:27" ht="16.5" customHeight="1">
      <c r="C737" s="118"/>
      <c r="E737" s="61"/>
      <c r="H737" s="61"/>
      <c r="I737" s="60"/>
      <c r="K737" s="62"/>
      <c r="O737" s="60"/>
      <c r="P737" s="61"/>
      <c r="Q737" s="62"/>
      <c r="R737" s="61"/>
      <c r="S737" s="62"/>
      <c r="T737" s="61"/>
      <c r="U737" s="62"/>
      <c r="V737" s="61"/>
      <c r="W737" s="62"/>
      <c r="X737" s="61"/>
      <c r="Y737" s="62"/>
      <c r="Z737" s="61"/>
      <c r="AA737" s="62"/>
    </row>
    <row r="738" spans="3:27" ht="16.5" customHeight="1">
      <c r="C738" s="118"/>
      <c r="E738" s="61"/>
      <c r="H738" s="61"/>
      <c r="I738" s="60"/>
      <c r="K738" s="62"/>
      <c r="O738" s="60"/>
      <c r="P738" s="61"/>
      <c r="Q738" s="62"/>
      <c r="R738" s="61"/>
      <c r="S738" s="62"/>
      <c r="T738" s="61"/>
      <c r="U738" s="62"/>
      <c r="V738" s="61"/>
      <c r="W738" s="62"/>
      <c r="X738" s="61"/>
      <c r="Y738" s="62"/>
      <c r="Z738" s="61"/>
      <c r="AA738" s="62"/>
    </row>
    <row r="739" spans="3:27" ht="16.5" customHeight="1">
      <c r="C739" s="118"/>
      <c r="E739" s="61"/>
      <c r="H739" s="61"/>
      <c r="I739" s="60"/>
      <c r="K739" s="62"/>
      <c r="O739" s="60"/>
      <c r="P739" s="61"/>
      <c r="Q739" s="62"/>
      <c r="R739" s="61"/>
      <c r="S739" s="62"/>
      <c r="T739" s="61"/>
      <c r="U739" s="62"/>
      <c r="V739" s="61"/>
      <c r="W739" s="62"/>
      <c r="X739" s="61"/>
      <c r="Y739" s="62"/>
      <c r="Z739" s="61"/>
      <c r="AA739" s="62"/>
    </row>
    <row r="740" spans="3:27" ht="16.5" customHeight="1">
      <c r="C740" s="118"/>
      <c r="E740" s="61"/>
      <c r="H740" s="61"/>
      <c r="I740" s="60"/>
      <c r="K740" s="62"/>
      <c r="O740" s="60"/>
      <c r="P740" s="61"/>
      <c r="Q740" s="62"/>
      <c r="R740" s="61"/>
      <c r="S740" s="62"/>
      <c r="T740" s="61"/>
      <c r="U740" s="62"/>
      <c r="V740" s="61"/>
      <c r="W740" s="62"/>
      <c r="X740" s="61"/>
      <c r="Y740" s="62"/>
      <c r="Z740" s="61"/>
      <c r="AA740" s="62"/>
    </row>
    <row r="741" spans="3:27" ht="16.5" customHeight="1">
      <c r="C741" s="118"/>
      <c r="E741" s="61"/>
      <c r="H741" s="61"/>
      <c r="I741" s="60"/>
      <c r="K741" s="62"/>
      <c r="O741" s="60"/>
      <c r="P741" s="61"/>
      <c r="Q741" s="62"/>
      <c r="R741" s="61"/>
      <c r="S741" s="62"/>
      <c r="T741" s="61"/>
      <c r="U741" s="62"/>
      <c r="V741" s="61"/>
      <c r="W741" s="62"/>
      <c r="X741" s="61"/>
      <c r="Y741" s="62"/>
      <c r="Z741" s="61"/>
      <c r="AA741" s="62"/>
    </row>
    <row r="742" spans="3:27" ht="16.5" customHeight="1">
      <c r="C742" s="118"/>
      <c r="E742" s="61"/>
      <c r="H742" s="61"/>
      <c r="I742" s="60"/>
      <c r="K742" s="62"/>
      <c r="O742" s="60"/>
      <c r="P742" s="61"/>
      <c r="Q742" s="62"/>
      <c r="R742" s="61"/>
      <c r="S742" s="62"/>
      <c r="T742" s="61"/>
      <c r="U742" s="62"/>
      <c r="V742" s="61"/>
      <c r="W742" s="62"/>
      <c r="X742" s="61"/>
      <c r="Y742" s="62"/>
      <c r="Z742" s="61"/>
      <c r="AA742" s="62"/>
    </row>
    <row r="743" spans="3:27" ht="16.5" customHeight="1">
      <c r="C743" s="118"/>
      <c r="E743" s="61"/>
      <c r="H743" s="61"/>
      <c r="I743" s="60"/>
      <c r="K743" s="62"/>
      <c r="O743" s="60"/>
      <c r="P743" s="61"/>
      <c r="Q743" s="62"/>
      <c r="R743" s="61"/>
      <c r="S743" s="62"/>
      <c r="T743" s="61"/>
      <c r="U743" s="62"/>
      <c r="V743" s="61"/>
      <c r="W743" s="62"/>
      <c r="X743" s="61"/>
      <c r="Y743" s="62"/>
      <c r="Z743" s="61"/>
      <c r="AA743" s="62"/>
    </row>
    <row r="744" spans="3:27" ht="16.5" customHeight="1">
      <c r="C744" s="118"/>
      <c r="E744" s="61"/>
      <c r="H744" s="61"/>
      <c r="I744" s="60"/>
      <c r="K744" s="62"/>
      <c r="O744" s="60"/>
      <c r="P744" s="61"/>
      <c r="Q744" s="62"/>
      <c r="R744" s="61"/>
      <c r="S744" s="62"/>
      <c r="T744" s="61"/>
      <c r="U744" s="62"/>
      <c r="V744" s="61"/>
      <c r="W744" s="62"/>
      <c r="X744" s="61"/>
      <c r="Y744" s="62"/>
      <c r="Z744" s="61"/>
      <c r="AA744" s="62"/>
    </row>
    <row r="745" spans="3:27" ht="16.5" customHeight="1">
      <c r="C745" s="118"/>
      <c r="E745" s="61"/>
      <c r="H745" s="61"/>
      <c r="I745" s="60"/>
      <c r="K745" s="62"/>
      <c r="O745" s="60"/>
      <c r="P745" s="61"/>
      <c r="Q745" s="62"/>
      <c r="R745" s="61"/>
      <c r="S745" s="62"/>
      <c r="T745" s="61"/>
      <c r="U745" s="62"/>
      <c r="V745" s="61"/>
      <c r="W745" s="62"/>
      <c r="X745" s="61"/>
      <c r="Y745" s="62"/>
      <c r="Z745" s="61"/>
      <c r="AA745" s="62"/>
    </row>
    <row r="746" spans="3:27" ht="16.5" customHeight="1">
      <c r="C746" s="118"/>
      <c r="E746" s="61"/>
      <c r="H746" s="61"/>
      <c r="I746" s="60"/>
      <c r="K746" s="62"/>
      <c r="O746" s="60"/>
      <c r="P746" s="61"/>
      <c r="Q746" s="62"/>
      <c r="R746" s="61"/>
      <c r="S746" s="62"/>
      <c r="T746" s="61"/>
      <c r="U746" s="62"/>
      <c r="V746" s="61"/>
      <c r="W746" s="62"/>
      <c r="X746" s="61"/>
      <c r="Y746" s="62"/>
      <c r="Z746" s="61"/>
      <c r="AA746" s="62"/>
    </row>
    <row r="747" spans="3:27" ht="16.5" customHeight="1">
      <c r="C747" s="118"/>
      <c r="E747" s="61"/>
      <c r="H747" s="61"/>
      <c r="I747" s="60"/>
      <c r="K747" s="62"/>
      <c r="O747" s="60"/>
      <c r="P747" s="61"/>
      <c r="Q747" s="62"/>
      <c r="R747" s="61"/>
      <c r="S747" s="62"/>
      <c r="T747" s="61"/>
      <c r="U747" s="62"/>
      <c r="V747" s="61"/>
      <c r="W747" s="62"/>
      <c r="X747" s="61"/>
      <c r="Y747" s="62"/>
      <c r="Z747" s="61"/>
      <c r="AA747" s="62"/>
    </row>
    <row r="748" spans="3:27" ht="16.5" customHeight="1">
      <c r="C748" s="118"/>
      <c r="E748" s="61"/>
      <c r="H748" s="61"/>
      <c r="I748" s="60"/>
      <c r="K748" s="62"/>
      <c r="O748" s="60"/>
      <c r="P748" s="61"/>
      <c r="Q748" s="62"/>
      <c r="R748" s="61"/>
      <c r="S748" s="62"/>
      <c r="T748" s="61"/>
      <c r="U748" s="62"/>
      <c r="V748" s="61"/>
      <c r="W748" s="62"/>
      <c r="X748" s="61"/>
      <c r="Y748" s="62"/>
      <c r="Z748" s="61"/>
      <c r="AA748" s="62"/>
    </row>
    <row r="749" spans="3:27" ht="16.5" customHeight="1">
      <c r="C749" s="118"/>
      <c r="E749" s="61"/>
      <c r="H749" s="61"/>
      <c r="I749" s="60"/>
      <c r="K749" s="62"/>
      <c r="O749" s="60"/>
      <c r="P749" s="61"/>
      <c r="Q749" s="62"/>
      <c r="R749" s="61"/>
      <c r="S749" s="62"/>
      <c r="T749" s="61"/>
      <c r="U749" s="62"/>
      <c r="V749" s="61"/>
      <c r="W749" s="62"/>
      <c r="X749" s="61"/>
      <c r="Y749" s="62"/>
      <c r="Z749" s="61"/>
      <c r="AA749" s="62"/>
    </row>
    <row r="750" spans="3:27" ht="16.5" customHeight="1">
      <c r="C750" s="118"/>
      <c r="E750" s="61"/>
      <c r="H750" s="61"/>
      <c r="I750" s="60"/>
      <c r="K750" s="62"/>
      <c r="O750" s="60"/>
      <c r="P750" s="61"/>
      <c r="Q750" s="62"/>
      <c r="R750" s="61"/>
      <c r="S750" s="62"/>
      <c r="T750" s="61"/>
      <c r="U750" s="62"/>
      <c r="V750" s="61"/>
      <c r="W750" s="62"/>
      <c r="X750" s="61"/>
      <c r="Y750" s="62"/>
      <c r="Z750" s="61"/>
      <c r="AA750" s="62"/>
    </row>
    <row r="751" spans="3:27" ht="16.5" customHeight="1">
      <c r="C751" s="118"/>
      <c r="E751" s="61"/>
      <c r="H751" s="61"/>
      <c r="I751" s="60"/>
      <c r="K751" s="62"/>
      <c r="O751" s="60"/>
      <c r="P751" s="61"/>
      <c r="Q751" s="62"/>
      <c r="R751" s="61"/>
      <c r="S751" s="62"/>
      <c r="T751" s="61"/>
      <c r="U751" s="62"/>
      <c r="V751" s="61"/>
      <c r="W751" s="62"/>
      <c r="X751" s="61"/>
      <c r="Y751" s="62"/>
      <c r="Z751" s="61"/>
      <c r="AA751" s="62"/>
    </row>
    <row r="752" spans="3:27" ht="16.5" customHeight="1">
      <c r="C752" s="118"/>
      <c r="E752" s="61"/>
      <c r="H752" s="61"/>
      <c r="I752" s="60"/>
      <c r="K752" s="62"/>
      <c r="O752" s="60"/>
      <c r="P752" s="61"/>
      <c r="Q752" s="62"/>
      <c r="R752" s="61"/>
      <c r="S752" s="62"/>
      <c r="T752" s="61"/>
      <c r="U752" s="62"/>
      <c r="V752" s="61"/>
      <c r="W752" s="62"/>
      <c r="X752" s="61"/>
      <c r="Y752" s="62"/>
      <c r="Z752" s="61"/>
      <c r="AA752" s="62"/>
    </row>
    <row r="753" spans="3:27" ht="16.5" customHeight="1">
      <c r="C753" s="118"/>
      <c r="E753" s="61"/>
      <c r="H753" s="61"/>
      <c r="I753" s="60"/>
      <c r="K753" s="62"/>
      <c r="O753" s="60"/>
      <c r="P753" s="61"/>
      <c r="Q753" s="62"/>
      <c r="R753" s="61"/>
      <c r="S753" s="62"/>
      <c r="T753" s="61"/>
      <c r="U753" s="62"/>
      <c r="V753" s="61"/>
      <c r="W753" s="62"/>
      <c r="X753" s="61"/>
      <c r="Y753" s="62"/>
      <c r="Z753" s="61"/>
      <c r="AA753" s="62"/>
    </row>
    <row r="754" spans="3:27" ht="16.5" customHeight="1">
      <c r="C754" s="118"/>
      <c r="E754" s="61"/>
      <c r="H754" s="61"/>
      <c r="I754" s="60"/>
      <c r="K754" s="62"/>
      <c r="O754" s="60"/>
      <c r="P754" s="61"/>
      <c r="Q754" s="62"/>
      <c r="R754" s="61"/>
      <c r="S754" s="62"/>
      <c r="T754" s="61"/>
      <c r="U754" s="62"/>
      <c r="V754" s="61"/>
      <c r="W754" s="62"/>
      <c r="X754" s="61"/>
      <c r="Y754" s="62"/>
      <c r="Z754" s="61"/>
      <c r="AA754" s="62"/>
    </row>
    <row r="755" spans="3:27" ht="16.5" customHeight="1">
      <c r="C755" s="118"/>
      <c r="E755" s="61"/>
      <c r="H755" s="61"/>
      <c r="I755" s="60"/>
      <c r="K755" s="62"/>
      <c r="O755" s="60"/>
      <c r="P755" s="61"/>
      <c r="Q755" s="62"/>
      <c r="R755" s="61"/>
      <c r="S755" s="62"/>
      <c r="T755" s="61"/>
      <c r="U755" s="62"/>
      <c r="V755" s="61"/>
      <c r="W755" s="62"/>
      <c r="X755" s="61"/>
      <c r="Y755" s="62"/>
      <c r="Z755" s="61"/>
      <c r="AA755" s="62"/>
    </row>
    <row r="756" spans="3:27" ht="16.5" customHeight="1">
      <c r="C756" s="118"/>
      <c r="E756" s="61"/>
      <c r="H756" s="61"/>
      <c r="I756" s="60"/>
      <c r="K756" s="62"/>
      <c r="O756" s="60"/>
      <c r="P756" s="61"/>
      <c r="Q756" s="62"/>
      <c r="R756" s="61"/>
      <c r="S756" s="62"/>
      <c r="T756" s="61"/>
      <c r="U756" s="62"/>
      <c r="V756" s="61"/>
      <c r="W756" s="62"/>
      <c r="X756" s="61"/>
      <c r="Y756" s="62"/>
      <c r="Z756" s="61"/>
      <c r="AA756" s="62"/>
    </row>
    <row r="757" spans="3:27" ht="16.5" customHeight="1">
      <c r="C757" s="118"/>
      <c r="E757" s="61"/>
      <c r="H757" s="61"/>
      <c r="I757" s="60"/>
      <c r="K757" s="62"/>
      <c r="O757" s="60"/>
      <c r="P757" s="61"/>
      <c r="Q757" s="62"/>
      <c r="R757" s="61"/>
      <c r="S757" s="62"/>
      <c r="T757" s="61"/>
      <c r="U757" s="62"/>
      <c r="V757" s="61"/>
      <c r="W757" s="62"/>
      <c r="X757" s="61"/>
      <c r="Y757" s="62"/>
      <c r="Z757" s="61"/>
      <c r="AA757" s="62"/>
    </row>
    <row r="758" spans="3:27" ht="16.5" customHeight="1">
      <c r="C758" s="118"/>
      <c r="E758" s="61"/>
      <c r="H758" s="61"/>
      <c r="I758" s="60"/>
      <c r="K758" s="62"/>
      <c r="O758" s="60"/>
      <c r="P758" s="61"/>
      <c r="Q758" s="62"/>
      <c r="R758" s="61"/>
      <c r="S758" s="62"/>
      <c r="T758" s="61"/>
      <c r="U758" s="62"/>
      <c r="V758" s="61"/>
      <c r="W758" s="62"/>
      <c r="X758" s="61"/>
      <c r="Y758" s="62"/>
      <c r="Z758" s="61"/>
      <c r="AA758" s="62"/>
    </row>
    <row r="759" spans="3:27" ht="16.5" customHeight="1">
      <c r="C759" s="118"/>
      <c r="E759" s="61"/>
      <c r="H759" s="61"/>
      <c r="I759" s="60"/>
      <c r="K759" s="62"/>
      <c r="O759" s="60"/>
      <c r="P759" s="61"/>
      <c r="Q759" s="62"/>
      <c r="R759" s="61"/>
      <c r="S759" s="62"/>
      <c r="T759" s="61"/>
      <c r="U759" s="62"/>
      <c r="V759" s="61"/>
      <c r="W759" s="62"/>
      <c r="X759" s="61"/>
      <c r="Y759" s="62"/>
      <c r="Z759" s="61"/>
      <c r="AA759" s="62"/>
    </row>
    <row r="760" spans="3:27" ht="16.5" customHeight="1">
      <c r="C760" s="118"/>
      <c r="E760" s="61"/>
      <c r="H760" s="61"/>
      <c r="I760" s="60"/>
      <c r="K760" s="62"/>
      <c r="O760" s="60"/>
      <c r="P760" s="61"/>
      <c r="Q760" s="62"/>
      <c r="R760" s="61"/>
      <c r="S760" s="62"/>
      <c r="T760" s="61"/>
      <c r="U760" s="62"/>
      <c r="V760" s="61"/>
      <c r="W760" s="62"/>
      <c r="X760" s="61"/>
      <c r="Y760" s="62"/>
      <c r="Z760" s="61"/>
      <c r="AA760" s="62"/>
    </row>
    <row r="761" spans="3:27" ht="16.5" customHeight="1">
      <c r="C761" s="118"/>
      <c r="E761" s="61"/>
      <c r="H761" s="61"/>
      <c r="I761" s="60"/>
      <c r="K761" s="62"/>
      <c r="O761" s="60"/>
      <c r="P761" s="61"/>
      <c r="Q761" s="62"/>
      <c r="R761" s="61"/>
      <c r="S761" s="62"/>
      <c r="T761" s="61"/>
      <c r="U761" s="62"/>
      <c r="V761" s="61"/>
      <c r="W761" s="62"/>
      <c r="X761" s="61"/>
      <c r="Y761" s="62"/>
      <c r="Z761" s="61"/>
      <c r="AA761" s="62"/>
    </row>
    <row r="762" spans="3:27" ht="16.5" customHeight="1">
      <c r="C762" s="118"/>
      <c r="E762" s="61"/>
      <c r="H762" s="61"/>
      <c r="I762" s="60"/>
      <c r="K762" s="62"/>
      <c r="O762" s="60"/>
      <c r="P762" s="61"/>
      <c r="Q762" s="62"/>
      <c r="R762" s="61"/>
      <c r="S762" s="62"/>
      <c r="T762" s="61"/>
      <c r="U762" s="62"/>
      <c r="V762" s="61"/>
      <c r="W762" s="62"/>
      <c r="X762" s="61"/>
      <c r="Y762" s="62"/>
      <c r="Z762" s="61"/>
      <c r="AA762" s="62"/>
    </row>
    <row r="763" spans="3:27" ht="16.5" customHeight="1">
      <c r="C763" s="118"/>
      <c r="E763" s="61"/>
      <c r="H763" s="61"/>
      <c r="I763" s="60"/>
      <c r="K763" s="62"/>
      <c r="O763" s="60"/>
      <c r="P763" s="61"/>
      <c r="Q763" s="62"/>
      <c r="R763" s="61"/>
      <c r="S763" s="62"/>
      <c r="T763" s="61"/>
      <c r="U763" s="62"/>
      <c r="V763" s="61"/>
      <c r="W763" s="62"/>
      <c r="X763" s="61"/>
      <c r="Y763" s="62"/>
      <c r="Z763" s="61"/>
      <c r="AA763" s="62"/>
    </row>
    <row r="764" spans="3:27" ht="16.5" customHeight="1">
      <c r="C764" s="118"/>
      <c r="E764" s="61"/>
      <c r="H764" s="61"/>
      <c r="I764" s="60"/>
      <c r="K764" s="62"/>
      <c r="O764" s="60"/>
      <c r="P764" s="61"/>
      <c r="Q764" s="62"/>
      <c r="R764" s="61"/>
      <c r="S764" s="62"/>
      <c r="T764" s="61"/>
      <c r="U764" s="62"/>
      <c r="V764" s="61"/>
      <c r="W764" s="62"/>
      <c r="X764" s="61"/>
      <c r="Y764" s="62"/>
      <c r="Z764" s="61"/>
      <c r="AA764" s="62"/>
    </row>
    <row r="765" spans="3:27" ht="16.5" customHeight="1">
      <c r="C765" s="118"/>
      <c r="E765" s="61"/>
      <c r="H765" s="61"/>
      <c r="I765" s="60"/>
      <c r="K765" s="62"/>
      <c r="O765" s="60"/>
      <c r="P765" s="61"/>
      <c r="Q765" s="62"/>
      <c r="R765" s="61"/>
      <c r="S765" s="62"/>
      <c r="T765" s="61"/>
      <c r="U765" s="62"/>
      <c r="V765" s="61"/>
      <c r="W765" s="62"/>
      <c r="X765" s="61"/>
      <c r="Y765" s="62"/>
      <c r="Z765" s="61"/>
      <c r="AA765" s="62"/>
    </row>
    <row r="766" spans="3:27" ht="16.5" customHeight="1">
      <c r="C766" s="118"/>
      <c r="E766" s="61"/>
      <c r="H766" s="61"/>
      <c r="I766" s="60"/>
      <c r="K766" s="62"/>
      <c r="O766" s="60"/>
      <c r="P766" s="61"/>
      <c r="Q766" s="62"/>
      <c r="R766" s="61"/>
      <c r="S766" s="62"/>
      <c r="T766" s="61"/>
      <c r="U766" s="62"/>
      <c r="V766" s="61"/>
      <c r="W766" s="62"/>
      <c r="X766" s="61"/>
      <c r="Y766" s="62"/>
      <c r="Z766" s="61"/>
      <c r="AA766" s="62"/>
    </row>
    <row r="767" spans="3:27" ht="16.5" customHeight="1">
      <c r="C767" s="118"/>
      <c r="E767" s="61"/>
      <c r="H767" s="61"/>
      <c r="I767" s="60"/>
      <c r="K767" s="62"/>
      <c r="O767" s="60"/>
      <c r="P767" s="61"/>
      <c r="Q767" s="62"/>
      <c r="R767" s="61"/>
      <c r="S767" s="62"/>
      <c r="T767" s="61"/>
      <c r="U767" s="62"/>
      <c r="V767" s="61"/>
      <c r="W767" s="62"/>
      <c r="X767" s="61"/>
      <c r="Y767" s="62"/>
      <c r="Z767" s="61"/>
      <c r="AA767" s="62"/>
    </row>
    <row r="768" spans="3:27" ht="16.5" customHeight="1">
      <c r="C768" s="118"/>
      <c r="E768" s="61"/>
      <c r="H768" s="61"/>
      <c r="I768" s="60"/>
      <c r="K768" s="62"/>
      <c r="O768" s="60"/>
      <c r="P768" s="61"/>
      <c r="Q768" s="62"/>
      <c r="R768" s="61"/>
      <c r="S768" s="62"/>
      <c r="T768" s="61"/>
      <c r="U768" s="62"/>
      <c r="V768" s="61"/>
      <c r="W768" s="62"/>
      <c r="X768" s="61"/>
      <c r="Y768" s="62"/>
      <c r="Z768" s="61"/>
      <c r="AA768" s="62"/>
    </row>
    <row r="769" spans="3:27" ht="16.5" customHeight="1">
      <c r="C769" s="118"/>
      <c r="E769" s="61"/>
      <c r="H769" s="61"/>
      <c r="I769" s="60"/>
      <c r="K769" s="62"/>
      <c r="O769" s="60"/>
      <c r="P769" s="61"/>
      <c r="Q769" s="62"/>
      <c r="R769" s="61"/>
      <c r="S769" s="62"/>
      <c r="T769" s="61"/>
      <c r="U769" s="62"/>
      <c r="V769" s="61"/>
      <c r="W769" s="62"/>
      <c r="X769" s="61"/>
      <c r="Y769" s="62"/>
      <c r="Z769" s="61"/>
      <c r="AA769" s="62"/>
    </row>
    <row r="770" spans="3:27" ht="16.5" customHeight="1">
      <c r="C770" s="118"/>
      <c r="E770" s="61"/>
      <c r="H770" s="61"/>
      <c r="I770" s="60"/>
      <c r="K770" s="62"/>
      <c r="O770" s="60"/>
      <c r="P770" s="61"/>
      <c r="Q770" s="62"/>
      <c r="R770" s="61"/>
      <c r="S770" s="62"/>
      <c r="T770" s="61"/>
      <c r="U770" s="62"/>
      <c r="V770" s="61"/>
      <c r="W770" s="62"/>
      <c r="X770" s="61"/>
      <c r="Y770" s="62"/>
      <c r="Z770" s="61"/>
      <c r="AA770" s="62"/>
    </row>
    <row r="771" spans="3:27" ht="16.5" customHeight="1">
      <c r="C771" s="118"/>
      <c r="E771" s="61"/>
      <c r="H771" s="61"/>
      <c r="I771" s="60"/>
      <c r="K771" s="62"/>
      <c r="O771" s="60"/>
      <c r="P771" s="61"/>
      <c r="Q771" s="62"/>
      <c r="R771" s="61"/>
      <c r="S771" s="62"/>
      <c r="T771" s="61"/>
      <c r="U771" s="62"/>
      <c r="V771" s="61"/>
      <c r="W771" s="62"/>
      <c r="X771" s="61"/>
      <c r="Y771" s="62"/>
      <c r="Z771" s="61"/>
      <c r="AA771" s="62"/>
    </row>
    <row r="772" spans="3:27" ht="16.5" customHeight="1">
      <c r="C772" s="118"/>
      <c r="E772" s="61"/>
      <c r="H772" s="61"/>
      <c r="I772" s="60"/>
      <c r="K772" s="62"/>
      <c r="O772" s="60"/>
      <c r="P772" s="61"/>
      <c r="Q772" s="62"/>
      <c r="R772" s="61"/>
      <c r="S772" s="62"/>
      <c r="T772" s="61"/>
      <c r="U772" s="62"/>
      <c r="V772" s="61"/>
      <c r="W772" s="62"/>
      <c r="X772" s="61"/>
      <c r="Y772" s="62"/>
      <c r="Z772" s="61"/>
      <c r="AA772" s="62"/>
    </row>
    <row r="773" spans="3:27" ht="16.5" customHeight="1">
      <c r="C773" s="118"/>
      <c r="E773" s="61"/>
      <c r="H773" s="61"/>
      <c r="I773" s="60"/>
      <c r="K773" s="62"/>
      <c r="O773" s="60"/>
      <c r="P773" s="61"/>
      <c r="Q773" s="62"/>
      <c r="R773" s="61"/>
      <c r="S773" s="62"/>
      <c r="T773" s="61"/>
      <c r="U773" s="62"/>
      <c r="V773" s="61"/>
      <c r="W773" s="62"/>
      <c r="X773" s="61"/>
      <c r="Y773" s="62"/>
      <c r="Z773" s="61"/>
      <c r="AA773" s="62"/>
    </row>
    <row r="774" spans="3:27" ht="16.5" customHeight="1">
      <c r="C774" s="118"/>
      <c r="E774" s="61"/>
      <c r="H774" s="61"/>
      <c r="I774" s="60"/>
      <c r="K774" s="62"/>
      <c r="O774" s="60"/>
      <c r="P774" s="61"/>
      <c r="Q774" s="62"/>
      <c r="R774" s="61"/>
      <c r="S774" s="62"/>
      <c r="T774" s="61"/>
      <c r="U774" s="62"/>
      <c r="V774" s="61"/>
      <c r="W774" s="62"/>
      <c r="X774" s="61"/>
      <c r="Y774" s="62"/>
      <c r="Z774" s="61"/>
      <c r="AA774" s="62"/>
    </row>
    <row r="775" spans="3:27" ht="16.5" customHeight="1">
      <c r="C775" s="118"/>
      <c r="E775" s="61"/>
      <c r="H775" s="61"/>
      <c r="I775" s="60"/>
      <c r="K775" s="62"/>
      <c r="O775" s="60"/>
      <c r="P775" s="61"/>
      <c r="Q775" s="62"/>
      <c r="R775" s="61"/>
      <c r="S775" s="62"/>
      <c r="T775" s="61"/>
      <c r="U775" s="62"/>
      <c r="V775" s="61"/>
      <c r="W775" s="62"/>
      <c r="X775" s="61"/>
      <c r="Y775" s="62"/>
      <c r="Z775" s="61"/>
      <c r="AA775" s="62"/>
    </row>
    <row r="776" spans="3:27" ht="16.5" customHeight="1">
      <c r="C776" s="118"/>
      <c r="E776" s="61"/>
      <c r="H776" s="61"/>
      <c r="I776" s="60"/>
      <c r="K776" s="62"/>
      <c r="O776" s="60"/>
      <c r="P776" s="61"/>
      <c r="Q776" s="62"/>
      <c r="R776" s="61"/>
      <c r="S776" s="62"/>
      <c r="T776" s="61"/>
      <c r="U776" s="62"/>
      <c r="V776" s="61"/>
      <c r="W776" s="62"/>
      <c r="X776" s="61"/>
      <c r="Y776" s="62"/>
      <c r="Z776" s="61"/>
      <c r="AA776" s="62"/>
    </row>
    <row r="777" spans="3:27" ht="16.5" customHeight="1">
      <c r="C777" s="118"/>
      <c r="E777" s="61"/>
      <c r="H777" s="61"/>
      <c r="I777" s="60"/>
      <c r="K777" s="62"/>
      <c r="O777" s="60"/>
      <c r="P777" s="61"/>
      <c r="Q777" s="62"/>
      <c r="R777" s="61"/>
      <c r="S777" s="62"/>
      <c r="T777" s="61"/>
      <c r="U777" s="62"/>
      <c r="V777" s="61"/>
      <c r="W777" s="62"/>
      <c r="X777" s="61"/>
      <c r="Y777" s="62"/>
      <c r="Z777" s="61"/>
      <c r="AA777" s="62"/>
    </row>
    <row r="778" spans="3:27" ht="16.5" customHeight="1">
      <c r="C778" s="118"/>
      <c r="E778" s="61"/>
      <c r="H778" s="61"/>
      <c r="I778" s="60"/>
      <c r="K778" s="62"/>
      <c r="O778" s="60"/>
      <c r="P778" s="61"/>
      <c r="Q778" s="62"/>
      <c r="R778" s="61"/>
      <c r="S778" s="62"/>
      <c r="T778" s="61"/>
      <c r="U778" s="62"/>
      <c r="V778" s="61"/>
      <c r="W778" s="62"/>
      <c r="X778" s="61"/>
      <c r="Y778" s="62"/>
      <c r="Z778" s="61"/>
      <c r="AA778" s="62"/>
    </row>
    <row r="779" spans="3:27" ht="16.5" customHeight="1">
      <c r="C779" s="118"/>
      <c r="E779" s="61"/>
      <c r="H779" s="61"/>
      <c r="I779" s="60"/>
      <c r="K779" s="62"/>
      <c r="O779" s="60"/>
      <c r="P779" s="61"/>
      <c r="Q779" s="62"/>
      <c r="R779" s="61"/>
      <c r="S779" s="62"/>
      <c r="T779" s="61"/>
      <c r="U779" s="62"/>
      <c r="V779" s="61"/>
      <c r="W779" s="62"/>
      <c r="X779" s="61"/>
      <c r="Y779" s="62"/>
      <c r="Z779" s="61"/>
      <c r="AA779" s="62"/>
    </row>
    <row r="780" spans="3:27" ht="16.5" customHeight="1">
      <c r="C780" s="118"/>
      <c r="E780" s="61"/>
      <c r="H780" s="61"/>
      <c r="I780" s="60"/>
      <c r="K780" s="62"/>
      <c r="O780" s="60"/>
      <c r="P780" s="61"/>
      <c r="Q780" s="62"/>
      <c r="R780" s="61"/>
      <c r="S780" s="62"/>
      <c r="T780" s="61"/>
      <c r="U780" s="62"/>
      <c r="V780" s="61"/>
      <c r="W780" s="62"/>
      <c r="X780" s="61"/>
      <c r="Y780" s="62"/>
      <c r="Z780" s="61"/>
      <c r="AA780" s="62"/>
    </row>
    <row r="781" spans="3:27" ht="16.5" customHeight="1">
      <c r="C781" s="118"/>
      <c r="E781" s="61"/>
      <c r="H781" s="61"/>
      <c r="I781" s="60"/>
      <c r="K781" s="62"/>
      <c r="O781" s="60"/>
      <c r="P781" s="61"/>
      <c r="Q781" s="62"/>
      <c r="R781" s="61"/>
      <c r="S781" s="62"/>
      <c r="T781" s="61"/>
      <c r="U781" s="62"/>
      <c r="V781" s="61"/>
      <c r="W781" s="62"/>
      <c r="X781" s="61"/>
      <c r="Y781" s="62"/>
      <c r="Z781" s="61"/>
      <c r="AA781" s="62"/>
    </row>
    <row r="782" spans="3:27" ht="16.5" customHeight="1">
      <c r="C782" s="118"/>
      <c r="E782" s="61"/>
      <c r="H782" s="61"/>
      <c r="I782" s="60"/>
      <c r="K782" s="62"/>
      <c r="O782" s="60"/>
      <c r="P782" s="61"/>
      <c r="Q782" s="62"/>
      <c r="R782" s="61"/>
      <c r="S782" s="62"/>
      <c r="T782" s="61"/>
      <c r="U782" s="62"/>
      <c r="V782" s="61"/>
      <c r="W782" s="62"/>
      <c r="X782" s="61"/>
      <c r="Y782" s="62"/>
      <c r="Z782" s="61"/>
      <c r="AA782" s="62"/>
    </row>
    <row r="783" spans="3:27" ht="16.5" customHeight="1">
      <c r="C783" s="118"/>
      <c r="E783" s="61"/>
      <c r="H783" s="61"/>
      <c r="I783" s="60"/>
      <c r="K783" s="62"/>
      <c r="O783" s="60"/>
      <c r="P783" s="61"/>
      <c r="Q783" s="62"/>
      <c r="R783" s="61"/>
      <c r="S783" s="62"/>
      <c r="T783" s="61"/>
      <c r="U783" s="62"/>
      <c r="V783" s="61"/>
      <c r="W783" s="62"/>
      <c r="X783" s="61"/>
      <c r="Y783" s="62"/>
      <c r="Z783" s="61"/>
      <c r="AA783" s="62"/>
    </row>
    <row r="784" spans="3:27" ht="16.5" customHeight="1">
      <c r="C784" s="118"/>
      <c r="E784" s="61"/>
      <c r="H784" s="61"/>
      <c r="I784" s="60"/>
      <c r="K784" s="62"/>
      <c r="O784" s="60"/>
      <c r="P784" s="61"/>
      <c r="Q784" s="62"/>
      <c r="R784" s="61"/>
      <c r="S784" s="62"/>
      <c r="T784" s="61"/>
      <c r="U784" s="62"/>
      <c r="V784" s="61"/>
      <c r="W784" s="62"/>
      <c r="X784" s="61"/>
      <c r="Y784" s="62"/>
      <c r="Z784" s="61"/>
      <c r="AA784" s="62"/>
    </row>
    <row r="785" spans="3:27" ht="16.5" customHeight="1">
      <c r="C785" s="118"/>
      <c r="E785" s="61"/>
      <c r="H785" s="61"/>
      <c r="I785" s="60"/>
      <c r="K785" s="62"/>
      <c r="O785" s="60"/>
      <c r="P785" s="61"/>
      <c r="Q785" s="62"/>
      <c r="R785" s="61"/>
      <c r="S785" s="62"/>
      <c r="T785" s="61"/>
      <c r="U785" s="62"/>
      <c r="V785" s="61"/>
      <c r="W785" s="62"/>
      <c r="X785" s="61"/>
      <c r="Y785" s="62"/>
      <c r="Z785" s="61"/>
      <c r="AA785" s="62"/>
    </row>
    <row r="786" spans="3:27" ht="16.5" customHeight="1">
      <c r="C786" s="118"/>
      <c r="E786" s="61"/>
      <c r="H786" s="61"/>
      <c r="I786" s="60"/>
      <c r="K786" s="62"/>
      <c r="O786" s="60"/>
      <c r="P786" s="61"/>
      <c r="Q786" s="62"/>
      <c r="R786" s="61"/>
      <c r="S786" s="62"/>
      <c r="T786" s="61"/>
      <c r="U786" s="62"/>
      <c r="V786" s="61"/>
      <c r="W786" s="62"/>
      <c r="X786" s="61"/>
      <c r="Y786" s="62"/>
      <c r="Z786" s="61"/>
      <c r="AA786" s="62"/>
    </row>
    <row r="787" spans="3:27" ht="16.5" customHeight="1">
      <c r="C787" s="118"/>
      <c r="E787" s="61"/>
      <c r="H787" s="61"/>
      <c r="I787" s="60"/>
      <c r="K787" s="62"/>
      <c r="O787" s="60"/>
      <c r="P787" s="61"/>
      <c r="Q787" s="62"/>
      <c r="R787" s="61"/>
      <c r="S787" s="62"/>
      <c r="T787" s="61"/>
      <c r="U787" s="62"/>
      <c r="V787" s="61"/>
      <c r="W787" s="62"/>
      <c r="X787" s="61"/>
      <c r="Y787" s="62"/>
      <c r="Z787" s="61"/>
      <c r="AA787" s="62"/>
    </row>
    <row r="788" spans="3:27" ht="16.5" customHeight="1">
      <c r="C788" s="118"/>
      <c r="E788" s="61"/>
      <c r="H788" s="61"/>
      <c r="I788" s="60"/>
      <c r="K788" s="62"/>
      <c r="O788" s="60"/>
      <c r="P788" s="61"/>
      <c r="Q788" s="62"/>
      <c r="R788" s="61"/>
      <c r="S788" s="62"/>
      <c r="T788" s="61"/>
      <c r="U788" s="62"/>
      <c r="V788" s="61"/>
      <c r="W788" s="62"/>
      <c r="X788" s="61"/>
      <c r="Y788" s="62"/>
      <c r="Z788" s="61"/>
      <c r="AA788" s="62"/>
    </row>
    <row r="789" spans="3:27" ht="16.5" customHeight="1">
      <c r="C789" s="118"/>
      <c r="E789" s="61"/>
      <c r="H789" s="61"/>
      <c r="I789" s="60"/>
      <c r="K789" s="62"/>
      <c r="O789" s="60"/>
      <c r="P789" s="61"/>
      <c r="Q789" s="62"/>
      <c r="R789" s="61"/>
      <c r="S789" s="62"/>
      <c r="T789" s="61"/>
      <c r="U789" s="62"/>
      <c r="V789" s="61"/>
      <c r="W789" s="62"/>
      <c r="X789" s="61"/>
      <c r="Y789" s="62"/>
      <c r="Z789" s="61"/>
      <c r="AA789" s="62"/>
    </row>
    <row r="790" spans="3:27" ht="16.5" customHeight="1">
      <c r="C790" s="118"/>
      <c r="E790" s="61"/>
      <c r="H790" s="61"/>
      <c r="I790" s="60"/>
      <c r="K790" s="62"/>
      <c r="O790" s="60"/>
      <c r="P790" s="61"/>
      <c r="Q790" s="62"/>
      <c r="R790" s="61"/>
      <c r="S790" s="62"/>
      <c r="T790" s="61"/>
      <c r="U790" s="62"/>
      <c r="V790" s="61"/>
      <c r="W790" s="62"/>
      <c r="X790" s="61"/>
      <c r="Y790" s="62"/>
      <c r="Z790" s="61"/>
      <c r="AA790" s="62"/>
    </row>
    <row r="791" spans="3:27" ht="16.5" customHeight="1">
      <c r="C791" s="118"/>
      <c r="E791" s="61"/>
      <c r="H791" s="61"/>
      <c r="I791" s="60"/>
      <c r="K791" s="62"/>
      <c r="O791" s="60"/>
      <c r="P791" s="61"/>
      <c r="Q791" s="62"/>
      <c r="R791" s="61"/>
      <c r="S791" s="62"/>
      <c r="T791" s="61"/>
      <c r="U791" s="62"/>
      <c r="V791" s="61"/>
      <c r="W791" s="62"/>
      <c r="X791" s="61"/>
      <c r="Y791" s="62"/>
      <c r="Z791" s="61"/>
      <c r="AA791" s="62"/>
    </row>
    <row r="792" spans="3:27" ht="16.5" customHeight="1">
      <c r="C792" s="118"/>
      <c r="E792" s="61"/>
      <c r="H792" s="61"/>
      <c r="I792" s="60"/>
      <c r="K792" s="62"/>
      <c r="O792" s="60"/>
      <c r="P792" s="61"/>
      <c r="Q792" s="62"/>
      <c r="R792" s="61"/>
      <c r="S792" s="62"/>
      <c r="T792" s="61"/>
      <c r="U792" s="62"/>
      <c r="V792" s="61"/>
      <c r="W792" s="62"/>
      <c r="X792" s="61"/>
      <c r="Y792" s="62"/>
      <c r="Z792" s="61"/>
      <c r="AA792" s="62"/>
    </row>
    <row r="793" spans="3:27" ht="16.5" customHeight="1">
      <c r="C793" s="118"/>
      <c r="E793" s="61"/>
      <c r="H793" s="61"/>
      <c r="I793" s="60"/>
      <c r="K793" s="62"/>
      <c r="O793" s="60"/>
      <c r="P793" s="61"/>
      <c r="Q793" s="62"/>
      <c r="R793" s="61"/>
      <c r="S793" s="62"/>
      <c r="T793" s="61"/>
      <c r="U793" s="62"/>
      <c r="V793" s="61"/>
      <c r="W793" s="62"/>
      <c r="X793" s="61"/>
      <c r="Y793" s="62"/>
      <c r="Z793" s="61"/>
      <c r="AA793" s="62"/>
    </row>
    <row r="794" spans="3:27" ht="16.5" customHeight="1">
      <c r="C794" s="118"/>
      <c r="E794" s="61"/>
      <c r="H794" s="61"/>
      <c r="I794" s="60"/>
      <c r="K794" s="62"/>
      <c r="O794" s="60"/>
      <c r="P794" s="61"/>
      <c r="Q794" s="62"/>
      <c r="R794" s="61"/>
      <c r="S794" s="62"/>
      <c r="T794" s="61"/>
      <c r="U794" s="62"/>
      <c r="V794" s="61"/>
      <c r="W794" s="62"/>
      <c r="X794" s="61"/>
      <c r="Y794" s="62"/>
      <c r="Z794" s="61"/>
      <c r="AA794" s="62"/>
    </row>
    <row r="795" spans="3:27" ht="16.5" customHeight="1">
      <c r="C795" s="118"/>
      <c r="E795" s="61"/>
      <c r="H795" s="61"/>
      <c r="I795" s="60"/>
      <c r="K795" s="62"/>
      <c r="O795" s="60"/>
      <c r="P795" s="61"/>
      <c r="Q795" s="62"/>
      <c r="R795" s="61"/>
      <c r="S795" s="62"/>
      <c r="T795" s="61"/>
      <c r="U795" s="62"/>
      <c r="V795" s="61"/>
      <c r="W795" s="62"/>
      <c r="X795" s="61"/>
      <c r="Y795" s="62"/>
      <c r="Z795" s="61"/>
      <c r="AA795" s="62"/>
    </row>
    <row r="796" spans="3:27" ht="16.5" customHeight="1">
      <c r="C796" s="118"/>
      <c r="E796" s="61"/>
      <c r="H796" s="61"/>
      <c r="I796" s="60"/>
      <c r="K796" s="62"/>
      <c r="O796" s="60"/>
      <c r="P796" s="61"/>
      <c r="Q796" s="62"/>
      <c r="R796" s="61"/>
      <c r="S796" s="62"/>
      <c r="T796" s="61"/>
      <c r="U796" s="62"/>
      <c r="V796" s="61"/>
      <c r="W796" s="62"/>
      <c r="X796" s="61"/>
      <c r="Y796" s="62"/>
      <c r="Z796" s="61"/>
      <c r="AA796" s="62"/>
    </row>
    <row r="797" spans="3:27" ht="16.5" customHeight="1">
      <c r="C797" s="118"/>
      <c r="E797" s="61"/>
      <c r="H797" s="61"/>
      <c r="I797" s="60"/>
      <c r="K797" s="62"/>
      <c r="O797" s="60"/>
      <c r="P797" s="61"/>
      <c r="Q797" s="62"/>
      <c r="R797" s="61"/>
      <c r="S797" s="62"/>
      <c r="T797" s="61"/>
      <c r="U797" s="62"/>
      <c r="V797" s="61"/>
      <c r="W797" s="62"/>
      <c r="X797" s="61"/>
      <c r="Y797" s="62"/>
      <c r="Z797" s="61"/>
      <c r="AA797" s="62"/>
    </row>
    <row r="798" spans="3:27" ht="16.5" customHeight="1">
      <c r="C798" s="118"/>
      <c r="E798" s="61"/>
      <c r="H798" s="61"/>
      <c r="I798" s="60"/>
      <c r="K798" s="62"/>
      <c r="O798" s="60"/>
      <c r="P798" s="61"/>
      <c r="Q798" s="62"/>
      <c r="R798" s="61"/>
      <c r="S798" s="62"/>
      <c r="T798" s="61"/>
      <c r="U798" s="62"/>
      <c r="V798" s="61"/>
      <c r="W798" s="62"/>
      <c r="X798" s="61"/>
      <c r="Y798" s="62"/>
      <c r="Z798" s="61"/>
      <c r="AA798" s="62"/>
    </row>
    <row r="799" spans="3:27" ht="16.5" customHeight="1">
      <c r="C799" s="118"/>
      <c r="E799" s="61"/>
      <c r="H799" s="61"/>
      <c r="I799" s="60"/>
      <c r="K799" s="62"/>
      <c r="O799" s="60"/>
      <c r="P799" s="61"/>
      <c r="Q799" s="62"/>
      <c r="R799" s="61"/>
      <c r="S799" s="62"/>
      <c r="T799" s="61"/>
      <c r="U799" s="62"/>
      <c r="V799" s="61"/>
      <c r="W799" s="62"/>
      <c r="X799" s="61"/>
      <c r="Y799" s="62"/>
      <c r="Z799" s="61"/>
      <c r="AA799" s="62"/>
    </row>
    <row r="800" spans="3:27" ht="16.5" customHeight="1">
      <c r="C800" s="118"/>
      <c r="E800" s="61"/>
      <c r="H800" s="61"/>
      <c r="I800" s="60"/>
      <c r="K800" s="62"/>
      <c r="O800" s="60"/>
      <c r="P800" s="61"/>
      <c r="Q800" s="62"/>
      <c r="R800" s="61"/>
      <c r="S800" s="62"/>
      <c r="T800" s="61"/>
      <c r="U800" s="62"/>
      <c r="V800" s="61"/>
      <c r="W800" s="62"/>
      <c r="X800" s="61"/>
      <c r="Y800" s="62"/>
      <c r="Z800" s="61"/>
      <c r="AA800" s="62"/>
    </row>
    <row r="801" spans="3:27" ht="16.5" customHeight="1">
      <c r="C801" s="118"/>
      <c r="E801" s="61"/>
      <c r="H801" s="61"/>
      <c r="I801" s="60"/>
      <c r="K801" s="62"/>
      <c r="O801" s="60"/>
      <c r="P801" s="61"/>
      <c r="Q801" s="62"/>
      <c r="R801" s="61"/>
      <c r="S801" s="62"/>
      <c r="T801" s="61"/>
      <c r="U801" s="62"/>
      <c r="V801" s="61"/>
      <c r="W801" s="62"/>
      <c r="X801" s="61"/>
      <c r="Y801" s="62"/>
      <c r="Z801" s="61"/>
      <c r="AA801" s="62"/>
    </row>
    <row r="802" spans="3:27" ht="16.5" customHeight="1">
      <c r="C802" s="118"/>
      <c r="E802" s="61"/>
      <c r="H802" s="61"/>
      <c r="I802" s="60"/>
      <c r="K802" s="62"/>
      <c r="O802" s="60"/>
      <c r="P802" s="61"/>
      <c r="Q802" s="62"/>
      <c r="R802" s="61"/>
      <c r="S802" s="62"/>
      <c r="T802" s="61"/>
      <c r="U802" s="62"/>
      <c r="V802" s="61"/>
      <c r="W802" s="62"/>
      <c r="X802" s="61"/>
      <c r="Y802" s="62"/>
      <c r="Z802" s="61"/>
      <c r="AA802" s="62"/>
    </row>
    <row r="803" spans="3:27" ht="16.5" customHeight="1">
      <c r="C803" s="118"/>
      <c r="E803" s="61"/>
      <c r="H803" s="61"/>
      <c r="I803" s="60"/>
      <c r="K803" s="62"/>
      <c r="O803" s="60"/>
      <c r="P803" s="61"/>
      <c r="Q803" s="62"/>
      <c r="R803" s="61"/>
      <c r="S803" s="62"/>
      <c r="T803" s="61"/>
      <c r="U803" s="62"/>
      <c r="V803" s="61"/>
      <c r="W803" s="62"/>
      <c r="X803" s="61"/>
      <c r="Y803" s="62"/>
      <c r="Z803" s="61"/>
      <c r="AA803" s="62"/>
    </row>
    <row r="804" spans="3:27" ht="16.5" customHeight="1">
      <c r="C804" s="118"/>
      <c r="E804" s="61"/>
      <c r="H804" s="61"/>
      <c r="I804" s="60"/>
      <c r="K804" s="62"/>
      <c r="O804" s="60"/>
      <c r="P804" s="61"/>
      <c r="Q804" s="62"/>
      <c r="R804" s="61"/>
      <c r="S804" s="62"/>
      <c r="T804" s="61"/>
      <c r="U804" s="62"/>
      <c r="V804" s="61"/>
      <c r="W804" s="62"/>
      <c r="X804" s="61"/>
      <c r="Y804" s="62"/>
      <c r="Z804" s="61"/>
      <c r="AA804" s="62"/>
    </row>
    <row r="805" spans="3:27" ht="16.5" customHeight="1">
      <c r="C805" s="118"/>
      <c r="E805" s="61"/>
      <c r="H805" s="61"/>
      <c r="I805" s="60"/>
      <c r="K805" s="62"/>
      <c r="O805" s="60"/>
      <c r="P805" s="61"/>
      <c r="Q805" s="62"/>
      <c r="R805" s="61"/>
      <c r="S805" s="62"/>
      <c r="T805" s="61"/>
      <c r="U805" s="62"/>
      <c r="V805" s="61"/>
      <c r="W805" s="62"/>
      <c r="X805" s="61"/>
      <c r="Y805" s="62"/>
      <c r="Z805" s="61"/>
      <c r="AA805" s="62"/>
    </row>
    <row r="806" spans="3:27" ht="16.5" customHeight="1">
      <c r="C806" s="118"/>
      <c r="E806" s="61"/>
      <c r="H806" s="61"/>
      <c r="I806" s="60"/>
      <c r="K806" s="62"/>
      <c r="O806" s="60"/>
      <c r="P806" s="61"/>
      <c r="Q806" s="62"/>
      <c r="R806" s="61"/>
      <c r="S806" s="62"/>
      <c r="T806" s="61"/>
      <c r="U806" s="62"/>
      <c r="V806" s="61"/>
      <c r="W806" s="62"/>
      <c r="X806" s="61"/>
      <c r="Y806" s="62"/>
      <c r="Z806" s="61"/>
      <c r="AA806" s="62"/>
    </row>
    <row r="807" spans="3:27" ht="16.5" customHeight="1">
      <c r="C807" s="118"/>
      <c r="E807" s="61"/>
      <c r="H807" s="61"/>
      <c r="I807" s="60"/>
      <c r="K807" s="62"/>
      <c r="O807" s="60"/>
      <c r="P807" s="61"/>
      <c r="Q807" s="62"/>
      <c r="R807" s="61"/>
      <c r="S807" s="62"/>
      <c r="T807" s="61"/>
      <c r="U807" s="62"/>
      <c r="V807" s="61"/>
      <c r="W807" s="62"/>
      <c r="X807" s="61"/>
      <c r="Y807" s="62"/>
      <c r="Z807" s="61"/>
      <c r="AA807" s="62"/>
    </row>
    <row r="808" spans="3:27" ht="16.5" customHeight="1">
      <c r="C808" s="118"/>
      <c r="E808" s="61"/>
      <c r="H808" s="61"/>
      <c r="I808" s="60"/>
      <c r="K808" s="62"/>
      <c r="O808" s="60"/>
      <c r="P808" s="61"/>
      <c r="Q808" s="62"/>
      <c r="R808" s="61"/>
      <c r="S808" s="62"/>
      <c r="T808" s="61"/>
      <c r="U808" s="62"/>
      <c r="V808" s="61"/>
      <c r="W808" s="62"/>
      <c r="X808" s="61"/>
      <c r="Y808" s="62"/>
      <c r="Z808" s="61"/>
      <c r="AA808" s="62"/>
    </row>
    <row r="809" spans="3:27" ht="16.5" customHeight="1">
      <c r="C809" s="118"/>
      <c r="E809" s="61"/>
      <c r="H809" s="61"/>
      <c r="I809" s="60"/>
      <c r="K809" s="62"/>
      <c r="O809" s="60"/>
      <c r="P809" s="61"/>
      <c r="Q809" s="62"/>
      <c r="R809" s="61"/>
      <c r="S809" s="62"/>
      <c r="T809" s="61"/>
      <c r="U809" s="62"/>
      <c r="V809" s="61"/>
      <c r="W809" s="62"/>
      <c r="X809" s="61"/>
      <c r="Y809" s="62"/>
      <c r="Z809" s="61"/>
      <c r="AA809" s="62"/>
    </row>
    <row r="810" spans="3:27" ht="16.5" customHeight="1">
      <c r="C810" s="118"/>
      <c r="E810" s="61"/>
      <c r="H810" s="61"/>
      <c r="I810" s="60"/>
      <c r="K810" s="62"/>
      <c r="O810" s="60"/>
      <c r="P810" s="61"/>
      <c r="Q810" s="62"/>
      <c r="R810" s="61"/>
      <c r="S810" s="62"/>
      <c r="T810" s="61"/>
      <c r="U810" s="62"/>
      <c r="V810" s="61"/>
      <c r="W810" s="62"/>
      <c r="X810" s="61"/>
      <c r="Y810" s="62"/>
      <c r="Z810" s="61"/>
      <c r="AA810" s="62"/>
    </row>
    <row r="811" spans="3:27" ht="16.5" customHeight="1">
      <c r="C811" s="118"/>
      <c r="E811" s="61"/>
      <c r="H811" s="61"/>
      <c r="I811" s="60"/>
      <c r="K811" s="62"/>
      <c r="O811" s="60"/>
      <c r="P811" s="61"/>
      <c r="Q811" s="62"/>
      <c r="R811" s="61"/>
      <c r="S811" s="62"/>
      <c r="T811" s="61"/>
      <c r="U811" s="62"/>
      <c r="V811" s="61"/>
      <c r="W811" s="62"/>
      <c r="X811" s="61"/>
      <c r="Y811" s="62"/>
      <c r="Z811" s="61"/>
      <c r="AA811" s="62"/>
    </row>
    <row r="812" spans="3:27" ht="16.5" customHeight="1">
      <c r="C812" s="118"/>
      <c r="E812" s="61"/>
      <c r="H812" s="61"/>
      <c r="I812" s="60"/>
      <c r="K812" s="62"/>
      <c r="O812" s="60"/>
      <c r="P812" s="61"/>
      <c r="Q812" s="62"/>
      <c r="R812" s="61"/>
      <c r="S812" s="62"/>
      <c r="T812" s="61"/>
      <c r="U812" s="62"/>
      <c r="V812" s="61"/>
      <c r="W812" s="62"/>
      <c r="X812" s="61"/>
      <c r="Y812" s="62"/>
      <c r="Z812" s="61"/>
      <c r="AA812" s="62"/>
    </row>
    <row r="813" spans="3:27" ht="16.5" customHeight="1">
      <c r="C813" s="118"/>
      <c r="E813" s="61"/>
      <c r="H813" s="61"/>
      <c r="I813" s="60"/>
      <c r="K813" s="62"/>
      <c r="O813" s="60"/>
      <c r="P813" s="61"/>
      <c r="Q813" s="62"/>
      <c r="R813" s="61"/>
      <c r="S813" s="62"/>
      <c r="T813" s="61"/>
      <c r="U813" s="62"/>
      <c r="V813" s="61"/>
      <c r="W813" s="62"/>
      <c r="X813" s="61"/>
      <c r="Y813" s="62"/>
      <c r="Z813" s="61"/>
      <c r="AA813" s="62"/>
    </row>
    <row r="814" spans="3:27" ht="16.5" customHeight="1">
      <c r="C814" s="118"/>
      <c r="E814" s="61"/>
      <c r="H814" s="61"/>
      <c r="I814" s="60"/>
      <c r="K814" s="62"/>
      <c r="O814" s="60"/>
      <c r="P814" s="61"/>
      <c r="Q814" s="62"/>
      <c r="R814" s="61"/>
      <c r="S814" s="62"/>
      <c r="T814" s="61"/>
      <c r="U814" s="62"/>
      <c r="V814" s="61"/>
      <c r="W814" s="62"/>
      <c r="X814" s="61"/>
      <c r="Y814" s="62"/>
      <c r="Z814" s="61"/>
      <c r="AA814" s="62"/>
    </row>
    <row r="815" spans="3:27" ht="16.5" customHeight="1">
      <c r="C815" s="118"/>
      <c r="E815" s="61"/>
      <c r="H815" s="61"/>
      <c r="I815" s="60"/>
      <c r="K815" s="62"/>
      <c r="O815" s="60"/>
      <c r="P815" s="61"/>
      <c r="Q815" s="62"/>
      <c r="R815" s="61"/>
      <c r="S815" s="62"/>
      <c r="T815" s="61"/>
      <c r="U815" s="62"/>
      <c r="V815" s="61"/>
      <c r="W815" s="62"/>
      <c r="X815" s="61"/>
      <c r="Y815" s="62"/>
      <c r="Z815" s="61"/>
      <c r="AA815" s="62"/>
    </row>
    <row r="816" spans="3:27" ht="16.5" customHeight="1">
      <c r="C816" s="118"/>
      <c r="E816" s="61"/>
      <c r="H816" s="61"/>
      <c r="I816" s="60"/>
      <c r="K816" s="62"/>
      <c r="O816" s="60"/>
      <c r="P816" s="61"/>
      <c r="Q816" s="62"/>
      <c r="R816" s="61"/>
      <c r="S816" s="62"/>
      <c r="T816" s="61"/>
      <c r="U816" s="62"/>
      <c r="V816" s="61"/>
      <c r="W816" s="62"/>
      <c r="X816" s="61"/>
      <c r="Y816" s="62"/>
      <c r="Z816" s="61"/>
      <c r="AA816" s="62"/>
    </row>
    <row r="817" spans="3:27" ht="16.5" customHeight="1">
      <c r="C817" s="118"/>
      <c r="E817" s="61"/>
      <c r="H817" s="61"/>
      <c r="I817" s="60"/>
      <c r="K817" s="62"/>
      <c r="O817" s="60"/>
      <c r="P817" s="61"/>
      <c r="Q817" s="62"/>
      <c r="R817" s="61"/>
      <c r="S817" s="62"/>
      <c r="T817" s="61"/>
      <c r="U817" s="62"/>
      <c r="V817" s="61"/>
      <c r="W817" s="62"/>
      <c r="X817" s="61"/>
      <c r="Y817" s="62"/>
      <c r="Z817" s="61"/>
      <c r="AA817" s="62"/>
    </row>
    <row r="818" spans="3:27" ht="16.5" customHeight="1">
      <c r="C818" s="118"/>
      <c r="E818" s="61"/>
      <c r="H818" s="61"/>
      <c r="I818" s="60"/>
      <c r="K818" s="62"/>
      <c r="O818" s="60"/>
      <c r="P818" s="61"/>
      <c r="Q818" s="62"/>
      <c r="R818" s="61"/>
      <c r="S818" s="62"/>
      <c r="T818" s="61"/>
      <c r="U818" s="62"/>
      <c r="V818" s="61"/>
      <c r="W818" s="62"/>
      <c r="X818" s="61"/>
      <c r="Y818" s="62"/>
      <c r="Z818" s="61"/>
      <c r="AA818" s="62"/>
    </row>
    <row r="819" spans="3:27" ht="16.5" customHeight="1">
      <c r="C819" s="118"/>
      <c r="E819" s="61"/>
      <c r="H819" s="61"/>
      <c r="I819" s="60"/>
      <c r="K819" s="62"/>
      <c r="O819" s="60"/>
      <c r="P819" s="61"/>
      <c r="Q819" s="62"/>
      <c r="R819" s="61"/>
      <c r="S819" s="62"/>
      <c r="T819" s="61"/>
      <c r="U819" s="62"/>
      <c r="V819" s="61"/>
      <c r="W819" s="62"/>
      <c r="X819" s="61"/>
      <c r="Y819" s="62"/>
      <c r="Z819" s="61"/>
      <c r="AA819" s="62"/>
    </row>
    <row r="820" spans="3:27" ht="16.5" customHeight="1">
      <c r="C820" s="118"/>
      <c r="E820" s="61"/>
      <c r="H820" s="61"/>
      <c r="I820" s="60"/>
      <c r="K820" s="62"/>
      <c r="O820" s="60"/>
      <c r="P820" s="61"/>
      <c r="Q820" s="62"/>
      <c r="R820" s="61"/>
      <c r="S820" s="62"/>
      <c r="T820" s="61"/>
      <c r="U820" s="62"/>
      <c r="V820" s="61"/>
      <c r="W820" s="62"/>
      <c r="X820" s="61"/>
      <c r="Y820" s="62"/>
      <c r="Z820" s="61"/>
      <c r="AA820" s="62"/>
    </row>
    <row r="821" spans="3:27" ht="16.5" customHeight="1">
      <c r="C821" s="118"/>
      <c r="E821" s="61"/>
      <c r="H821" s="61"/>
      <c r="I821" s="60"/>
      <c r="K821" s="62"/>
      <c r="O821" s="60"/>
      <c r="P821" s="61"/>
      <c r="Q821" s="62"/>
      <c r="R821" s="61"/>
      <c r="S821" s="62"/>
      <c r="T821" s="61"/>
      <c r="U821" s="62"/>
      <c r="V821" s="61"/>
      <c r="W821" s="62"/>
      <c r="X821" s="61"/>
      <c r="Y821" s="62"/>
      <c r="Z821" s="61"/>
      <c r="AA821" s="62"/>
    </row>
    <row r="822" spans="3:27" ht="16.5" customHeight="1">
      <c r="C822" s="118"/>
      <c r="E822" s="61"/>
      <c r="H822" s="61"/>
      <c r="I822" s="60"/>
      <c r="K822" s="62"/>
      <c r="O822" s="60"/>
      <c r="P822" s="61"/>
      <c r="Q822" s="62"/>
      <c r="R822" s="61"/>
      <c r="S822" s="62"/>
      <c r="T822" s="61"/>
      <c r="U822" s="62"/>
      <c r="V822" s="61"/>
      <c r="W822" s="62"/>
      <c r="X822" s="61"/>
      <c r="Y822" s="62"/>
      <c r="Z822" s="61"/>
      <c r="AA822" s="62"/>
    </row>
    <row r="823" spans="3:27" ht="16.5" customHeight="1">
      <c r="C823" s="118"/>
      <c r="E823" s="61"/>
      <c r="H823" s="61"/>
      <c r="I823" s="60"/>
      <c r="K823" s="62"/>
      <c r="O823" s="60"/>
      <c r="P823" s="61"/>
      <c r="Q823" s="62"/>
      <c r="R823" s="61"/>
      <c r="S823" s="62"/>
      <c r="T823" s="61"/>
      <c r="U823" s="62"/>
      <c r="V823" s="61"/>
      <c r="W823" s="62"/>
      <c r="X823" s="61"/>
      <c r="Y823" s="62"/>
      <c r="Z823" s="61"/>
      <c r="AA823" s="62"/>
    </row>
    <row r="824" spans="3:27" ht="16.5" customHeight="1">
      <c r="C824" s="118"/>
      <c r="E824" s="61"/>
      <c r="H824" s="61"/>
      <c r="I824" s="60"/>
      <c r="K824" s="62"/>
      <c r="O824" s="60"/>
      <c r="P824" s="61"/>
      <c r="Q824" s="62"/>
      <c r="R824" s="61"/>
      <c r="S824" s="62"/>
      <c r="T824" s="61"/>
      <c r="U824" s="62"/>
      <c r="V824" s="61"/>
      <c r="W824" s="62"/>
      <c r="X824" s="61"/>
      <c r="Y824" s="62"/>
      <c r="Z824" s="61"/>
      <c r="AA824" s="62"/>
    </row>
    <row r="825" spans="3:27" ht="16.5" customHeight="1">
      <c r="C825" s="118"/>
      <c r="E825" s="61"/>
      <c r="H825" s="61"/>
      <c r="I825" s="60"/>
      <c r="K825" s="62"/>
      <c r="O825" s="60"/>
      <c r="P825" s="61"/>
      <c r="Q825" s="62"/>
      <c r="R825" s="61"/>
      <c r="S825" s="62"/>
      <c r="T825" s="61"/>
      <c r="U825" s="62"/>
      <c r="V825" s="61"/>
      <c r="W825" s="62"/>
      <c r="X825" s="61"/>
      <c r="Y825" s="62"/>
      <c r="Z825" s="61"/>
      <c r="AA825" s="62"/>
    </row>
    <row r="826" spans="3:27" ht="16.5" customHeight="1">
      <c r="C826" s="118"/>
      <c r="E826" s="61"/>
      <c r="H826" s="61"/>
      <c r="I826" s="60"/>
      <c r="K826" s="62"/>
      <c r="O826" s="60"/>
      <c r="P826" s="61"/>
      <c r="Q826" s="62"/>
      <c r="R826" s="61"/>
      <c r="S826" s="62"/>
      <c r="T826" s="61"/>
      <c r="U826" s="62"/>
      <c r="V826" s="61"/>
      <c r="W826" s="62"/>
      <c r="X826" s="61"/>
      <c r="Y826" s="62"/>
      <c r="Z826" s="61"/>
      <c r="AA826" s="62"/>
    </row>
    <row r="827" spans="3:27" ht="16.5" customHeight="1">
      <c r="C827" s="118"/>
      <c r="E827" s="61"/>
      <c r="H827" s="61"/>
      <c r="I827" s="60"/>
      <c r="K827" s="62"/>
      <c r="O827" s="60"/>
      <c r="P827" s="61"/>
      <c r="Q827" s="62"/>
      <c r="R827" s="61"/>
      <c r="S827" s="62"/>
      <c r="T827" s="61"/>
      <c r="U827" s="62"/>
      <c r="V827" s="61"/>
      <c r="W827" s="62"/>
      <c r="X827" s="61"/>
      <c r="Y827" s="62"/>
      <c r="Z827" s="61"/>
      <c r="AA827" s="62"/>
    </row>
    <row r="828" spans="3:27" ht="16.5" customHeight="1">
      <c r="C828" s="118"/>
      <c r="E828" s="61"/>
      <c r="H828" s="61"/>
      <c r="I828" s="60"/>
      <c r="K828" s="62"/>
      <c r="O828" s="60"/>
      <c r="P828" s="61"/>
      <c r="Q828" s="62"/>
      <c r="R828" s="61"/>
      <c r="S828" s="62"/>
      <c r="T828" s="61"/>
      <c r="U828" s="62"/>
      <c r="V828" s="61"/>
      <c r="W828" s="62"/>
      <c r="X828" s="61"/>
      <c r="Y828" s="62"/>
      <c r="Z828" s="61"/>
      <c r="AA828" s="62"/>
    </row>
    <row r="829" spans="3:27" ht="16.5" customHeight="1">
      <c r="C829" s="118"/>
      <c r="E829" s="61"/>
      <c r="H829" s="61"/>
      <c r="I829" s="60"/>
      <c r="K829" s="62"/>
      <c r="O829" s="60"/>
      <c r="P829" s="61"/>
      <c r="Q829" s="62"/>
      <c r="R829" s="61"/>
      <c r="S829" s="62"/>
      <c r="T829" s="61"/>
      <c r="U829" s="62"/>
      <c r="V829" s="61"/>
      <c r="W829" s="62"/>
      <c r="X829" s="61"/>
      <c r="Y829" s="62"/>
      <c r="Z829" s="61"/>
      <c r="AA829" s="62"/>
    </row>
    <row r="830" spans="3:27" ht="16.5" customHeight="1">
      <c r="C830" s="118"/>
      <c r="E830" s="61"/>
      <c r="H830" s="61"/>
      <c r="I830" s="60"/>
      <c r="K830" s="62"/>
      <c r="O830" s="60"/>
      <c r="P830" s="61"/>
      <c r="Q830" s="62"/>
      <c r="R830" s="61"/>
      <c r="S830" s="62"/>
      <c r="T830" s="61"/>
      <c r="U830" s="62"/>
      <c r="V830" s="61"/>
      <c r="W830" s="62"/>
      <c r="X830" s="61"/>
      <c r="Y830" s="62"/>
      <c r="Z830" s="61"/>
      <c r="AA830" s="62"/>
    </row>
    <row r="831" spans="3:27" ht="16.5" customHeight="1">
      <c r="C831" s="118"/>
      <c r="E831" s="61"/>
      <c r="H831" s="61"/>
      <c r="I831" s="60"/>
      <c r="K831" s="62"/>
      <c r="O831" s="60"/>
      <c r="P831" s="61"/>
      <c r="Q831" s="62"/>
      <c r="R831" s="61"/>
      <c r="S831" s="62"/>
      <c r="T831" s="61"/>
      <c r="U831" s="62"/>
      <c r="V831" s="61"/>
      <c r="W831" s="62"/>
      <c r="X831" s="61"/>
      <c r="Y831" s="62"/>
      <c r="Z831" s="61"/>
      <c r="AA831" s="62"/>
    </row>
    <row r="832" spans="3:27" ht="16.5" customHeight="1">
      <c r="C832" s="118"/>
      <c r="E832" s="61"/>
      <c r="H832" s="61"/>
      <c r="I832" s="60"/>
      <c r="K832" s="62"/>
      <c r="O832" s="60"/>
      <c r="P832" s="61"/>
      <c r="Q832" s="62"/>
      <c r="R832" s="61"/>
      <c r="S832" s="62"/>
      <c r="T832" s="61"/>
      <c r="U832" s="62"/>
      <c r="V832" s="61"/>
      <c r="W832" s="62"/>
      <c r="X832" s="61"/>
      <c r="Y832" s="62"/>
      <c r="Z832" s="61"/>
      <c r="AA832" s="62"/>
    </row>
    <row r="833" spans="3:27" ht="16.5" customHeight="1">
      <c r="C833" s="118"/>
      <c r="E833" s="61"/>
      <c r="H833" s="61"/>
      <c r="I833" s="60"/>
      <c r="K833" s="62"/>
      <c r="O833" s="60"/>
      <c r="P833" s="61"/>
      <c r="Q833" s="62"/>
      <c r="R833" s="61"/>
      <c r="S833" s="62"/>
      <c r="T833" s="61"/>
      <c r="U833" s="62"/>
      <c r="V833" s="61"/>
      <c r="W833" s="62"/>
      <c r="X833" s="61"/>
      <c r="Y833" s="62"/>
      <c r="Z833" s="61"/>
      <c r="AA833" s="62"/>
    </row>
    <row r="834" spans="3:27" ht="16.5" customHeight="1">
      <c r="C834" s="118"/>
      <c r="E834" s="61"/>
      <c r="H834" s="61"/>
      <c r="I834" s="60"/>
      <c r="K834" s="62"/>
      <c r="O834" s="60"/>
      <c r="P834" s="61"/>
      <c r="Q834" s="62"/>
      <c r="R834" s="61"/>
      <c r="S834" s="62"/>
      <c r="T834" s="61"/>
      <c r="U834" s="62"/>
      <c r="V834" s="61"/>
      <c r="W834" s="62"/>
      <c r="X834" s="61"/>
      <c r="Y834" s="62"/>
      <c r="Z834" s="61"/>
      <c r="AA834" s="62"/>
    </row>
    <row r="835" spans="3:27" ht="16.5" customHeight="1">
      <c r="C835" s="118"/>
      <c r="E835" s="61"/>
      <c r="H835" s="61"/>
      <c r="I835" s="60"/>
      <c r="K835" s="62"/>
      <c r="O835" s="60"/>
      <c r="P835" s="61"/>
      <c r="Q835" s="62"/>
      <c r="R835" s="61"/>
      <c r="S835" s="62"/>
      <c r="T835" s="61"/>
      <c r="U835" s="62"/>
      <c r="V835" s="61"/>
      <c r="W835" s="62"/>
      <c r="X835" s="61"/>
      <c r="Y835" s="62"/>
      <c r="Z835" s="61"/>
      <c r="AA835" s="62"/>
    </row>
    <row r="836" spans="3:27" ht="16.5" customHeight="1">
      <c r="C836" s="118"/>
      <c r="E836" s="61"/>
      <c r="H836" s="61"/>
      <c r="I836" s="60"/>
      <c r="K836" s="62"/>
      <c r="O836" s="60"/>
      <c r="P836" s="61"/>
      <c r="Q836" s="62"/>
      <c r="R836" s="61"/>
      <c r="S836" s="62"/>
      <c r="T836" s="61"/>
      <c r="U836" s="62"/>
      <c r="V836" s="61"/>
      <c r="W836" s="62"/>
      <c r="X836" s="61"/>
      <c r="Y836" s="62"/>
      <c r="Z836" s="61"/>
      <c r="AA836" s="62"/>
    </row>
    <row r="837" spans="3:27" ht="16.5" customHeight="1">
      <c r="C837" s="118"/>
      <c r="E837" s="61"/>
      <c r="H837" s="61"/>
      <c r="I837" s="60"/>
      <c r="K837" s="62"/>
      <c r="O837" s="60"/>
      <c r="P837" s="61"/>
      <c r="Q837" s="62"/>
      <c r="R837" s="61"/>
      <c r="S837" s="62"/>
      <c r="T837" s="61"/>
      <c r="U837" s="62"/>
      <c r="V837" s="61"/>
      <c r="W837" s="62"/>
      <c r="X837" s="61"/>
      <c r="Y837" s="62"/>
      <c r="Z837" s="61"/>
      <c r="AA837" s="62"/>
    </row>
    <row r="838" spans="3:27" ht="16.5" customHeight="1">
      <c r="C838" s="118"/>
      <c r="E838" s="61"/>
      <c r="H838" s="61"/>
      <c r="I838" s="60"/>
      <c r="K838" s="62"/>
      <c r="O838" s="60"/>
      <c r="P838" s="61"/>
      <c r="Q838" s="62"/>
      <c r="R838" s="61"/>
      <c r="S838" s="62"/>
      <c r="T838" s="61"/>
      <c r="U838" s="62"/>
      <c r="V838" s="61"/>
      <c r="W838" s="62"/>
      <c r="X838" s="61"/>
      <c r="Y838" s="62"/>
      <c r="Z838" s="61"/>
      <c r="AA838" s="62"/>
    </row>
    <row r="839" spans="3:27" ht="16.5" customHeight="1">
      <c r="C839" s="118"/>
      <c r="E839" s="61"/>
      <c r="H839" s="61"/>
      <c r="I839" s="60"/>
      <c r="K839" s="62"/>
      <c r="O839" s="60"/>
      <c r="P839" s="61"/>
      <c r="Q839" s="62"/>
      <c r="R839" s="61"/>
      <c r="S839" s="62"/>
      <c r="T839" s="61"/>
      <c r="U839" s="62"/>
      <c r="V839" s="61"/>
      <c r="W839" s="62"/>
      <c r="X839" s="61"/>
      <c r="Y839" s="62"/>
      <c r="Z839" s="61"/>
      <c r="AA839" s="62"/>
    </row>
    <row r="840" spans="3:27" ht="16.5" customHeight="1">
      <c r="C840" s="118"/>
      <c r="E840" s="61"/>
      <c r="H840" s="61"/>
      <c r="I840" s="60"/>
      <c r="K840" s="62"/>
      <c r="O840" s="60"/>
      <c r="P840" s="61"/>
      <c r="Q840" s="62"/>
      <c r="R840" s="61"/>
      <c r="S840" s="62"/>
      <c r="T840" s="61"/>
      <c r="U840" s="62"/>
      <c r="V840" s="61"/>
      <c r="W840" s="62"/>
      <c r="X840" s="61"/>
      <c r="Y840" s="62"/>
      <c r="Z840" s="61"/>
      <c r="AA840" s="62"/>
    </row>
    <row r="841" spans="3:27" ht="16.5" customHeight="1">
      <c r="C841" s="118"/>
      <c r="E841" s="61"/>
      <c r="H841" s="61"/>
      <c r="I841" s="60"/>
      <c r="K841" s="62"/>
      <c r="O841" s="60"/>
      <c r="P841" s="61"/>
      <c r="Q841" s="62"/>
      <c r="R841" s="61"/>
      <c r="S841" s="62"/>
      <c r="T841" s="61"/>
      <c r="U841" s="62"/>
      <c r="V841" s="61"/>
      <c r="W841" s="62"/>
      <c r="X841" s="61"/>
      <c r="Y841" s="62"/>
      <c r="Z841" s="61"/>
      <c r="AA841" s="62"/>
    </row>
    <row r="842" spans="3:27" ht="16.5" customHeight="1">
      <c r="C842" s="118"/>
      <c r="E842" s="61"/>
      <c r="H842" s="61"/>
      <c r="I842" s="60"/>
      <c r="K842" s="62"/>
      <c r="O842" s="60"/>
      <c r="P842" s="61"/>
      <c r="Q842" s="62"/>
      <c r="R842" s="61"/>
      <c r="S842" s="62"/>
      <c r="T842" s="61"/>
      <c r="U842" s="62"/>
      <c r="V842" s="61"/>
      <c r="W842" s="62"/>
      <c r="X842" s="61"/>
      <c r="Y842" s="62"/>
      <c r="Z842" s="61"/>
      <c r="AA842" s="62"/>
    </row>
    <row r="843" spans="3:27" ht="16.5" customHeight="1">
      <c r="C843" s="118"/>
      <c r="E843" s="61"/>
      <c r="H843" s="61"/>
      <c r="I843" s="60"/>
      <c r="K843" s="62"/>
      <c r="O843" s="60"/>
      <c r="P843" s="61"/>
      <c r="Q843" s="62"/>
      <c r="R843" s="61"/>
      <c r="S843" s="62"/>
      <c r="T843" s="61"/>
      <c r="U843" s="62"/>
      <c r="V843" s="61"/>
      <c r="W843" s="62"/>
      <c r="X843" s="61"/>
      <c r="Y843" s="62"/>
      <c r="Z843" s="61"/>
      <c r="AA843" s="62"/>
    </row>
    <row r="844" spans="3:27" ht="16.5" customHeight="1">
      <c r="C844" s="118"/>
      <c r="E844" s="61"/>
      <c r="H844" s="61"/>
      <c r="I844" s="60"/>
      <c r="K844" s="62"/>
      <c r="O844" s="60"/>
      <c r="P844" s="61"/>
      <c r="Q844" s="62"/>
      <c r="R844" s="61"/>
      <c r="S844" s="62"/>
      <c r="T844" s="61"/>
      <c r="U844" s="62"/>
      <c r="V844" s="61"/>
      <c r="W844" s="62"/>
      <c r="X844" s="61"/>
      <c r="Y844" s="62"/>
      <c r="Z844" s="61"/>
      <c r="AA844" s="62"/>
    </row>
    <row r="845" spans="3:27" ht="16.5" customHeight="1">
      <c r="C845" s="118"/>
      <c r="E845" s="61"/>
      <c r="H845" s="61"/>
      <c r="I845" s="60"/>
      <c r="K845" s="62"/>
      <c r="O845" s="60"/>
      <c r="P845" s="61"/>
      <c r="Q845" s="62"/>
      <c r="R845" s="61"/>
      <c r="S845" s="62"/>
      <c r="T845" s="61"/>
      <c r="U845" s="62"/>
      <c r="V845" s="61"/>
      <c r="W845" s="62"/>
      <c r="X845" s="61"/>
      <c r="Y845" s="62"/>
      <c r="Z845" s="61"/>
      <c r="AA845" s="62"/>
    </row>
    <row r="846" spans="3:27" ht="16.5" customHeight="1">
      <c r="C846" s="118"/>
      <c r="E846" s="61"/>
      <c r="H846" s="61"/>
      <c r="I846" s="60"/>
      <c r="K846" s="62"/>
      <c r="O846" s="60"/>
      <c r="P846" s="61"/>
      <c r="Q846" s="62"/>
      <c r="R846" s="61"/>
      <c r="S846" s="62"/>
      <c r="T846" s="61"/>
      <c r="U846" s="62"/>
      <c r="V846" s="61"/>
      <c r="W846" s="62"/>
      <c r="X846" s="61"/>
      <c r="Y846" s="62"/>
      <c r="Z846" s="61"/>
      <c r="AA846" s="62"/>
    </row>
    <row r="847" spans="3:27" ht="16.5" customHeight="1">
      <c r="C847" s="118"/>
      <c r="E847" s="61"/>
      <c r="H847" s="61"/>
      <c r="I847" s="60"/>
      <c r="K847" s="62"/>
      <c r="O847" s="60"/>
      <c r="P847" s="61"/>
      <c r="Q847" s="62"/>
      <c r="R847" s="61"/>
      <c r="S847" s="62"/>
      <c r="T847" s="61"/>
      <c r="U847" s="62"/>
      <c r="V847" s="61"/>
      <c r="W847" s="62"/>
      <c r="X847" s="61"/>
      <c r="Y847" s="62"/>
      <c r="Z847" s="61"/>
      <c r="AA847" s="62"/>
    </row>
    <row r="848" spans="3:27" ht="16.5" customHeight="1">
      <c r="C848" s="118"/>
      <c r="E848" s="61"/>
      <c r="H848" s="61"/>
      <c r="I848" s="60"/>
      <c r="K848" s="62"/>
      <c r="O848" s="60"/>
      <c r="P848" s="61"/>
      <c r="Q848" s="62"/>
      <c r="R848" s="61"/>
      <c r="S848" s="62"/>
      <c r="T848" s="61"/>
      <c r="U848" s="62"/>
      <c r="V848" s="61"/>
      <c r="W848" s="62"/>
      <c r="X848" s="61"/>
      <c r="Y848" s="62"/>
      <c r="Z848" s="61"/>
      <c r="AA848" s="62"/>
    </row>
    <row r="849" spans="3:27" ht="16.5" customHeight="1">
      <c r="C849" s="118"/>
      <c r="E849" s="61"/>
      <c r="H849" s="61"/>
      <c r="I849" s="60"/>
      <c r="K849" s="62"/>
      <c r="O849" s="60"/>
      <c r="P849" s="61"/>
      <c r="Q849" s="62"/>
      <c r="R849" s="61"/>
      <c r="S849" s="62"/>
      <c r="T849" s="61"/>
      <c r="U849" s="62"/>
      <c r="V849" s="61"/>
      <c r="W849" s="62"/>
      <c r="X849" s="61"/>
      <c r="Y849" s="62"/>
      <c r="Z849" s="61"/>
      <c r="AA849" s="62"/>
    </row>
    <row r="850" spans="3:27" ht="16.5" customHeight="1">
      <c r="C850" s="118"/>
      <c r="E850" s="61"/>
      <c r="H850" s="61"/>
      <c r="I850" s="60"/>
      <c r="K850" s="62"/>
      <c r="O850" s="60"/>
      <c r="P850" s="61"/>
      <c r="Q850" s="62"/>
      <c r="R850" s="61"/>
      <c r="S850" s="62"/>
      <c r="T850" s="61"/>
      <c r="U850" s="62"/>
      <c r="V850" s="61"/>
      <c r="W850" s="62"/>
      <c r="X850" s="61"/>
      <c r="Y850" s="62"/>
      <c r="Z850" s="61"/>
      <c r="AA850" s="62"/>
    </row>
    <row r="851" spans="3:27" ht="16.5" customHeight="1">
      <c r="C851" s="118"/>
      <c r="E851" s="61"/>
      <c r="H851" s="61"/>
      <c r="I851" s="60"/>
      <c r="K851" s="62"/>
      <c r="O851" s="60"/>
      <c r="P851" s="61"/>
      <c r="Q851" s="62"/>
      <c r="R851" s="61"/>
      <c r="S851" s="62"/>
      <c r="T851" s="61"/>
      <c r="U851" s="62"/>
      <c r="V851" s="61"/>
      <c r="W851" s="62"/>
      <c r="X851" s="61"/>
      <c r="Y851" s="62"/>
      <c r="Z851" s="61"/>
      <c r="AA851" s="62"/>
    </row>
    <row r="852" spans="3:27" ht="16.5" customHeight="1">
      <c r="C852" s="118"/>
      <c r="E852" s="61"/>
      <c r="H852" s="61"/>
      <c r="I852" s="60"/>
      <c r="K852" s="62"/>
      <c r="O852" s="60"/>
      <c r="P852" s="61"/>
      <c r="Q852" s="62"/>
      <c r="R852" s="61"/>
      <c r="S852" s="62"/>
      <c r="T852" s="61"/>
      <c r="U852" s="62"/>
      <c r="V852" s="61"/>
      <c r="W852" s="62"/>
      <c r="X852" s="61"/>
      <c r="Y852" s="62"/>
      <c r="Z852" s="61"/>
      <c r="AA852" s="62"/>
    </row>
    <row r="853" spans="3:27" ht="16.5" customHeight="1">
      <c r="C853" s="118"/>
      <c r="E853" s="61"/>
      <c r="H853" s="61"/>
      <c r="I853" s="60"/>
      <c r="K853" s="62"/>
      <c r="O853" s="60"/>
      <c r="P853" s="61"/>
      <c r="Q853" s="62"/>
      <c r="R853" s="61"/>
      <c r="S853" s="62"/>
      <c r="T853" s="61"/>
      <c r="U853" s="62"/>
      <c r="V853" s="61"/>
      <c r="W853" s="62"/>
      <c r="X853" s="61"/>
      <c r="Y853" s="62"/>
      <c r="Z853" s="61"/>
      <c r="AA853" s="62"/>
    </row>
    <row r="854" spans="3:27" ht="16.5" customHeight="1">
      <c r="C854" s="118"/>
      <c r="E854" s="61"/>
      <c r="H854" s="61"/>
      <c r="I854" s="60"/>
      <c r="K854" s="62"/>
      <c r="O854" s="60"/>
      <c r="P854" s="61"/>
      <c r="Q854" s="62"/>
      <c r="R854" s="61"/>
      <c r="S854" s="62"/>
      <c r="T854" s="61"/>
      <c r="U854" s="62"/>
      <c r="V854" s="61"/>
      <c r="W854" s="62"/>
      <c r="X854" s="61"/>
      <c r="Y854" s="62"/>
      <c r="Z854" s="61"/>
      <c r="AA854" s="62"/>
    </row>
    <row r="855" spans="3:27" ht="16.5" customHeight="1">
      <c r="C855" s="118"/>
      <c r="E855" s="61"/>
      <c r="H855" s="61"/>
      <c r="I855" s="60"/>
      <c r="K855" s="62"/>
      <c r="O855" s="60"/>
      <c r="P855" s="61"/>
      <c r="Q855" s="62"/>
      <c r="R855" s="61"/>
      <c r="S855" s="62"/>
      <c r="T855" s="61"/>
      <c r="U855" s="62"/>
      <c r="V855" s="61"/>
      <c r="W855" s="62"/>
      <c r="X855" s="61"/>
      <c r="Y855" s="62"/>
      <c r="Z855" s="61"/>
      <c r="AA855" s="62"/>
    </row>
    <row r="856" spans="3:27" ht="16.5" customHeight="1">
      <c r="C856" s="118"/>
      <c r="E856" s="61"/>
      <c r="H856" s="61"/>
      <c r="I856" s="60"/>
      <c r="K856" s="62"/>
      <c r="O856" s="60"/>
      <c r="P856" s="61"/>
      <c r="Q856" s="62"/>
      <c r="R856" s="61"/>
      <c r="S856" s="62"/>
      <c r="T856" s="61"/>
      <c r="U856" s="62"/>
      <c r="V856" s="61"/>
      <c r="W856" s="62"/>
      <c r="X856" s="61"/>
      <c r="Y856" s="62"/>
      <c r="Z856" s="61"/>
      <c r="AA856" s="62"/>
    </row>
    <row r="857" spans="3:27" ht="16.5" customHeight="1">
      <c r="C857" s="118"/>
      <c r="E857" s="61"/>
      <c r="H857" s="61"/>
      <c r="I857" s="60"/>
      <c r="K857" s="62"/>
      <c r="O857" s="60"/>
      <c r="P857" s="61"/>
      <c r="Q857" s="62"/>
      <c r="R857" s="61"/>
      <c r="S857" s="62"/>
      <c r="T857" s="61"/>
      <c r="U857" s="62"/>
      <c r="V857" s="61"/>
      <c r="W857" s="62"/>
      <c r="X857" s="61"/>
      <c r="Y857" s="62"/>
      <c r="Z857" s="61"/>
      <c r="AA857" s="62"/>
    </row>
    <row r="858" spans="3:27" ht="16.5" customHeight="1">
      <c r="C858" s="118"/>
      <c r="E858" s="61"/>
      <c r="H858" s="61"/>
      <c r="I858" s="60"/>
      <c r="K858" s="62"/>
      <c r="O858" s="60"/>
      <c r="P858" s="61"/>
      <c r="Q858" s="62"/>
      <c r="R858" s="61"/>
      <c r="S858" s="62"/>
      <c r="T858" s="61"/>
      <c r="U858" s="62"/>
      <c r="V858" s="61"/>
      <c r="W858" s="62"/>
      <c r="X858" s="61"/>
      <c r="Y858" s="62"/>
      <c r="Z858" s="61"/>
      <c r="AA858" s="62"/>
    </row>
    <row r="859" spans="3:27" ht="16.5" customHeight="1">
      <c r="C859" s="118"/>
      <c r="E859" s="61"/>
      <c r="H859" s="61"/>
      <c r="I859" s="60"/>
      <c r="K859" s="62"/>
      <c r="O859" s="60"/>
      <c r="P859" s="61"/>
      <c r="Q859" s="62"/>
      <c r="R859" s="61"/>
      <c r="S859" s="62"/>
      <c r="T859" s="61"/>
      <c r="U859" s="62"/>
      <c r="V859" s="61"/>
      <c r="W859" s="62"/>
      <c r="X859" s="61"/>
      <c r="Y859" s="62"/>
      <c r="Z859" s="61"/>
      <c r="AA859" s="62"/>
    </row>
    <row r="860" spans="3:27" ht="16.5" customHeight="1">
      <c r="C860" s="118"/>
      <c r="E860" s="61"/>
      <c r="H860" s="61"/>
      <c r="I860" s="60"/>
      <c r="K860" s="62"/>
      <c r="O860" s="60"/>
      <c r="P860" s="61"/>
      <c r="Q860" s="62"/>
      <c r="R860" s="61"/>
      <c r="S860" s="62"/>
      <c r="T860" s="61"/>
      <c r="U860" s="62"/>
      <c r="V860" s="61"/>
      <c r="W860" s="62"/>
      <c r="X860" s="61"/>
      <c r="Y860" s="62"/>
      <c r="Z860" s="61"/>
      <c r="AA860" s="62"/>
    </row>
    <row r="861" spans="3:27" ht="16.5" customHeight="1">
      <c r="C861" s="118"/>
      <c r="E861" s="61"/>
      <c r="H861" s="61"/>
      <c r="I861" s="60"/>
      <c r="K861" s="62"/>
      <c r="O861" s="60"/>
      <c r="P861" s="61"/>
      <c r="Q861" s="62"/>
      <c r="R861" s="61"/>
      <c r="S861" s="62"/>
      <c r="T861" s="61"/>
      <c r="U861" s="62"/>
      <c r="V861" s="61"/>
      <c r="W861" s="62"/>
      <c r="X861" s="61"/>
      <c r="Y861" s="62"/>
      <c r="Z861" s="61"/>
      <c r="AA861" s="62"/>
    </row>
    <row r="862" spans="3:27" ht="16.5" customHeight="1">
      <c r="C862" s="118"/>
      <c r="E862" s="61"/>
      <c r="H862" s="61"/>
      <c r="I862" s="60"/>
      <c r="K862" s="62"/>
      <c r="O862" s="60"/>
      <c r="P862" s="61"/>
      <c r="Q862" s="62"/>
      <c r="R862" s="61"/>
      <c r="S862" s="62"/>
      <c r="T862" s="61"/>
      <c r="U862" s="62"/>
      <c r="V862" s="61"/>
      <c r="W862" s="62"/>
      <c r="X862" s="61"/>
      <c r="Y862" s="62"/>
      <c r="Z862" s="61"/>
      <c r="AA862" s="62"/>
    </row>
    <row r="863" spans="3:27" ht="16.5" customHeight="1">
      <c r="C863" s="118"/>
      <c r="E863" s="61"/>
      <c r="H863" s="61"/>
      <c r="I863" s="60"/>
      <c r="K863" s="62"/>
      <c r="O863" s="60"/>
      <c r="P863" s="61"/>
      <c r="Q863" s="62"/>
      <c r="R863" s="61"/>
      <c r="S863" s="62"/>
      <c r="T863" s="61"/>
      <c r="U863" s="62"/>
      <c r="V863" s="61"/>
      <c r="W863" s="62"/>
      <c r="X863" s="61"/>
      <c r="Y863" s="62"/>
      <c r="Z863" s="61"/>
      <c r="AA863" s="62"/>
    </row>
    <row r="864" spans="3:27" ht="16.5" customHeight="1">
      <c r="C864" s="118"/>
      <c r="E864" s="61"/>
      <c r="H864" s="61"/>
      <c r="I864" s="60"/>
      <c r="K864" s="62"/>
      <c r="O864" s="60"/>
      <c r="P864" s="61"/>
      <c r="Q864" s="62"/>
      <c r="R864" s="61"/>
      <c r="S864" s="62"/>
      <c r="T864" s="61"/>
      <c r="U864" s="62"/>
      <c r="V864" s="61"/>
      <c r="W864" s="62"/>
      <c r="X864" s="61"/>
      <c r="Y864" s="62"/>
      <c r="Z864" s="61"/>
      <c r="AA864" s="62"/>
    </row>
    <row r="865" spans="3:27" ht="16.5" customHeight="1">
      <c r="C865" s="118"/>
      <c r="E865" s="61"/>
      <c r="H865" s="61"/>
      <c r="I865" s="60"/>
      <c r="K865" s="62"/>
      <c r="O865" s="60"/>
      <c r="P865" s="61"/>
      <c r="Q865" s="62"/>
      <c r="R865" s="61"/>
      <c r="S865" s="62"/>
      <c r="T865" s="61"/>
      <c r="U865" s="62"/>
      <c r="V865" s="61"/>
      <c r="W865" s="62"/>
      <c r="X865" s="61"/>
      <c r="Y865" s="62"/>
      <c r="Z865" s="61"/>
      <c r="AA865" s="62"/>
    </row>
    <row r="866" spans="3:27" ht="16.5" customHeight="1">
      <c r="C866" s="118"/>
      <c r="E866" s="61"/>
      <c r="H866" s="61"/>
      <c r="I866" s="60"/>
      <c r="K866" s="62"/>
      <c r="O866" s="60"/>
      <c r="P866" s="61"/>
      <c r="Q866" s="62"/>
      <c r="R866" s="61"/>
      <c r="S866" s="62"/>
      <c r="T866" s="61"/>
      <c r="U866" s="62"/>
      <c r="V866" s="61"/>
      <c r="W866" s="62"/>
      <c r="X866" s="61"/>
      <c r="Y866" s="62"/>
      <c r="Z866" s="61"/>
      <c r="AA866" s="62"/>
    </row>
    <row r="867" spans="3:27" ht="16.5" customHeight="1">
      <c r="C867" s="118"/>
      <c r="E867" s="61"/>
      <c r="H867" s="61"/>
      <c r="I867" s="60"/>
      <c r="K867" s="62"/>
      <c r="O867" s="60"/>
      <c r="P867" s="61"/>
      <c r="Q867" s="62"/>
      <c r="R867" s="61"/>
      <c r="S867" s="62"/>
      <c r="T867" s="61"/>
      <c r="U867" s="62"/>
      <c r="V867" s="61"/>
      <c r="W867" s="62"/>
      <c r="X867" s="61"/>
      <c r="Y867" s="62"/>
      <c r="Z867" s="61"/>
      <c r="AA867" s="62"/>
    </row>
    <row r="868" spans="3:27" ht="16.5" customHeight="1">
      <c r="C868" s="118"/>
      <c r="E868" s="61"/>
      <c r="H868" s="61"/>
      <c r="I868" s="60"/>
      <c r="K868" s="62"/>
      <c r="O868" s="60"/>
      <c r="P868" s="61"/>
      <c r="Q868" s="62"/>
      <c r="R868" s="61"/>
      <c r="S868" s="62"/>
      <c r="T868" s="61"/>
      <c r="U868" s="62"/>
      <c r="V868" s="61"/>
      <c r="W868" s="62"/>
      <c r="X868" s="61"/>
      <c r="Y868" s="62"/>
      <c r="Z868" s="61"/>
      <c r="AA868" s="62"/>
    </row>
    <row r="869" spans="3:27" ht="16.5" customHeight="1">
      <c r="C869" s="118"/>
      <c r="E869" s="61"/>
      <c r="H869" s="61"/>
      <c r="I869" s="60"/>
      <c r="K869" s="62"/>
      <c r="O869" s="60"/>
      <c r="P869" s="61"/>
      <c r="Q869" s="62"/>
      <c r="R869" s="61"/>
      <c r="S869" s="62"/>
      <c r="T869" s="61"/>
      <c r="U869" s="62"/>
      <c r="V869" s="61"/>
      <c r="W869" s="62"/>
      <c r="X869" s="61"/>
      <c r="Y869" s="62"/>
      <c r="Z869" s="61"/>
      <c r="AA869" s="62"/>
    </row>
    <row r="870" spans="3:27" ht="16.5" customHeight="1">
      <c r="C870" s="118"/>
      <c r="E870" s="61"/>
      <c r="H870" s="61"/>
      <c r="I870" s="60"/>
      <c r="K870" s="62"/>
      <c r="O870" s="60"/>
      <c r="P870" s="61"/>
      <c r="Q870" s="62"/>
      <c r="R870" s="61"/>
      <c r="S870" s="62"/>
      <c r="T870" s="61"/>
      <c r="U870" s="62"/>
      <c r="V870" s="61"/>
      <c r="W870" s="62"/>
      <c r="X870" s="61"/>
      <c r="Y870" s="62"/>
      <c r="Z870" s="61"/>
      <c r="AA870" s="62"/>
    </row>
    <row r="871" spans="3:27" ht="16.5" customHeight="1">
      <c r="C871" s="118"/>
      <c r="E871" s="61"/>
      <c r="H871" s="61"/>
      <c r="I871" s="60"/>
      <c r="K871" s="62"/>
      <c r="O871" s="60"/>
      <c r="P871" s="61"/>
      <c r="Q871" s="62"/>
      <c r="R871" s="61"/>
      <c r="S871" s="62"/>
      <c r="T871" s="61"/>
      <c r="U871" s="62"/>
      <c r="V871" s="61"/>
      <c r="W871" s="62"/>
      <c r="X871" s="61"/>
      <c r="Y871" s="62"/>
      <c r="Z871" s="61"/>
      <c r="AA871" s="62"/>
    </row>
    <row r="872" spans="3:27" ht="16.5" customHeight="1">
      <c r="C872" s="118"/>
      <c r="E872" s="61"/>
      <c r="H872" s="61"/>
      <c r="I872" s="60"/>
      <c r="K872" s="62"/>
      <c r="O872" s="60"/>
      <c r="P872" s="61"/>
      <c r="Q872" s="62"/>
      <c r="R872" s="61"/>
      <c r="S872" s="62"/>
      <c r="T872" s="61"/>
      <c r="U872" s="62"/>
      <c r="V872" s="61"/>
      <c r="W872" s="62"/>
      <c r="X872" s="61"/>
      <c r="Y872" s="62"/>
      <c r="Z872" s="61"/>
      <c r="AA872" s="62"/>
    </row>
    <row r="873" spans="3:27" ht="16.5" customHeight="1">
      <c r="C873" s="118"/>
      <c r="E873" s="61"/>
      <c r="H873" s="61"/>
      <c r="I873" s="60"/>
      <c r="K873" s="62"/>
      <c r="O873" s="60"/>
      <c r="P873" s="61"/>
      <c r="Q873" s="62"/>
      <c r="R873" s="61"/>
      <c r="S873" s="62"/>
      <c r="T873" s="61"/>
      <c r="U873" s="62"/>
      <c r="V873" s="61"/>
      <c r="W873" s="62"/>
      <c r="X873" s="61"/>
      <c r="Y873" s="62"/>
      <c r="Z873" s="61"/>
      <c r="AA873" s="62"/>
    </row>
    <row r="874" spans="3:27" ht="16.5" customHeight="1">
      <c r="C874" s="118"/>
      <c r="E874" s="61"/>
      <c r="H874" s="61"/>
      <c r="I874" s="60"/>
      <c r="K874" s="62"/>
      <c r="O874" s="60"/>
      <c r="P874" s="61"/>
      <c r="Q874" s="62"/>
      <c r="R874" s="61"/>
      <c r="S874" s="62"/>
      <c r="T874" s="61"/>
      <c r="U874" s="62"/>
      <c r="V874" s="61"/>
      <c r="W874" s="62"/>
      <c r="X874" s="61"/>
      <c r="Y874" s="62"/>
      <c r="Z874" s="61"/>
      <c r="AA874" s="62"/>
    </row>
    <row r="875" spans="3:27" ht="16.5" customHeight="1">
      <c r="C875" s="118"/>
      <c r="E875" s="61"/>
      <c r="H875" s="61"/>
      <c r="I875" s="60"/>
      <c r="K875" s="62"/>
      <c r="O875" s="60"/>
      <c r="P875" s="61"/>
      <c r="Q875" s="62"/>
      <c r="R875" s="61"/>
      <c r="S875" s="62"/>
      <c r="T875" s="61"/>
      <c r="U875" s="62"/>
      <c r="V875" s="61"/>
      <c r="W875" s="62"/>
      <c r="X875" s="61"/>
      <c r="Y875" s="62"/>
      <c r="Z875" s="61"/>
      <c r="AA875" s="62"/>
    </row>
    <row r="876" spans="3:27" ht="16.5" customHeight="1">
      <c r="C876" s="118"/>
      <c r="E876" s="61"/>
      <c r="H876" s="61"/>
      <c r="I876" s="60"/>
      <c r="K876" s="62"/>
      <c r="O876" s="60"/>
      <c r="P876" s="61"/>
      <c r="Q876" s="62"/>
      <c r="R876" s="61"/>
      <c r="S876" s="62"/>
      <c r="T876" s="61"/>
      <c r="U876" s="62"/>
      <c r="V876" s="61"/>
      <c r="W876" s="62"/>
      <c r="X876" s="61"/>
      <c r="Y876" s="62"/>
      <c r="Z876" s="61"/>
      <c r="AA876" s="62"/>
    </row>
    <row r="877" spans="3:27" ht="16.5" customHeight="1">
      <c r="C877" s="118"/>
      <c r="E877" s="61"/>
      <c r="H877" s="61"/>
      <c r="I877" s="60"/>
      <c r="K877" s="62"/>
      <c r="O877" s="60"/>
      <c r="P877" s="61"/>
      <c r="Q877" s="62"/>
      <c r="R877" s="61"/>
      <c r="S877" s="62"/>
      <c r="T877" s="61"/>
      <c r="U877" s="62"/>
      <c r="V877" s="61"/>
      <c r="W877" s="62"/>
      <c r="X877" s="61"/>
      <c r="Y877" s="62"/>
      <c r="Z877" s="61"/>
      <c r="AA877" s="62"/>
    </row>
    <row r="878" spans="3:27" ht="16.5" customHeight="1">
      <c r="C878" s="118"/>
      <c r="E878" s="61"/>
      <c r="H878" s="61"/>
      <c r="I878" s="60"/>
      <c r="K878" s="62"/>
      <c r="O878" s="60"/>
      <c r="P878" s="61"/>
      <c r="Q878" s="62"/>
      <c r="R878" s="61"/>
      <c r="S878" s="62"/>
      <c r="T878" s="61"/>
      <c r="U878" s="62"/>
      <c r="V878" s="61"/>
      <c r="W878" s="62"/>
      <c r="X878" s="61"/>
      <c r="Y878" s="62"/>
      <c r="Z878" s="61"/>
      <c r="AA878" s="62"/>
    </row>
    <row r="879" spans="3:27" ht="16.5" customHeight="1">
      <c r="C879" s="118"/>
      <c r="E879" s="61"/>
      <c r="H879" s="61"/>
      <c r="I879" s="60"/>
      <c r="K879" s="62"/>
      <c r="O879" s="60"/>
      <c r="P879" s="61"/>
      <c r="Q879" s="62"/>
      <c r="R879" s="61"/>
      <c r="S879" s="62"/>
      <c r="T879" s="61"/>
      <c r="U879" s="62"/>
      <c r="V879" s="61"/>
      <c r="W879" s="62"/>
      <c r="X879" s="61"/>
      <c r="Y879" s="62"/>
      <c r="Z879" s="61"/>
      <c r="AA879" s="62"/>
    </row>
    <row r="880" spans="3:27" ht="16.5" customHeight="1">
      <c r="C880" s="118"/>
      <c r="E880" s="61"/>
      <c r="H880" s="61"/>
      <c r="I880" s="60"/>
      <c r="K880" s="62"/>
      <c r="O880" s="60"/>
      <c r="P880" s="61"/>
      <c r="Q880" s="62"/>
      <c r="R880" s="61"/>
      <c r="S880" s="62"/>
      <c r="T880" s="61"/>
      <c r="U880" s="62"/>
      <c r="V880" s="61"/>
      <c r="W880" s="62"/>
      <c r="X880" s="61"/>
      <c r="Y880" s="62"/>
      <c r="Z880" s="61"/>
      <c r="AA880" s="62"/>
    </row>
    <row r="881" spans="3:27" ht="16.5" customHeight="1">
      <c r="C881" s="118"/>
      <c r="E881" s="61"/>
      <c r="H881" s="61"/>
      <c r="I881" s="60"/>
      <c r="K881" s="62"/>
      <c r="O881" s="60"/>
      <c r="P881" s="61"/>
      <c r="Q881" s="62"/>
      <c r="R881" s="61"/>
      <c r="S881" s="62"/>
      <c r="T881" s="61"/>
      <c r="U881" s="62"/>
      <c r="V881" s="61"/>
      <c r="W881" s="62"/>
      <c r="X881" s="61"/>
      <c r="Y881" s="62"/>
      <c r="Z881" s="61"/>
      <c r="AA881" s="62"/>
    </row>
    <row r="882" spans="3:27" ht="16.5" customHeight="1">
      <c r="C882" s="118"/>
      <c r="E882" s="61"/>
      <c r="H882" s="61"/>
      <c r="I882" s="60"/>
      <c r="K882" s="62"/>
      <c r="O882" s="60"/>
      <c r="P882" s="61"/>
      <c r="Q882" s="62"/>
      <c r="R882" s="61"/>
      <c r="S882" s="62"/>
      <c r="T882" s="61"/>
      <c r="U882" s="62"/>
      <c r="V882" s="61"/>
      <c r="W882" s="62"/>
      <c r="X882" s="61"/>
      <c r="Y882" s="62"/>
      <c r="Z882" s="61"/>
      <c r="AA882" s="62"/>
    </row>
    <row r="883" spans="3:27" ht="16.5" customHeight="1">
      <c r="C883" s="118"/>
      <c r="E883" s="61"/>
      <c r="H883" s="61"/>
      <c r="I883" s="60"/>
      <c r="K883" s="62"/>
      <c r="O883" s="60"/>
      <c r="P883" s="61"/>
      <c r="Q883" s="62"/>
      <c r="R883" s="61"/>
      <c r="S883" s="62"/>
      <c r="T883" s="61"/>
      <c r="U883" s="62"/>
      <c r="V883" s="61"/>
      <c r="W883" s="62"/>
      <c r="X883" s="61"/>
      <c r="Y883" s="62"/>
      <c r="Z883" s="61"/>
      <c r="AA883" s="62"/>
    </row>
    <row r="884" spans="3:27" ht="16.5" customHeight="1">
      <c r="C884" s="118"/>
      <c r="E884" s="61"/>
      <c r="H884" s="61"/>
      <c r="I884" s="60"/>
      <c r="K884" s="62"/>
      <c r="O884" s="60"/>
      <c r="P884" s="61"/>
      <c r="Q884" s="62"/>
      <c r="R884" s="61"/>
      <c r="S884" s="62"/>
      <c r="T884" s="61"/>
      <c r="U884" s="62"/>
      <c r="V884" s="61"/>
      <c r="W884" s="62"/>
      <c r="X884" s="61"/>
      <c r="Y884" s="62"/>
      <c r="Z884" s="61"/>
      <c r="AA884" s="62"/>
    </row>
    <row r="885" spans="3:27" ht="16.5" customHeight="1">
      <c r="C885" s="118"/>
      <c r="E885" s="61"/>
      <c r="H885" s="61"/>
      <c r="I885" s="60"/>
      <c r="K885" s="62"/>
      <c r="O885" s="60"/>
      <c r="P885" s="61"/>
      <c r="Q885" s="62"/>
      <c r="R885" s="61"/>
      <c r="S885" s="62"/>
      <c r="T885" s="61"/>
      <c r="U885" s="62"/>
      <c r="V885" s="61"/>
      <c r="W885" s="62"/>
      <c r="X885" s="61"/>
      <c r="Y885" s="62"/>
      <c r="Z885" s="61"/>
      <c r="AA885" s="62"/>
    </row>
    <row r="886" spans="3:27" ht="16.5" customHeight="1">
      <c r="C886" s="118"/>
      <c r="E886" s="61"/>
      <c r="H886" s="61"/>
      <c r="I886" s="60"/>
      <c r="K886" s="62"/>
      <c r="O886" s="60"/>
      <c r="P886" s="61"/>
      <c r="Q886" s="62"/>
      <c r="R886" s="61"/>
      <c r="S886" s="62"/>
      <c r="T886" s="61"/>
      <c r="U886" s="62"/>
      <c r="V886" s="61"/>
      <c r="W886" s="62"/>
      <c r="X886" s="61"/>
      <c r="Y886" s="62"/>
      <c r="Z886" s="61"/>
      <c r="AA886" s="62"/>
    </row>
    <row r="887" spans="3:27" ht="16.5" customHeight="1">
      <c r="C887" s="118"/>
      <c r="E887" s="61"/>
      <c r="H887" s="61"/>
      <c r="I887" s="60"/>
      <c r="K887" s="62"/>
      <c r="O887" s="60"/>
      <c r="P887" s="61"/>
      <c r="Q887" s="62"/>
      <c r="R887" s="61"/>
      <c r="S887" s="62"/>
      <c r="T887" s="61"/>
      <c r="U887" s="62"/>
      <c r="V887" s="61"/>
      <c r="W887" s="62"/>
      <c r="X887" s="61"/>
      <c r="Y887" s="62"/>
      <c r="Z887" s="61"/>
      <c r="AA887" s="62"/>
    </row>
    <row r="888" spans="3:27" ht="16.5" customHeight="1">
      <c r="C888" s="118"/>
      <c r="E888" s="61"/>
      <c r="H888" s="61"/>
      <c r="I888" s="60"/>
      <c r="K888" s="62"/>
      <c r="O888" s="60"/>
      <c r="P888" s="61"/>
      <c r="Q888" s="62"/>
      <c r="R888" s="61"/>
      <c r="S888" s="62"/>
      <c r="T888" s="61"/>
      <c r="U888" s="62"/>
      <c r="V888" s="61"/>
      <c r="W888" s="62"/>
      <c r="X888" s="61"/>
      <c r="Y888" s="62"/>
      <c r="Z888" s="61"/>
      <c r="AA888" s="62"/>
    </row>
    <row r="889" spans="3:27" ht="16.5" customHeight="1">
      <c r="C889" s="118"/>
      <c r="E889" s="61"/>
      <c r="H889" s="61"/>
      <c r="I889" s="60"/>
      <c r="K889" s="62"/>
      <c r="O889" s="60"/>
      <c r="P889" s="61"/>
      <c r="Q889" s="62"/>
      <c r="R889" s="61"/>
      <c r="S889" s="62"/>
      <c r="T889" s="61"/>
      <c r="U889" s="62"/>
      <c r="V889" s="61"/>
      <c r="W889" s="62"/>
      <c r="X889" s="61"/>
      <c r="Y889" s="62"/>
      <c r="Z889" s="61"/>
      <c r="AA889" s="62"/>
    </row>
    <row r="890" spans="3:27" ht="16.5" customHeight="1">
      <c r="C890" s="118"/>
      <c r="E890" s="61"/>
      <c r="H890" s="61"/>
      <c r="I890" s="60"/>
      <c r="K890" s="62"/>
      <c r="O890" s="60"/>
      <c r="P890" s="61"/>
      <c r="Q890" s="62"/>
      <c r="R890" s="61"/>
      <c r="S890" s="62"/>
      <c r="T890" s="61"/>
      <c r="U890" s="62"/>
      <c r="V890" s="61"/>
      <c r="W890" s="62"/>
      <c r="X890" s="61"/>
      <c r="Y890" s="62"/>
      <c r="Z890" s="61"/>
      <c r="AA890" s="62"/>
    </row>
    <row r="891" spans="3:27" ht="16.5" customHeight="1">
      <c r="C891" s="118"/>
      <c r="E891" s="61"/>
      <c r="H891" s="61"/>
      <c r="I891" s="60"/>
      <c r="K891" s="62"/>
      <c r="O891" s="60"/>
      <c r="P891" s="61"/>
      <c r="Q891" s="62"/>
      <c r="R891" s="61"/>
      <c r="S891" s="62"/>
      <c r="T891" s="61"/>
      <c r="U891" s="62"/>
      <c r="V891" s="61"/>
      <c r="W891" s="62"/>
      <c r="X891" s="61"/>
      <c r="Y891" s="62"/>
      <c r="Z891" s="61"/>
      <c r="AA891" s="62"/>
    </row>
    <row r="892" spans="3:27" ht="16.5" customHeight="1">
      <c r="C892" s="118"/>
      <c r="E892" s="61"/>
      <c r="H892" s="61"/>
      <c r="I892" s="60"/>
      <c r="K892" s="62"/>
      <c r="O892" s="60"/>
      <c r="P892" s="61"/>
      <c r="Q892" s="62"/>
      <c r="R892" s="61"/>
      <c r="S892" s="62"/>
      <c r="T892" s="61"/>
      <c r="U892" s="62"/>
      <c r="V892" s="61"/>
      <c r="W892" s="62"/>
      <c r="X892" s="61"/>
      <c r="Y892" s="62"/>
      <c r="Z892" s="61"/>
      <c r="AA892" s="62"/>
    </row>
    <row r="893" spans="3:27" ht="16.5" customHeight="1">
      <c r="C893" s="118"/>
      <c r="E893" s="61"/>
      <c r="H893" s="61"/>
      <c r="I893" s="60"/>
      <c r="K893" s="62"/>
      <c r="O893" s="60"/>
      <c r="P893" s="61"/>
      <c r="Q893" s="62"/>
      <c r="R893" s="61"/>
      <c r="S893" s="62"/>
      <c r="T893" s="61"/>
      <c r="U893" s="62"/>
      <c r="V893" s="61"/>
      <c r="W893" s="62"/>
      <c r="X893" s="61"/>
      <c r="Y893" s="62"/>
      <c r="Z893" s="61"/>
      <c r="AA893" s="62"/>
    </row>
    <row r="894" spans="3:27" ht="16.5" customHeight="1">
      <c r="C894" s="118"/>
      <c r="E894" s="61"/>
      <c r="H894" s="61"/>
      <c r="I894" s="60"/>
      <c r="K894" s="62"/>
      <c r="O894" s="60"/>
      <c r="P894" s="61"/>
      <c r="Q894" s="62"/>
      <c r="R894" s="61"/>
      <c r="S894" s="62"/>
      <c r="T894" s="61"/>
      <c r="U894" s="62"/>
      <c r="V894" s="61"/>
      <c r="W894" s="62"/>
      <c r="X894" s="61"/>
      <c r="Y894" s="62"/>
      <c r="Z894" s="61"/>
      <c r="AA894" s="62"/>
    </row>
    <row r="895" spans="3:27" ht="16.5" customHeight="1">
      <c r="C895" s="118"/>
      <c r="E895" s="61"/>
      <c r="H895" s="61"/>
      <c r="I895" s="60"/>
      <c r="K895" s="62"/>
      <c r="O895" s="60"/>
      <c r="P895" s="61"/>
      <c r="Q895" s="62"/>
      <c r="R895" s="61"/>
      <c r="S895" s="62"/>
      <c r="T895" s="61"/>
      <c r="U895" s="62"/>
      <c r="V895" s="61"/>
      <c r="W895" s="62"/>
      <c r="X895" s="61"/>
      <c r="Y895" s="62"/>
      <c r="Z895" s="61"/>
      <c r="AA895" s="62"/>
    </row>
    <row r="896" spans="3:27" ht="16.5" customHeight="1">
      <c r="C896" s="118"/>
      <c r="E896" s="61"/>
      <c r="H896" s="61"/>
      <c r="I896" s="60"/>
      <c r="K896" s="62"/>
      <c r="O896" s="60"/>
      <c r="P896" s="61"/>
      <c r="Q896" s="62"/>
      <c r="R896" s="61"/>
      <c r="S896" s="62"/>
      <c r="T896" s="61"/>
      <c r="U896" s="62"/>
      <c r="V896" s="61"/>
      <c r="W896" s="62"/>
      <c r="X896" s="61"/>
      <c r="Y896" s="62"/>
      <c r="Z896" s="61"/>
      <c r="AA896" s="62"/>
    </row>
    <row r="897" spans="3:27" ht="16.5" customHeight="1">
      <c r="C897" s="118"/>
      <c r="E897" s="61"/>
      <c r="H897" s="61"/>
      <c r="I897" s="60"/>
      <c r="K897" s="62"/>
      <c r="O897" s="60"/>
      <c r="P897" s="61"/>
      <c r="Q897" s="62"/>
      <c r="R897" s="61"/>
      <c r="S897" s="62"/>
      <c r="T897" s="61"/>
      <c r="U897" s="62"/>
      <c r="V897" s="61"/>
      <c r="W897" s="62"/>
      <c r="X897" s="61"/>
      <c r="Y897" s="62"/>
      <c r="Z897" s="61"/>
      <c r="AA897" s="62"/>
    </row>
    <row r="898" spans="3:27" ht="16.5" customHeight="1">
      <c r="C898" s="118"/>
      <c r="E898" s="61"/>
      <c r="H898" s="61"/>
      <c r="I898" s="60"/>
      <c r="K898" s="62"/>
      <c r="O898" s="60"/>
      <c r="P898" s="61"/>
      <c r="Q898" s="62"/>
      <c r="R898" s="61"/>
      <c r="S898" s="62"/>
      <c r="T898" s="61"/>
      <c r="U898" s="62"/>
      <c r="V898" s="61"/>
      <c r="W898" s="62"/>
      <c r="X898" s="61"/>
      <c r="Y898" s="62"/>
      <c r="Z898" s="61"/>
      <c r="AA898" s="62"/>
    </row>
    <row r="899" spans="3:27" ht="16.5" customHeight="1">
      <c r="C899" s="118"/>
      <c r="E899" s="61"/>
      <c r="H899" s="61"/>
      <c r="I899" s="60"/>
      <c r="K899" s="62"/>
      <c r="O899" s="60"/>
      <c r="P899" s="61"/>
      <c r="Q899" s="62"/>
      <c r="R899" s="61"/>
      <c r="S899" s="62"/>
      <c r="T899" s="61"/>
      <c r="U899" s="62"/>
      <c r="V899" s="61"/>
      <c r="W899" s="62"/>
      <c r="X899" s="61"/>
      <c r="Y899" s="62"/>
      <c r="Z899" s="61"/>
      <c r="AA899" s="62"/>
    </row>
    <row r="900" spans="3:27" ht="16.5" customHeight="1">
      <c r="C900" s="118"/>
      <c r="E900" s="61"/>
      <c r="H900" s="61"/>
      <c r="I900" s="60"/>
      <c r="K900" s="62"/>
      <c r="O900" s="60"/>
      <c r="P900" s="61"/>
      <c r="Q900" s="62"/>
      <c r="R900" s="61"/>
      <c r="S900" s="62"/>
      <c r="T900" s="61"/>
      <c r="U900" s="62"/>
      <c r="V900" s="61"/>
      <c r="W900" s="62"/>
      <c r="X900" s="61"/>
      <c r="Y900" s="62"/>
      <c r="Z900" s="61"/>
      <c r="AA900" s="62"/>
    </row>
    <row r="901" spans="3:27" ht="16.5" customHeight="1">
      <c r="C901" s="118"/>
      <c r="E901" s="61"/>
      <c r="H901" s="61"/>
      <c r="I901" s="60"/>
      <c r="K901" s="62"/>
      <c r="O901" s="60"/>
      <c r="P901" s="61"/>
      <c r="Q901" s="62"/>
      <c r="R901" s="61"/>
      <c r="S901" s="62"/>
      <c r="T901" s="61"/>
      <c r="U901" s="62"/>
      <c r="V901" s="61"/>
      <c r="W901" s="62"/>
      <c r="X901" s="61"/>
      <c r="Y901" s="62"/>
      <c r="Z901" s="61"/>
      <c r="AA901" s="62"/>
    </row>
    <row r="902" spans="3:27" ht="16.5" customHeight="1">
      <c r="C902" s="118"/>
      <c r="E902" s="61"/>
      <c r="H902" s="61"/>
      <c r="I902" s="60"/>
      <c r="K902" s="62"/>
      <c r="O902" s="60"/>
      <c r="P902" s="61"/>
      <c r="Q902" s="62"/>
      <c r="R902" s="61"/>
      <c r="S902" s="62"/>
      <c r="T902" s="61"/>
      <c r="U902" s="62"/>
      <c r="V902" s="61"/>
      <c r="W902" s="62"/>
      <c r="X902" s="61"/>
      <c r="Y902" s="62"/>
      <c r="Z902" s="61"/>
      <c r="AA902" s="62"/>
    </row>
    <row r="903" spans="3:27" ht="16.5" customHeight="1">
      <c r="C903" s="118"/>
      <c r="E903" s="61"/>
      <c r="H903" s="61"/>
      <c r="I903" s="60"/>
      <c r="K903" s="62"/>
      <c r="O903" s="60"/>
      <c r="P903" s="61"/>
      <c r="Q903" s="62"/>
      <c r="R903" s="61"/>
      <c r="S903" s="62"/>
      <c r="T903" s="61"/>
      <c r="U903" s="62"/>
      <c r="V903" s="61"/>
      <c r="W903" s="62"/>
      <c r="X903" s="61"/>
      <c r="Y903" s="62"/>
      <c r="Z903" s="61"/>
      <c r="AA903" s="62"/>
    </row>
    <row r="904" spans="3:27" ht="16.5" customHeight="1">
      <c r="C904" s="118"/>
      <c r="E904" s="61"/>
      <c r="H904" s="61"/>
      <c r="I904" s="60"/>
      <c r="K904" s="62"/>
      <c r="O904" s="60"/>
      <c r="P904" s="61"/>
      <c r="Q904" s="62"/>
      <c r="R904" s="61"/>
      <c r="S904" s="62"/>
      <c r="T904" s="61"/>
      <c r="U904" s="62"/>
      <c r="V904" s="61"/>
      <c r="W904" s="62"/>
      <c r="X904" s="61"/>
      <c r="Y904" s="62"/>
      <c r="Z904" s="61"/>
      <c r="AA904" s="62"/>
    </row>
    <row r="905" spans="3:27" ht="16.5" customHeight="1">
      <c r="C905" s="118"/>
      <c r="E905" s="61"/>
      <c r="H905" s="61"/>
      <c r="I905" s="60"/>
      <c r="K905" s="62"/>
      <c r="O905" s="60"/>
      <c r="P905" s="61"/>
      <c r="Q905" s="62"/>
      <c r="R905" s="61"/>
      <c r="S905" s="62"/>
      <c r="T905" s="61"/>
      <c r="U905" s="62"/>
      <c r="V905" s="61"/>
      <c r="W905" s="62"/>
      <c r="X905" s="61"/>
      <c r="Y905" s="62"/>
      <c r="Z905" s="61"/>
      <c r="AA905" s="62"/>
    </row>
    <row r="906" spans="3:27" ht="16.5" customHeight="1">
      <c r="C906" s="118"/>
      <c r="E906" s="61"/>
      <c r="H906" s="61"/>
      <c r="I906" s="60"/>
      <c r="K906" s="62"/>
      <c r="O906" s="60"/>
      <c r="P906" s="61"/>
      <c r="Q906" s="62"/>
      <c r="R906" s="61"/>
      <c r="S906" s="62"/>
      <c r="T906" s="61"/>
      <c r="U906" s="62"/>
      <c r="V906" s="61"/>
      <c r="W906" s="62"/>
      <c r="X906" s="61"/>
      <c r="Y906" s="62"/>
      <c r="Z906" s="61"/>
      <c r="AA906" s="62"/>
    </row>
    <row r="907" spans="3:27" ht="16.5" customHeight="1">
      <c r="C907" s="118"/>
      <c r="E907" s="61"/>
      <c r="H907" s="61"/>
      <c r="I907" s="60"/>
      <c r="K907" s="62"/>
      <c r="O907" s="60"/>
      <c r="P907" s="61"/>
      <c r="Q907" s="62"/>
      <c r="R907" s="61"/>
      <c r="S907" s="62"/>
      <c r="T907" s="61"/>
      <c r="U907" s="62"/>
      <c r="V907" s="61"/>
      <c r="W907" s="62"/>
      <c r="X907" s="61"/>
      <c r="Y907" s="62"/>
      <c r="Z907" s="61"/>
      <c r="AA907" s="62"/>
    </row>
    <row r="908" spans="3:27" ht="16.5" customHeight="1">
      <c r="C908" s="118"/>
      <c r="E908" s="61"/>
      <c r="H908" s="61"/>
      <c r="I908" s="60"/>
      <c r="K908" s="62"/>
      <c r="O908" s="60"/>
      <c r="P908" s="61"/>
      <c r="Q908" s="62"/>
      <c r="R908" s="61"/>
      <c r="S908" s="62"/>
      <c r="T908" s="61"/>
      <c r="U908" s="62"/>
      <c r="V908" s="61"/>
      <c r="W908" s="62"/>
      <c r="X908" s="61"/>
      <c r="Y908" s="62"/>
      <c r="Z908" s="61"/>
      <c r="AA908" s="62"/>
    </row>
    <row r="909" spans="3:27" ht="16.5" customHeight="1">
      <c r="C909" s="118"/>
      <c r="E909" s="61"/>
      <c r="H909" s="61"/>
      <c r="I909" s="60"/>
      <c r="K909" s="62"/>
      <c r="O909" s="60"/>
      <c r="P909" s="61"/>
      <c r="Q909" s="62"/>
      <c r="R909" s="61"/>
      <c r="S909" s="62"/>
      <c r="T909" s="61"/>
      <c r="U909" s="62"/>
      <c r="V909" s="61"/>
      <c r="W909" s="62"/>
      <c r="X909" s="61"/>
      <c r="Y909" s="62"/>
      <c r="Z909" s="61"/>
      <c r="AA909" s="62"/>
    </row>
    <row r="910" spans="3:27" ht="16.5" customHeight="1">
      <c r="C910" s="118"/>
      <c r="E910" s="61"/>
      <c r="H910" s="61"/>
      <c r="I910" s="60"/>
      <c r="K910" s="62"/>
      <c r="O910" s="60"/>
      <c r="P910" s="61"/>
      <c r="Q910" s="62"/>
      <c r="R910" s="61"/>
      <c r="S910" s="62"/>
      <c r="T910" s="61"/>
      <c r="U910" s="62"/>
      <c r="V910" s="61"/>
      <c r="W910" s="62"/>
      <c r="X910" s="61"/>
      <c r="Y910" s="62"/>
      <c r="Z910" s="61"/>
      <c r="AA910" s="62"/>
    </row>
    <row r="911" spans="3:27" ht="16.5" customHeight="1">
      <c r="C911" s="118"/>
      <c r="E911" s="61"/>
      <c r="H911" s="61"/>
      <c r="I911" s="60"/>
      <c r="K911" s="62"/>
      <c r="O911" s="60"/>
      <c r="P911" s="61"/>
      <c r="Q911" s="62"/>
      <c r="R911" s="61"/>
      <c r="S911" s="62"/>
      <c r="T911" s="61"/>
      <c r="U911" s="62"/>
      <c r="V911" s="61"/>
      <c r="W911" s="62"/>
      <c r="X911" s="61"/>
      <c r="Y911" s="62"/>
      <c r="Z911" s="61"/>
      <c r="AA911" s="62"/>
    </row>
    <row r="912" spans="3:27" ht="16.5" customHeight="1">
      <c r="C912" s="118"/>
      <c r="E912" s="61"/>
      <c r="H912" s="61"/>
      <c r="I912" s="60"/>
      <c r="K912" s="62"/>
      <c r="O912" s="60"/>
      <c r="P912" s="61"/>
      <c r="Q912" s="62"/>
      <c r="R912" s="61"/>
      <c r="S912" s="62"/>
      <c r="T912" s="61"/>
      <c r="U912" s="62"/>
      <c r="V912" s="61"/>
      <c r="W912" s="62"/>
      <c r="X912" s="61"/>
      <c r="Y912" s="62"/>
      <c r="Z912" s="61"/>
      <c r="AA912" s="62"/>
    </row>
    <row r="913" spans="3:27" ht="16.5" customHeight="1">
      <c r="C913" s="118"/>
      <c r="E913" s="61"/>
      <c r="H913" s="61"/>
      <c r="I913" s="60"/>
      <c r="K913" s="62"/>
      <c r="O913" s="60"/>
      <c r="P913" s="61"/>
      <c r="Q913" s="62"/>
      <c r="R913" s="61"/>
      <c r="S913" s="62"/>
      <c r="T913" s="61"/>
      <c r="U913" s="62"/>
      <c r="V913" s="61"/>
      <c r="W913" s="62"/>
      <c r="X913" s="61"/>
      <c r="Y913" s="62"/>
      <c r="Z913" s="61"/>
      <c r="AA913" s="62"/>
    </row>
    <row r="914" spans="3:27" ht="16.5" customHeight="1">
      <c r="C914" s="118"/>
      <c r="E914" s="61"/>
      <c r="H914" s="61"/>
      <c r="I914" s="60"/>
      <c r="K914" s="62"/>
      <c r="O914" s="60"/>
      <c r="P914" s="61"/>
      <c r="Q914" s="62"/>
      <c r="R914" s="61"/>
      <c r="S914" s="62"/>
      <c r="T914" s="61"/>
      <c r="U914" s="62"/>
      <c r="V914" s="61"/>
      <c r="W914" s="62"/>
      <c r="X914" s="61"/>
      <c r="Y914" s="62"/>
      <c r="Z914" s="61"/>
      <c r="AA914" s="62"/>
    </row>
    <row r="915" spans="3:27" ht="16.5" customHeight="1">
      <c r="C915" s="118"/>
      <c r="E915" s="61"/>
      <c r="H915" s="61"/>
      <c r="I915" s="60"/>
      <c r="K915" s="62"/>
      <c r="O915" s="60"/>
      <c r="P915" s="61"/>
      <c r="Q915" s="62"/>
      <c r="R915" s="61"/>
      <c r="S915" s="62"/>
      <c r="T915" s="61"/>
      <c r="U915" s="62"/>
      <c r="V915" s="61"/>
      <c r="W915" s="62"/>
      <c r="X915" s="61"/>
      <c r="Y915" s="62"/>
      <c r="Z915" s="61"/>
      <c r="AA915" s="62"/>
    </row>
    <row r="916" spans="3:27" ht="16.5" customHeight="1">
      <c r="C916" s="118"/>
      <c r="E916" s="61"/>
      <c r="H916" s="61"/>
      <c r="I916" s="60"/>
      <c r="K916" s="62"/>
      <c r="O916" s="60"/>
      <c r="P916" s="61"/>
      <c r="Q916" s="62"/>
      <c r="R916" s="61"/>
      <c r="S916" s="62"/>
      <c r="T916" s="61"/>
      <c r="U916" s="62"/>
      <c r="V916" s="61"/>
      <c r="W916" s="62"/>
      <c r="X916" s="61"/>
      <c r="Y916" s="62"/>
      <c r="Z916" s="61"/>
      <c r="AA916" s="62"/>
    </row>
    <row r="917" spans="3:27" ht="16.5" customHeight="1">
      <c r="C917" s="118"/>
      <c r="E917" s="61"/>
      <c r="H917" s="61"/>
      <c r="I917" s="60"/>
      <c r="K917" s="62"/>
      <c r="O917" s="60"/>
      <c r="P917" s="61"/>
      <c r="Q917" s="62"/>
      <c r="R917" s="61"/>
      <c r="S917" s="62"/>
      <c r="T917" s="61"/>
      <c r="U917" s="62"/>
      <c r="V917" s="61"/>
      <c r="W917" s="62"/>
      <c r="X917" s="61"/>
      <c r="Y917" s="62"/>
      <c r="Z917" s="61"/>
      <c r="AA917" s="62"/>
    </row>
    <row r="918" spans="3:27" ht="16.5" customHeight="1">
      <c r="C918" s="118"/>
      <c r="E918" s="61"/>
      <c r="H918" s="61"/>
      <c r="I918" s="60"/>
      <c r="K918" s="62"/>
      <c r="O918" s="60"/>
      <c r="P918" s="61"/>
      <c r="Q918" s="62"/>
      <c r="R918" s="61"/>
      <c r="S918" s="62"/>
      <c r="T918" s="61"/>
      <c r="U918" s="62"/>
      <c r="V918" s="61"/>
      <c r="W918" s="62"/>
      <c r="X918" s="61"/>
      <c r="Y918" s="62"/>
      <c r="Z918" s="61"/>
      <c r="AA918" s="62"/>
    </row>
    <row r="919" spans="3:27" ht="16.5" customHeight="1">
      <c r="C919" s="118"/>
      <c r="E919" s="61"/>
      <c r="H919" s="61"/>
      <c r="I919" s="60"/>
      <c r="K919" s="62"/>
      <c r="O919" s="60"/>
      <c r="P919" s="61"/>
      <c r="Q919" s="62"/>
      <c r="R919" s="61"/>
      <c r="S919" s="62"/>
      <c r="T919" s="61"/>
      <c r="U919" s="62"/>
      <c r="V919" s="61"/>
      <c r="W919" s="62"/>
      <c r="X919" s="61"/>
      <c r="Y919" s="62"/>
      <c r="Z919" s="61"/>
      <c r="AA919" s="62"/>
    </row>
    <row r="920" spans="3:27" ht="16.5" customHeight="1">
      <c r="C920" s="118"/>
      <c r="E920" s="61"/>
      <c r="H920" s="61"/>
      <c r="I920" s="60"/>
      <c r="K920" s="62"/>
      <c r="O920" s="60"/>
      <c r="P920" s="61"/>
      <c r="Q920" s="62"/>
      <c r="R920" s="61"/>
      <c r="S920" s="62"/>
      <c r="T920" s="61"/>
      <c r="U920" s="62"/>
      <c r="V920" s="61"/>
      <c r="W920" s="62"/>
      <c r="X920" s="61"/>
      <c r="Y920" s="62"/>
      <c r="Z920" s="61"/>
      <c r="AA920" s="62"/>
    </row>
    <row r="921" spans="3:27" ht="16.5" customHeight="1">
      <c r="C921" s="118"/>
      <c r="E921" s="61"/>
      <c r="H921" s="61"/>
      <c r="I921" s="60"/>
      <c r="K921" s="62"/>
      <c r="O921" s="60"/>
      <c r="P921" s="61"/>
      <c r="Q921" s="62"/>
      <c r="R921" s="61"/>
      <c r="S921" s="62"/>
      <c r="T921" s="61"/>
      <c r="U921" s="62"/>
      <c r="V921" s="61"/>
      <c r="W921" s="62"/>
      <c r="X921" s="61"/>
      <c r="Y921" s="62"/>
      <c r="Z921" s="61"/>
      <c r="AA921" s="62"/>
    </row>
    <row r="922" spans="3:27" ht="16.5" customHeight="1">
      <c r="C922" s="118"/>
      <c r="E922" s="61"/>
      <c r="H922" s="61"/>
      <c r="I922" s="60"/>
      <c r="K922" s="62"/>
      <c r="O922" s="60"/>
      <c r="P922" s="61"/>
      <c r="Q922" s="62"/>
      <c r="R922" s="61"/>
      <c r="S922" s="62"/>
      <c r="T922" s="61"/>
      <c r="U922" s="62"/>
      <c r="V922" s="61"/>
      <c r="W922" s="62"/>
      <c r="X922" s="61"/>
      <c r="Y922" s="62"/>
      <c r="Z922" s="61"/>
      <c r="AA922" s="62"/>
    </row>
    <row r="923" spans="3:27" ht="16.5" customHeight="1">
      <c r="C923" s="118"/>
      <c r="E923" s="61"/>
      <c r="H923" s="61"/>
      <c r="I923" s="60"/>
      <c r="K923" s="62"/>
      <c r="O923" s="60"/>
      <c r="P923" s="61"/>
      <c r="Q923" s="62"/>
      <c r="R923" s="61"/>
      <c r="S923" s="62"/>
      <c r="T923" s="61"/>
      <c r="U923" s="62"/>
      <c r="V923" s="61"/>
      <c r="W923" s="62"/>
      <c r="X923" s="61"/>
      <c r="Y923" s="62"/>
      <c r="Z923" s="61"/>
      <c r="AA923" s="62"/>
    </row>
    <row r="924" spans="3:27" ht="16.5" customHeight="1">
      <c r="C924" s="118"/>
      <c r="E924" s="61"/>
      <c r="H924" s="61"/>
      <c r="I924" s="60"/>
      <c r="K924" s="62"/>
      <c r="O924" s="60"/>
      <c r="P924" s="61"/>
      <c r="Q924" s="62"/>
      <c r="R924" s="61"/>
      <c r="S924" s="62"/>
      <c r="T924" s="61"/>
      <c r="U924" s="62"/>
      <c r="V924" s="61"/>
      <c r="W924" s="62"/>
      <c r="X924" s="61"/>
      <c r="Y924" s="62"/>
      <c r="Z924" s="61"/>
      <c r="AA924" s="62"/>
    </row>
    <row r="925" spans="3:27" ht="16.5" customHeight="1">
      <c r="C925" s="118"/>
      <c r="E925" s="61"/>
      <c r="H925" s="61"/>
      <c r="I925" s="60"/>
      <c r="K925" s="62"/>
      <c r="O925" s="60"/>
      <c r="P925" s="61"/>
      <c r="Q925" s="62"/>
      <c r="R925" s="61"/>
      <c r="S925" s="62"/>
      <c r="T925" s="61"/>
      <c r="U925" s="62"/>
      <c r="V925" s="61"/>
      <c r="W925" s="62"/>
      <c r="X925" s="61"/>
      <c r="Y925" s="62"/>
      <c r="Z925" s="61"/>
      <c r="AA925" s="62"/>
    </row>
    <row r="926" spans="3:27" ht="16.5" customHeight="1">
      <c r="C926" s="118"/>
      <c r="E926" s="61"/>
      <c r="H926" s="61"/>
      <c r="I926" s="60"/>
      <c r="K926" s="62"/>
      <c r="O926" s="60"/>
      <c r="P926" s="61"/>
      <c r="Q926" s="62"/>
      <c r="R926" s="61"/>
      <c r="S926" s="62"/>
      <c r="T926" s="61"/>
      <c r="U926" s="62"/>
      <c r="V926" s="61"/>
      <c r="W926" s="62"/>
      <c r="X926" s="61"/>
      <c r="Y926" s="62"/>
      <c r="Z926" s="61"/>
      <c r="AA926" s="62"/>
    </row>
    <row r="927" spans="3:27" ht="16.5" customHeight="1">
      <c r="C927" s="118"/>
      <c r="E927" s="61"/>
      <c r="H927" s="61"/>
      <c r="I927" s="60"/>
      <c r="K927" s="62"/>
      <c r="O927" s="60"/>
      <c r="P927" s="61"/>
      <c r="Q927" s="62"/>
      <c r="R927" s="61"/>
      <c r="S927" s="62"/>
      <c r="T927" s="61"/>
      <c r="U927" s="62"/>
      <c r="V927" s="61"/>
      <c r="W927" s="62"/>
      <c r="X927" s="61"/>
      <c r="Y927" s="62"/>
      <c r="Z927" s="61"/>
      <c r="AA927" s="62"/>
    </row>
    <row r="928" spans="3:27" ht="16.5" customHeight="1">
      <c r="C928" s="118"/>
      <c r="E928" s="61"/>
      <c r="H928" s="61"/>
      <c r="I928" s="60"/>
      <c r="K928" s="62"/>
      <c r="O928" s="60"/>
      <c r="P928" s="61"/>
      <c r="Q928" s="62"/>
      <c r="R928" s="61"/>
      <c r="S928" s="62"/>
      <c r="T928" s="61"/>
      <c r="U928" s="62"/>
      <c r="V928" s="61"/>
      <c r="W928" s="62"/>
      <c r="X928" s="61"/>
      <c r="Y928" s="62"/>
      <c r="Z928" s="61"/>
      <c r="AA928" s="62"/>
    </row>
    <row r="929" spans="3:27" ht="16.5" customHeight="1">
      <c r="C929" s="118"/>
      <c r="E929" s="61"/>
      <c r="H929" s="61"/>
      <c r="I929" s="60"/>
      <c r="K929" s="62"/>
      <c r="O929" s="60"/>
      <c r="P929" s="61"/>
      <c r="Q929" s="62"/>
      <c r="R929" s="61"/>
      <c r="S929" s="62"/>
      <c r="T929" s="61"/>
      <c r="U929" s="62"/>
      <c r="V929" s="61"/>
      <c r="W929" s="62"/>
      <c r="X929" s="61"/>
      <c r="Y929" s="62"/>
      <c r="Z929" s="61"/>
      <c r="AA929" s="62"/>
    </row>
    <row r="930" spans="3:27" ht="16.5" customHeight="1">
      <c r="C930" s="118"/>
      <c r="E930" s="61"/>
      <c r="H930" s="61"/>
      <c r="I930" s="60"/>
      <c r="K930" s="62"/>
      <c r="O930" s="60"/>
      <c r="P930" s="61"/>
      <c r="Q930" s="62"/>
      <c r="R930" s="61"/>
      <c r="S930" s="62"/>
      <c r="T930" s="61"/>
      <c r="U930" s="62"/>
      <c r="V930" s="61"/>
      <c r="W930" s="62"/>
      <c r="X930" s="61"/>
      <c r="Y930" s="62"/>
      <c r="Z930" s="61"/>
      <c r="AA930" s="62"/>
    </row>
    <row r="931" spans="3:27" ht="16.5" customHeight="1">
      <c r="C931" s="118"/>
      <c r="E931" s="61"/>
      <c r="H931" s="61"/>
      <c r="I931" s="60"/>
      <c r="K931" s="62"/>
      <c r="O931" s="60"/>
      <c r="P931" s="61"/>
      <c r="Q931" s="62"/>
      <c r="R931" s="61"/>
      <c r="S931" s="62"/>
      <c r="T931" s="61"/>
      <c r="U931" s="62"/>
      <c r="V931" s="61"/>
      <c r="W931" s="62"/>
      <c r="X931" s="61"/>
      <c r="Y931" s="62"/>
      <c r="Z931" s="61"/>
      <c r="AA931" s="62"/>
    </row>
    <row r="932" spans="3:27" ht="16.5" customHeight="1">
      <c r="C932" s="118"/>
      <c r="E932" s="61"/>
      <c r="H932" s="61"/>
      <c r="I932" s="60"/>
      <c r="K932" s="62"/>
      <c r="O932" s="60"/>
      <c r="P932" s="61"/>
      <c r="Q932" s="62"/>
      <c r="R932" s="61"/>
      <c r="S932" s="62"/>
      <c r="T932" s="61"/>
      <c r="U932" s="62"/>
      <c r="V932" s="61"/>
      <c r="W932" s="62"/>
      <c r="X932" s="61"/>
      <c r="Y932" s="62"/>
      <c r="Z932" s="61"/>
      <c r="AA932" s="62"/>
    </row>
    <row r="933" spans="3:27" ht="16.5" customHeight="1">
      <c r="C933" s="118"/>
      <c r="E933" s="61"/>
      <c r="H933" s="61"/>
      <c r="I933" s="60"/>
      <c r="K933" s="62"/>
      <c r="O933" s="60"/>
      <c r="P933" s="61"/>
      <c r="Q933" s="62"/>
      <c r="R933" s="61"/>
      <c r="S933" s="62"/>
      <c r="T933" s="61"/>
      <c r="U933" s="62"/>
      <c r="V933" s="61"/>
      <c r="W933" s="62"/>
      <c r="X933" s="61"/>
      <c r="Y933" s="62"/>
      <c r="Z933" s="61"/>
      <c r="AA933" s="62"/>
    </row>
    <row r="934" spans="3:27" ht="16.5" customHeight="1">
      <c r="C934" s="118"/>
      <c r="E934" s="61"/>
      <c r="H934" s="61"/>
      <c r="I934" s="60"/>
      <c r="K934" s="62"/>
      <c r="O934" s="60"/>
      <c r="P934" s="61"/>
      <c r="Q934" s="62"/>
      <c r="R934" s="61"/>
      <c r="S934" s="62"/>
      <c r="T934" s="61"/>
      <c r="U934" s="62"/>
      <c r="V934" s="61"/>
      <c r="W934" s="62"/>
      <c r="X934" s="61"/>
      <c r="Y934" s="62"/>
      <c r="Z934" s="61"/>
      <c r="AA934" s="62"/>
    </row>
    <row r="935" spans="3:27" ht="16.5" customHeight="1">
      <c r="C935" s="118"/>
      <c r="E935" s="61"/>
      <c r="H935" s="61"/>
      <c r="I935" s="60"/>
      <c r="K935" s="62"/>
      <c r="O935" s="60"/>
      <c r="P935" s="61"/>
      <c r="Q935" s="62"/>
      <c r="R935" s="61"/>
      <c r="S935" s="62"/>
      <c r="T935" s="61"/>
      <c r="U935" s="62"/>
      <c r="V935" s="61"/>
      <c r="W935" s="62"/>
      <c r="X935" s="61"/>
      <c r="Y935" s="62"/>
      <c r="Z935" s="61"/>
      <c r="AA935" s="62"/>
    </row>
    <row r="936" spans="3:27" ht="16.5" customHeight="1">
      <c r="C936" s="118"/>
      <c r="E936" s="61"/>
      <c r="H936" s="61"/>
      <c r="I936" s="60"/>
      <c r="K936" s="62"/>
      <c r="O936" s="60"/>
      <c r="P936" s="61"/>
      <c r="Q936" s="62"/>
      <c r="R936" s="61"/>
      <c r="S936" s="62"/>
      <c r="T936" s="61"/>
      <c r="U936" s="62"/>
      <c r="V936" s="61"/>
      <c r="W936" s="62"/>
      <c r="X936" s="61"/>
      <c r="Y936" s="62"/>
      <c r="Z936" s="61"/>
      <c r="AA936" s="62"/>
    </row>
    <row r="937" spans="3:27" ht="16.5" customHeight="1">
      <c r="C937" s="118"/>
      <c r="E937" s="61"/>
      <c r="H937" s="61"/>
      <c r="I937" s="60"/>
      <c r="K937" s="62"/>
      <c r="O937" s="60"/>
      <c r="P937" s="61"/>
      <c r="Q937" s="62"/>
      <c r="R937" s="61"/>
      <c r="S937" s="62"/>
      <c r="T937" s="61"/>
      <c r="U937" s="62"/>
      <c r="V937" s="61"/>
      <c r="W937" s="62"/>
      <c r="X937" s="61"/>
      <c r="Y937" s="62"/>
      <c r="Z937" s="61"/>
      <c r="AA937" s="62"/>
    </row>
    <row r="938" spans="3:27" ht="16.5" customHeight="1">
      <c r="C938" s="118"/>
      <c r="E938" s="61"/>
      <c r="H938" s="61"/>
      <c r="I938" s="60"/>
      <c r="K938" s="62"/>
      <c r="O938" s="60"/>
      <c r="P938" s="61"/>
      <c r="Q938" s="62"/>
      <c r="R938" s="61"/>
      <c r="S938" s="62"/>
      <c r="T938" s="61"/>
      <c r="U938" s="62"/>
      <c r="V938" s="61"/>
      <c r="W938" s="62"/>
      <c r="X938" s="61"/>
      <c r="Y938" s="62"/>
      <c r="Z938" s="61"/>
      <c r="AA938" s="62"/>
    </row>
    <row r="939" spans="3:27" ht="16.5" customHeight="1">
      <c r="C939" s="118"/>
      <c r="E939" s="61"/>
      <c r="H939" s="61"/>
      <c r="I939" s="60"/>
      <c r="K939" s="62"/>
      <c r="O939" s="60"/>
      <c r="P939" s="61"/>
      <c r="Q939" s="62"/>
      <c r="R939" s="61"/>
      <c r="S939" s="62"/>
      <c r="T939" s="61"/>
      <c r="U939" s="62"/>
      <c r="V939" s="61"/>
      <c r="W939" s="62"/>
      <c r="X939" s="61"/>
      <c r="Y939" s="62"/>
      <c r="Z939" s="61"/>
      <c r="AA939" s="62"/>
    </row>
    <row r="940" spans="3:27" ht="16.5" customHeight="1">
      <c r="C940" s="118"/>
      <c r="E940" s="61"/>
      <c r="H940" s="61"/>
      <c r="I940" s="60"/>
      <c r="K940" s="62"/>
      <c r="O940" s="60"/>
      <c r="P940" s="61"/>
      <c r="Q940" s="62"/>
      <c r="R940" s="61"/>
      <c r="S940" s="62"/>
      <c r="T940" s="61"/>
      <c r="U940" s="62"/>
      <c r="V940" s="61"/>
      <c r="W940" s="62"/>
      <c r="X940" s="61"/>
      <c r="Y940" s="62"/>
      <c r="Z940" s="61"/>
      <c r="AA940" s="62"/>
    </row>
    <row r="941" spans="3:27" ht="16.5" customHeight="1">
      <c r="C941" s="118"/>
      <c r="E941" s="61"/>
      <c r="H941" s="61"/>
      <c r="I941" s="60"/>
      <c r="K941" s="62"/>
      <c r="O941" s="60"/>
      <c r="P941" s="61"/>
      <c r="Q941" s="62"/>
      <c r="R941" s="61"/>
      <c r="S941" s="62"/>
      <c r="T941" s="61"/>
      <c r="U941" s="62"/>
      <c r="V941" s="61"/>
      <c r="W941" s="62"/>
      <c r="X941" s="61"/>
      <c r="Y941" s="62"/>
      <c r="Z941" s="61"/>
      <c r="AA941" s="62"/>
    </row>
    <row r="942" spans="3:27" ht="16.5" customHeight="1">
      <c r="C942" s="118"/>
      <c r="E942" s="61"/>
      <c r="H942" s="61"/>
      <c r="I942" s="60"/>
      <c r="K942" s="62"/>
      <c r="O942" s="60"/>
      <c r="P942" s="61"/>
      <c r="Q942" s="62"/>
      <c r="R942" s="61"/>
      <c r="S942" s="62"/>
      <c r="T942" s="61"/>
      <c r="U942" s="62"/>
      <c r="V942" s="61"/>
      <c r="W942" s="62"/>
      <c r="X942" s="61"/>
      <c r="Y942" s="62"/>
      <c r="Z942" s="61"/>
      <c r="AA942" s="62"/>
    </row>
    <row r="943" spans="3:27" ht="16.5" customHeight="1">
      <c r="C943" s="118"/>
      <c r="E943" s="61"/>
      <c r="H943" s="61"/>
      <c r="I943" s="60"/>
      <c r="K943" s="62"/>
      <c r="O943" s="60"/>
      <c r="P943" s="61"/>
      <c r="Q943" s="62"/>
      <c r="R943" s="61"/>
      <c r="S943" s="62"/>
      <c r="T943" s="61"/>
      <c r="U943" s="62"/>
      <c r="V943" s="61"/>
      <c r="W943" s="62"/>
      <c r="X943" s="61"/>
      <c r="Y943" s="62"/>
      <c r="Z943" s="61"/>
      <c r="AA943" s="62"/>
    </row>
    <row r="944" spans="3:27" ht="16.5" customHeight="1">
      <c r="C944" s="118"/>
      <c r="E944" s="61"/>
      <c r="H944" s="61"/>
      <c r="I944" s="60"/>
      <c r="K944" s="62"/>
      <c r="O944" s="60"/>
      <c r="P944" s="61"/>
      <c r="Q944" s="62"/>
      <c r="R944" s="61"/>
      <c r="S944" s="62"/>
      <c r="T944" s="61"/>
      <c r="U944" s="62"/>
      <c r="V944" s="61"/>
      <c r="W944" s="62"/>
      <c r="X944" s="61"/>
      <c r="Y944" s="62"/>
      <c r="Z944" s="61"/>
      <c r="AA944" s="62"/>
    </row>
    <row r="945" spans="3:27" ht="16.5" customHeight="1">
      <c r="C945" s="118"/>
      <c r="E945" s="61"/>
      <c r="H945" s="61"/>
      <c r="I945" s="60"/>
      <c r="K945" s="62"/>
      <c r="O945" s="60"/>
      <c r="P945" s="61"/>
      <c r="Q945" s="62"/>
      <c r="R945" s="61"/>
      <c r="S945" s="62"/>
      <c r="T945" s="61"/>
      <c r="U945" s="62"/>
      <c r="V945" s="61"/>
      <c r="W945" s="62"/>
      <c r="X945" s="61"/>
      <c r="Y945" s="62"/>
      <c r="Z945" s="61"/>
      <c r="AA945" s="62"/>
    </row>
    <row r="946" spans="3:27" ht="16.5" customHeight="1">
      <c r="C946" s="118"/>
      <c r="E946" s="61"/>
      <c r="H946" s="61"/>
      <c r="I946" s="60"/>
      <c r="K946" s="62"/>
      <c r="O946" s="60"/>
      <c r="P946" s="61"/>
      <c r="Q946" s="62"/>
      <c r="R946" s="61"/>
      <c r="S946" s="62"/>
      <c r="T946" s="61"/>
      <c r="U946" s="62"/>
      <c r="V946" s="61"/>
      <c r="W946" s="62"/>
      <c r="X946" s="61"/>
      <c r="Y946" s="62"/>
      <c r="Z946" s="61"/>
      <c r="AA946" s="62"/>
    </row>
    <row r="947" spans="3:27" ht="16.5" customHeight="1">
      <c r="C947" s="118"/>
      <c r="E947" s="61"/>
      <c r="H947" s="61"/>
      <c r="I947" s="60"/>
      <c r="K947" s="62"/>
      <c r="O947" s="60"/>
      <c r="P947" s="61"/>
      <c r="Q947" s="62"/>
      <c r="R947" s="61"/>
      <c r="S947" s="62"/>
      <c r="T947" s="61"/>
      <c r="U947" s="62"/>
      <c r="V947" s="61"/>
      <c r="W947" s="62"/>
      <c r="X947" s="61"/>
      <c r="Y947" s="62"/>
      <c r="Z947" s="61"/>
      <c r="AA947" s="62"/>
    </row>
    <row r="948" spans="3:27" ht="16.5" customHeight="1">
      <c r="C948" s="118"/>
      <c r="E948" s="61"/>
      <c r="H948" s="61"/>
      <c r="I948" s="60"/>
      <c r="K948" s="62"/>
      <c r="O948" s="60"/>
      <c r="P948" s="61"/>
      <c r="Q948" s="62"/>
      <c r="R948" s="61"/>
      <c r="S948" s="62"/>
      <c r="T948" s="61"/>
      <c r="U948" s="62"/>
      <c r="V948" s="61"/>
      <c r="W948" s="62"/>
      <c r="X948" s="61"/>
      <c r="Y948" s="62"/>
      <c r="Z948" s="61"/>
      <c r="AA948" s="62"/>
    </row>
    <row r="949" spans="3:27" ht="16.5" customHeight="1">
      <c r="C949" s="118"/>
      <c r="E949" s="61"/>
      <c r="H949" s="61"/>
      <c r="I949" s="60"/>
      <c r="K949" s="62"/>
      <c r="O949" s="60"/>
      <c r="P949" s="61"/>
      <c r="Q949" s="62"/>
      <c r="R949" s="61"/>
      <c r="S949" s="62"/>
      <c r="T949" s="61"/>
      <c r="U949" s="62"/>
      <c r="V949" s="61"/>
      <c r="W949" s="62"/>
      <c r="X949" s="61"/>
      <c r="Y949" s="62"/>
      <c r="Z949" s="61"/>
      <c r="AA949" s="62"/>
    </row>
    <row r="950" spans="3:27" ht="16.5" customHeight="1">
      <c r="C950" s="118"/>
      <c r="E950" s="61"/>
      <c r="H950" s="61"/>
      <c r="I950" s="60"/>
      <c r="K950" s="62"/>
      <c r="O950" s="60"/>
      <c r="P950" s="61"/>
      <c r="Q950" s="62"/>
      <c r="R950" s="61"/>
      <c r="S950" s="62"/>
      <c r="T950" s="61"/>
      <c r="U950" s="62"/>
      <c r="V950" s="61"/>
      <c r="W950" s="62"/>
      <c r="X950" s="61"/>
      <c r="Y950" s="62"/>
      <c r="Z950" s="61"/>
      <c r="AA950" s="62"/>
    </row>
    <row r="951" spans="3:27" ht="16.5" customHeight="1">
      <c r="C951" s="118"/>
      <c r="E951" s="61"/>
      <c r="H951" s="61"/>
      <c r="I951" s="60"/>
      <c r="K951" s="62"/>
      <c r="O951" s="60"/>
      <c r="P951" s="61"/>
      <c r="Q951" s="62"/>
      <c r="R951" s="61"/>
      <c r="S951" s="62"/>
      <c r="T951" s="61"/>
      <c r="U951" s="62"/>
      <c r="V951" s="61"/>
      <c r="W951" s="62"/>
      <c r="X951" s="61"/>
      <c r="Y951" s="62"/>
      <c r="Z951" s="61"/>
      <c r="AA951" s="62"/>
    </row>
    <row r="952" spans="3:27" ht="16.5" customHeight="1">
      <c r="C952" s="118"/>
      <c r="E952" s="61"/>
      <c r="H952" s="61"/>
      <c r="I952" s="60"/>
      <c r="K952" s="62"/>
      <c r="O952" s="60"/>
      <c r="P952" s="61"/>
      <c r="Q952" s="62"/>
      <c r="R952" s="61"/>
      <c r="S952" s="62"/>
      <c r="T952" s="61"/>
      <c r="U952" s="62"/>
      <c r="V952" s="61"/>
      <c r="W952" s="62"/>
      <c r="X952" s="61"/>
      <c r="Y952" s="62"/>
      <c r="Z952" s="61"/>
      <c r="AA952" s="62"/>
    </row>
    <row r="953" spans="3:27" ht="16.5" customHeight="1">
      <c r="C953" s="118"/>
      <c r="E953" s="61"/>
      <c r="H953" s="61"/>
      <c r="I953" s="60"/>
      <c r="K953" s="62"/>
      <c r="O953" s="60"/>
      <c r="P953" s="61"/>
      <c r="Q953" s="62"/>
      <c r="R953" s="61"/>
      <c r="S953" s="62"/>
      <c r="T953" s="61"/>
      <c r="U953" s="62"/>
      <c r="V953" s="61"/>
      <c r="W953" s="62"/>
      <c r="X953" s="61"/>
      <c r="Y953" s="62"/>
      <c r="Z953" s="61"/>
      <c r="AA953" s="62"/>
    </row>
    <row r="954" spans="3:27" ht="16.5" customHeight="1">
      <c r="C954" s="118"/>
      <c r="E954" s="61"/>
      <c r="H954" s="61"/>
      <c r="I954" s="60"/>
      <c r="K954" s="62"/>
      <c r="O954" s="60"/>
      <c r="P954" s="61"/>
      <c r="Q954" s="62"/>
      <c r="R954" s="61"/>
      <c r="S954" s="62"/>
      <c r="T954" s="61"/>
      <c r="U954" s="62"/>
      <c r="V954" s="61"/>
      <c r="W954" s="62"/>
      <c r="X954" s="61"/>
      <c r="Y954" s="62"/>
      <c r="Z954" s="61"/>
      <c r="AA954" s="62"/>
    </row>
    <row r="955" spans="3:27" ht="16.5" customHeight="1">
      <c r="C955" s="118"/>
      <c r="E955" s="61"/>
      <c r="H955" s="61"/>
      <c r="I955" s="60"/>
      <c r="K955" s="62"/>
      <c r="O955" s="60"/>
      <c r="P955" s="61"/>
      <c r="Q955" s="62"/>
      <c r="R955" s="61"/>
      <c r="S955" s="62"/>
      <c r="T955" s="61"/>
      <c r="U955" s="62"/>
      <c r="V955" s="61"/>
      <c r="W955" s="62"/>
      <c r="X955" s="61"/>
      <c r="Y955" s="62"/>
      <c r="Z955" s="61"/>
      <c r="AA955" s="62"/>
    </row>
    <row r="956" spans="3:27" ht="16.5" customHeight="1">
      <c r="C956" s="118"/>
      <c r="E956" s="61"/>
      <c r="H956" s="61"/>
      <c r="I956" s="60"/>
      <c r="K956" s="62"/>
      <c r="O956" s="60"/>
      <c r="P956" s="61"/>
      <c r="Q956" s="62"/>
      <c r="R956" s="61"/>
      <c r="S956" s="62"/>
      <c r="T956" s="61"/>
      <c r="U956" s="62"/>
      <c r="V956" s="61"/>
      <c r="W956" s="62"/>
      <c r="X956" s="61"/>
      <c r="Y956" s="62"/>
      <c r="Z956" s="61"/>
      <c r="AA956" s="62"/>
    </row>
    <row r="957" spans="3:27" ht="16.5" customHeight="1">
      <c r="C957" s="118"/>
      <c r="E957" s="61"/>
      <c r="H957" s="61"/>
      <c r="I957" s="60"/>
      <c r="K957" s="62"/>
      <c r="O957" s="60"/>
      <c r="P957" s="61"/>
      <c r="Q957" s="62"/>
      <c r="R957" s="61"/>
      <c r="S957" s="62"/>
      <c r="T957" s="61"/>
      <c r="U957" s="62"/>
      <c r="V957" s="61"/>
      <c r="W957" s="62"/>
      <c r="X957" s="61"/>
      <c r="Y957" s="62"/>
      <c r="Z957" s="61"/>
      <c r="AA957" s="62"/>
    </row>
    <row r="958" spans="3:27" ht="16.5" customHeight="1">
      <c r="C958" s="118"/>
      <c r="E958" s="61"/>
      <c r="H958" s="61"/>
      <c r="I958" s="60"/>
      <c r="K958" s="62"/>
      <c r="O958" s="60"/>
      <c r="P958" s="61"/>
      <c r="Q958" s="62"/>
      <c r="R958" s="61"/>
      <c r="S958" s="62"/>
      <c r="T958" s="61"/>
      <c r="U958" s="62"/>
      <c r="V958" s="61"/>
      <c r="W958" s="62"/>
      <c r="X958" s="61"/>
      <c r="Y958" s="62"/>
      <c r="Z958" s="61"/>
      <c r="AA958" s="62"/>
    </row>
    <row r="959" spans="3:27" ht="16.5" customHeight="1">
      <c r="C959" s="118"/>
      <c r="E959" s="61"/>
      <c r="H959" s="61"/>
      <c r="I959" s="60"/>
      <c r="K959" s="62"/>
      <c r="O959" s="60"/>
      <c r="P959" s="61"/>
      <c r="Q959" s="62"/>
      <c r="R959" s="61"/>
      <c r="S959" s="62"/>
      <c r="T959" s="61"/>
      <c r="U959" s="62"/>
      <c r="V959" s="61"/>
      <c r="W959" s="62"/>
      <c r="X959" s="61"/>
      <c r="Y959" s="62"/>
      <c r="Z959" s="61"/>
      <c r="AA959" s="62"/>
    </row>
    <row r="960" spans="3:27" ht="16.5" customHeight="1">
      <c r="C960" s="118"/>
      <c r="E960" s="61"/>
      <c r="H960" s="61"/>
      <c r="I960" s="60"/>
      <c r="K960" s="62"/>
      <c r="O960" s="60"/>
      <c r="P960" s="61"/>
      <c r="Q960" s="62"/>
      <c r="R960" s="61"/>
      <c r="S960" s="62"/>
      <c r="T960" s="61"/>
      <c r="U960" s="62"/>
      <c r="V960" s="61"/>
      <c r="W960" s="62"/>
      <c r="X960" s="61"/>
      <c r="Y960" s="62"/>
      <c r="Z960" s="61"/>
      <c r="AA960" s="62"/>
    </row>
    <row r="961" spans="3:27" ht="16.5" customHeight="1">
      <c r="C961" s="118"/>
      <c r="E961" s="61"/>
      <c r="H961" s="61"/>
      <c r="I961" s="60"/>
      <c r="K961" s="62"/>
      <c r="O961" s="60"/>
      <c r="P961" s="61"/>
      <c r="Q961" s="62"/>
      <c r="R961" s="61"/>
      <c r="S961" s="62"/>
      <c r="T961" s="61"/>
      <c r="U961" s="62"/>
      <c r="V961" s="61"/>
      <c r="W961" s="62"/>
      <c r="X961" s="61"/>
      <c r="Y961" s="62"/>
      <c r="Z961" s="61"/>
      <c r="AA961" s="62"/>
    </row>
    <row r="962" spans="3:27" ht="16.5" customHeight="1">
      <c r="C962" s="118"/>
      <c r="E962" s="61"/>
      <c r="H962" s="61"/>
      <c r="I962" s="60"/>
      <c r="K962" s="62"/>
      <c r="O962" s="60"/>
      <c r="P962" s="61"/>
      <c r="Q962" s="62"/>
      <c r="R962" s="61"/>
      <c r="S962" s="62"/>
      <c r="T962" s="61"/>
      <c r="U962" s="62"/>
      <c r="V962" s="61"/>
      <c r="W962" s="62"/>
      <c r="X962" s="61"/>
      <c r="Y962" s="62"/>
      <c r="Z962" s="61"/>
      <c r="AA962" s="62"/>
    </row>
    <row r="963" spans="3:27" ht="16.5" customHeight="1">
      <c r="C963" s="118"/>
      <c r="E963" s="61"/>
      <c r="H963" s="61"/>
      <c r="I963" s="60"/>
      <c r="K963" s="62"/>
      <c r="O963" s="60"/>
      <c r="P963" s="61"/>
      <c r="Q963" s="62"/>
      <c r="R963" s="61"/>
      <c r="S963" s="62"/>
      <c r="T963" s="61"/>
      <c r="U963" s="62"/>
      <c r="V963" s="61"/>
      <c r="W963" s="62"/>
      <c r="X963" s="61"/>
      <c r="Y963" s="62"/>
      <c r="Z963" s="61"/>
      <c r="AA963" s="62"/>
    </row>
    <row r="964" spans="3:27" ht="16.5" customHeight="1">
      <c r="C964" s="118"/>
      <c r="E964" s="61"/>
      <c r="H964" s="61"/>
      <c r="I964" s="60"/>
      <c r="K964" s="62"/>
      <c r="O964" s="60"/>
      <c r="P964" s="61"/>
      <c r="Q964" s="62"/>
      <c r="R964" s="61"/>
      <c r="S964" s="62"/>
      <c r="T964" s="61"/>
      <c r="U964" s="62"/>
      <c r="V964" s="61"/>
      <c r="W964" s="62"/>
      <c r="X964" s="61"/>
      <c r="Y964" s="62"/>
      <c r="Z964" s="61"/>
      <c r="AA964" s="62"/>
    </row>
    <row r="965" spans="3:27" ht="16.5" customHeight="1">
      <c r="C965" s="118"/>
      <c r="E965" s="61"/>
      <c r="H965" s="61"/>
      <c r="I965" s="60"/>
      <c r="K965" s="62"/>
      <c r="O965" s="60"/>
      <c r="P965" s="61"/>
      <c r="Q965" s="62"/>
      <c r="R965" s="61"/>
      <c r="S965" s="62"/>
      <c r="T965" s="61"/>
      <c r="U965" s="62"/>
      <c r="V965" s="61"/>
      <c r="W965" s="62"/>
      <c r="X965" s="61"/>
      <c r="Y965" s="62"/>
      <c r="Z965" s="61"/>
      <c r="AA965" s="62"/>
    </row>
    <row r="966" spans="3:27" ht="16.5" customHeight="1">
      <c r="C966" s="118"/>
      <c r="E966" s="61"/>
      <c r="H966" s="61"/>
      <c r="I966" s="60"/>
      <c r="K966" s="62"/>
      <c r="O966" s="60"/>
      <c r="P966" s="61"/>
      <c r="Q966" s="62"/>
      <c r="R966" s="61"/>
      <c r="S966" s="62"/>
      <c r="T966" s="61"/>
      <c r="U966" s="62"/>
      <c r="V966" s="61"/>
      <c r="W966" s="62"/>
      <c r="X966" s="61"/>
      <c r="Y966" s="62"/>
      <c r="Z966" s="61"/>
      <c r="AA966" s="62"/>
    </row>
    <row r="967" spans="3:27" ht="16.5" customHeight="1">
      <c r="C967" s="118"/>
      <c r="E967" s="61"/>
      <c r="H967" s="61"/>
      <c r="I967" s="60"/>
      <c r="K967" s="62"/>
      <c r="O967" s="60"/>
      <c r="P967" s="61"/>
      <c r="Q967" s="62"/>
      <c r="R967" s="61"/>
      <c r="S967" s="62"/>
      <c r="T967" s="61"/>
      <c r="U967" s="62"/>
      <c r="V967" s="61"/>
      <c r="W967" s="62"/>
      <c r="X967" s="61"/>
      <c r="Y967" s="62"/>
      <c r="Z967" s="61"/>
      <c r="AA967" s="62"/>
    </row>
    <row r="968" spans="3:27" ht="16.5" customHeight="1">
      <c r="C968" s="118"/>
      <c r="E968" s="61"/>
      <c r="H968" s="61"/>
      <c r="I968" s="60"/>
      <c r="K968" s="62"/>
      <c r="O968" s="60"/>
      <c r="P968" s="61"/>
      <c r="Q968" s="62"/>
      <c r="R968" s="61"/>
      <c r="S968" s="62"/>
      <c r="T968" s="61"/>
      <c r="U968" s="62"/>
      <c r="V968" s="61"/>
      <c r="W968" s="62"/>
      <c r="X968" s="61"/>
      <c r="Y968" s="62"/>
      <c r="Z968" s="61"/>
      <c r="AA968" s="62"/>
    </row>
    <row r="969" spans="3:27" ht="16.5" customHeight="1">
      <c r="C969" s="118"/>
      <c r="E969" s="61"/>
      <c r="H969" s="61"/>
      <c r="I969" s="60"/>
      <c r="K969" s="62"/>
      <c r="O969" s="60"/>
      <c r="P969" s="61"/>
      <c r="Q969" s="62"/>
      <c r="R969" s="61"/>
      <c r="S969" s="62"/>
      <c r="T969" s="61"/>
      <c r="U969" s="62"/>
      <c r="V969" s="61"/>
      <c r="W969" s="62"/>
      <c r="X969" s="61"/>
      <c r="Y969" s="62"/>
      <c r="Z969" s="61"/>
      <c r="AA969" s="62"/>
    </row>
    <row r="970" spans="3:27" ht="16.5" customHeight="1">
      <c r="C970" s="118"/>
      <c r="E970" s="61"/>
      <c r="H970" s="61"/>
      <c r="I970" s="60"/>
      <c r="K970" s="62"/>
      <c r="O970" s="60"/>
      <c r="P970" s="61"/>
      <c r="Q970" s="62"/>
      <c r="R970" s="61"/>
      <c r="S970" s="62"/>
      <c r="T970" s="61"/>
      <c r="U970" s="62"/>
      <c r="V970" s="61"/>
      <c r="W970" s="62"/>
      <c r="X970" s="61"/>
      <c r="Y970" s="62"/>
      <c r="Z970" s="61"/>
      <c r="AA970" s="62"/>
    </row>
    <row r="971" spans="3:27" ht="16.5" customHeight="1">
      <c r="C971" s="118"/>
      <c r="E971" s="61"/>
      <c r="H971" s="61"/>
      <c r="I971" s="60"/>
      <c r="K971" s="62"/>
      <c r="O971" s="60"/>
      <c r="P971" s="61"/>
      <c r="Q971" s="62"/>
      <c r="R971" s="61"/>
      <c r="S971" s="62"/>
      <c r="T971" s="61"/>
      <c r="U971" s="62"/>
      <c r="V971" s="61"/>
      <c r="W971" s="62"/>
      <c r="X971" s="61"/>
      <c r="Y971" s="62"/>
      <c r="Z971" s="61"/>
      <c r="AA971" s="62"/>
    </row>
    <row r="972" spans="3:27" ht="16.5" customHeight="1">
      <c r="C972" s="118"/>
      <c r="E972" s="61"/>
      <c r="H972" s="61"/>
      <c r="I972" s="60"/>
      <c r="K972" s="62"/>
      <c r="O972" s="60"/>
      <c r="P972" s="61"/>
      <c r="Q972" s="62"/>
      <c r="R972" s="61"/>
      <c r="S972" s="62"/>
      <c r="T972" s="61"/>
      <c r="U972" s="62"/>
      <c r="V972" s="61"/>
      <c r="W972" s="62"/>
      <c r="X972" s="61"/>
      <c r="Y972" s="62"/>
      <c r="Z972" s="61"/>
      <c r="AA972" s="62"/>
    </row>
    <row r="973" spans="3:27" ht="16.5" customHeight="1">
      <c r="C973" s="118"/>
      <c r="E973" s="61"/>
      <c r="H973" s="61"/>
      <c r="I973" s="60"/>
      <c r="K973" s="62"/>
      <c r="O973" s="60"/>
      <c r="P973" s="61"/>
      <c r="Q973" s="62"/>
      <c r="R973" s="61"/>
      <c r="S973" s="62"/>
      <c r="T973" s="61"/>
      <c r="U973" s="62"/>
      <c r="V973" s="61"/>
      <c r="W973" s="62"/>
      <c r="X973" s="61"/>
      <c r="Y973" s="62"/>
      <c r="Z973" s="61"/>
      <c r="AA973" s="62"/>
    </row>
    <row r="974" spans="3:27" ht="16.5" customHeight="1">
      <c r="C974" s="118"/>
      <c r="E974" s="61"/>
      <c r="H974" s="61"/>
      <c r="I974" s="60"/>
      <c r="K974" s="62"/>
      <c r="O974" s="60"/>
      <c r="P974" s="61"/>
      <c r="Q974" s="62"/>
      <c r="R974" s="61"/>
      <c r="S974" s="62"/>
      <c r="T974" s="61"/>
      <c r="U974" s="62"/>
      <c r="V974" s="61"/>
      <c r="W974" s="62"/>
      <c r="X974" s="61"/>
      <c r="Y974" s="62"/>
      <c r="Z974" s="61"/>
      <c r="AA974" s="62"/>
    </row>
    <row r="975" spans="3:27" ht="16.5" customHeight="1">
      <c r="C975" s="118"/>
      <c r="E975" s="61"/>
      <c r="H975" s="61"/>
      <c r="I975" s="60"/>
      <c r="K975" s="62"/>
      <c r="O975" s="60"/>
      <c r="P975" s="61"/>
      <c r="Q975" s="62"/>
      <c r="R975" s="61"/>
      <c r="S975" s="62"/>
      <c r="T975" s="61"/>
      <c r="U975" s="62"/>
      <c r="V975" s="61"/>
      <c r="W975" s="62"/>
      <c r="X975" s="61"/>
      <c r="Y975" s="62"/>
      <c r="Z975" s="61"/>
      <c r="AA975" s="62"/>
    </row>
    <row r="976" spans="3:27" ht="16.5" customHeight="1">
      <c r="C976" s="118"/>
      <c r="E976" s="61"/>
      <c r="H976" s="61"/>
      <c r="I976" s="60"/>
      <c r="K976" s="62"/>
      <c r="O976" s="60"/>
      <c r="P976" s="61"/>
      <c r="Q976" s="62"/>
      <c r="R976" s="61"/>
      <c r="S976" s="62"/>
      <c r="T976" s="61"/>
      <c r="U976" s="62"/>
      <c r="V976" s="61"/>
      <c r="W976" s="62"/>
      <c r="X976" s="61"/>
      <c r="Y976" s="62"/>
      <c r="Z976" s="61"/>
      <c r="AA976" s="62"/>
    </row>
    <row r="977" spans="3:27" ht="16.5" customHeight="1">
      <c r="C977" s="118"/>
      <c r="E977" s="61"/>
      <c r="H977" s="61"/>
      <c r="I977" s="60"/>
      <c r="K977" s="62"/>
      <c r="O977" s="60"/>
      <c r="P977" s="61"/>
      <c r="Q977" s="62"/>
      <c r="R977" s="61"/>
      <c r="S977" s="62"/>
      <c r="T977" s="61"/>
      <c r="U977" s="62"/>
      <c r="V977" s="61"/>
      <c r="W977" s="62"/>
      <c r="X977" s="61"/>
      <c r="Y977" s="62"/>
      <c r="Z977" s="61"/>
      <c r="AA977" s="62"/>
    </row>
    <row r="978" spans="3:27" ht="16.5" customHeight="1">
      <c r="C978" s="118"/>
      <c r="E978" s="61"/>
      <c r="H978" s="61"/>
      <c r="I978" s="60"/>
      <c r="K978" s="62"/>
      <c r="O978" s="60"/>
      <c r="P978" s="61"/>
      <c r="Q978" s="62"/>
      <c r="R978" s="61"/>
      <c r="S978" s="62"/>
      <c r="T978" s="61"/>
      <c r="U978" s="62"/>
      <c r="V978" s="61"/>
      <c r="W978" s="62"/>
      <c r="X978" s="61"/>
      <c r="Y978" s="62"/>
      <c r="Z978" s="61"/>
      <c r="AA978" s="62"/>
    </row>
    <row r="979" spans="3:27" ht="16.5" customHeight="1">
      <c r="C979" s="118"/>
      <c r="E979" s="61"/>
      <c r="H979" s="61"/>
      <c r="I979" s="60"/>
      <c r="K979" s="62"/>
      <c r="O979" s="60"/>
      <c r="P979" s="61"/>
      <c r="Q979" s="62"/>
      <c r="R979" s="61"/>
      <c r="S979" s="62"/>
      <c r="T979" s="61"/>
      <c r="U979" s="62"/>
      <c r="V979" s="61"/>
      <c r="W979" s="62"/>
      <c r="X979" s="61"/>
      <c r="Y979" s="62"/>
      <c r="Z979" s="61"/>
      <c r="AA979" s="62"/>
    </row>
    <row r="980" spans="3:27" ht="16.5" customHeight="1">
      <c r="C980" s="118"/>
      <c r="E980" s="61"/>
      <c r="H980" s="61"/>
      <c r="I980" s="60"/>
      <c r="K980" s="62"/>
      <c r="O980" s="60"/>
      <c r="P980" s="61"/>
      <c r="Q980" s="62"/>
      <c r="R980" s="61"/>
      <c r="S980" s="62"/>
      <c r="T980" s="61"/>
      <c r="U980" s="62"/>
      <c r="V980" s="61"/>
      <c r="W980" s="62"/>
      <c r="X980" s="61"/>
      <c r="Y980" s="62"/>
      <c r="Z980" s="61"/>
      <c r="AA980" s="62"/>
    </row>
    <row r="981" spans="3:27" ht="16.5" customHeight="1">
      <c r="C981" s="118"/>
      <c r="E981" s="61"/>
      <c r="H981" s="61"/>
      <c r="I981" s="60"/>
      <c r="K981" s="62"/>
      <c r="O981" s="60"/>
      <c r="P981" s="61"/>
      <c r="Q981" s="62"/>
      <c r="R981" s="61"/>
      <c r="S981" s="62"/>
      <c r="T981" s="61"/>
      <c r="U981" s="62"/>
      <c r="V981" s="61"/>
      <c r="W981" s="62"/>
      <c r="X981" s="61"/>
      <c r="Y981" s="62"/>
      <c r="Z981" s="61"/>
      <c r="AA981" s="62"/>
    </row>
    <row r="982" spans="3:27" ht="16.5" customHeight="1">
      <c r="C982" s="118"/>
      <c r="E982" s="61"/>
      <c r="H982" s="61"/>
      <c r="I982" s="60"/>
      <c r="K982" s="62"/>
      <c r="O982" s="60"/>
      <c r="P982" s="61"/>
      <c r="Q982" s="62"/>
      <c r="R982" s="61"/>
      <c r="S982" s="62"/>
      <c r="T982" s="61"/>
      <c r="U982" s="62"/>
      <c r="V982" s="61"/>
      <c r="W982" s="62"/>
      <c r="X982" s="61"/>
      <c r="Y982" s="62"/>
      <c r="Z982" s="61"/>
      <c r="AA982" s="62"/>
    </row>
    <row r="983" spans="3:27" ht="16.5" customHeight="1">
      <c r="C983" s="118"/>
      <c r="E983" s="61"/>
      <c r="H983" s="61"/>
      <c r="I983" s="60"/>
      <c r="K983" s="62"/>
      <c r="O983" s="60"/>
      <c r="P983" s="61"/>
      <c r="Q983" s="62"/>
      <c r="R983" s="61"/>
      <c r="S983" s="62"/>
      <c r="T983" s="61"/>
      <c r="U983" s="62"/>
      <c r="V983" s="61"/>
      <c r="W983" s="62"/>
      <c r="X983" s="61"/>
      <c r="Y983" s="62"/>
      <c r="Z983" s="61"/>
      <c r="AA983" s="62"/>
    </row>
    <row r="984" spans="3:27" ht="16.5" customHeight="1">
      <c r="C984" s="118"/>
      <c r="E984" s="61"/>
      <c r="H984" s="61"/>
      <c r="I984" s="60"/>
      <c r="K984" s="62"/>
      <c r="O984" s="60"/>
      <c r="P984" s="61"/>
      <c r="Q984" s="62"/>
      <c r="R984" s="61"/>
      <c r="S984" s="62"/>
      <c r="T984" s="61"/>
      <c r="U984" s="62"/>
      <c r="V984" s="61"/>
      <c r="W984" s="62"/>
      <c r="X984" s="61"/>
      <c r="Y984" s="62"/>
      <c r="Z984" s="61"/>
      <c r="AA984" s="62"/>
    </row>
    <row r="985" spans="3:27" ht="16.5" customHeight="1">
      <c r="C985" s="118"/>
      <c r="E985" s="61"/>
      <c r="H985" s="61"/>
      <c r="I985" s="60"/>
      <c r="K985" s="62"/>
      <c r="O985" s="60"/>
      <c r="P985" s="61"/>
      <c r="Q985" s="62"/>
      <c r="R985" s="61"/>
      <c r="S985" s="62"/>
      <c r="T985" s="61"/>
      <c r="U985" s="62"/>
      <c r="V985" s="61"/>
      <c r="W985" s="62"/>
      <c r="X985" s="61"/>
      <c r="Y985" s="62"/>
      <c r="Z985" s="61"/>
      <c r="AA985" s="62"/>
    </row>
    <row r="986" spans="3:27" ht="16.5" customHeight="1">
      <c r="C986" s="118"/>
      <c r="E986" s="61"/>
      <c r="H986" s="61"/>
      <c r="I986" s="60"/>
      <c r="K986" s="62"/>
      <c r="O986" s="60"/>
      <c r="P986" s="61"/>
      <c r="Q986" s="62"/>
      <c r="R986" s="61"/>
      <c r="S986" s="62"/>
      <c r="T986" s="61"/>
      <c r="U986" s="62"/>
      <c r="V986" s="61"/>
      <c r="W986" s="62"/>
      <c r="X986" s="61"/>
      <c r="Y986" s="62"/>
      <c r="Z986" s="61"/>
      <c r="AA986" s="62"/>
    </row>
    <row r="987" spans="3:27" ht="16.5" customHeight="1">
      <c r="C987" s="118"/>
      <c r="E987" s="61"/>
      <c r="H987" s="61"/>
      <c r="I987" s="60"/>
      <c r="K987" s="62"/>
      <c r="O987" s="60"/>
      <c r="P987" s="61"/>
      <c r="Q987" s="62"/>
      <c r="R987" s="61"/>
      <c r="S987" s="62"/>
      <c r="T987" s="61"/>
      <c r="U987" s="62"/>
      <c r="V987" s="61"/>
      <c r="W987" s="62"/>
      <c r="X987" s="61"/>
      <c r="Y987" s="62"/>
      <c r="Z987" s="61"/>
      <c r="AA987" s="62"/>
    </row>
    <row r="988" spans="3:27" ht="16.5" customHeight="1">
      <c r="C988" s="118"/>
      <c r="E988" s="61"/>
      <c r="H988" s="61"/>
      <c r="I988" s="60"/>
      <c r="K988" s="62"/>
      <c r="O988" s="60"/>
      <c r="P988" s="61"/>
      <c r="Q988" s="62"/>
      <c r="R988" s="61"/>
      <c r="S988" s="62"/>
      <c r="T988" s="61"/>
      <c r="U988" s="62"/>
      <c r="V988" s="61"/>
      <c r="W988" s="62"/>
      <c r="X988" s="61"/>
      <c r="Y988" s="62"/>
      <c r="Z988" s="61"/>
      <c r="AA988" s="62"/>
    </row>
    <row r="989" spans="3:27" ht="16.5" customHeight="1">
      <c r="C989" s="118"/>
      <c r="E989" s="61"/>
      <c r="H989" s="61"/>
      <c r="I989" s="60"/>
      <c r="K989" s="62"/>
      <c r="O989" s="60"/>
      <c r="P989" s="61"/>
      <c r="Q989" s="62"/>
      <c r="R989" s="61"/>
      <c r="S989" s="62"/>
      <c r="T989" s="61"/>
      <c r="U989" s="62"/>
      <c r="V989" s="61"/>
      <c r="W989" s="62"/>
      <c r="X989" s="61"/>
      <c r="Y989" s="62"/>
      <c r="Z989" s="61"/>
      <c r="AA989" s="62"/>
    </row>
    <row r="990" spans="3:27" ht="16.5" customHeight="1">
      <c r="C990" s="118"/>
      <c r="E990" s="61"/>
      <c r="H990" s="61"/>
      <c r="I990" s="60"/>
      <c r="K990" s="62"/>
      <c r="O990" s="60"/>
      <c r="P990" s="61"/>
      <c r="Q990" s="62"/>
      <c r="R990" s="61"/>
      <c r="S990" s="62"/>
      <c r="T990" s="61"/>
      <c r="U990" s="62"/>
      <c r="V990" s="61"/>
      <c r="W990" s="62"/>
      <c r="X990" s="61"/>
      <c r="Y990" s="62"/>
      <c r="Z990" s="61"/>
      <c r="AA990" s="62"/>
    </row>
    <row r="991" spans="3:27" ht="16.5" customHeight="1">
      <c r="C991" s="118"/>
      <c r="E991" s="61"/>
      <c r="H991" s="61"/>
      <c r="I991" s="60"/>
      <c r="K991" s="62"/>
      <c r="O991" s="60"/>
      <c r="P991" s="61"/>
      <c r="Q991" s="62"/>
      <c r="R991" s="61"/>
      <c r="S991" s="62"/>
      <c r="T991" s="61"/>
      <c r="U991" s="62"/>
      <c r="V991" s="61"/>
      <c r="W991" s="62"/>
      <c r="X991" s="61"/>
      <c r="Y991" s="62"/>
      <c r="Z991" s="61"/>
      <c r="AA991" s="62"/>
    </row>
    <row r="992" spans="3:27" ht="16.5" customHeight="1">
      <c r="C992" s="118"/>
      <c r="E992" s="61"/>
      <c r="H992" s="61"/>
      <c r="I992" s="60"/>
      <c r="K992" s="62"/>
      <c r="O992" s="60"/>
      <c r="P992" s="61"/>
      <c r="Q992" s="62"/>
      <c r="R992" s="61"/>
      <c r="S992" s="62"/>
      <c r="T992" s="61"/>
      <c r="U992" s="62"/>
      <c r="V992" s="61"/>
      <c r="W992" s="62"/>
      <c r="X992" s="61"/>
      <c r="Y992" s="62"/>
      <c r="Z992" s="61"/>
      <c r="AA992" s="62"/>
    </row>
    <row r="993" spans="3:27" ht="16.5" customHeight="1">
      <c r="C993" s="118"/>
      <c r="E993" s="61"/>
      <c r="H993" s="61"/>
      <c r="I993" s="60"/>
      <c r="K993" s="62"/>
      <c r="O993" s="60"/>
      <c r="P993" s="61"/>
      <c r="Q993" s="62"/>
      <c r="R993" s="61"/>
      <c r="S993" s="62"/>
      <c r="T993" s="61"/>
      <c r="U993" s="62"/>
      <c r="V993" s="61"/>
      <c r="W993" s="62"/>
      <c r="X993" s="61"/>
      <c r="Y993" s="62"/>
      <c r="Z993" s="61"/>
      <c r="AA993" s="62"/>
    </row>
    <row r="994" spans="3:27" ht="16.5" customHeight="1">
      <c r="C994" s="118"/>
      <c r="E994" s="61"/>
      <c r="H994" s="61"/>
      <c r="I994" s="60"/>
      <c r="K994" s="62"/>
      <c r="O994" s="60"/>
      <c r="P994" s="61"/>
      <c r="Q994" s="62"/>
      <c r="R994" s="61"/>
      <c r="S994" s="62"/>
      <c r="T994" s="61"/>
      <c r="U994" s="62"/>
      <c r="V994" s="61"/>
      <c r="W994" s="62"/>
      <c r="X994" s="61"/>
      <c r="Y994" s="62"/>
      <c r="Z994" s="61"/>
      <c r="AA994" s="62"/>
    </row>
    <row r="995" spans="3:27" ht="16.5" customHeight="1">
      <c r="C995" s="118"/>
      <c r="E995" s="61"/>
      <c r="H995" s="61"/>
      <c r="I995" s="60"/>
      <c r="K995" s="62"/>
      <c r="O995" s="60"/>
      <c r="P995" s="61"/>
      <c r="Q995" s="62"/>
      <c r="R995" s="61"/>
      <c r="S995" s="62"/>
      <c r="T995" s="61"/>
      <c r="U995" s="62"/>
      <c r="V995" s="61"/>
      <c r="W995" s="62"/>
      <c r="X995" s="61"/>
      <c r="Y995" s="62"/>
      <c r="Z995" s="61"/>
      <c r="AA995" s="62"/>
    </row>
    <row r="996" spans="3:27" ht="16.5" customHeight="1">
      <c r="C996" s="118"/>
      <c r="E996" s="61"/>
      <c r="H996" s="61"/>
      <c r="I996" s="60"/>
      <c r="K996" s="62"/>
      <c r="O996" s="60"/>
      <c r="P996" s="61"/>
      <c r="Q996" s="62"/>
      <c r="R996" s="61"/>
      <c r="S996" s="62"/>
      <c r="T996" s="61"/>
      <c r="U996" s="62"/>
      <c r="V996" s="61"/>
      <c r="W996" s="62"/>
      <c r="X996" s="61"/>
      <c r="Y996" s="62"/>
      <c r="Z996" s="61"/>
      <c r="AA996" s="62"/>
    </row>
    <row r="997" spans="3:27" ht="16.5" customHeight="1">
      <c r="C997" s="118"/>
      <c r="E997" s="61"/>
      <c r="H997" s="61"/>
      <c r="I997" s="60"/>
      <c r="K997" s="62"/>
      <c r="O997" s="60"/>
      <c r="P997" s="61"/>
      <c r="Q997" s="62"/>
      <c r="R997" s="61"/>
      <c r="S997" s="62"/>
      <c r="T997" s="61"/>
      <c r="U997" s="62"/>
      <c r="V997" s="61"/>
      <c r="W997" s="62"/>
      <c r="X997" s="61"/>
      <c r="Y997" s="62"/>
      <c r="Z997" s="61"/>
      <c r="AA997" s="62"/>
    </row>
    <row r="998" spans="3:27" ht="16.5" customHeight="1">
      <c r="C998" s="118"/>
      <c r="E998" s="61"/>
      <c r="H998" s="61"/>
      <c r="I998" s="60"/>
      <c r="K998" s="62"/>
      <c r="O998" s="60"/>
      <c r="P998" s="61"/>
      <c r="Q998" s="62"/>
      <c r="R998" s="61"/>
      <c r="S998" s="62"/>
      <c r="T998" s="61"/>
      <c r="U998" s="62"/>
      <c r="V998" s="61"/>
      <c r="W998" s="62"/>
      <c r="X998" s="61"/>
      <c r="Y998" s="62"/>
      <c r="Z998" s="61"/>
      <c r="AA998" s="62"/>
    </row>
    <row r="999" spans="3:27" ht="16.5" customHeight="1">
      <c r="C999" s="118"/>
      <c r="E999" s="61"/>
      <c r="H999" s="61"/>
      <c r="I999" s="60"/>
      <c r="K999" s="62"/>
      <c r="O999" s="60"/>
      <c r="P999" s="61"/>
      <c r="Q999" s="62"/>
      <c r="R999" s="61"/>
      <c r="S999" s="62"/>
      <c r="T999" s="61"/>
      <c r="U999" s="62"/>
      <c r="V999" s="61"/>
      <c r="W999" s="62"/>
      <c r="X999" s="61"/>
      <c r="Y999" s="62"/>
      <c r="Z999" s="61"/>
      <c r="AA999" s="62"/>
    </row>
    <row r="1000" spans="3:27" ht="16.5" customHeight="1">
      <c r="C1000" s="118"/>
      <c r="E1000" s="61"/>
      <c r="H1000" s="61"/>
      <c r="I1000" s="60"/>
      <c r="K1000" s="62"/>
      <c r="O1000" s="60"/>
      <c r="P1000" s="61"/>
      <c r="Q1000" s="62"/>
      <c r="R1000" s="61"/>
      <c r="S1000" s="62"/>
      <c r="T1000" s="61"/>
      <c r="U1000" s="62"/>
      <c r="V1000" s="61"/>
      <c r="W1000" s="62"/>
      <c r="X1000" s="61"/>
      <c r="Y1000" s="62"/>
      <c r="Z1000" s="61"/>
      <c r="AA1000" s="62"/>
    </row>
    <row r="1001" spans="3:27" ht="16.5" customHeight="1">
      <c r="C1001" s="118"/>
      <c r="E1001" s="61"/>
      <c r="H1001" s="61"/>
      <c r="I1001" s="60"/>
      <c r="K1001" s="62"/>
      <c r="O1001" s="60"/>
      <c r="P1001" s="61"/>
      <c r="Q1001" s="62"/>
      <c r="R1001" s="61"/>
      <c r="S1001" s="62"/>
      <c r="T1001" s="61"/>
      <c r="U1001" s="62"/>
      <c r="V1001" s="61"/>
      <c r="W1001" s="62"/>
      <c r="X1001" s="61"/>
      <c r="Y1001" s="62"/>
      <c r="Z1001" s="61"/>
      <c r="AA1001" s="62"/>
    </row>
    <row r="1002" spans="3:27" ht="16.5" customHeight="1">
      <c r="C1002" s="118"/>
      <c r="E1002" s="61"/>
      <c r="H1002" s="61"/>
      <c r="I1002" s="60"/>
      <c r="K1002" s="62"/>
      <c r="O1002" s="60"/>
      <c r="P1002" s="61"/>
      <c r="Q1002" s="62"/>
      <c r="R1002" s="61"/>
      <c r="S1002" s="62"/>
      <c r="T1002" s="61"/>
      <c r="U1002" s="62"/>
      <c r="V1002" s="61"/>
      <c r="W1002" s="62"/>
      <c r="X1002" s="61"/>
      <c r="Y1002" s="62"/>
      <c r="Z1002" s="61"/>
      <c r="AA1002" s="62"/>
    </row>
    <row r="1003" spans="3:27" ht="16.5" customHeight="1">
      <c r="C1003" s="118"/>
      <c r="E1003" s="61"/>
      <c r="H1003" s="61"/>
      <c r="I1003" s="60"/>
      <c r="K1003" s="62"/>
      <c r="O1003" s="60"/>
      <c r="P1003" s="61"/>
      <c r="Q1003" s="62"/>
      <c r="R1003" s="61"/>
      <c r="S1003" s="62"/>
      <c r="T1003" s="61"/>
      <c r="U1003" s="62"/>
      <c r="V1003" s="61"/>
      <c r="W1003" s="62"/>
      <c r="X1003" s="61"/>
      <c r="Y1003" s="62"/>
      <c r="Z1003" s="61"/>
      <c r="AA1003" s="62"/>
    </row>
    <row r="1004" spans="3:27" ht="16.5" customHeight="1">
      <c r="C1004" s="118"/>
      <c r="E1004" s="61"/>
      <c r="H1004" s="61"/>
      <c r="I1004" s="60"/>
      <c r="K1004" s="62"/>
      <c r="O1004" s="60"/>
      <c r="P1004" s="61"/>
      <c r="Q1004" s="62"/>
      <c r="R1004" s="61"/>
      <c r="S1004" s="62"/>
      <c r="T1004" s="61"/>
      <c r="U1004" s="62"/>
      <c r="V1004" s="61"/>
      <c r="W1004" s="62"/>
      <c r="X1004" s="61"/>
      <c r="Y1004" s="62"/>
      <c r="Z1004" s="61"/>
      <c r="AA1004" s="62"/>
    </row>
    <row r="1005" spans="3:27" ht="16.5" customHeight="1">
      <c r="C1005" s="118"/>
      <c r="E1005" s="61"/>
      <c r="H1005" s="61"/>
      <c r="I1005" s="60"/>
      <c r="K1005" s="62"/>
      <c r="O1005" s="60"/>
      <c r="P1005" s="61"/>
      <c r="Q1005" s="62"/>
      <c r="R1005" s="61"/>
      <c r="S1005" s="62"/>
      <c r="T1005" s="61"/>
      <c r="U1005" s="62"/>
      <c r="V1005" s="61"/>
      <c r="W1005" s="62"/>
      <c r="X1005" s="61"/>
      <c r="Y1005" s="62"/>
      <c r="Z1005" s="61"/>
      <c r="AA1005" s="62"/>
    </row>
    <row r="1006" spans="3:27" ht="16.5" customHeight="1">
      <c r="C1006" s="118"/>
      <c r="E1006" s="61"/>
      <c r="H1006" s="61"/>
      <c r="I1006" s="60"/>
      <c r="K1006" s="62"/>
      <c r="O1006" s="60"/>
      <c r="P1006" s="61"/>
      <c r="Q1006" s="62"/>
      <c r="R1006" s="61"/>
      <c r="S1006" s="62"/>
      <c r="T1006" s="61"/>
      <c r="U1006" s="62"/>
      <c r="V1006" s="61"/>
      <c r="W1006" s="62"/>
      <c r="X1006" s="61"/>
      <c r="Y1006" s="62"/>
      <c r="Z1006" s="61"/>
      <c r="AA1006" s="62"/>
    </row>
    <row r="1007" spans="3:27" ht="16.5" customHeight="1">
      <c r="C1007" s="118"/>
      <c r="E1007" s="61"/>
      <c r="H1007" s="61"/>
      <c r="I1007" s="60"/>
      <c r="K1007" s="62"/>
      <c r="O1007" s="60"/>
      <c r="P1007" s="61"/>
      <c r="Q1007" s="62"/>
      <c r="R1007" s="61"/>
      <c r="S1007" s="62"/>
      <c r="T1007" s="61"/>
      <c r="U1007" s="62"/>
      <c r="V1007" s="61"/>
      <c r="W1007" s="62"/>
      <c r="X1007" s="61"/>
      <c r="Y1007" s="62"/>
      <c r="Z1007" s="61"/>
      <c r="AA1007" s="62"/>
    </row>
    <row r="1008" spans="3:27" ht="16.5" customHeight="1">
      <c r="C1008" s="118"/>
      <c r="E1008" s="61"/>
      <c r="H1008" s="61"/>
      <c r="I1008" s="60"/>
      <c r="K1008" s="62"/>
      <c r="O1008" s="60"/>
      <c r="P1008" s="61"/>
      <c r="Q1008" s="62"/>
      <c r="R1008" s="61"/>
      <c r="S1008" s="62"/>
      <c r="T1008" s="61"/>
      <c r="U1008" s="62"/>
      <c r="V1008" s="61"/>
      <c r="W1008" s="62"/>
      <c r="X1008" s="61"/>
      <c r="Y1008" s="62"/>
      <c r="Z1008" s="61"/>
      <c r="AA1008" s="62"/>
    </row>
    <row r="1009" spans="3:27" ht="16.5" customHeight="1">
      <c r="C1009" s="118"/>
      <c r="E1009" s="61"/>
      <c r="H1009" s="61"/>
      <c r="I1009" s="60"/>
      <c r="K1009" s="62"/>
      <c r="O1009" s="60"/>
      <c r="P1009" s="61"/>
      <c r="Q1009" s="62"/>
      <c r="R1009" s="61"/>
      <c r="S1009" s="62"/>
      <c r="T1009" s="61"/>
      <c r="U1009" s="62"/>
      <c r="V1009" s="61"/>
      <c r="W1009" s="62"/>
      <c r="X1009" s="61"/>
      <c r="Y1009" s="62"/>
      <c r="Z1009" s="61"/>
      <c r="AA1009" s="62"/>
    </row>
    <row r="1010" spans="3:27" ht="16.5" customHeight="1">
      <c r="C1010" s="118"/>
      <c r="E1010" s="61"/>
      <c r="H1010" s="61"/>
      <c r="I1010" s="60"/>
      <c r="K1010" s="62"/>
      <c r="O1010" s="60"/>
      <c r="P1010" s="61"/>
      <c r="Q1010" s="62"/>
      <c r="R1010" s="61"/>
      <c r="S1010" s="62"/>
      <c r="T1010" s="61"/>
      <c r="U1010" s="62"/>
      <c r="V1010" s="61"/>
      <c r="W1010" s="62"/>
      <c r="X1010" s="61"/>
      <c r="Y1010" s="62"/>
      <c r="Z1010" s="61"/>
      <c r="AA1010" s="62"/>
    </row>
    <row r="1011" spans="3:27" ht="16.5" customHeight="1">
      <c r="C1011" s="118"/>
      <c r="E1011" s="61"/>
      <c r="H1011" s="61"/>
      <c r="I1011" s="60"/>
      <c r="K1011" s="62"/>
      <c r="O1011" s="60"/>
      <c r="P1011" s="61"/>
      <c r="Q1011" s="62"/>
      <c r="R1011" s="61"/>
      <c r="S1011" s="62"/>
      <c r="T1011" s="61"/>
      <c r="U1011" s="62"/>
      <c r="V1011" s="61"/>
      <c r="W1011" s="62"/>
      <c r="X1011" s="61"/>
      <c r="Y1011" s="62"/>
      <c r="Z1011" s="61"/>
      <c r="AA1011" s="62"/>
    </row>
    <row r="1012" spans="3:27" ht="16.5" customHeight="1">
      <c r="C1012" s="118"/>
      <c r="E1012" s="61"/>
      <c r="H1012" s="61"/>
      <c r="I1012" s="60"/>
      <c r="K1012" s="62"/>
      <c r="O1012" s="60"/>
      <c r="P1012" s="61"/>
      <c r="Q1012" s="62"/>
      <c r="R1012" s="61"/>
      <c r="S1012" s="62"/>
      <c r="T1012" s="61"/>
      <c r="U1012" s="62"/>
      <c r="V1012" s="61"/>
      <c r="W1012" s="62"/>
      <c r="X1012" s="61"/>
      <c r="Y1012" s="62"/>
      <c r="Z1012" s="61"/>
      <c r="AA1012" s="62"/>
    </row>
    <row r="1013" spans="3:27" ht="16.5" customHeight="1">
      <c r="C1013" s="118"/>
      <c r="E1013" s="61"/>
      <c r="H1013" s="61"/>
      <c r="I1013" s="60"/>
      <c r="K1013" s="62"/>
      <c r="O1013" s="60"/>
      <c r="P1013" s="61"/>
      <c r="Q1013" s="62"/>
      <c r="R1013" s="61"/>
      <c r="S1013" s="62"/>
      <c r="T1013" s="61"/>
      <c r="U1013" s="62"/>
      <c r="V1013" s="61"/>
      <c r="W1013" s="62"/>
      <c r="X1013" s="61"/>
      <c r="Y1013" s="62"/>
      <c r="Z1013" s="61"/>
      <c r="AA1013" s="62"/>
    </row>
    <row r="1014" spans="3:27" ht="16.5" customHeight="1">
      <c r="C1014" s="118"/>
      <c r="E1014" s="61"/>
      <c r="H1014" s="61"/>
      <c r="I1014" s="60"/>
      <c r="K1014" s="62"/>
      <c r="O1014" s="60"/>
      <c r="P1014" s="61"/>
      <c r="Q1014" s="62"/>
      <c r="R1014" s="61"/>
      <c r="S1014" s="62"/>
      <c r="T1014" s="61"/>
      <c r="U1014" s="62"/>
      <c r="V1014" s="61"/>
      <c r="W1014" s="62"/>
      <c r="X1014" s="61"/>
      <c r="Y1014" s="62"/>
      <c r="Z1014" s="61"/>
      <c r="AA1014" s="62"/>
    </row>
    <row r="1015" spans="3:27" ht="16.5" customHeight="1">
      <c r="C1015" s="118"/>
      <c r="E1015" s="61"/>
      <c r="H1015" s="61"/>
      <c r="I1015" s="60"/>
      <c r="K1015" s="62"/>
      <c r="O1015" s="60"/>
      <c r="P1015" s="61"/>
      <c r="Q1015" s="62"/>
      <c r="R1015" s="61"/>
      <c r="S1015" s="62"/>
      <c r="T1015" s="61"/>
      <c r="U1015" s="62"/>
      <c r="V1015" s="61"/>
      <c r="W1015" s="62"/>
      <c r="X1015" s="61"/>
      <c r="Y1015" s="62"/>
      <c r="Z1015" s="61"/>
      <c r="AA1015" s="62"/>
    </row>
    <row r="1016" spans="3:27" ht="16.5" customHeight="1">
      <c r="C1016" s="118"/>
      <c r="E1016" s="61"/>
      <c r="H1016" s="61"/>
      <c r="I1016" s="60"/>
      <c r="K1016" s="62"/>
      <c r="O1016" s="60"/>
      <c r="P1016" s="61"/>
      <c r="Q1016" s="62"/>
      <c r="R1016" s="61"/>
      <c r="S1016" s="62"/>
      <c r="T1016" s="61"/>
      <c r="U1016" s="62"/>
      <c r="V1016" s="61"/>
      <c r="W1016" s="62"/>
      <c r="X1016" s="61"/>
      <c r="Y1016" s="62"/>
      <c r="Z1016" s="61"/>
      <c r="AA1016" s="62"/>
    </row>
    <row r="1017" spans="3:27" ht="16.5" customHeight="1">
      <c r="C1017" s="118"/>
      <c r="E1017" s="61"/>
      <c r="H1017" s="61"/>
      <c r="I1017" s="60"/>
      <c r="K1017" s="62"/>
      <c r="O1017" s="60"/>
      <c r="P1017" s="61"/>
      <c r="Q1017" s="62"/>
      <c r="R1017" s="61"/>
      <c r="S1017" s="62"/>
      <c r="T1017" s="61"/>
      <c r="U1017" s="62"/>
      <c r="V1017" s="61"/>
      <c r="W1017" s="62"/>
      <c r="X1017" s="61"/>
      <c r="Y1017" s="62"/>
      <c r="Z1017" s="61"/>
      <c r="AA1017" s="62"/>
    </row>
    <row r="1018" spans="3:27" ht="16.5" customHeight="1">
      <c r="C1018" s="118"/>
      <c r="E1018" s="61"/>
      <c r="H1018" s="61"/>
      <c r="I1018" s="60"/>
      <c r="K1018" s="62"/>
      <c r="O1018" s="60"/>
      <c r="P1018" s="61"/>
      <c r="Q1018" s="62"/>
      <c r="R1018" s="61"/>
      <c r="S1018" s="62"/>
      <c r="T1018" s="61"/>
      <c r="U1018" s="62"/>
      <c r="V1018" s="61"/>
      <c r="W1018" s="62"/>
      <c r="X1018" s="61"/>
      <c r="Y1018" s="62"/>
      <c r="Z1018" s="61"/>
      <c r="AA1018" s="62"/>
    </row>
    <row r="1019" spans="3:27" ht="16.5" customHeight="1">
      <c r="C1019" s="118"/>
      <c r="E1019" s="61"/>
      <c r="H1019" s="61"/>
      <c r="I1019" s="60"/>
      <c r="K1019" s="62"/>
      <c r="O1019" s="60"/>
      <c r="P1019" s="61"/>
      <c r="Q1019" s="62"/>
      <c r="R1019" s="61"/>
      <c r="S1019" s="62"/>
      <c r="T1019" s="61"/>
      <c r="U1019" s="62"/>
      <c r="V1019" s="61"/>
      <c r="W1019" s="62"/>
      <c r="X1019" s="61"/>
      <c r="Y1019" s="62"/>
      <c r="Z1019" s="61"/>
      <c r="AA1019" s="62"/>
    </row>
    <row r="1020" spans="3:27" ht="16.5" customHeight="1">
      <c r="C1020" s="118"/>
      <c r="E1020" s="61"/>
      <c r="H1020" s="61"/>
      <c r="I1020" s="60"/>
      <c r="K1020" s="62"/>
      <c r="O1020" s="60"/>
      <c r="P1020" s="61"/>
      <c r="Q1020" s="62"/>
      <c r="R1020" s="61"/>
      <c r="S1020" s="62"/>
      <c r="T1020" s="61"/>
      <c r="U1020" s="62"/>
      <c r="V1020" s="61"/>
      <c r="W1020" s="62"/>
      <c r="X1020" s="61"/>
      <c r="Y1020" s="62"/>
      <c r="Z1020" s="61"/>
      <c r="AA1020" s="62"/>
    </row>
    <row r="1021" spans="3:27" ht="16.5" customHeight="1">
      <c r="C1021" s="118"/>
      <c r="E1021" s="61"/>
      <c r="H1021" s="61"/>
      <c r="I1021" s="60"/>
      <c r="K1021" s="62"/>
      <c r="O1021" s="60"/>
      <c r="P1021" s="61"/>
      <c r="Q1021" s="62"/>
      <c r="R1021" s="61"/>
      <c r="S1021" s="62"/>
      <c r="T1021" s="61"/>
      <c r="U1021" s="62"/>
      <c r="V1021" s="61"/>
      <c r="W1021" s="62"/>
      <c r="X1021" s="61"/>
      <c r="Y1021" s="62"/>
      <c r="Z1021" s="61"/>
      <c r="AA1021" s="62"/>
    </row>
    <row r="1022" spans="3:27" ht="16.5" customHeight="1">
      <c r="C1022" s="118"/>
      <c r="E1022" s="61"/>
      <c r="H1022" s="61"/>
      <c r="I1022" s="60"/>
      <c r="K1022" s="62"/>
      <c r="O1022" s="60"/>
      <c r="P1022" s="61"/>
      <c r="Q1022" s="62"/>
      <c r="R1022" s="61"/>
      <c r="S1022" s="62"/>
      <c r="T1022" s="61"/>
      <c r="U1022" s="62"/>
      <c r="V1022" s="61"/>
      <c r="W1022" s="62"/>
      <c r="X1022" s="61"/>
      <c r="Y1022" s="62"/>
      <c r="Z1022" s="61"/>
      <c r="AA1022" s="62"/>
    </row>
    <row r="1023" spans="3:27" ht="16.5" customHeight="1">
      <c r="C1023" s="118"/>
      <c r="E1023" s="61"/>
      <c r="H1023" s="61"/>
      <c r="I1023" s="60"/>
      <c r="K1023" s="62"/>
      <c r="O1023" s="60"/>
      <c r="P1023" s="61"/>
      <c r="Q1023" s="62"/>
      <c r="R1023" s="61"/>
      <c r="S1023" s="62"/>
      <c r="T1023" s="61"/>
      <c r="U1023" s="62"/>
      <c r="V1023" s="61"/>
      <c r="W1023" s="62"/>
      <c r="X1023" s="61"/>
      <c r="Y1023" s="62"/>
      <c r="Z1023" s="61"/>
      <c r="AA1023" s="62"/>
    </row>
    <row r="1024" spans="3:27" ht="16.5" customHeight="1">
      <c r="C1024" s="118"/>
      <c r="E1024" s="61"/>
      <c r="H1024" s="61"/>
      <c r="I1024" s="60"/>
      <c r="K1024" s="62"/>
      <c r="O1024" s="60"/>
      <c r="P1024" s="61"/>
      <c r="Q1024" s="62"/>
      <c r="R1024" s="61"/>
      <c r="S1024" s="62"/>
      <c r="T1024" s="61"/>
      <c r="U1024" s="62"/>
      <c r="V1024" s="61"/>
      <c r="W1024" s="62"/>
      <c r="X1024" s="61"/>
      <c r="Y1024" s="62"/>
      <c r="Z1024" s="61"/>
      <c r="AA1024" s="62"/>
    </row>
    <row r="1025" spans="3:27" ht="16.5" customHeight="1">
      <c r="C1025" s="118"/>
      <c r="E1025" s="61"/>
      <c r="H1025" s="61"/>
      <c r="I1025" s="60"/>
      <c r="K1025" s="62"/>
      <c r="O1025" s="60"/>
      <c r="P1025" s="61"/>
      <c r="Q1025" s="62"/>
      <c r="R1025" s="61"/>
      <c r="S1025" s="62"/>
      <c r="T1025" s="61"/>
      <c r="U1025" s="62"/>
      <c r="V1025" s="61"/>
      <c r="W1025" s="62"/>
      <c r="X1025" s="61"/>
      <c r="Y1025" s="62"/>
      <c r="Z1025" s="61"/>
      <c r="AA1025" s="62"/>
    </row>
    <row r="1026" spans="3:27" ht="16.5" customHeight="1">
      <c r="C1026" s="118"/>
      <c r="E1026" s="61"/>
      <c r="H1026" s="61"/>
      <c r="I1026" s="60"/>
      <c r="K1026" s="62"/>
      <c r="O1026" s="60"/>
      <c r="P1026" s="61"/>
      <c r="Q1026" s="62"/>
      <c r="R1026" s="61"/>
      <c r="S1026" s="62"/>
      <c r="T1026" s="61"/>
      <c r="U1026" s="62"/>
      <c r="V1026" s="61"/>
      <c r="W1026" s="62"/>
      <c r="X1026" s="61"/>
      <c r="Y1026" s="62"/>
      <c r="Z1026" s="61"/>
      <c r="AA1026" s="62"/>
    </row>
    <row r="1027" spans="3:27" ht="16.5" customHeight="1">
      <c r="C1027" s="118"/>
      <c r="E1027" s="61"/>
      <c r="H1027" s="61"/>
      <c r="I1027" s="60"/>
      <c r="K1027" s="62"/>
      <c r="O1027" s="60"/>
      <c r="P1027" s="61"/>
      <c r="Q1027" s="62"/>
      <c r="R1027" s="61"/>
      <c r="S1027" s="62"/>
      <c r="T1027" s="61"/>
      <c r="U1027" s="62"/>
      <c r="V1027" s="61"/>
      <c r="W1027" s="62"/>
      <c r="X1027" s="61"/>
      <c r="Y1027" s="62"/>
      <c r="Z1027" s="61"/>
      <c r="AA1027" s="62"/>
    </row>
    <row r="1028" spans="3:27" ht="16.5" customHeight="1">
      <c r="C1028" s="118"/>
      <c r="E1028" s="61"/>
      <c r="H1028" s="61"/>
      <c r="I1028" s="60"/>
      <c r="K1028" s="62"/>
      <c r="O1028" s="60"/>
      <c r="P1028" s="61"/>
      <c r="Q1028" s="62"/>
      <c r="R1028" s="61"/>
      <c r="S1028" s="62"/>
      <c r="T1028" s="61"/>
      <c r="U1028" s="62"/>
      <c r="V1028" s="61"/>
      <c r="W1028" s="62"/>
      <c r="X1028" s="61"/>
      <c r="Y1028" s="62"/>
      <c r="Z1028" s="61"/>
      <c r="AA1028" s="62"/>
    </row>
    <row r="1029" spans="3:27" ht="16.5" customHeight="1">
      <c r="C1029" s="118"/>
      <c r="E1029" s="61"/>
      <c r="H1029" s="61"/>
      <c r="I1029" s="60"/>
      <c r="K1029" s="62"/>
      <c r="O1029" s="60"/>
      <c r="P1029" s="61"/>
      <c r="Q1029" s="62"/>
      <c r="R1029" s="61"/>
      <c r="S1029" s="62"/>
      <c r="T1029" s="61"/>
      <c r="U1029" s="62"/>
      <c r="V1029" s="61"/>
      <c r="W1029" s="62"/>
      <c r="X1029" s="61"/>
      <c r="Y1029" s="62"/>
      <c r="Z1029" s="61"/>
      <c r="AA1029" s="62"/>
    </row>
    <row r="1030" spans="3:27" ht="16.5" customHeight="1">
      <c r="C1030" s="118"/>
      <c r="E1030" s="61"/>
      <c r="H1030" s="61"/>
      <c r="I1030" s="60"/>
      <c r="K1030" s="62"/>
      <c r="O1030" s="60"/>
      <c r="P1030" s="61"/>
      <c r="Q1030" s="62"/>
      <c r="R1030" s="61"/>
      <c r="S1030" s="62"/>
      <c r="T1030" s="61"/>
      <c r="U1030" s="62"/>
      <c r="V1030" s="61"/>
      <c r="W1030" s="62"/>
      <c r="X1030" s="61"/>
      <c r="Y1030" s="62"/>
      <c r="Z1030" s="61"/>
      <c r="AA1030" s="62"/>
    </row>
    <row r="1031" spans="3:27" ht="16.5" customHeight="1">
      <c r="C1031" s="118"/>
      <c r="E1031" s="61"/>
      <c r="H1031" s="61"/>
      <c r="I1031" s="60"/>
      <c r="K1031" s="62"/>
      <c r="O1031" s="60"/>
      <c r="P1031" s="61"/>
      <c r="Q1031" s="62"/>
      <c r="R1031" s="61"/>
      <c r="S1031" s="62"/>
      <c r="T1031" s="61"/>
      <c r="U1031" s="62"/>
      <c r="V1031" s="61"/>
      <c r="W1031" s="62"/>
      <c r="X1031" s="61"/>
      <c r="Y1031" s="62"/>
      <c r="Z1031" s="61"/>
      <c r="AA1031" s="62"/>
    </row>
    <row r="1032" spans="3:27" ht="16.5" customHeight="1">
      <c r="C1032" s="118"/>
      <c r="E1032" s="61"/>
      <c r="H1032" s="61"/>
      <c r="I1032" s="60"/>
      <c r="K1032" s="62"/>
      <c r="O1032" s="60"/>
      <c r="P1032" s="61"/>
      <c r="Q1032" s="62"/>
      <c r="R1032" s="61"/>
      <c r="S1032" s="62"/>
      <c r="T1032" s="61"/>
      <c r="U1032" s="62"/>
      <c r="V1032" s="61"/>
      <c r="W1032" s="62"/>
      <c r="X1032" s="61"/>
      <c r="Y1032" s="62"/>
      <c r="Z1032" s="61"/>
      <c r="AA1032" s="62"/>
    </row>
    <row r="1033" spans="3:27" ht="16.5" customHeight="1">
      <c r="C1033" s="118"/>
      <c r="E1033" s="61"/>
      <c r="H1033" s="61"/>
      <c r="I1033" s="60"/>
      <c r="K1033" s="62"/>
      <c r="O1033" s="60"/>
      <c r="P1033" s="61"/>
      <c r="Q1033" s="62"/>
      <c r="R1033" s="61"/>
      <c r="S1033" s="62"/>
      <c r="T1033" s="61"/>
      <c r="U1033" s="62"/>
      <c r="V1033" s="61"/>
      <c r="W1033" s="62"/>
      <c r="X1033" s="61"/>
      <c r="Y1033" s="62"/>
      <c r="Z1033" s="61"/>
      <c r="AA1033" s="62"/>
    </row>
    <row r="1034" spans="3:27" ht="16.5" customHeight="1">
      <c r="C1034" s="118"/>
      <c r="E1034" s="61"/>
      <c r="H1034" s="61"/>
      <c r="I1034" s="60"/>
      <c r="K1034" s="62"/>
      <c r="O1034" s="60"/>
      <c r="P1034" s="61"/>
      <c r="Q1034" s="62"/>
      <c r="R1034" s="61"/>
      <c r="S1034" s="62"/>
      <c r="T1034" s="61"/>
      <c r="U1034" s="62"/>
      <c r="V1034" s="61"/>
      <c r="W1034" s="62"/>
      <c r="X1034" s="61"/>
      <c r="Y1034" s="62"/>
      <c r="Z1034" s="61"/>
      <c r="AA1034" s="62"/>
    </row>
    <row r="1035" spans="3:27" ht="16.5" customHeight="1">
      <c r="C1035" s="118"/>
      <c r="E1035" s="61"/>
      <c r="H1035" s="61"/>
      <c r="I1035" s="60"/>
      <c r="K1035" s="62"/>
      <c r="O1035" s="60"/>
      <c r="P1035" s="61"/>
      <c r="Q1035" s="62"/>
      <c r="R1035" s="61"/>
      <c r="S1035" s="62"/>
      <c r="T1035" s="61"/>
      <c r="U1035" s="62"/>
      <c r="V1035" s="61"/>
      <c r="W1035" s="62"/>
      <c r="X1035" s="61"/>
      <c r="Y1035" s="62"/>
      <c r="Z1035" s="61"/>
      <c r="AA1035" s="62"/>
    </row>
    <row r="1036" spans="3:27" ht="16.5" customHeight="1">
      <c r="C1036" s="118"/>
      <c r="E1036" s="61"/>
      <c r="H1036" s="61"/>
      <c r="I1036" s="60"/>
      <c r="K1036" s="62"/>
      <c r="O1036" s="60"/>
      <c r="P1036" s="61"/>
      <c r="Q1036" s="62"/>
      <c r="R1036" s="61"/>
      <c r="S1036" s="62"/>
      <c r="T1036" s="61"/>
      <c r="U1036" s="62"/>
      <c r="V1036" s="61"/>
      <c r="W1036" s="62"/>
      <c r="X1036" s="61"/>
      <c r="Y1036" s="62"/>
      <c r="Z1036" s="61"/>
      <c r="AA1036" s="62"/>
    </row>
    <row r="1037" spans="3:27" ht="16.5" customHeight="1">
      <c r="C1037" s="118"/>
      <c r="E1037" s="61"/>
      <c r="H1037" s="61"/>
      <c r="I1037" s="60"/>
      <c r="K1037" s="62"/>
      <c r="O1037" s="60"/>
      <c r="P1037" s="61"/>
      <c r="Q1037" s="62"/>
      <c r="R1037" s="61"/>
      <c r="S1037" s="62"/>
      <c r="T1037" s="61"/>
      <c r="U1037" s="62"/>
      <c r="V1037" s="61"/>
      <c r="W1037" s="62"/>
      <c r="X1037" s="61"/>
      <c r="Y1037" s="62"/>
      <c r="Z1037" s="61"/>
      <c r="AA1037" s="62"/>
    </row>
    <row r="1038" spans="3:27" ht="16.5" customHeight="1">
      <c r="C1038" s="118"/>
      <c r="E1038" s="61"/>
      <c r="H1038" s="61"/>
      <c r="I1038" s="60"/>
      <c r="K1038" s="62"/>
      <c r="O1038" s="60"/>
      <c r="P1038" s="61"/>
      <c r="Q1038" s="62"/>
      <c r="R1038" s="61"/>
      <c r="S1038" s="62"/>
      <c r="T1038" s="61"/>
      <c r="U1038" s="62"/>
      <c r="V1038" s="61"/>
      <c r="W1038" s="62"/>
      <c r="X1038" s="61"/>
      <c r="Y1038" s="62"/>
      <c r="Z1038" s="61"/>
      <c r="AA1038" s="62"/>
    </row>
    <row r="1039" spans="3:27" ht="16.5" customHeight="1">
      <c r="C1039" s="118"/>
      <c r="E1039" s="61"/>
      <c r="H1039" s="61"/>
      <c r="I1039" s="60"/>
      <c r="K1039" s="62"/>
      <c r="O1039" s="60"/>
      <c r="P1039" s="61"/>
      <c r="Q1039" s="62"/>
      <c r="R1039" s="61"/>
      <c r="S1039" s="62"/>
      <c r="T1039" s="61"/>
      <c r="U1039" s="62"/>
      <c r="V1039" s="61"/>
      <c r="W1039" s="62"/>
      <c r="X1039" s="61"/>
      <c r="Y1039" s="62"/>
      <c r="Z1039" s="61"/>
      <c r="AA1039" s="62"/>
    </row>
    <row r="1040" spans="3:27" ht="16.5" customHeight="1">
      <c r="C1040" s="118"/>
      <c r="E1040" s="61"/>
      <c r="H1040" s="61"/>
      <c r="I1040" s="60"/>
      <c r="K1040" s="62"/>
      <c r="O1040" s="60"/>
      <c r="P1040" s="61"/>
      <c r="Q1040" s="62"/>
      <c r="R1040" s="61"/>
      <c r="S1040" s="62"/>
      <c r="T1040" s="61"/>
      <c r="U1040" s="62"/>
      <c r="V1040" s="61"/>
      <c r="W1040" s="62"/>
      <c r="X1040" s="61"/>
      <c r="Y1040" s="62"/>
      <c r="Z1040" s="61"/>
      <c r="AA1040" s="62"/>
    </row>
    <row r="1041" spans="3:27" ht="16.5" customHeight="1">
      <c r="C1041" s="118"/>
      <c r="E1041" s="61"/>
      <c r="H1041" s="61"/>
      <c r="I1041" s="60"/>
      <c r="K1041" s="62"/>
      <c r="O1041" s="60"/>
      <c r="P1041" s="61"/>
      <c r="Q1041" s="62"/>
      <c r="R1041" s="61"/>
      <c r="S1041" s="62"/>
      <c r="T1041" s="61"/>
      <c r="U1041" s="62"/>
      <c r="V1041" s="61"/>
      <c r="W1041" s="62"/>
      <c r="X1041" s="61"/>
      <c r="Y1041" s="62"/>
      <c r="Z1041" s="61"/>
      <c r="AA1041" s="62"/>
    </row>
    <row r="1042" spans="3:27" ht="16.5" customHeight="1">
      <c r="C1042" s="118"/>
      <c r="E1042" s="61"/>
      <c r="H1042" s="61"/>
      <c r="I1042" s="60"/>
      <c r="K1042" s="62"/>
      <c r="O1042" s="60"/>
      <c r="P1042" s="61"/>
      <c r="Q1042" s="62"/>
      <c r="R1042" s="61"/>
      <c r="S1042" s="62"/>
      <c r="T1042" s="61"/>
      <c r="U1042" s="62"/>
      <c r="V1042" s="61"/>
      <c r="W1042" s="62"/>
      <c r="X1042" s="61"/>
      <c r="Y1042" s="62"/>
      <c r="Z1042" s="61"/>
      <c r="AA1042" s="62"/>
    </row>
    <row r="1043" spans="3:27" ht="16.5" customHeight="1">
      <c r="C1043" s="118"/>
      <c r="E1043" s="61"/>
      <c r="H1043" s="61"/>
      <c r="I1043" s="60"/>
      <c r="K1043" s="62"/>
      <c r="O1043" s="60"/>
      <c r="P1043" s="61"/>
      <c r="Q1043" s="62"/>
      <c r="R1043" s="61"/>
      <c r="S1043" s="62"/>
      <c r="T1043" s="61"/>
      <c r="U1043" s="62"/>
      <c r="V1043" s="61"/>
      <c r="W1043" s="62"/>
      <c r="X1043" s="61"/>
      <c r="Y1043" s="62"/>
      <c r="Z1043" s="61"/>
      <c r="AA1043" s="62"/>
    </row>
    <row r="1044" spans="3:27" ht="16.5" customHeight="1">
      <c r="C1044" s="118"/>
      <c r="E1044" s="61"/>
      <c r="H1044" s="61"/>
      <c r="I1044" s="60"/>
      <c r="K1044" s="62"/>
      <c r="O1044" s="60"/>
      <c r="P1044" s="61"/>
      <c r="Q1044" s="62"/>
      <c r="R1044" s="61"/>
      <c r="S1044" s="62"/>
      <c r="T1044" s="61"/>
      <c r="U1044" s="62"/>
      <c r="V1044" s="61"/>
      <c r="W1044" s="62"/>
      <c r="X1044" s="61"/>
      <c r="Y1044" s="62"/>
      <c r="Z1044" s="61"/>
      <c r="AA1044" s="62"/>
    </row>
    <row r="1045" spans="3:27" ht="16.5" customHeight="1">
      <c r="C1045" s="118"/>
      <c r="E1045" s="61"/>
      <c r="H1045" s="61"/>
      <c r="I1045" s="60"/>
      <c r="K1045" s="62"/>
      <c r="O1045" s="60"/>
      <c r="P1045" s="61"/>
      <c r="Q1045" s="62"/>
      <c r="R1045" s="61"/>
      <c r="S1045" s="62"/>
      <c r="T1045" s="61"/>
      <c r="U1045" s="62"/>
      <c r="V1045" s="61"/>
      <c r="W1045" s="62"/>
      <c r="X1045" s="61"/>
      <c r="Y1045" s="62"/>
      <c r="Z1045" s="61"/>
      <c r="AA1045" s="62"/>
    </row>
    <row r="1046" spans="3:27" ht="16.5" customHeight="1">
      <c r="C1046" s="118"/>
      <c r="E1046" s="61"/>
      <c r="H1046" s="61"/>
      <c r="I1046" s="60"/>
      <c r="K1046" s="62"/>
      <c r="O1046" s="60"/>
      <c r="P1046" s="61"/>
      <c r="Q1046" s="62"/>
      <c r="R1046" s="61"/>
      <c r="S1046" s="62"/>
      <c r="T1046" s="61"/>
      <c r="U1046" s="62"/>
      <c r="V1046" s="61"/>
      <c r="W1046" s="62"/>
      <c r="X1046" s="61"/>
      <c r="Y1046" s="62"/>
      <c r="Z1046" s="61"/>
      <c r="AA1046" s="62"/>
    </row>
    <row r="1047" spans="3:27" ht="16.5" customHeight="1">
      <c r="C1047" s="118"/>
      <c r="E1047" s="61"/>
      <c r="H1047" s="61"/>
      <c r="I1047" s="60"/>
      <c r="K1047" s="62"/>
      <c r="O1047" s="60"/>
      <c r="P1047" s="61"/>
      <c r="Q1047" s="62"/>
      <c r="R1047" s="61"/>
      <c r="S1047" s="62"/>
      <c r="T1047" s="61"/>
      <c r="U1047" s="62"/>
      <c r="V1047" s="61"/>
      <c r="W1047" s="62"/>
      <c r="X1047" s="61"/>
      <c r="Y1047" s="62"/>
      <c r="Z1047" s="61"/>
      <c r="AA1047" s="62"/>
    </row>
    <row r="1048" spans="3:27" ht="16.5" customHeight="1">
      <c r="C1048" s="118"/>
      <c r="E1048" s="61"/>
      <c r="H1048" s="61"/>
      <c r="I1048" s="60"/>
      <c r="K1048" s="62"/>
      <c r="O1048" s="60"/>
      <c r="P1048" s="61"/>
      <c r="Q1048" s="62"/>
      <c r="R1048" s="61"/>
      <c r="S1048" s="62"/>
      <c r="T1048" s="61"/>
      <c r="U1048" s="62"/>
      <c r="V1048" s="61"/>
      <c r="W1048" s="62"/>
      <c r="X1048" s="61"/>
      <c r="Y1048" s="62"/>
      <c r="Z1048" s="61"/>
      <c r="AA1048" s="62"/>
    </row>
    <row r="1049" spans="3:27" ht="16.5" customHeight="1">
      <c r="C1049" s="118"/>
      <c r="E1049" s="61"/>
      <c r="H1049" s="61"/>
      <c r="I1049" s="60"/>
      <c r="K1049" s="62"/>
      <c r="O1049" s="60"/>
      <c r="P1049" s="61"/>
      <c r="Q1049" s="62"/>
      <c r="R1049" s="61"/>
      <c r="S1049" s="62"/>
      <c r="T1049" s="61"/>
      <c r="U1049" s="62"/>
      <c r="V1049" s="61"/>
      <c r="W1049" s="62"/>
      <c r="X1049" s="61"/>
      <c r="Y1049" s="62"/>
      <c r="Z1049" s="61"/>
      <c r="AA1049" s="62"/>
    </row>
    <row r="1050" spans="3:27" ht="16.5" customHeight="1">
      <c r="C1050" s="118"/>
      <c r="E1050" s="61"/>
      <c r="H1050" s="61"/>
      <c r="I1050" s="60"/>
      <c r="K1050" s="62"/>
      <c r="O1050" s="60"/>
      <c r="P1050" s="61"/>
      <c r="Q1050" s="62"/>
      <c r="R1050" s="61"/>
      <c r="S1050" s="62"/>
      <c r="T1050" s="61"/>
      <c r="U1050" s="62"/>
      <c r="V1050" s="61"/>
      <c r="W1050" s="62"/>
      <c r="X1050" s="61"/>
      <c r="Y1050" s="62"/>
      <c r="Z1050" s="61"/>
      <c r="AA1050" s="62"/>
    </row>
    <row r="1051" spans="3:27" ht="16.5" customHeight="1">
      <c r="C1051" s="118"/>
      <c r="E1051" s="61"/>
      <c r="H1051" s="61"/>
      <c r="I1051" s="60"/>
      <c r="K1051" s="62"/>
      <c r="O1051" s="60"/>
      <c r="P1051" s="61"/>
      <c r="Q1051" s="62"/>
      <c r="R1051" s="61"/>
      <c r="S1051" s="62"/>
      <c r="T1051" s="61"/>
      <c r="U1051" s="62"/>
      <c r="V1051" s="61"/>
      <c r="W1051" s="62"/>
      <c r="X1051" s="61"/>
      <c r="Y1051" s="62"/>
      <c r="Z1051" s="61"/>
      <c r="AA1051" s="62"/>
    </row>
    <row r="1052" spans="3:27" ht="16.5" customHeight="1">
      <c r="C1052" s="118"/>
      <c r="E1052" s="61"/>
      <c r="H1052" s="61"/>
      <c r="I1052" s="60"/>
      <c r="K1052" s="62"/>
      <c r="O1052" s="60"/>
      <c r="P1052" s="61"/>
      <c r="Q1052" s="62"/>
      <c r="R1052" s="61"/>
      <c r="S1052" s="62"/>
      <c r="T1052" s="61"/>
      <c r="U1052" s="62"/>
      <c r="V1052" s="61"/>
      <c r="W1052" s="62"/>
      <c r="X1052" s="61"/>
      <c r="Y1052" s="62"/>
      <c r="Z1052" s="61"/>
      <c r="AA1052" s="62"/>
    </row>
    <row r="1053" spans="3:27" ht="16.5" customHeight="1">
      <c r="C1053" s="118"/>
      <c r="E1053" s="61"/>
      <c r="H1053" s="61"/>
      <c r="I1053" s="60"/>
      <c r="K1053" s="62"/>
      <c r="O1053" s="60"/>
      <c r="P1053" s="61"/>
      <c r="Q1053" s="62"/>
      <c r="R1053" s="61"/>
      <c r="S1053" s="62"/>
      <c r="T1053" s="61"/>
      <c r="U1053" s="62"/>
      <c r="V1053" s="61"/>
      <c r="W1053" s="62"/>
      <c r="X1053" s="61"/>
      <c r="Y1053" s="62"/>
      <c r="Z1053" s="61"/>
      <c r="AA1053" s="62"/>
    </row>
    <row r="1054" spans="3:27" ht="16.5" customHeight="1">
      <c r="C1054" s="118"/>
      <c r="E1054" s="61"/>
      <c r="H1054" s="61"/>
      <c r="I1054" s="60"/>
      <c r="K1054" s="62"/>
      <c r="O1054" s="60"/>
      <c r="P1054" s="61"/>
      <c r="Q1054" s="62"/>
      <c r="R1054" s="61"/>
      <c r="S1054" s="62"/>
      <c r="T1054" s="61"/>
      <c r="U1054" s="62"/>
      <c r="V1054" s="61"/>
      <c r="W1054" s="62"/>
      <c r="X1054" s="61"/>
      <c r="Y1054" s="62"/>
      <c r="Z1054" s="61"/>
      <c r="AA1054" s="62"/>
    </row>
    <row r="1055" spans="3:27" ht="16.5" customHeight="1">
      <c r="C1055" s="118"/>
      <c r="E1055" s="61"/>
      <c r="H1055" s="61"/>
      <c r="I1055" s="60"/>
      <c r="K1055" s="62"/>
      <c r="O1055" s="60"/>
      <c r="P1055" s="61"/>
      <c r="Q1055" s="62"/>
      <c r="R1055" s="61"/>
      <c r="S1055" s="62"/>
      <c r="T1055" s="61"/>
      <c r="U1055" s="62"/>
      <c r="V1055" s="61"/>
      <c r="W1055" s="62"/>
      <c r="X1055" s="61"/>
      <c r="Y1055" s="62"/>
      <c r="Z1055" s="61"/>
      <c r="AA1055" s="62"/>
    </row>
    <row r="1056" spans="3:27" ht="16.5" customHeight="1">
      <c r="C1056" s="118"/>
      <c r="E1056" s="61"/>
      <c r="H1056" s="61"/>
      <c r="I1056" s="60"/>
      <c r="K1056" s="62"/>
      <c r="O1056" s="60"/>
      <c r="P1056" s="61"/>
      <c r="Q1056" s="62"/>
      <c r="R1056" s="61"/>
      <c r="S1056" s="62"/>
      <c r="T1056" s="61"/>
      <c r="U1056" s="62"/>
      <c r="V1056" s="61"/>
      <c r="W1056" s="62"/>
      <c r="X1056" s="61"/>
      <c r="Y1056" s="62"/>
      <c r="Z1056" s="61"/>
      <c r="AA1056" s="62"/>
    </row>
    <row r="1057" spans="3:27" ht="16.5" customHeight="1">
      <c r="C1057" s="118"/>
      <c r="E1057" s="61"/>
      <c r="H1057" s="61"/>
      <c r="I1057" s="60"/>
      <c r="K1057" s="62"/>
      <c r="O1057" s="60"/>
      <c r="P1057" s="61"/>
      <c r="Q1057" s="62"/>
      <c r="R1057" s="61"/>
      <c r="S1057" s="62"/>
      <c r="T1057" s="61"/>
      <c r="U1057" s="62"/>
      <c r="V1057" s="61"/>
      <c r="W1057" s="62"/>
      <c r="X1057" s="61"/>
      <c r="Y1057" s="62"/>
      <c r="Z1057" s="61"/>
      <c r="AA1057" s="62"/>
    </row>
    <row r="1058" spans="3:27" ht="16.5" customHeight="1">
      <c r="C1058" s="118"/>
      <c r="E1058" s="61"/>
      <c r="H1058" s="61"/>
      <c r="I1058" s="60"/>
      <c r="K1058" s="62"/>
      <c r="O1058" s="60"/>
      <c r="P1058" s="61"/>
      <c r="Q1058" s="62"/>
      <c r="R1058" s="61"/>
      <c r="S1058" s="62"/>
      <c r="T1058" s="61"/>
      <c r="U1058" s="62"/>
      <c r="V1058" s="61"/>
      <c r="W1058" s="62"/>
      <c r="X1058" s="61"/>
      <c r="Y1058" s="62"/>
      <c r="Z1058" s="61"/>
      <c r="AA1058" s="62"/>
    </row>
    <row r="1059" spans="3:27" ht="16.5" customHeight="1">
      <c r="C1059" s="118"/>
      <c r="E1059" s="61"/>
      <c r="H1059" s="61"/>
      <c r="I1059" s="60"/>
      <c r="K1059" s="62"/>
      <c r="O1059" s="60"/>
      <c r="P1059" s="61"/>
      <c r="Q1059" s="62"/>
      <c r="R1059" s="61"/>
      <c r="S1059" s="62"/>
      <c r="T1059" s="61"/>
      <c r="U1059" s="62"/>
      <c r="V1059" s="61"/>
      <c r="W1059" s="62"/>
      <c r="X1059" s="61"/>
      <c r="Y1059" s="62"/>
      <c r="Z1059" s="61"/>
      <c r="AA1059" s="62"/>
    </row>
    <row r="1060" spans="3:27" ht="16.5" customHeight="1">
      <c r="C1060" s="118"/>
      <c r="E1060" s="61"/>
      <c r="H1060" s="61"/>
      <c r="I1060" s="60"/>
      <c r="K1060" s="62"/>
      <c r="O1060" s="60"/>
      <c r="P1060" s="61"/>
      <c r="Q1060" s="62"/>
      <c r="R1060" s="61"/>
      <c r="S1060" s="62"/>
      <c r="T1060" s="61"/>
      <c r="U1060" s="62"/>
      <c r="V1060" s="61"/>
      <c r="W1060" s="62"/>
      <c r="X1060" s="61"/>
      <c r="Y1060" s="62"/>
      <c r="Z1060" s="61"/>
      <c r="AA1060" s="62"/>
    </row>
    <row r="1061" spans="3:27" ht="16.5" customHeight="1">
      <c r="C1061" s="118"/>
      <c r="E1061" s="61"/>
      <c r="H1061" s="61"/>
      <c r="I1061" s="60"/>
      <c r="K1061" s="62"/>
      <c r="O1061" s="60"/>
      <c r="P1061" s="61"/>
      <c r="Q1061" s="62"/>
      <c r="R1061" s="61"/>
      <c r="S1061" s="62"/>
      <c r="T1061" s="61"/>
      <c r="U1061" s="62"/>
      <c r="V1061" s="61"/>
      <c r="W1061" s="62"/>
      <c r="X1061" s="61"/>
      <c r="Y1061" s="62"/>
      <c r="Z1061" s="61"/>
      <c r="AA1061" s="62"/>
    </row>
    <row r="1062" spans="3:27" ht="16.5" customHeight="1">
      <c r="C1062" s="118"/>
      <c r="E1062" s="61"/>
      <c r="H1062" s="61"/>
      <c r="I1062" s="60"/>
      <c r="K1062" s="62"/>
      <c r="O1062" s="60"/>
      <c r="P1062" s="61"/>
      <c r="Q1062" s="62"/>
      <c r="R1062" s="61"/>
      <c r="S1062" s="62"/>
      <c r="T1062" s="61"/>
      <c r="U1062" s="62"/>
      <c r="V1062" s="61"/>
      <c r="W1062" s="62"/>
      <c r="X1062" s="61"/>
      <c r="Y1062" s="62"/>
      <c r="Z1062" s="61"/>
      <c r="AA1062" s="62"/>
    </row>
    <row r="1063" spans="3:27" ht="16.5" customHeight="1">
      <c r="C1063" s="118"/>
      <c r="E1063" s="61"/>
      <c r="H1063" s="61"/>
      <c r="I1063" s="60"/>
      <c r="K1063" s="62"/>
      <c r="O1063" s="60"/>
      <c r="P1063" s="61"/>
      <c r="Q1063" s="62"/>
      <c r="R1063" s="61"/>
      <c r="S1063" s="62"/>
      <c r="T1063" s="61"/>
      <c r="U1063" s="62"/>
      <c r="V1063" s="61"/>
      <c r="W1063" s="62"/>
      <c r="X1063" s="61"/>
      <c r="Y1063" s="62"/>
      <c r="Z1063" s="61"/>
      <c r="AA1063" s="62"/>
    </row>
    <row r="1064" spans="3:27" ht="16.5" customHeight="1">
      <c r="C1064" s="118"/>
      <c r="E1064" s="61"/>
      <c r="H1064" s="61"/>
      <c r="I1064" s="60"/>
      <c r="K1064" s="62"/>
      <c r="O1064" s="60"/>
      <c r="P1064" s="61"/>
      <c r="Q1064" s="62"/>
      <c r="R1064" s="61"/>
      <c r="S1064" s="62"/>
      <c r="T1064" s="61"/>
      <c r="U1064" s="62"/>
      <c r="V1064" s="61"/>
      <c r="W1064" s="62"/>
      <c r="X1064" s="61"/>
      <c r="Y1064" s="62"/>
      <c r="Z1064" s="61"/>
      <c r="AA1064" s="62"/>
    </row>
    <row r="1065" spans="3:27" ht="16.5" customHeight="1">
      <c r="C1065" s="118"/>
      <c r="E1065" s="61"/>
      <c r="H1065" s="61"/>
      <c r="I1065" s="60"/>
      <c r="K1065" s="62"/>
      <c r="O1065" s="60"/>
      <c r="P1065" s="61"/>
      <c r="Q1065" s="62"/>
      <c r="R1065" s="61"/>
      <c r="S1065" s="62"/>
      <c r="T1065" s="61"/>
      <c r="U1065" s="62"/>
      <c r="V1065" s="61"/>
      <c r="W1065" s="62"/>
      <c r="X1065" s="61"/>
      <c r="Y1065" s="62"/>
      <c r="Z1065" s="61"/>
      <c r="AA1065" s="62"/>
    </row>
    <row r="1066" spans="3:27" ht="16.5" customHeight="1">
      <c r="C1066" s="118"/>
      <c r="E1066" s="61"/>
      <c r="H1066" s="61"/>
      <c r="I1066" s="60"/>
      <c r="K1066" s="62"/>
      <c r="O1066" s="60"/>
      <c r="P1066" s="61"/>
      <c r="Q1066" s="62"/>
      <c r="R1066" s="61"/>
      <c r="S1066" s="62"/>
      <c r="T1066" s="61"/>
      <c r="U1066" s="62"/>
      <c r="V1066" s="61"/>
      <c r="W1066" s="62"/>
      <c r="X1066" s="61"/>
      <c r="Y1066" s="62"/>
      <c r="Z1066" s="61"/>
      <c r="AA1066" s="62"/>
    </row>
    <row r="1067" spans="3:27" ht="16.5" customHeight="1">
      <c r="C1067" s="118"/>
      <c r="E1067" s="61"/>
      <c r="H1067" s="61"/>
      <c r="I1067" s="60"/>
      <c r="K1067" s="62"/>
      <c r="O1067" s="60"/>
      <c r="P1067" s="61"/>
      <c r="Q1067" s="62"/>
      <c r="R1067" s="61"/>
      <c r="S1067" s="62"/>
      <c r="T1067" s="61"/>
      <c r="U1067" s="62"/>
      <c r="V1067" s="61"/>
      <c r="W1067" s="62"/>
      <c r="X1067" s="61"/>
      <c r="Y1067" s="62"/>
      <c r="Z1067" s="61"/>
      <c r="AA1067" s="62"/>
    </row>
    <row r="1068" spans="3:27" ht="16.5" customHeight="1">
      <c r="C1068" s="118"/>
      <c r="E1068" s="61"/>
      <c r="H1068" s="61"/>
      <c r="I1068" s="60"/>
      <c r="K1068" s="62"/>
      <c r="O1068" s="60"/>
      <c r="P1068" s="61"/>
      <c r="Q1068" s="62"/>
      <c r="R1068" s="61"/>
      <c r="S1068" s="62"/>
      <c r="T1068" s="61"/>
      <c r="U1068" s="62"/>
      <c r="V1068" s="61"/>
      <c r="W1068" s="62"/>
      <c r="X1068" s="61"/>
      <c r="Y1068" s="62"/>
      <c r="Z1068" s="61"/>
      <c r="AA1068" s="62"/>
    </row>
    <row r="1069" spans="3:27" ht="16.5" customHeight="1">
      <c r="C1069" s="118"/>
      <c r="E1069" s="61"/>
      <c r="H1069" s="61"/>
      <c r="I1069" s="60"/>
      <c r="K1069" s="62"/>
      <c r="O1069" s="60"/>
      <c r="P1069" s="61"/>
      <c r="Q1069" s="62"/>
      <c r="R1069" s="61"/>
      <c r="S1069" s="62"/>
      <c r="T1069" s="61"/>
      <c r="U1069" s="62"/>
      <c r="V1069" s="61"/>
      <c r="W1069" s="62"/>
      <c r="X1069" s="61"/>
      <c r="Y1069" s="62"/>
      <c r="Z1069" s="61"/>
      <c r="AA1069" s="62"/>
    </row>
    <row r="1070" spans="3:27" ht="16.5" customHeight="1">
      <c r="C1070" s="118"/>
      <c r="E1070" s="61"/>
      <c r="H1070" s="61"/>
      <c r="I1070" s="60"/>
      <c r="K1070" s="62"/>
      <c r="O1070" s="60"/>
      <c r="P1070" s="61"/>
      <c r="Q1070" s="62"/>
      <c r="R1070" s="61"/>
      <c r="S1070" s="62"/>
      <c r="T1070" s="61"/>
      <c r="U1070" s="62"/>
      <c r="V1070" s="61"/>
      <c r="W1070" s="62"/>
      <c r="X1070" s="61"/>
      <c r="Y1070" s="62"/>
      <c r="Z1070" s="61"/>
      <c r="AA1070" s="62"/>
    </row>
    <row r="1071" spans="3:27" ht="16.5" customHeight="1">
      <c r="C1071" s="118"/>
      <c r="E1071" s="61"/>
      <c r="H1071" s="61"/>
      <c r="I1071" s="60"/>
      <c r="K1071" s="62"/>
      <c r="O1071" s="60"/>
      <c r="P1071" s="61"/>
      <c r="Q1071" s="62"/>
      <c r="R1071" s="61"/>
      <c r="S1071" s="62"/>
      <c r="T1071" s="61"/>
      <c r="U1071" s="62"/>
      <c r="V1071" s="61"/>
      <c r="W1071" s="62"/>
      <c r="X1071" s="61"/>
      <c r="Y1071" s="62"/>
      <c r="Z1071" s="61"/>
      <c r="AA1071" s="62"/>
    </row>
    <row r="1072" spans="3:27" ht="16.5" customHeight="1">
      <c r="C1072" s="118"/>
      <c r="E1072" s="61"/>
      <c r="H1072" s="61"/>
      <c r="I1072" s="60"/>
      <c r="K1072" s="62"/>
      <c r="O1072" s="60"/>
      <c r="P1072" s="61"/>
      <c r="Q1072" s="62"/>
      <c r="R1072" s="61"/>
      <c r="S1072" s="62"/>
      <c r="T1072" s="61"/>
      <c r="U1072" s="62"/>
      <c r="V1072" s="61"/>
      <c r="W1072" s="62"/>
      <c r="X1072" s="61"/>
      <c r="Y1072" s="62"/>
      <c r="Z1072" s="61"/>
      <c r="AA1072" s="62"/>
    </row>
    <row r="1073" spans="3:27" ht="16.5" customHeight="1">
      <c r="C1073" s="118"/>
      <c r="E1073" s="61"/>
      <c r="H1073" s="61"/>
      <c r="I1073" s="60"/>
      <c r="K1073" s="62"/>
      <c r="O1073" s="60"/>
      <c r="P1073" s="61"/>
      <c r="Q1073" s="62"/>
      <c r="R1073" s="61"/>
      <c r="S1073" s="62"/>
      <c r="T1073" s="61"/>
      <c r="U1073" s="62"/>
      <c r="V1073" s="61"/>
      <c r="W1073" s="62"/>
      <c r="X1073" s="61"/>
      <c r="Y1073" s="62"/>
      <c r="Z1073" s="61"/>
      <c r="AA1073" s="62"/>
    </row>
    <row r="1074" spans="3:27" ht="16.5" customHeight="1">
      <c r="C1074" s="118"/>
      <c r="E1074" s="61"/>
      <c r="H1074" s="61"/>
      <c r="I1074" s="60"/>
      <c r="K1074" s="62"/>
      <c r="O1074" s="60"/>
      <c r="P1074" s="61"/>
      <c r="Q1074" s="62"/>
      <c r="R1074" s="61"/>
      <c r="S1074" s="62"/>
      <c r="T1074" s="61"/>
      <c r="U1074" s="62"/>
      <c r="V1074" s="61"/>
      <c r="W1074" s="62"/>
      <c r="X1074" s="61"/>
      <c r="Y1074" s="62"/>
      <c r="Z1074" s="61"/>
      <c r="AA1074" s="62"/>
    </row>
  </sheetData>
  <mergeCells count="66">
    <mergeCell ref="Z2:AA2"/>
    <mergeCell ref="E7:F7"/>
    <mergeCell ref="K4:K14"/>
    <mergeCell ref="D10:F14"/>
    <mergeCell ref="E9:F9"/>
    <mergeCell ref="E4:F4"/>
    <mergeCell ref="E5:F5"/>
    <mergeCell ref="E8:F8"/>
    <mergeCell ref="E6:F6"/>
    <mergeCell ref="D3:F3"/>
    <mergeCell ref="R2:S2"/>
    <mergeCell ref="T2:U2"/>
    <mergeCell ref="V2:W2"/>
    <mergeCell ref="X2:Y2"/>
    <mergeCell ref="A1:K1"/>
    <mergeCell ref="P2:Q2"/>
    <mergeCell ref="B32:B41"/>
    <mergeCell ref="I31:J31"/>
    <mergeCell ref="C4:C14"/>
    <mergeCell ref="B17:D17"/>
    <mergeCell ref="A18:B18"/>
    <mergeCell ref="A19:A30"/>
    <mergeCell ref="I18:J18"/>
    <mergeCell ref="B15:D15"/>
    <mergeCell ref="A4:A17"/>
    <mergeCell ref="B4:B14"/>
    <mergeCell ref="A31:B31"/>
    <mergeCell ref="A32:A47"/>
    <mergeCell ref="B42:D42"/>
    <mergeCell ref="B43:B45"/>
    <mergeCell ref="B69:B88"/>
    <mergeCell ref="C84:C88"/>
    <mergeCell ref="C70:C78"/>
    <mergeCell ref="B196:D196"/>
    <mergeCell ref="B160:D160"/>
    <mergeCell ref="B154:D154"/>
    <mergeCell ref="B108:B113"/>
    <mergeCell ref="B104:B107"/>
    <mergeCell ref="C79:C83"/>
    <mergeCell ref="I48:J48"/>
    <mergeCell ref="B46:D46"/>
    <mergeCell ref="A48:B48"/>
    <mergeCell ref="B49:B52"/>
    <mergeCell ref="C53:C54"/>
    <mergeCell ref="A49:A67"/>
    <mergeCell ref="B53:B67"/>
    <mergeCell ref="C55:C67"/>
    <mergeCell ref="D55:D58"/>
    <mergeCell ref="D59:D63"/>
    <mergeCell ref="D64:D67"/>
    <mergeCell ref="I197:J197"/>
    <mergeCell ref="B179:D179"/>
    <mergeCell ref="A197:B197"/>
    <mergeCell ref="A68:B68"/>
    <mergeCell ref="I68:J68"/>
    <mergeCell ref="B89:B91"/>
    <mergeCell ref="B175:D175"/>
    <mergeCell ref="B114:D114"/>
    <mergeCell ref="B123:D123"/>
    <mergeCell ref="B127:D127"/>
    <mergeCell ref="B162:D162"/>
    <mergeCell ref="B171:D171"/>
    <mergeCell ref="C93:C98"/>
    <mergeCell ref="A69:A196"/>
    <mergeCell ref="B99:B103"/>
    <mergeCell ref="B183:D183"/>
  </mergeCells>
  <phoneticPr fontId="27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H17" sqref="H17"/>
    </sheetView>
  </sheetViews>
  <sheetFormatPr defaultColWidth="12.5703125" defaultRowHeight="15" customHeight="1"/>
  <cols>
    <col min="1" max="2" width="10" customWidth="1"/>
    <col min="3" max="3" width="15.7109375" bestFit="1" customWidth="1"/>
    <col min="4" max="4" width="18" bestFit="1" customWidth="1"/>
    <col min="5" max="5" width="10" customWidth="1"/>
    <col min="6" max="6" width="18" bestFit="1" customWidth="1"/>
    <col min="7" max="8" width="12" customWidth="1"/>
    <col min="9" max="10" width="10" customWidth="1"/>
    <col min="11" max="12" width="7.5703125" customWidth="1"/>
    <col min="13" max="13" width="22.140625" customWidth="1"/>
    <col min="14" max="26" width="7.5703125" customWidth="1"/>
  </cols>
  <sheetData>
    <row r="1" spans="1:23" ht="18.75" customHeight="1">
      <c r="A1" s="678" t="s">
        <v>285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</row>
    <row r="2" spans="1:23" ht="17.25" customHeight="1">
      <c r="A2" s="680" t="s">
        <v>286</v>
      </c>
      <c r="B2" s="683" t="s">
        <v>287</v>
      </c>
      <c r="C2" s="684"/>
      <c r="D2" s="684"/>
      <c r="E2" s="684"/>
      <c r="F2" s="684"/>
      <c r="G2" s="685"/>
      <c r="H2" s="129" t="s">
        <v>288</v>
      </c>
      <c r="I2" s="687" t="s">
        <v>289</v>
      </c>
      <c r="J2" s="684"/>
      <c r="K2" s="688"/>
      <c r="M2" s="130"/>
    </row>
    <row r="3" spans="1:23" ht="16.5" customHeight="1">
      <c r="A3" s="681"/>
      <c r="B3" s="592"/>
      <c r="C3" s="686"/>
      <c r="D3" s="686"/>
      <c r="E3" s="686"/>
      <c r="F3" s="686"/>
      <c r="G3" s="672"/>
      <c r="H3" s="131" t="s">
        <v>290</v>
      </c>
      <c r="I3" s="592"/>
      <c r="J3" s="686"/>
      <c r="K3" s="689"/>
      <c r="M3" s="690" t="s">
        <v>291</v>
      </c>
    </row>
    <row r="4" spans="1:23" ht="16.5" customHeight="1">
      <c r="A4" s="681"/>
      <c r="B4" s="132" t="s">
        <v>292</v>
      </c>
      <c r="C4" s="691" t="s">
        <v>293</v>
      </c>
      <c r="D4" s="133" t="s">
        <v>294</v>
      </c>
      <c r="E4" s="691" t="s">
        <v>293</v>
      </c>
      <c r="F4" s="133" t="s">
        <v>295</v>
      </c>
      <c r="G4" s="133" t="s">
        <v>296</v>
      </c>
      <c r="H4" s="131" t="s">
        <v>297</v>
      </c>
      <c r="I4" s="134" t="s">
        <v>298</v>
      </c>
      <c r="J4" s="134" t="s">
        <v>299</v>
      </c>
      <c r="K4" s="135" t="s">
        <v>21</v>
      </c>
      <c r="M4" s="587"/>
    </row>
    <row r="5" spans="1:23" ht="16.5" customHeight="1">
      <c r="A5" s="682"/>
      <c r="B5" s="136" t="s">
        <v>300</v>
      </c>
      <c r="C5" s="581"/>
      <c r="D5" s="137" t="s">
        <v>301</v>
      </c>
      <c r="E5" s="581"/>
      <c r="F5" s="137" t="s">
        <v>302</v>
      </c>
      <c r="G5" s="137" t="s">
        <v>303</v>
      </c>
      <c r="H5" s="138"/>
      <c r="I5" s="139" t="s">
        <v>304</v>
      </c>
      <c r="J5" s="139" t="s">
        <v>305</v>
      </c>
      <c r="K5" s="140" t="s">
        <v>306</v>
      </c>
      <c r="M5" s="587"/>
    </row>
    <row r="6" spans="1:23" ht="16.5" customHeight="1">
      <c r="A6" s="141" t="s">
        <v>3</v>
      </c>
      <c r="B6" s="142">
        <v>4142</v>
      </c>
      <c r="C6" s="143">
        <v>1169.9000000000001</v>
      </c>
      <c r="D6" s="143">
        <v>3808.79</v>
      </c>
      <c r="E6" s="144">
        <v>485.69</v>
      </c>
      <c r="F6" s="145">
        <f>예산!C3/1000000</f>
        <v>2956.4</v>
      </c>
      <c r="G6" s="145">
        <f t="shared" ref="G6:G11" si="0">F6</f>
        <v>2956.4</v>
      </c>
      <c r="H6" s="146">
        <f t="shared" ref="H6:H11" si="1">(SUM(B6,D6,F6,G6) / $C$17)*100</f>
        <v>97.108327303120575</v>
      </c>
      <c r="I6" s="147"/>
      <c r="J6" s="148" t="s">
        <v>307</v>
      </c>
      <c r="K6" s="149"/>
      <c r="M6" s="587"/>
      <c r="W6" s="144">
        <v>2956.4</v>
      </c>
    </row>
    <row r="7" spans="1:23" ht="16.5" customHeight="1">
      <c r="A7" s="150" t="s">
        <v>7</v>
      </c>
      <c r="B7" s="151">
        <v>223.5</v>
      </c>
      <c r="C7" s="151">
        <v>44.9</v>
      </c>
      <c r="D7" s="151">
        <v>209.73</v>
      </c>
      <c r="E7" s="151">
        <v>4.03</v>
      </c>
      <c r="F7" s="152">
        <f>예산!G5/1000000</f>
        <v>216.13085699999999</v>
      </c>
      <c r="G7" s="152">
        <f t="shared" si="0"/>
        <v>216.13085699999999</v>
      </c>
      <c r="H7" s="146">
        <f t="shared" si="1"/>
        <v>6.0623873499757872</v>
      </c>
      <c r="I7" s="153"/>
      <c r="J7" s="148" t="s">
        <v>307</v>
      </c>
      <c r="K7" s="154"/>
      <c r="M7" s="587"/>
      <c r="W7" s="151">
        <v>214.5</v>
      </c>
    </row>
    <row r="8" spans="1:23" ht="16.5" customHeight="1">
      <c r="A8" s="150" t="s">
        <v>238</v>
      </c>
      <c r="B8" s="151">
        <v>210.8</v>
      </c>
      <c r="C8" s="151">
        <v>0</v>
      </c>
      <c r="D8" s="151">
        <v>248.2</v>
      </c>
      <c r="E8" s="151">
        <v>0</v>
      </c>
      <c r="F8" s="152">
        <f>예산!G27/1000000</f>
        <v>179</v>
      </c>
      <c r="G8" s="152">
        <f t="shared" si="0"/>
        <v>179</v>
      </c>
      <c r="H8" s="146">
        <f t="shared" si="1"/>
        <v>5.7227243020494338</v>
      </c>
      <c r="I8" s="153"/>
      <c r="J8" s="148" t="s">
        <v>307</v>
      </c>
      <c r="K8" s="154"/>
      <c r="W8" s="151">
        <v>186.8</v>
      </c>
    </row>
    <row r="9" spans="1:23" ht="16.5" customHeight="1">
      <c r="A9" s="150" t="s">
        <v>308</v>
      </c>
      <c r="B9" s="155">
        <v>2134.71</v>
      </c>
      <c r="C9" s="151">
        <v>329</v>
      </c>
      <c r="D9" s="155">
        <v>2611.8000000000002</v>
      </c>
      <c r="E9" s="151">
        <v>282.39999999999998</v>
      </c>
      <c r="F9" s="152">
        <f>예산!G67/1000000</f>
        <v>1153.5907400000001</v>
      </c>
      <c r="G9" s="152">
        <f t="shared" si="0"/>
        <v>1153.5907400000001</v>
      </c>
      <c r="H9" s="146">
        <f t="shared" si="1"/>
        <v>49.40799467779074</v>
      </c>
      <c r="I9" s="153"/>
      <c r="J9" s="148" t="s">
        <v>307</v>
      </c>
      <c r="K9" s="154"/>
      <c r="W9" s="151">
        <v>1302.51</v>
      </c>
    </row>
    <row r="10" spans="1:23" ht="31.5" customHeight="1">
      <c r="A10" s="150" t="s">
        <v>71</v>
      </c>
      <c r="B10" s="151">
        <v>168.86</v>
      </c>
      <c r="C10" s="151">
        <v>21.5</v>
      </c>
      <c r="D10" s="151">
        <v>19.190000000000001</v>
      </c>
      <c r="E10" s="151">
        <v>1.1399999999999999</v>
      </c>
      <c r="F10" s="152">
        <f>예산!G98/1000000</f>
        <v>72.251458999999997</v>
      </c>
      <c r="G10" s="152">
        <f t="shared" si="0"/>
        <v>72.251458999999997</v>
      </c>
      <c r="H10" s="146">
        <f t="shared" si="1"/>
        <v>2.3293863715496363</v>
      </c>
      <c r="I10" s="153"/>
      <c r="J10" s="148" t="s">
        <v>307</v>
      </c>
      <c r="K10" s="154"/>
      <c r="O10" s="151">
        <v>4.91</v>
      </c>
      <c r="W10" s="151">
        <v>108.04</v>
      </c>
    </row>
    <row r="11" spans="1:23" ht="31.5" customHeight="1">
      <c r="A11" s="150" t="s">
        <v>83</v>
      </c>
      <c r="B11" s="156">
        <v>1404.13</v>
      </c>
      <c r="C11" s="157">
        <v>774.5</v>
      </c>
      <c r="D11" s="157">
        <v>719.87</v>
      </c>
      <c r="E11" s="157">
        <v>198.12</v>
      </c>
      <c r="F11" s="158">
        <f>예산!G130/1000000</f>
        <v>1177.0105739999999</v>
      </c>
      <c r="G11" s="158">
        <f t="shared" si="0"/>
        <v>1177.0105739999999</v>
      </c>
      <c r="H11" s="146">
        <f t="shared" si="1"/>
        <v>31.366561136782011</v>
      </c>
      <c r="I11" s="159"/>
      <c r="J11" s="148" t="s">
        <v>307</v>
      </c>
      <c r="K11" s="160"/>
      <c r="O11" s="151">
        <v>6.48</v>
      </c>
      <c r="W11" s="157">
        <v>1144.55</v>
      </c>
    </row>
    <row r="12" spans="1:23" ht="16.5" customHeight="1">
      <c r="A12" s="161" t="s">
        <v>21</v>
      </c>
      <c r="B12" s="162">
        <v>4142</v>
      </c>
      <c r="C12" s="163">
        <v>1169.9000000000001</v>
      </c>
      <c r="D12" s="163">
        <f t="shared" ref="D12:H12" si="2">SUM(D7:D11)</f>
        <v>3808.79</v>
      </c>
      <c r="E12" s="164">
        <f t="shared" si="2"/>
        <v>485.68999999999994</v>
      </c>
      <c r="F12" s="165">
        <f t="shared" si="2"/>
        <v>2797.9836300000002</v>
      </c>
      <c r="G12" s="165">
        <f t="shared" si="2"/>
        <v>2797.9836300000002</v>
      </c>
      <c r="H12" s="166">
        <f t="shared" si="2"/>
        <v>94.889053838147618</v>
      </c>
      <c r="I12" s="167"/>
      <c r="J12" s="168" t="s">
        <v>307</v>
      </c>
      <c r="K12" s="169"/>
      <c r="O12" s="151">
        <v>49.97</v>
      </c>
      <c r="W12" s="504">
        <v>2956.4</v>
      </c>
    </row>
    <row r="13" spans="1:23" ht="16.5" customHeight="1">
      <c r="A13" s="141" t="s">
        <v>309</v>
      </c>
      <c r="B13" s="170">
        <v>218</v>
      </c>
      <c r="C13" s="170">
        <v>0</v>
      </c>
      <c r="D13" s="170">
        <v>200.46</v>
      </c>
      <c r="E13" s="170">
        <v>0</v>
      </c>
      <c r="F13" s="171">
        <f>예산!C267/1000000</f>
        <v>155.6</v>
      </c>
      <c r="G13" s="171">
        <f t="shared" ref="G13:G14" si="3">F13</f>
        <v>155.6</v>
      </c>
      <c r="H13" s="146">
        <f>(SUM(B13,D13,F13,G13) / $C$17)*100</f>
        <v>5.1109461618523744</v>
      </c>
      <c r="I13" s="172"/>
      <c r="J13" s="173" t="s">
        <v>307</v>
      </c>
      <c r="K13" s="174"/>
      <c r="O13" s="151">
        <v>3.06</v>
      </c>
      <c r="W13" s="170">
        <v>155.6</v>
      </c>
    </row>
    <row r="14" spans="1:23" ht="16.5" customHeight="1">
      <c r="A14" s="161" t="s">
        <v>21</v>
      </c>
      <c r="B14" s="164">
        <v>218</v>
      </c>
      <c r="C14" s="164">
        <v>0</v>
      </c>
      <c r="D14" s="164">
        <v>200.46</v>
      </c>
      <c r="E14" s="164">
        <v>0</v>
      </c>
      <c r="F14" s="165">
        <f>SUM(F13)</f>
        <v>155.6</v>
      </c>
      <c r="G14" s="165">
        <f t="shared" si="3"/>
        <v>155.6</v>
      </c>
      <c r="H14" s="166">
        <f>SUM(H13)</f>
        <v>5.1109461618523744</v>
      </c>
      <c r="I14" s="167"/>
      <c r="J14" s="168" t="s">
        <v>307</v>
      </c>
      <c r="K14" s="169"/>
      <c r="O14" s="157">
        <v>30.58</v>
      </c>
      <c r="W14" s="504">
        <v>155.6</v>
      </c>
    </row>
    <row r="15" spans="1:23" ht="16.5" customHeight="1" thickBot="1">
      <c r="A15" s="175" t="s">
        <v>310</v>
      </c>
      <c r="B15" s="176">
        <v>4360</v>
      </c>
      <c r="C15" s="177">
        <v>1169.9000000000001</v>
      </c>
      <c r="D15" s="177">
        <f t="shared" ref="D15:H15" si="4">SUM(D12,D14)</f>
        <v>4009.25</v>
      </c>
      <c r="E15" s="178">
        <f t="shared" si="4"/>
        <v>485.68999999999994</v>
      </c>
      <c r="F15" s="179">
        <f t="shared" si="4"/>
        <v>2953.5836300000001</v>
      </c>
      <c r="G15" s="179">
        <f t="shared" si="4"/>
        <v>2953.5836300000001</v>
      </c>
      <c r="H15" s="180">
        <f t="shared" si="4"/>
        <v>99.999999999999986</v>
      </c>
      <c r="I15" s="181"/>
      <c r="J15" s="182" t="s">
        <v>307</v>
      </c>
      <c r="K15" s="183"/>
      <c r="W15" s="505">
        <v>3112</v>
      </c>
    </row>
    <row r="16" spans="1:23" ht="16.5" customHeight="1" thickTop="1">
      <c r="A16" s="184" t="s">
        <v>311</v>
      </c>
    </row>
    <row r="17" spans="1:26" ht="16.5" customHeight="1">
      <c r="A17" s="666" t="s">
        <v>312</v>
      </c>
      <c r="B17" s="587"/>
      <c r="C17" s="667">
        <f>SUM(B15,D15,F15,G15)</f>
        <v>14276.417260000002</v>
      </c>
      <c r="D17" s="587"/>
      <c r="E17" s="587"/>
      <c r="F17" s="587"/>
      <c r="G17" s="587"/>
    </row>
    <row r="18" spans="1:26" ht="16.5" customHeight="1">
      <c r="A18" s="185"/>
    </row>
    <row r="19" spans="1:26" ht="16.5" customHeight="1">
      <c r="A19" s="186"/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spans="1:26" ht="16.5" customHeight="1">
      <c r="A20" s="670" t="s">
        <v>8</v>
      </c>
      <c r="B20" s="671"/>
      <c r="C20" s="668" t="s">
        <v>313</v>
      </c>
      <c r="D20" s="668" t="s">
        <v>314</v>
      </c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spans="1:26" ht="16.5" customHeight="1">
      <c r="A21" s="592"/>
      <c r="B21" s="672"/>
      <c r="C21" s="581"/>
      <c r="D21" s="581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spans="1:26" ht="16.5" customHeight="1">
      <c r="A22" s="187" t="s">
        <v>26</v>
      </c>
      <c r="B22" s="187"/>
      <c r="C22" s="188">
        <v>4000000</v>
      </c>
      <c r="D22" s="189">
        <v>7000000</v>
      </c>
      <c r="E22" s="186">
        <f t="shared" ref="E22:E29" si="5">SUM(C22:D22)</f>
        <v>11000000</v>
      </c>
      <c r="F22" s="186"/>
      <c r="G22" s="665">
        <f>SUM(C22:D28)</f>
        <v>104005000</v>
      </c>
      <c r="H22" s="665">
        <f>SUM(G22,E29)</f>
        <v>112630000</v>
      </c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spans="1:26" ht="16.5" customHeight="1">
      <c r="A23" s="187" t="s">
        <v>31</v>
      </c>
      <c r="B23" s="190"/>
      <c r="C23" s="191">
        <v>3800000</v>
      </c>
      <c r="D23" s="189"/>
      <c r="E23" s="186">
        <f t="shared" si="5"/>
        <v>3800000</v>
      </c>
      <c r="F23" s="186"/>
      <c r="G23" s="587"/>
      <c r="H23" s="587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spans="1:26" ht="16.5" customHeight="1">
      <c r="A24" s="668" t="s">
        <v>83</v>
      </c>
      <c r="B24" s="668" t="s">
        <v>315</v>
      </c>
      <c r="C24" s="676">
        <v>39000000</v>
      </c>
      <c r="D24" s="677"/>
      <c r="E24" s="186">
        <f t="shared" si="5"/>
        <v>39000000</v>
      </c>
      <c r="F24" s="665">
        <f>SUM(E24:E28)</f>
        <v>89205000</v>
      </c>
      <c r="G24" s="587"/>
      <c r="H24" s="587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spans="1:26" ht="16.5" customHeight="1">
      <c r="A25" s="579"/>
      <c r="B25" s="581"/>
      <c r="C25" s="581"/>
      <c r="D25" s="581"/>
      <c r="E25" s="186">
        <f t="shared" si="5"/>
        <v>0</v>
      </c>
      <c r="F25" s="587"/>
      <c r="G25" s="587"/>
      <c r="H25" s="587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spans="1:26" ht="16.5" customHeight="1">
      <c r="A26" s="579"/>
      <c r="B26" s="187" t="s">
        <v>93</v>
      </c>
      <c r="C26" s="188">
        <v>5000000</v>
      </c>
      <c r="D26" s="189">
        <v>7875000</v>
      </c>
      <c r="E26" s="186">
        <f t="shared" si="5"/>
        <v>12875000</v>
      </c>
      <c r="F26" s="587"/>
      <c r="G26" s="587"/>
      <c r="H26" s="587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spans="1:26" ht="16.5" customHeight="1">
      <c r="A27" s="579"/>
      <c r="B27" s="187" t="s">
        <v>206</v>
      </c>
      <c r="C27" s="188">
        <v>1000000</v>
      </c>
      <c r="D27" s="192">
        <f>17000000+13330000</f>
        <v>30330000</v>
      </c>
      <c r="E27" s="186">
        <f t="shared" si="5"/>
        <v>31330000</v>
      </c>
      <c r="F27" s="587"/>
      <c r="G27" s="587"/>
      <c r="H27" s="587"/>
      <c r="I27" s="193"/>
      <c r="J27" s="193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spans="1:26" ht="16.5" customHeight="1">
      <c r="A28" s="581"/>
      <c r="B28" s="187" t="s">
        <v>176</v>
      </c>
      <c r="C28" s="188">
        <v>6000000</v>
      </c>
      <c r="D28" s="189"/>
      <c r="E28" s="186">
        <f t="shared" si="5"/>
        <v>6000000</v>
      </c>
      <c r="F28" s="587"/>
      <c r="G28" s="587"/>
      <c r="H28" s="587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spans="1:26" ht="16.5" customHeight="1">
      <c r="A29" s="669" t="s">
        <v>309</v>
      </c>
      <c r="B29" s="595"/>
      <c r="C29" s="189">
        <v>3000000</v>
      </c>
      <c r="D29" s="189">
        <v>5625000</v>
      </c>
      <c r="E29" s="186">
        <f t="shared" si="5"/>
        <v>8625000</v>
      </c>
      <c r="F29" s="186"/>
      <c r="G29" s="186"/>
      <c r="H29" s="587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spans="1:26" ht="16.5" customHeight="1">
      <c r="A30" s="186"/>
      <c r="B30" s="186"/>
      <c r="C30" s="186"/>
      <c r="D30" s="186"/>
      <c r="E30" s="186"/>
      <c r="F30" s="186"/>
      <c r="G30" s="186"/>
      <c r="H30" s="186"/>
      <c r="I30" s="186"/>
      <c r="J30" s="186">
        <f>37500000-24171200</f>
        <v>13328800</v>
      </c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spans="1:26" ht="16.5" customHeight="1">
      <c r="A31" s="665" t="s">
        <v>22</v>
      </c>
      <c r="B31" s="587"/>
      <c r="C31" s="186">
        <f t="shared" ref="C31:D31" si="6">SUM(C22:C29)</f>
        <v>61800000</v>
      </c>
      <c r="D31" s="186">
        <f t="shared" si="6"/>
        <v>50830000</v>
      </c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spans="1:26" ht="16.5" customHeight="1">
      <c r="A32" s="673" t="s">
        <v>316</v>
      </c>
      <c r="B32" s="587"/>
      <c r="C32" s="194">
        <v>61800000</v>
      </c>
      <c r="D32" s="195">
        <f>37500000+13330000</f>
        <v>50830000</v>
      </c>
      <c r="E32" s="674" t="s">
        <v>317</v>
      </c>
      <c r="F32" s="587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spans="1:26" ht="16.5" customHeight="1">
      <c r="A33" s="186"/>
      <c r="B33" s="186"/>
      <c r="C33" s="186">
        <f t="shared" ref="C33:D33" si="7">C32-C31</f>
        <v>0</v>
      </c>
      <c r="D33" s="186">
        <f t="shared" si="7"/>
        <v>0</v>
      </c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spans="1:26" ht="16.5" customHeight="1">
      <c r="A34" s="186"/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spans="1:26" ht="16.5" customHeight="1">
      <c r="A35" s="186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spans="1:26" ht="16.5" customHeight="1">
      <c r="A36" s="675" t="s">
        <v>318</v>
      </c>
      <c r="B36" s="587"/>
      <c r="C36" s="587"/>
      <c r="D36" s="587"/>
      <c r="E36" s="587"/>
      <c r="F36" s="587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spans="1:26" ht="16.5" customHeight="1">
      <c r="A37" s="186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spans="1:26" ht="16.5" customHeight="1"/>
    <row r="39" spans="1:26" ht="16.5" customHeight="1"/>
    <row r="40" spans="1:26" ht="16.5" customHeight="1"/>
    <row r="41" spans="1:26" ht="16.5" customHeight="1"/>
    <row r="42" spans="1:26" ht="16.5" customHeight="1"/>
    <row r="43" spans="1:26" ht="16.5" customHeight="1"/>
    <row r="44" spans="1:26" ht="16.5" customHeight="1"/>
    <row r="45" spans="1:26" ht="16.5" customHeight="1"/>
    <row r="46" spans="1:26" ht="16.5" customHeight="1"/>
    <row r="47" spans="1:26" ht="16.5" customHeight="1"/>
    <row r="48" spans="1:26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4">
    <mergeCell ref="A1:K1"/>
    <mergeCell ref="A2:A5"/>
    <mergeCell ref="B2:G3"/>
    <mergeCell ref="I2:K3"/>
    <mergeCell ref="M3:M7"/>
    <mergeCell ref="C4:C5"/>
    <mergeCell ref="E4:E5"/>
    <mergeCell ref="A31:B31"/>
    <mergeCell ref="A32:B32"/>
    <mergeCell ref="E32:F32"/>
    <mergeCell ref="A36:F36"/>
    <mergeCell ref="A24:A28"/>
    <mergeCell ref="B24:B25"/>
    <mergeCell ref="C24:C25"/>
    <mergeCell ref="D24:D25"/>
    <mergeCell ref="H22:H29"/>
    <mergeCell ref="F24:F28"/>
    <mergeCell ref="A17:B17"/>
    <mergeCell ref="C17:G17"/>
    <mergeCell ref="C20:C21"/>
    <mergeCell ref="D20:D21"/>
    <mergeCell ref="G22:G28"/>
    <mergeCell ref="A29:B29"/>
    <mergeCell ref="A20:B21"/>
  </mergeCells>
  <phoneticPr fontId="27" type="noConversion"/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>
      <selection activeCell="S4" sqref="S4"/>
    </sheetView>
  </sheetViews>
  <sheetFormatPr defaultColWidth="12.5703125" defaultRowHeight="15" customHeight="1"/>
  <cols>
    <col min="1" max="1" width="14.28515625" customWidth="1"/>
    <col min="2" max="2" width="21.42578125" customWidth="1"/>
    <col min="3" max="3" width="13.85546875" bestFit="1" customWidth="1"/>
    <col min="4" max="4" width="13" customWidth="1"/>
    <col min="5" max="5" width="7.85546875" customWidth="1"/>
    <col min="6" max="26" width="7.5703125" customWidth="1"/>
  </cols>
  <sheetData>
    <row r="1" spans="1:14" ht="16.5" customHeight="1">
      <c r="A1" s="678" t="s">
        <v>319</v>
      </c>
      <c r="B1" s="679"/>
      <c r="C1" s="679"/>
      <c r="D1" s="679"/>
      <c r="E1" s="679"/>
      <c r="F1" s="679"/>
      <c r="G1" s="679"/>
      <c r="H1" s="679"/>
    </row>
    <row r="2" spans="1:14" ht="24.75" customHeight="1">
      <c r="A2" s="702" t="s">
        <v>286</v>
      </c>
      <c r="B2" s="685"/>
      <c r="C2" s="704" t="s">
        <v>320</v>
      </c>
      <c r="D2" s="129" t="s">
        <v>290</v>
      </c>
      <c r="E2" s="705" t="s">
        <v>293</v>
      </c>
      <c r="F2" s="706" t="s">
        <v>289</v>
      </c>
      <c r="G2" s="707"/>
      <c r="H2" s="708"/>
    </row>
    <row r="3" spans="1:14" ht="24.75" customHeight="1">
      <c r="A3" s="703"/>
      <c r="B3" s="672"/>
      <c r="C3" s="581"/>
      <c r="D3" s="137" t="s">
        <v>297</v>
      </c>
      <c r="E3" s="581"/>
      <c r="F3" s="196" t="s">
        <v>321</v>
      </c>
      <c r="G3" s="196" t="s">
        <v>322</v>
      </c>
      <c r="H3" s="197" t="s">
        <v>323</v>
      </c>
    </row>
    <row r="4" spans="1:14" ht="24.75" customHeight="1">
      <c r="A4" s="701" t="s">
        <v>7</v>
      </c>
      <c r="B4" s="170" t="s">
        <v>324</v>
      </c>
      <c r="C4" s="171">
        <f>예산!G15/1000000</f>
        <v>122.77085700000001</v>
      </c>
      <c r="D4" s="198">
        <f t="shared" ref="D4:D5" si="0">(C4/$C$27)*100</f>
        <v>4.156674480214396</v>
      </c>
      <c r="E4" s="170">
        <v>4.03</v>
      </c>
      <c r="F4" s="172">
        <v>0</v>
      </c>
      <c r="G4" s="172"/>
      <c r="H4" s="172">
        <v>0</v>
      </c>
      <c r="N4" s="170">
        <v>121.14</v>
      </c>
    </row>
    <row r="5" spans="1:14" ht="24.75" customHeight="1">
      <c r="A5" s="682"/>
      <c r="B5" s="170" t="s">
        <v>26</v>
      </c>
      <c r="C5" s="171">
        <f>예산!G20/1000000</f>
        <v>93.36</v>
      </c>
      <c r="D5" s="198">
        <f t="shared" si="0"/>
        <v>3.1609059263373553</v>
      </c>
      <c r="E5" s="170">
        <v>0</v>
      </c>
      <c r="F5" s="172">
        <v>10</v>
      </c>
      <c r="G5" s="172"/>
      <c r="H5" s="172">
        <v>10</v>
      </c>
      <c r="N5" s="170">
        <v>93.36</v>
      </c>
    </row>
    <row r="6" spans="1:14" ht="24.75" customHeight="1">
      <c r="A6" s="693" t="s">
        <v>21</v>
      </c>
      <c r="B6" s="595"/>
      <c r="C6" s="165">
        <f>SUM(C4,C5)</f>
        <v>216.13085699999999</v>
      </c>
      <c r="D6" s="199">
        <f t="shared" ref="D6:F6" si="1">SUM(D4:D5)</f>
        <v>7.3175804065517518</v>
      </c>
      <c r="E6" s="164">
        <f t="shared" si="1"/>
        <v>4.03</v>
      </c>
      <c r="F6" s="167">
        <f t="shared" si="1"/>
        <v>10</v>
      </c>
      <c r="G6" s="167"/>
      <c r="H6" s="167">
        <f>SUM(H4:H5)</f>
        <v>10</v>
      </c>
      <c r="N6" s="504">
        <v>214.5</v>
      </c>
    </row>
    <row r="7" spans="1:14" ht="24.75" customHeight="1">
      <c r="A7" s="200" t="s">
        <v>25</v>
      </c>
      <c r="B7" s="201" t="s">
        <v>238</v>
      </c>
      <c r="C7" s="171">
        <f>예산!G65/1000000</f>
        <v>179</v>
      </c>
      <c r="D7" s="202">
        <f>(C7/$C$27)*100</f>
        <v>6.0604344560238488</v>
      </c>
      <c r="E7" s="201">
        <v>0</v>
      </c>
      <c r="F7" s="203">
        <v>0</v>
      </c>
      <c r="G7" s="204"/>
      <c r="H7" s="203">
        <v>0</v>
      </c>
      <c r="N7" s="170">
        <v>186.8</v>
      </c>
    </row>
    <row r="8" spans="1:14" ht="24.75" customHeight="1">
      <c r="A8" s="693" t="s">
        <v>21</v>
      </c>
      <c r="B8" s="595"/>
      <c r="C8" s="165">
        <f t="shared" ref="C8:D8" si="2">SUM(C7)</f>
        <v>179</v>
      </c>
      <c r="D8" s="199">
        <f t="shared" si="2"/>
        <v>6.0604344560238488</v>
      </c>
      <c r="E8" s="164">
        <v>0</v>
      </c>
      <c r="F8" s="167">
        <v>0</v>
      </c>
      <c r="G8" s="167"/>
      <c r="H8" s="167">
        <v>0</v>
      </c>
      <c r="N8" s="504">
        <v>186.8</v>
      </c>
    </row>
    <row r="9" spans="1:14" ht="24.75" customHeight="1">
      <c r="A9" s="701" t="s">
        <v>325</v>
      </c>
      <c r="B9" s="201" t="s">
        <v>32</v>
      </c>
      <c r="C9" s="171">
        <f>예산!G83/1000000</f>
        <v>1151.5907400000001</v>
      </c>
      <c r="D9" s="202">
        <f t="shared" ref="D9:D23" si="3">(C9/$C$27)*100</f>
        <v>38.989610055497224</v>
      </c>
      <c r="E9" s="201">
        <v>282.39999999999998</v>
      </c>
      <c r="F9" s="203">
        <v>0</v>
      </c>
      <c r="G9" s="204"/>
      <c r="H9" s="203">
        <v>0</v>
      </c>
      <c r="N9" s="170">
        <v>1272.51</v>
      </c>
    </row>
    <row r="10" spans="1:14" ht="24.75" customHeight="1">
      <c r="A10" s="682"/>
      <c r="B10" s="170" t="s">
        <v>55</v>
      </c>
      <c r="C10" s="171">
        <f>예산!G91/1000000</f>
        <v>2</v>
      </c>
      <c r="D10" s="198">
        <f t="shared" si="3"/>
        <v>6.7714351463953618E-2</v>
      </c>
      <c r="E10" s="170">
        <v>0</v>
      </c>
      <c r="F10" s="172">
        <v>3</v>
      </c>
      <c r="G10" s="172"/>
      <c r="H10" s="172">
        <v>3</v>
      </c>
      <c r="N10" s="170">
        <v>30</v>
      </c>
    </row>
    <row r="11" spans="1:14" ht="24.75" customHeight="1">
      <c r="A11" s="200" t="s">
        <v>274</v>
      </c>
      <c r="B11" s="201" t="s">
        <v>72</v>
      </c>
      <c r="C11" s="171">
        <f>예산!G127/1000000</f>
        <v>72.251458999999997</v>
      </c>
      <c r="D11" s="202">
        <f t="shared" si="3"/>
        <v>2.4462303442547175</v>
      </c>
      <c r="E11" s="201">
        <v>1.1399999999999999</v>
      </c>
      <c r="F11" s="203">
        <v>0</v>
      </c>
      <c r="G11" s="204"/>
      <c r="H11" s="203">
        <v>0</v>
      </c>
      <c r="N11" s="170">
        <v>108.04</v>
      </c>
    </row>
    <row r="12" spans="1:14" ht="24.75" customHeight="1">
      <c r="A12" s="701" t="s">
        <v>326</v>
      </c>
      <c r="B12" s="170" t="s">
        <v>85</v>
      </c>
      <c r="C12" s="171">
        <f>예산!G142/1000000</f>
        <v>636.98699999999997</v>
      </c>
      <c r="D12" s="198">
        <f t="shared" si="3"/>
        <v>21.566580797984713</v>
      </c>
      <c r="E12" s="170">
        <v>0</v>
      </c>
      <c r="F12" s="172">
        <v>0</v>
      </c>
      <c r="G12" s="172"/>
      <c r="H12" s="172">
        <v>0</v>
      </c>
      <c r="N12" s="170">
        <v>678.99</v>
      </c>
    </row>
    <row r="13" spans="1:14" ht="24.75" customHeight="1">
      <c r="A13" s="681"/>
      <c r="B13" s="170" t="s">
        <v>93</v>
      </c>
      <c r="C13" s="171">
        <f>예산!G155/1000000</f>
        <v>2.9841679999999999</v>
      </c>
      <c r="D13" s="198">
        <f t="shared" si="3"/>
        <v>0.10103550038974178</v>
      </c>
      <c r="E13" s="170">
        <v>0</v>
      </c>
      <c r="F13" s="172">
        <v>12.88</v>
      </c>
      <c r="G13" s="172"/>
      <c r="H13" s="172">
        <v>12.88</v>
      </c>
      <c r="N13" s="170">
        <v>3.12</v>
      </c>
    </row>
    <row r="14" spans="1:14" ht="24.75" customHeight="1">
      <c r="A14" s="681"/>
      <c r="B14" s="170" t="s">
        <v>176</v>
      </c>
      <c r="C14" s="171">
        <f>예산!G161/1000000</f>
        <v>1.1740999999999999</v>
      </c>
      <c r="D14" s="198">
        <f t="shared" si="3"/>
        <v>3.9751710026913974E-2</v>
      </c>
      <c r="E14" s="170">
        <v>0</v>
      </c>
      <c r="F14" s="172">
        <v>5</v>
      </c>
      <c r="G14" s="172"/>
      <c r="H14" s="172">
        <v>5</v>
      </c>
      <c r="N14" s="170">
        <v>0.57999999999999996</v>
      </c>
    </row>
    <row r="15" spans="1:14" ht="24.75" customHeight="1">
      <c r="A15" s="681"/>
      <c r="B15" s="170" t="s">
        <v>99</v>
      </c>
      <c r="C15" s="171">
        <f>예산!G187/1000000</f>
        <v>76.035184999999998</v>
      </c>
      <c r="D15" s="198">
        <f t="shared" si="3"/>
        <v>2.5743366203583675</v>
      </c>
      <c r="E15" s="170">
        <v>0</v>
      </c>
      <c r="F15" s="172">
        <v>0</v>
      </c>
      <c r="G15" s="172"/>
      <c r="H15" s="172">
        <v>0</v>
      </c>
      <c r="N15" s="170">
        <v>77.069999999999993</v>
      </c>
    </row>
    <row r="16" spans="1:14" ht="24.75" customHeight="1">
      <c r="A16" s="681"/>
      <c r="B16" s="170" t="s">
        <v>104</v>
      </c>
      <c r="C16" s="171">
        <f>예산!G239/1000000</f>
        <v>39.6</v>
      </c>
      <c r="D16" s="198">
        <f t="shared" si="3"/>
        <v>1.3407441589862819</v>
      </c>
      <c r="E16" s="170">
        <v>39.6</v>
      </c>
      <c r="F16" s="172">
        <v>0</v>
      </c>
      <c r="G16" s="172"/>
      <c r="H16" s="172">
        <v>0</v>
      </c>
      <c r="N16" s="170">
        <v>0</v>
      </c>
    </row>
    <row r="17" spans="1:14" ht="24.75" customHeight="1">
      <c r="A17" s="681"/>
      <c r="B17" s="170" t="s">
        <v>115</v>
      </c>
      <c r="C17" s="171">
        <f>예산!G198/1000000</f>
        <v>1.5241</v>
      </c>
      <c r="D17" s="198">
        <f t="shared" si="3"/>
        <v>5.1601721533105854E-2</v>
      </c>
      <c r="E17" s="170">
        <v>0.61</v>
      </c>
      <c r="F17" s="172">
        <v>0</v>
      </c>
      <c r="G17" s="172"/>
      <c r="H17" s="172">
        <v>0</v>
      </c>
      <c r="N17" s="170">
        <v>1.52</v>
      </c>
    </row>
    <row r="18" spans="1:14" ht="24.75" customHeight="1">
      <c r="A18" s="681"/>
      <c r="B18" s="170" t="s">
        <v>195</v>
      </c>
      <c r="C18" s="171">
        <f>예산!G203/1000000</f>
        <v>0.15</v>
      </c>
      <c r="D18" s="198">
        <f t="shared" si="3"/>
        <v>5.078576359796522E-3</v>
      </c>
      <c r="E18" s="170">
        <v>0</v>
      </c>
      <c r="F18" s="172">
        <v>0</v>
      </c>
      <c r="G18" s="172"/>
      <c r="H18" s="172">
        <v>0</v>
      </c>
      <c r="N18" s="170">
        <v>0.15</v>
      </c>
    </row>
    <row r="19" spans="1:14" ht="24.75" customHeight="1">
      <c r="A19" s="681"/>
      <c r="B19" s="170" t="s">
        <v>120</v>
      </c>
      <c r="C19" s="171">
        <f>예산!G212/1000000</f>
        <v>14.739000000000001</v>
      </c>
      <c r="D19" s="198">
        <f t="shared" si="3"/>
        <v>0.4990209131136063</v>
      </c>
      <c r="E19" s="170">
        <v>0.15</v>
      </c>
      <c r="F19" s="172">
        <v>0</v>
      </c>
      <c r="G19" s="172"/>
      <c r="H19" s="172">
        <v>0</v>
      </c>
      <c r="N19" s="170">
        <v>11.66</v>
      </c>
    </row>
    <row r="20" spans="1:14" ht="24.75" customHeight="1">
      <c r="A20" s="681"/>
      <c r="B20" s="170" t="s">
        <v>327</v>
      </c>
      <c r="C20" s="171">
        <f>예산!G218/1000000</f>
        <v>2.0680000000000001</v>
      </c>
      <c r="D20" s="198">
        <f t="shared" si="3"/>
        <v>7.0016639413728057E-2</v>
      </c>
      <c r="E20" s="170">
        <v>0</v>
      </c>
      <c r="F20" s="172">
        <v>0</v>
      </c>
      <c r="G20" s="172"/>
      <c r="H20" s="172">
        <v>0</v>
      </c>
      <c r="N20" s="170">
        <v>2.0699999999999998</v>
      </c>
    </row>
    <row r="21" spans="1:14" ht="24.75" customHeight="1">
      <c r="A21" s="681"/>
      <c r="B21" s="170" t="s">
        <v>134</v>
      </c>
      <c r="C21" s="171">
        <f>예산!G233/1000000</f>
        <v>350.63618000000002</v>
      </c>
      <c r="D21" s="198">
        <f t="shared" si="3"/>
        <v>11.871550764249054</v>
      </c>
      <c r="E21" s="170">
        <v>157.76</v>
      </c>
      <c r="F21" s="172">
        <v>0</v>
      </c>
      <c r="G21" s="172"/>
      <c r="H21" s="172">
        <v>0</v>
      </c>
      <c r="N21" s="170">
        <v>350.64</v>
      </c>
    </row>
    <row r="22" spans="1:14" ht="24.75" customHeight="1">
      <c r="A22" s="681"/>
      <c r="B22" s="170" t="s">
        <v>206</v>
      </c>
      <c r="C22" s="171">
        <f>예산!G224/1000000</f>
        <v>1.1948000000000001</v>
      </c>
      <c r="D22" s="198">
        <f t="shared" si="3"/>
        <v>4.0452553564565896E-2</v>
      </c>
      <c r="E22" s="170">
        <v>0</v>
      </c>
      <c r="F22" s="172">
        <v>18</v>
      </c>
      <c r="G22" s="172"/>
      <c r="H22" s="172">
        <v>18</v>
      </c>
      <c r="N22" s="170">
        <v>4.62</v>
      </c>
    </row>
    <row r="23" spans="1:14" ht="24.75" customHeight="1">
      <c r="A23" s="682"/>
      <c r="B23" s="170" t="s">
        <v>142</v>
      </c>
      <c r="C23" s="171">
        <f>예산!G264/1000000</f>
        <v>49.918041000000002</v>
      </c>
      <c r="D23" s="198">
        <f t="shared" si="3"/>
        <v>1.6900838863330234</v>
      </c>
      <c r="E23" s="170">
        <v>0</v>
      </c>
      <c r="F23" s="172">
        <v>38</v>
      </c>
      <c r="G23" s="172"/>
      <c r="H23" s="172">
        <v>38</v>
      </c>
      <c r="N23" s="170">
        <v>14.13</v>
      </c>
    </row>
    <row r="24" spans="1:14" ht="24.75" customHeight="1">
      <c r="A24" s="693" t="s">
        <v>21</v>
      </c>
      <c r="B24" s="595"/>
      <c r="C24" s="165">
        <f t="shared" ref="C24:F24" si="4">SUM(C9:C23)</f>
        <v>2402.8527730000005</v>
      </c>
      <c r="D24" s="199">
        <f t="shared" si="4"/>
        <v>81.353808593528782</v>
      </c>
      <c r="E24" s="164">
        <f t="shared" si="4"/>
        <v>481.65999999999997</v>
      </c>
      <c r="F24" s="167">
        <f t="shared" si="4"/>
        <v>76.88</v>
      </c>
      <c r="G24" s="167"/>
      <c r="H24" s="167">
        <f>SUM(H9:H23)</f>
        <v>76.88</v>
      </c>
      <c r="N24" s="504">
        <v>2555.1</v>
      </c>
    </row>
    <row r="25" spans="1:14" ht="24.75" customHeight="1">
      <c r="A25" s="694" t="s">
        <v>309</v>
      </c>
      <c r="B25" s="595"/>
      <c r="C25" s="171">
        <f>예산!C267/1000000</f>
        <v>155.6</v>
      </c>
      <c r="D25" s="198">
        <f>(C25/$C$27)*100</f>
        <v>5.2681765438955921</v>
      </c>
      <c r="E25" s="170">
        <v>0</v>
      </c>
      <c r="F25" s="172">
        <v>8.6199999999999992</v>
      </c>
      <c r="G25" s="172"/>
      <c r="H25" s="172">
        <v>8.6199999999999992</v>
      </c>
      <c r="N25" s="170">
        <v>155.6</v>
      </c>
    </row>
    <row r="26" spans="1:14" ht="24.75" customHeight="1">
      <c r="A26" s="693" t="s">
        <v>21</v>
      </c>
      <c r="B26" s="595"/>
      <c r="C26" s="165">
        <f t="shared" ref="C26:D26" si="5">SUM(C25)</f>
        <v>155.6</v>
      </c>
      <c r="D26" s="199">
        <f t="shared" si="5"/>
        <v>5.2681765438955921</v>
      </c>
      <c r="E26" s="164">
        <v>0</v>
      </c>
      <c r="F26" s="167">
        <v>8.6199999999999992</v>
      </c>
      <c r="G26" s="167"/>
      <c r="H26" s="167">
        <v>8.6199999999999992</v>
      </c>
      <c r="N26" s="504">
        <v>155.6</v>
      </c>
    </row>
    <row r="27" spans="1:14" ht="24.75" customHeight="1" thickBot="1">
      <c r="A27" s="695" t="s">
        <v>310</v>
      </c>
      <c r="B27" s="696"/>
      <c r="C27" s="179">
        <f t="shared" ref="C27:D27" si="6">SUM(C6,C8,C24,C26)</f>
        <v>2953.5836300000005</v>
      </c>
      <c r="D27" s="205">
        <f t="shared" si="6"/>
        <v>99.999999999999972</v>
      </c>
      <c r="E27" s="178">
        <f>SUM(E24,E26,E8,E6)</f>
        <v>485.68999999999994</v>
      </c>
      <c r="F27" s="181">
        <f>SUM(F26,F24,F6,F8)</f>
        <v>95.5</v>
      </c>
      <c r="G27" s="206"/>
      <c r="H27" s="181">
        <f>SUM(H26,H24,H6,H8)</f>
        <v>95.5</v>
      </c>
      <c r="N27" s="505">
        <v>3112</v>
      </c>
    </row>
    <row r="28" spans="1:14" ht="16.5" customHeight="1" thickTop="1">
      <c r="A28" s="184" t="s">
        <v>311</v>
      </c>
      <c r="B28" s="17"/>
      <c r="D28" s="17"/>
      <c r="E28" s="17"/>
    </row>
    <row r="29" spans="1:14" ht="16.5" customHeight="1">
      <c r="B29" s="17"/>
      <c r="D29" s="17"/>
      <c r="E29" s="17"/>
    </row>
    <row r="30" spans="1:14" ht="16.5" customHeight="1">
      <c r="A30" s="692" t="s">
        <v>8</v>
      </c>
      <c r="B30" s="595"/>
      <c r="C30" s="207" t="s">
        <v>328</v>
      </c>
      <c r="D30" s="207" t="s">
        <v>329</v>
      </c>
    </row>
    <row r="31" spans="1:14" ht="16.5" customHeight="1">
      <c r="A31" s="207" t="s">
        <v>26</v>
      </c>
      <c r="B31" s="208"/>
      <c r="C31" s="209">
        <v>5000000</v>
      </c>
      <c r="D31" s="210">
        <v>7000000</v>
      </c>
      <c r="E31" s="63">
        <f>SUM(C31:D31)</f>
        <v>12000000</v>
      </c>
      <c r="G31" s="666">
        <f>SUM(E31:E37)</f>
        <v>88875000</v>
      </c>
    </row>
    <row r="32" spans="1:14" ht="54.75" customHeight="1">
      <c r="A32" s="697" t="s">
        <v>31</v>
      </c>
      <c r="B32" s="698"/>
      <c r="C32" s="699">
        <v>2000000</v>
      </c>
      <c r="D32" s="699">
        <v>0</v>
      </c>
      <c r="E32" s="700">
        <f>SUM(C32:D33)</f>
        <v>2000000</v>
      </c>
      <c r="G32" s="587"/>
    </row>
    <row r="33" spans="1:7" ht="16.5" customHeight="1">
      <c r="A33" s="581"/>
      <c r="B33" s="581"/>
      <c r="C33" s="581"/>
      <c r="D33" s="581"/>
      <c r="E33" s="589"/>
      <c r="G33" s="587"/>
    </row>
    <row r="34" spans="1:7" ht="16.5" customHeight="1">
      <c r="A34" s="697" t="s">
        <v>83</v>
      </c>
      <c r="B34" s="208" t="s">
        <v>142</v>
      </c>
      <c r="C34" s="210">
        <v>40000000</v>
      </c>
      <c r="D34" s="210">
        <v>0</v>
      </c>
      <c r="E34" s="63">
        <f t="shared" ref="E34:E38" si="7">SUM(C34:D34)</f>
        <v>40000000</v>
      </c>
      <c r="F34" s="666">
        <f>SUM(E34:E37)</f>
        <v>74875000</v>
      </c>
      <c r="G34" s="587"/>
    </row>
    <row r="35" spans="1:7" ht="16.5" customHeight="1">
      <c r="A35" s="579"/>
      <c r="B35" s="208" t="s">
        <v>93</v>
      </c>
      <c r="C35" s="210">
        <v>4500000</v>
      </c>
      <c r="D35" s="210">
        <v>7875000</v>
      </c>
      <c r="E35" s="63">
        <f t="shared" si="7"/>
        <v>12375000</v>
      </c>
      <c r="F35" s="587"/>
      <c r="G35" s="587"/>
    </row>
    <row r="36" spans="1:7" ht="16.5" customHeight="1">
      <c r="A36" s="579"/>
      <c r="B36" s="208" t="s">
        <v>206</v>
      </c>
      <c r="C36" s="210">
        <v>1000000</v>
      </c>
      <c r="D36" s="210">
        <v>17000000</v>
      </c>
      <c r="E36" s="63">
        <f t="shared" si="7"/>
        <v>18000000</v>
      </c>
      <c r="F36" s="587"/>
      <c r="G36" s="587"/>
    </row>
    <row r="37" spans="1:7" ht="16.5" customHeight="1">
      <c r="A37" s="581"/>
      <c r="B37" s="208" t="s">
        <v>176</v>
      </c>
      <c r="C37" s="210">
        <v>4500000</v>
      </c>
      <c r="D37" s="210">
        <v>0</v>
      </c>
      <c r="E37" s="63">
        <f t="shared" si="7"/>
        <v>4500000</v>
      </c>
      <c r="F37" s="587"/>
      <c r="G37" s="587"/>
    </row>
    <row r="38" spans="1:7" ht="16.5" customHeight="1">
      <c r="A38" s="692" t="s">
        <v>309</v>
      </c>
      <c r="B38" s="595"/>
      <c r="C38" s="210">
        <v>3000000</v>
      </c>
      <c r="D38" s="210">
        <v>5625000</v>
      </c>
      <c r="E38" s="63">
        <f t="shared" si="7"/>
        <v>8625000</v>
      </c>
    </row>
    <row r="39" spans="1:7" ht="16.5" customHeight="1">
      <c r="B39" s="17"/>
      <c r="D39" s="17"/>
      <c r="E39" s="17"/>
    </row>
    <row r="40" spans="1:7" ht="16.5" customHeight="1">
      <c r="B40" s="17"/>
      <c r="D40" s="17"/>
      <c r="E40" s="17"/>
    </row>
    <row r="41" spans="1:7" ht="16.5" customHeight="1">
      <c r="B41" s="17"/>
      <c r="D41" s="17"/>
      <c r="E41" s="17"/>
    </row>
    <row r="42" spans="1:7" ht="16.5" customHeight="1">
      <c r="B42" s="17"/>
      <c r="D42" s="17"/>
      <c r="E42" s="17"/>
    </row>
    <row r="43" spans="1:7" ht="16.5" customHeight="1">
      <c r="B43" s="17"/>
      <c r="D43" s="17"/>
      <c r="E43" s="17"/>
    </row>
    <row r="44" spans="1:7" ht="16.5" customHeight="1">
      <c r="B44" s="17"/>
      <c r="D44" s="17"/>
      <c r="E44" s="17"/>
    </row>
    <row r="45" spans="1:7" ht="16.5" customHeight="1">
      <c r="B45" s="17"/>
      <c r="D45" s="17"/>
      <c r="E45" s="17"/>
    </row>
    <row r="46" spans="1:7" ht="16.5" customHeight="1">
      <c r="B46" s="17"/>
      <c r="D46" s="17"/>
      <c r="E46" s="17"/>
    </row>
    <row r="47" spans="1:7" ht="16.5" customHeight="1">
      <c r="B47" s="17"/>
      <c r="D47" s="17"/>
      <c r="E47" s="17"/>
    </row>
    <row r="48" spans="1:7" ht="16.5" customHeight="1">
      <c r="B48" s="17"/>
      <c r="D48" s="17"/>
      <c r="E48" s="17"/>
    </row>
    <row r="49" spans="2:5" ht="16.5" customHeight="1">
      <c r="B49" s="17"/>
      <c r="D49" s="17"/>
      <c r="E49" s="17"/>
    </row>
    <row r="50" spans="2:5" ht="16.5" customHeight="1">
      <c r="B50" s="17"/>
      <c r="D50" s="17"/>
      <c r="E50" s="17"/>
    </row>
    <row r="51" spans="2:5" ht="16.5" customHeight="1">
      <c r="B51" s="17"/>
      <c r="D51" s="17"/>
      <c r="E51" s="17"/>
    </row>
    <row r="52" spans="2:5" ht="16.5" customHeight="1">
      <c r="B52" s="17"/>
      <c r="D52" s="17"/>
      <c r="E52" s="17"/>
    </row>
    <row r="53" spans="2:5" ht="16.5" customHeight="1">
      <c r="B53" s="17"/>
      <c r="D53" s="17"/>
      <c r="E53" s="17"/>
    </row>
    <row r="54" spans="2:5" ht="16.5" customHeight="1">
      <c r="B54" s="17"/>
      <c r="D54" s="17"/>
      <c r="E54" s="17"/>
    </row>
    <row r="55" spans="2:5" ht="16.5" customHeight="1">
      <c r="B55" s="17"/>
      <c r="D55" s="17"/>
      <c r="E55" s="17"/>
    </row>
    <row r="56" spans="2:5" ht="16.5" customHeight="1">
      <c r="B56" s="17"/>
      <c r="D56" s="17"/>
      <c r="E56" s="17"/>
    </row>
    <row r="57" spans="2:5" ht="16.5" customHeight="1">
      <c r="B57" s="17"/>
      <c r="D57" s="17"/>
      <c r="E57" s="17"/>
    </row>
    <row r="58" spans="2:5" ht="16.5" customHeight="1">
      <c r="B58" s="17"/>
      <c r="D58" s="17"/>
      <c r="E58" s="17"/>
    </row>
    <row r="59" spans="2:5" ht="16.5" customHeight="1">
      <c r="B59" s="17"/>
      <c r="D59" s="17"/>
      <c r="E59" s="17"/>
    </row>
    <row r="60" spans="2:5" ht="16.5" customHeight="1">
      <c r="B60" s="17"/>
      <c r="D60" s="17"/>
      <c r="E60" s="17"/>
    </row>
    <row r="61" spans="2:5" ht="16.5" customHeight="1">
      <c r="B61" s="17"/>
      <c r="D61" s="17"/>
      <c r="E61" s="17"/>
    </row>
    <row r="62" spans="2:5" ht="16.5" customHeight="1">
      <c r="B62" s="17"/>
      <c r="D62" s="17"/>
      <c r="E62" s="17"/>
    </row>
    <row r="63" spans="2:5" ht="16.5" customHeight="1">
      <c r="B63" s="17"/>
      <c r="D63" s="17"/>
      <c r="E63" s="17"/>
    </row>
    <row r="64" spans="2:5" ht="16.5" customHeight="1">
      <c r="B64" s="17"/>
      <c r="D64" s="17"/>
      <c r="E64" s="17"/>
    </row>
    <row r="65" spans="2:5" ht="16.5" customHeight="1">
      <c r="B65" s="17"/>
      <c r="D65" s="17"/>
      <c r="E65" s="17"/>
    </row>
    <row r="66" spans="2:5" ht="16.5" customHeight="1">
      <c r="B66" s="17"/>
      <c r="D66" s="17"/>
      <c r="E66" s="17"/>
    </row>
    <row r="67" spans="2:5" ht="16.5" customHeight="1">
      <c r="B67" s="17"/>
      <c r="D67" s="17"/>
      <c r="E67" s="17"/>
    </row>
    <row r="68" spans="2:5" ht="16.5" customHeight="1">
      <c r="B68" s="17"/>
      <c r="D68" s="17"/>
      <c r="E68" s="17"/>
    </row>
    <row r="69" spans="2:5" ht="16.5" customHeight="1">
      <c r="B69" s="17"/>
      <c r="D69" s="17"/>
      <c r="E69" s="17"/>
    </row>
    <row r="70" spans="2:5" ht="16.5" customHeight="1">
      <c r="B70" s="17"/>
      <c r="D70" s="17"/>
      <c r="E70" s="17"/>
    </row>
    <row r="71" spans="2:5" ht="16.5" customHeight="1">
      <c r="B71" s="17"/>
      <c r="D71" s="17"/>
      <c r="E71" s="17"/>
    </row>
    <row r="72" spans="2:5" ht="16.5" customHeight="1">
      <c r="B72" s="17"/>
      <c r="D72" s="17"/>
      <c r="E72" s="17"/>
    </row>
    <row r="73" spans="2:5" ht="16.5" customHeight="1">
      <c r="B73" s="17"/>
      <c r="D73" s="17"/>
      <c r="E73" s="17"/>
    </row>
    <row r="74" spans="2:5" ht="16.5" customHeight="1">
      <c r="B74" s="17"/>
      <c r="D74" s="17"/>
      <c r="E74" s="17"/>
    </row>
    <row r="75" spans="2:5" ht="16.5" customHeight="1">
      <c r="B75" s="17"/>
      <c r="D75" s="17"/>
      <c r="E75" s="17"/>
    </row>
    <row r="76" spans="2:5" ht="16.5" customHeight="1">
      <c r="B76" s="17"/>
      <c r="D76" s="17"/>
      <c r="E76" s="17"/>
    </row>
    <row r="77" spans="2:5" ht="16.5" customHeight="1">
      <c r="B77" s="17"/>
      <c r="D77" s="17"/>
      <c r="E77" s="17"/>
    </row>
    <row r="78" spans="2:5" ht="16.5" customHeight="1">
      <c r="B78" s="17"/>
      <c r="D78" s="17"/>
      <c r="E78" s="17"/>
    </row>
    <row r="79" spans="2:5" ht="16.5" customHeight="1">
      <c r="B79" s="17"/>
      <c r="D79" s="17"/>
      <c r="E79" s="17"/>
    </row>
    <row r="80" spans="2:5" ht="16.5" customHeight="1">
      <c r="B80" s="17"/>
      <c r="D80" s="17"/>
      <c r="E80" s="17"/>
    </row>
    <row r="81" spans="2:5" ht="16.5" customHeight="1">
      <c r="B81" s="17"/>
      <c r="D81" s="17"/>
      <c r="E81" s="17"/>
    </row>
    <row r="82" spans="2:5" ht="16.5" customHeight="1">
      <c r="B82" s="17"/>
      <c r="D82" s="17"/>
      <c r="E82" s="17"/>
    </row>
    <row r="83" spans="2:5" ht="16.5" customHeight="1">
      <c r="B83" s="17"/>
      <c r="D83" s="17"/>
      <c r="E83" s="17"/>
    </row>
    <row r="84" spans="2:5" ht="16.5" customHeight="1">
      <c r="B84" s="17"/>
      <c r="D84" s="17"/>
      <c r="E84" s="17"/>
    </row>
    <row r="85" spans="2:5" ht="16.5" customHeight="1">
      <c r="B85" s="17"/>
      <c r="D85" s="17"/>
      <c r="E85" s="17"/>
    </row>
    <row r="86" spans="2:5" ht="16.5" customHeight="1">
      <c r="B86" s="17"/>
      <c r="D86" s="17"/>
      <c r="E86" s="17"/>
    </row>
    <row r="87" spans="2:5" ht="16.5" customHeight="1">
      <c r="B87" s="17"/>
      <c r="D87" s="17"/>
      <c r="E87" s="17"/>
    </row>
    <row r="88" spans="2:5" ht="16.5" customHeight="1">
      <c r="B88" s="17"/>
      <c r="D88" s="17"/>
      <c r="E88" s="17"/>
    </row>
    <row r="89" spans="2:5" ht="16.5" customHeight="1">
      <c r="B89" s="17"/>
      <c r="D89" s="17"/>
      <c r="E89" s="17"/>
    </row>
    <row r="90" spans="2:5" ht="16.5" customHeight="1">
      <c r="B90" s="17"/>
      <c r="D90" s="17"/>
      <c r="E90" s="17"/>
    </row>
    <row r="91" spans="2:5" ht="16.5" customHeight="1">
      <c r="B91" s="17"/>
      <c r="D91" s="17"/>
      <c r="E91" s="17"/>
    </row>
    <row r="92" spans="2:5" ht="16.5" customHeight="1">
      <c r="B92" s="17"/>
      <c r="D92" s="17"/>
      <c r="E92" s="17"/>
    </row>
    <row r="93" spans="2:5" ht="16.5" customHeight="1">
      <c r="B93" s="17"/>
      <c r="D93" s="17"/>
      <c r="E93" s="17"/>
    </row>
    <row r="94" spans="2:5" ht="16.5" customHeight="1">
      <c r="B94" s="17"/>
      <c r="D94" s="17"/>
      <c r="E94" s="17"/>
    </row>
    <row r="95" spans="2:5" ht="16.5" customHeight="1">
      <c r="B95" s="17"/>
      <c r="D95" s="17"/>
      <c r="E95" s="17"/>
    </row>
    <row r="96" spans="2:5" ht="16.5" customHeight="1">
      <c r="B96" s="17"/>
      <c r="D96" s="17"/>
      <c r="E96" s="17"/>
    </row>
    <row r="97" spans="2:5" ht="16.5" customHeight="1">
      <c r="B97" s="17"/>
      <c r="D97" s="17"/>
      <c r="E97" s="17"/>
    </row>
    <row r="98" spans="2:5" ht="16.5" customHeight="1">
      <c r="B98" s="17"/>
      <c r="D98" s="17"/>
      <c r="E98" s="17"/>
    </row>
    <row r="99" spans="2:5" ht="16.5" customHeight="1">
      <c r="B99" s="17"/>
      <c r="D99" s="17"/>
      <c r="E99" s="17"/>
    </row>
    <row r="100" spans="2:5" ht="16.5" customHeight="1">
      <c r="B100" s="17"/>
      <c r="D100" s="17"/>
      <c r="E100" s="17"/>
    </row>
    <row r="101" spans="2:5" ht="16.5" customHeight="1">
      <c r="B101" s="17"/>
      <c r="D101" s="17"/>
      <c r="E101" s="17"/>
    </row>
    <row r="102" spans="2:5" ht="16.5" customHeight="1">
      <c r="B102" s="17"/>
      <c r="D102" s="17"/>
      <c r="E102" s="17"/>
    </row>
    <row r="103" spans="2:5" ht="16.5" customHeight="1">
      <c r="B103" s="17"/>
      <c r="D103" s="17"/>
      <c r="E103" s="17"/>
    </row>
    <row r="104" spans="2:5" ht="16.5" customHeight="1">
      <c r="B104" s="17"/>
      <c r="D104" s="17"/>
      <c r="E104" s="17"/>
    </row>
    <row r="105" spans="2:5" ht="16.5" customHeight="1">
      <c r="B105" s="17"/>
      <c r="D105" s="17"/>
      <c r="E105" s="17"/>
    </row>
    <row r="106" spans="2:5" ht="16.5" customHeight="1">
      <c r="B106" s="17"/>
      <c r="D106" s="17"/>
      <c r="E106" s="17"/>
    </row>
    <row r="107" spans="2:5" ht="16.5" customHeight="1">
      <c r="B107" s="17"/>
      <c r="D107" s="17"/>
      <c r="E107" s="17"/>
    </row>
    <row r="108" spans="2:5" ht="16.5" customHeight="1">
      <c r="B108" s="17"/>
      <c r="D108" s="17"/>
      <c r="E108" s="17"/>
    </row>
    <row r="109" spans="2:5" ht="16.5" customHeight="1">
      <c r="B109" s="17"/>
      <c r="D109" s="17"/>
      <c r="E109" s="17"/>
    </row>
    <row r="110" spans="2:5" ht="16.5" customHeight="1">
      <c r="B110" s="17"/>
      <c r="D110" s="17"/>
      <c r="E110" s="17"/>
    </row>
    <row r="111" spans="2:5" ht="16.5" customHeight="1">
      <c r="B111" s="17"/>
      <c r="D111" s="17"/>
      <c r="E111" s="17"/>
    </row>
    <row r="112" spans="2:5" ht="16.5" customHeight="1">
      <c r="B112" s="17"/>
      <c r="D112" s="17"/>
      <c r="E112" s="17"/>
    </row>
    <row r="113" spans="2:5" ht="16.5" customHeight="1">
      <c r="B113" s="17"/>
      <c r="D113" s="17"/>
      <c r="E113" s="17"/>
    </row>
    <row r="114" spans="2:5" ht="16.5" customHeight="1">
      <c r="B114" s="17"/>
      <c r="D114" s="17"/>
      <c r="E114" s="17"/>
    </row>
    <row r="115" spans="2:5" ht="16.5" customHeight="1">
      <c r="B115" s="17"/>
      <c r="D115" s="17"/>
      <c r="E115" s="17"/>
    </row>
    <row r="116" spans="2:5" ht="16.5" customHeight="1">
      <c r="B116" s="17"/>
      <c r="D116" s="17"/>
      <c r="E116" s="17"/>
    </row>
    <row r="117" spans="2:5" ht="16.5" customHeight="1">
      <c r="B117" s="17"/>
      <c r="D117" s="17"/>
      <c r="E117" s="17"/>
    </row>
    <row r="118" spans="2:5" ht="16.5" customHeight="1">
      <c r="B118" s="17"/>
      <c r="D118" s="17"/>
      <c r="E118" s="17"/>
    </row>
    <row r="119" spans="2:5" ht="16.5" customHeight="1">
      <c r="B119" s="17"/>
      <c r="D119" s="17"/>
      <c r="E119" s="17"/>
    </row>
    <row r="120" spans="2:5" ht="16.5" customHeight="1">
      <c r="B120" s="17"/>
      <c r="D120" s="17"/>
      <c r="E120" s="17"/>
    </row>
    <row r="121" spans="2:5" ht="16.5" customHeight="1">
      <c r="B121" s="17"/>
      <c r="D121" s="17"/>
      <c r="E121" s="17"/>
    </row>
    <row r="122" spans="2:5" ht="16.5" customHeight="1">
      <c r="B122" s="17"/>
      <c r="D122" s="17"/>
      <c r="E122" s="17"/>
    </row>
    <row r="123" spans="2:5" ht="16.5" customHeight="1">
      <c r="B123" s="17"/>
      <c r="D123" s="17"/>
      <c r="E123" s="17"/>
    </row>
    <row r="124" spans="2:5" ht="16.5" customHeight="1">
      <c r="B124" s="17"/>
      <c r="D124" s="17"/>
      <c r="E124" s="17"/>
    </row>
    <row r="125" spans="2:5" ht="16.5" customHeight="1">
      <c r="B125" s="17"/>
      <c r="D125" s="17"/>
      <c r="E125" s="17"/>
    </row>
    <row r="126" spans="2:5" ht="16.5" customHeight="1">
      <c r="B126" s="17"/>
      <c r="D126" s="17"/>
      <c r="E126" s="17"/>
    </row>
    <row r="127" spans="2:5" ht="16.5" customHeight="1">
      <c r="B127" s="17"/>
      <c r="D127" s="17"/>
      <c r="E127" s="17"/>
    </row>
    <row r="128" spans="2:5" ht="16.5" customHeight="1">
      <c r="B128" s="17"/>
      <c r="D128" s="17"/>
      <c r="E128" s="17"/>
    </row>
    <row r="129" spans="2:5" ht="16.5" customHeight="1">
      <c r="B129" s="17"/>
      <c r="D129" s="17"/>
      <c r="E129" s="17"/>
    </row>
    <row r="130" spans="2:5" ht="16.5" customHeight="1">
      <c r="B130" s="17"/>
      <c r="D130" s="17"/>
      <c r="E130" s="17"/>
    </row>
    <row r="131" spans="2:5" ht="16.5" customHeight="1">
      <c r="B131" s="17"/>
      <c r="D131" s="17"/>
      <c r="E131" s="17"/>
    </row>
    <row r="132" spans="2:5" ht="16.5" customHeight="1">
      <c r="B132" s="17"/>
      <c r="D132" s="17"/>
      <c r="E132" s="17"/>
    </row>
    <row r="133" spans="2:5" ht="16.5" customHeight="1">
      <c r="B133" s="17"/>
      <c r="D133" s="17"/>
      <c r="E133" s="17"/>
    </row>
    <row r="134" spans="2:5" ht="16.5" customHeight="1">
      <c r="B134" s="17"/>
      <c r="D134" s="17"/>
      <c r="E134" s="17"/>
    </row>
    <row r="135" spans="2:5" ht="16.5" customHeight="1">
      <c r="B135" s="17"/>
      <c r="D135" s="17"/>
      <c r="E135" s="17"/>
    </row>
    <row r="136" spans="2:5" ht="16.5" customHeight="1">
      <c r="B136" s="17"/>
      <c r="D136" s="17"/>
      <c r="E136" s="17"/>
    </row>
    <row r="137" spans="2:5" ht="16.5" customHeight="1">
      <c r="B137" s="17"/>
      <c r="D137" s="17"/>
      <c r="E137" s="17"/>
    </row>
    <row r="138" spans="2:5" ht="16.5" customHeight="1">
      <c r="B138" s="17"/>
      <c r="D138" s="17"/>
      <c r="E138" s="17"/>
    </row>
    <row r="139" spans="2:5" ht="16.5" customHeight="1">
      <c r="B139" s="17"/>
      <c r="D139" s="17"/>
      <c r="E139" s="17"/>
    </row>
    <row r="140" spans="2:5" ht="16.5" customHeight="1">
      <c r="B140" s="17"/>
      <c r="D140" s="17"/>
      <c r="E140" s="17"/>
    </row>
    <row r="141" spans="2:5" ht="16.5" customHeight="1">
      <c r="B141" s="17"/>
      <c r="D141" s="17"/>
      <c r="E141" s="17"/>
    </row>
    <row r="142" spans="2:5" ht="16.5" customHeight="1">
      <c r="B142" s="17"/>
      <c r="D142" s="17"/>
      <c r="E142" s="17"/>
    </row>
    <row r="143" spans="2:5" ht="16.5" customHeight="1">
      <c r="B143" s="17"/>
      <c r="D143" s="17"/>
      <c r="E143" s="17"/>
    </row>
    <row r="144" spans="2:5" ht="16.5" customHeight="1">
      <c r="B144" s="17"/>
      <c r="D144" s="17"/>
      <c r="E144" s="17"/>
    </row>
    <row r="145" spans="2:5" ht="16.5" customHeight="1">
      <c r="B145" s="17"/>
      <c r="D145" s="17"/>
      <c r="E145" s="17"/>
    </row>
    <row r="146" spans="2:5" ht="16.5" customHeight="1">
      <c r="B146" s="17"/>
      <c r="D146" s="17"/>
      <c r="E146" s="17"/>
    </row>
    <row r="147" spans="2:5" ht="16.5" customHeight="1">
      <c r="B147" s="17"/>
      <c r="D147" s="17"/>
      <c r="E147" s="17"/>
    </row>
    <row r="148" spans="2:5" ht="16.5" customHeight="1">
      <c r="B148" s="17"/>
      <c r="D148" s="17"/>
      <c r="E148" s="17"/>
    </row>
    <row r="149" spans="2:5" ht="16.5" customHeight="1">
      <c r="B149" s="17"/>
      <c r="D149" s="17"/>
      <c r="E149" s="17"/>
    </row>
    <row r="150" spans="2:5" ht="16.5" customHeight="1">
      <c r="B150" s="17"/>
      <c r="D150" s="17"/>
      <c r="E150" s="17"/>
    </row>
    <row r="151" spans="2:5" ht="16.5" customHeight="1">
      <c r="B151" s="17"/>
      <c r="D151" s="17"/>
      <c r="E151" s="17"/>
    </row>
    <row r="152" spans="2:5" ht="16.5" customHeight="1">
      <c r="B152" s="17"/>
      <c r="D152" s="17"/>
      <c r="E152" s="17"/>
    </row>
    <row r="153" spans="2:5" ht="16.5" customHeight="1">
      <c r="B153" s="17"/>
      <c r="D153" s="17"/>
      <c r="E153" s="17"/>
    </row>
    <row r="154" spans="2:5" ht="16.5" customHeight="1">
      <c r="B154" s="17"/>
      <c r="D154" s="17"/>
      <c r="E154" s="17"/>
    </row>
    <row r="155" spans="2:5" ht="16.5" customHeight="1">
      <c r="B155" s="17"/>
      <c r="D155" s="17"/>
      <c r="E155" s="17"/>
    </row>
    <row r="156" spans="2:5" ht="16.5" customHeight="1">
      <c r="B156" s="17"/>
      <c r="D156" s="17"/>
      <c r="E156" s="17"/>
    </row>
    <row r="157" spans="2:5" ht="16.5" customHeight="1">
      <c r="B157" s="17"/>
      <c r="D157" s="17"/>
      <c r="E157" s="17"/>
    </row>
    <row r="158" spans="2:5" ht="16.5" customHeight="1">
      <c r="B158" s="17"/>
      <c r="D158" s="17"/>
      <c r="E158" s="17"/>
    </row>
    <row r="159" spans="2:5" ht="16.5" customHeight="1">
      <c r="B159" s="17"/>
      <c r="D159" s="17"/>
      <c r="E159" s="17"/>
    </row>
    <row r="160" spans="2:5" ht="16.5" customHeight="1">
      <c r="B160" s="17"/>
      <c r="D160" s="17"/>
      <c r="E160" s="17"/>
    </row>
    <row r="161" spans="2:5" ht="16.5" customHeight="1">
      <c r="B161" s="17"/>
      <c r="D161" s="17"/>
      <c r="E161" s="17"/>
    </row>
    <row r="162" spans="2:5" ht="16.5" customHeight="1">
      <c r="B162" s="17"/>
      <c r="D162" s="17"/>
      <c r="E162" s="17"/>
    </row>
    <row r="163" spans="2:5" ht="16.5" customHeight="1">
      <c r="B163" s="17"/>
      <c r="D163" s="17"/>
      <c r="E163" s="17"/>
    </row>
    <row r="164" spans="2:5" ht="16.5" customHeight="1">
      <c r="B164" s="17"/>
      <c r="D164" s="17"/>
      <c r="E164" s="17"/>
    </row>
    <row r="165" spans="2:5" ht="16.5" customHeight="1">
      <c r="B165" s="17"/>
      <c r="D165" s="17"/>
      <c r="E165" s="17"/>
    </row>
    <row r="166" spans="2:5" ht="16.5" customHeight="1">
      <c r="B166" s="17"/>
      <c r="D166" s="17"/>
      <c r="E166" s="17"/>
    </row>
    <row r="167" spans="2:5" ht="16.5" customHeight="1">
      <c r="B167" s="17"/>
      <c r="D167" s="17"/>
      <c r="E167" s="17"/>
    </row>
    <row r="168" spans="2:5" ht="16.5" customHeight="1">
      <c r="B168" s="17"/>
      <c r="D168" s="17"/>
      <c r="E168" s="17"/>
    </row>
    <row r="169" spans="2:5" ht="16.5" customHeight="1">
      <c r="B169" s="17"/>
      <c r="D169" s="17"/>
      <c r="E169" s="17"/>
    </row>
    <row r="170" spans="2:5" ht="16.5" customHeight="1">
      <c r="B170" s="17"/>
      <c r="D170" s="17"/>
      <c r="E170" s="17"/>
    </row>
    <row r="171" spans="2:5" ht="16.5" customHeight="1">
      <c r="B171" s="17"/>
      <c r="D171" s="17"/>
      <c r="E171" s="17"/>
    </row>
    <row r="172" spans="2:5" ht="16.5" customHeight="1">
      <c r="B172" s="17"/>
      <c r="D172" s="17"/>
      <c r="E172" s="17"/>
    </row>
    <row r="173" spans="2:5" ht="16.5" customHeight="1">
      <c r="B173" s="17"/>
      <c r="D173" s="17"/>
      <c r="E173" s="17"/>
    </row>
    <row r="174" spans="2:5" ht="16.5" customHeight="1">
      <c r="B174" s="17"/>
      <c r="D174" s="17"/>
      <c r="E174" s="17"/>
    </row>
    <row r="175" spans="2:5" ht="16.5" customHeight="1">
      <c r="B175" s="17"/>
      <c r="D175" s="17"/>
      <c r="E175" s="17"/>
    </row>
    <row r="176" spans="2:5" ht="16.5" customHeight="1">
      <c r="B176" s="17"/>
      <c r="D176" s="17"/>
      <c r="E176" s="17"/>
    </row>
    <row r="177" spans="2:5" ht="16.5" customHeight="1">
      <c r="B177" s="17"/>
      <c r="D177" s="17"/>
      <c r="E177" s="17"/>
    </row>
    <row r="178" spans="2:5" ht="16.5" customHeight="1">
      <c r="B178" s="17"/>
      <c r="D178" s="17"/>
      <c r="E178" s="17"/>
    </row>
    <row r="179" spans="2:5" ht="16.5" customHeight="1">
      <c r="B179" s="17"/>
      <c r="D179" s="17"/>
      <c r="E179" s="17"/>
    </row>
    <row r="180" spans="2:5" ht="16.5" customHeight="1">
      <c r="B180" s="17"/>
      <c r="D180" s="17"/>
      <c r="E180" s="17"/>
    </row>
    <row r="181" spans="2:5" ht="16.5" customHeight="1">
      <c r="B181" s="17"/>
      <c r="D181" s="17"/>
      <c r="E181" s="17"/>
    </row>
    <row r="182" spans="2:5" ht="16.5" customHeight="1">
      <c r="B182" s="17"/>
      <c r="D182" s="17"/>
      <c r="E182" s="17"/>
    </row>
    <row r="183" spans="2:5" ht="16.5" customHeight="1">
      <c r="B183" s="17"/>
      <c r="D183" s="17"/>
      <c r="E183" s="17"/>
    </row>
    <row r="184" spans="2:5" ht="16.5" customHeight="1">
      <c r="B184" s="17"/>
      <c r="D184" s="17"/>
      <c r="E184" s="17"/>
    </row>
    <row r="185" spans="2:5" ht="16.5" customHeight="1">
      <c r="B185" s="17"/>
      <c r="D185" s="17"/>
      <c r="E185" s="17"/>
    </row>
    <row r="186" spans="2:5" ht="16.5" customHeight="1">
      <c r="B186" s="17"/>
      <c r="D186" s="17"/>
      <c r="E186" s="17"/>
    </row>
    <row r="187" spans="2:5" ht="16.5" customHeight="1">
      <c r="B187" s="17"/>
      <c r="D187" s="17"/>
      <c r="E187" s="17"/>
    </row>
    <row r="188" spans="2:5" ht="16.5" customHeight="1">
      <c r="B188" s="17"/>
      <c r="D188" s="17"/>
      <c r="E188" s="17"/>
    </row>
    <row r="189" spans="2:5" ht="16.5" customHeight="1">
      <c r="B189" s="17"/>
      <c r="D189" s="17"/>
      <c r="E189" s="17"/>
    </row>
    <row r="190" spans="2:5" ht="16.5" customHeight="1">
      <c r="B190" s="17"/>
      <c r="D190" s="17"/>
      <c r="E190" s="17"/>
    </row>
    <row r="191" spans="2:5" ht="16.5" customHeight="1">
      <c r="B191" s="17"/>
      <c r="D191" s="17"/>
      <c r="E191" s="17"/>
    </row>
    <row r="192" spans="2:5" ht="16.5" customHeight="1">
      <c r="B192" s="17"/>
      <c r="D192" s="17"/>
      <c r="E192" s="17"/>
    </row>
    <row r="193" spans="2:5" ht="16.5" customHeight="1">
      <c r="B193" s="17"/>
      <c r="D193" s="17"/>
      <c r="E193" s="17"/>
    </row>
    <row r="194" spans="2:5" ht="16.5" customHeight="1">
      <c r="B194" s="17"/>
      <c r="D194" s="17"/>
      <c r="E194" s="17"/>
    </row>
    <row r="195" spans="2:5" ht="16.5" customHeight="1">
      <c r="B195" s="17"/>
      <c r="D195" s="17"/>
      <c r="E195" s="17"/>
    </row>
    <row r="196" spans="2:5" ht="16.5" customHeight="1">
      <c r="B196" s="17"/>
      <c r="D196" s="17"/>
      <c r="E196" s="17"/>
    </row>
    <row r="197" spans="2:5" ht="16.5" customHeight="1">
      <c r="B197" s="17"/>
      <c r="D197" s="17"/>
      <c r="E197" s="17"/>
    </row>
    <row r="198" spans="2:5" ht="16.5" customHeight="1">
      <c r="B198" s="17"/>
      <c r="D198" s="17"/>
      <c r="E198" s="17"/>
    </row>
    <row r="199" spans="2:5" ht="16.5" customHeight="1">
      <c r="B199" s="17"/>
      <c r="D199" s="17"/>
      <c r="E199" s="17"/>
    </row>
    <row r="200" spans="2:5" ht="16.5" customHeight="1">
      <c r="B200" s="17"/>
      <c r="D200" s="17"/>
      <c r="E200" s="17"/>
    </row>
    <row r="201" spans="2:5" ht="16.5" customHeight="1">
      <c r="B201" s="17"/>
      <c r="D201" s="17"/>
      <c r="E201" s="17"/>
    </row>
    <row r="202" spans="2:5" ht="16.5" customHeight="1">
      <c r="B202" s="17"/>
      <c r="D202" s="17"/>
      <c r="E202" s="17"/>
    </row>
    <row r="203" spans="2:5" ht="16.5" customHeight="1">
      <c r="B203" s="17"/>
      <c r="D203" s="17"/>
      <c r="E203" s="17"/>
    </row>
    <row r="204" spans="2:5" ht="16.5" customHeight="1">
      <c r="B204" s="17"/>
      <c r="D204" s="17"/>
      <c r="E204" s="17"/>
    </row>
    <row r="205" spans="2:5" ht="16.5" customHeight="1">
      <c r="B205" s="17"/>
      <c r="D205" s="17"/>
      <c r="E205" s="17"/>
    </row>
    <row r="206" spans="2:5" ht="16.5" customHeight="1">
      <c r="B206" s="17"/>
      <c r="D206" s="17"/>
      <c r="E206" s="17"/>
    </row>
    <row r="207" spans="2:5" ht="16.5" customHeight="1">
      <c r="B207" s="17"/>
      <c r="D207" s="17"/>
      <c r="E207" s="17"/>
    </row>
    <row r="208" spans="2:5" ht="16.5" customHeight="1">
      <c r="B208" s="17"/>
      <c r="D208" s="17"/>
      <c r="E208" s="17"/>
    </row>
    <row r="209" spans="2:5" ht="16.5" customHeight="1">
      <c r="B209" s="17"/>
      <c r="D209" s="17"/>
      <c r="E209" s="17"/>
    </row>
    <row r="210" spans="2:5" ht="16.5" customHeight="1">
      <c r="B210" s="17"/>
      <c r="D210" s="17"/>
      <c r="E210" s="17"/>
    </row>
    <row r="211" spans="2:5" ht="16.5" customHeight="1">
      <c r="B211" s="17"/>
      <c r="D211" s="17"/>
      <c r="E211" s="17"/>
    </row>
    <row r="212" spans="2:5" ht="16.5" customHeight="1">
      <c r="B212" s="17"/>
      <c r="D212" s="17"/>
      <c r="E212" s="17"/>
    </row>
    <row r="213" spans="2:5" ht="16.5" customHeight="1">
      <c r="B213" s="17"/>
      <c r="D213" s="17"/>
      <c r="E213" s="17"/>
    </row>
    <row r="214" spans="2:5" ht="16.5" customHeight="1">
      <c r="B214" s="17"/>
      <c r="D214" s="17"/>
      <c r="E214" s="17"/>
    </row>
    <row r="215" spans="2:5" ht="16.5" customHeight="1">
      <c r="B215" s="17"/>
      <c r="D215" s="17"/>
      <c r="E215" s="17"/>
    </row>
    <row r="216" spans="2:5" ht="16.5" customHeight="1">
      <c r="B216" s="17"/>
      <c r="D216" s="17"/>
      <c r="E216" s="17"/>
    </row>
    <row r="217" spans="2:5" ht="16.5" customHeight="1">
      <c r="B217" s="17"/>
      <c r="D217" s="17"/>
      <c r="E217" s="17"/>
    </row>
    <row r="218" spans="2:5" ht="16.5" customHeight="1">
      <c r="B218" s="17"/>
      <c r="D218" s="17"/>
      <c r="E218" s="17"/>
    </row>
    <row r="219" spans="2:5" ht="16.5" customHeight="1">
      <c r="B219" s="17"/>
      <c r="D219" s="17"/>
      <c r="E219" s="17"/>
    </row>
    <row r="220" spans="2:5" ht="16.5" customHeight="1">
      <c r="B220" s="17"/>
      <c r="D220" s="17"/>
      <c r="E220" s="17"/>
    </row>
    <row r="221" spans="2:5" ht="16.5" customHeight="1">
      <c r="B221" s="17"/>
      <c r="D221" s="17"/>
      <c r="E221" s="17"/>
    </row>
    <row r="222" spans="2:5" ht="16.5" customHeight="1">
      <c r="B222" s="17"/>
      <c r="D222" s="17"/>
      <c r="E222" s="17"/>
    </row>
    <row r="223" spans="2:5" ht="16.5" customHeight="1">
      <c r="B223" s="17"/>
      <c r="D223" s="17"/>
      <c r="E223" s="17"/>
    </row>
    <row r="224" spans="2:5" ht="16.5" customHeight="1">
      <c r="B224" s="17"/>
      <c r="D224" s="17"/>
      <c r="E224" s="17"/>
    </row>
    <row r="225" spans="2:5" ht="16.5" customHeight="1">
      <c r="B225" s="17"/>
      <c r="D225" s="17"/>
      <c r="E225" s="17"/>
    </row>
    <row r="226" spans="2:5" ht="16.5" customHeight="1">
      <c r="B226" s="17"/>
      <c r="D226" s="17"/>
      <c r="E226" s="17"/>
    </row>
    <row r="227" spans="2:5" ht="16.5" customHeight="1">
      <c r="B227" s="17"/>
      <c r="D227" s="17"/>
      <c r="E227" s="17"/>
    </row>
    <row r="228" spans="2:5" ht="16.5" customHeight="1">
      <c r="B228" s="17"/>
      <c r="D228" s="17"/>
      <c r="E228" s="17"/>
    </row>
    <row r="229" spans="2:5" ht="16.5" customHeight="1">
      <c r="B229" s="17"/>
      <c r="D229" s="17"/>
      <c r="E229" s="17"/>
    </row>
    <row r="230" spans="2:5" ht="16.5" customHeight="1">
      <c r="B230" s="17"/>
      <c r="D230" s="17"/>
      <c r="E230" s="17"/>
    </row>
    <row r="231" spans="2:5" ht="16.5" customHeight="1">
      <c r="B231" s="17"/>
      <c r="D231" s="17"/>
      <c r="E231" s="17"/>
    </row>
    <row r="232" spans="2:5" ht="16.5" customHeight="1">
      <c r="B232" s="17"/>
      <c r="D232" s="17"/>
      <c r="E232" s="17"/>
    </row>
    <row r="233" spans="2:5" ht="16.5" customHeight="1">
      <c r="B233" s="17"/>
      <c r="D233" s="17"/>
      <c r="E233" s="17"/>
    </row>
    <row r="234" spans="2:5" ht="16.5" customHeight="1">
      <c r="B234" s="17"/>
      <c r="D234" s="17"/>
      <c r="E234" s="17"/>
    </row>
    <row r="235" spans="2:5" ht="16.5" customHeight="1">
      <c r="B235" s="17"/>
      <c r="D235" s="17"/>
      <c r="E235" s="17"/>
    </row>
    <row r="236" spans="2:5" ht="16.5" customHeight="1">
      <c r="B236" s="17"/>
      <c r="D236" s="17"/>
      <c r="E236" s="17"/>
    </row>
    <row r="237" spans="2:5" ht="16.5" customHeight="1">
      <c r="B237" s="17"/>
      <c r="D237" s="17"/>
      <c r="E237" s="17"/>
    </row>
    <row r="238" spans="2:5" ht="16.5" customHeight="1">
      <c r="B238" s="17"/>
      <c r="D238" s="17"/>
      <c r="E238" s="17"/>
    </row>
    <row r="239" spans="2:5" ht="16.5" customHeight="1">
      <c r="B239" s="17"/>
      <c r="D239" s="17"/>
      <c r="E239" s="17"/>
    </row>
    <row r="240" spans="2:5" ht="16.5" customHeight="1">
      <c r="B240" s="17"/>
      <c r="D240" s="17"/>
      <c r="E240" s="17"/>
    </row>
    <row r="241" spans="2:5" ht="16.5" customHeight="1">
      <c r="B241" s="17"/>
      <c r="D241" s="17"/>
      <c r="E241" s="17"/>
    </row>
    <row r="242" spans="2:5" ht="16.5" customHeight="1">
      <c r="B242" s="17"/>
      <c r="D242" s="17"/>
      <c r="E242" s="17"/>
    </row>
    <row r="243" spans="2:5" ht="16.5" customHeight="1">
      <c r="B243" s="17"/>
      <c r="D243" s="17"/>
      <c r="E243" s="17"/>
    </row>
    <row r="244" spans="2:5" ht="16.5" customHeight="1">
      <c r="B244" s="17"/>
      <c r="D244" s="17"/>
      <c r="E244" s="17"/>
    </row>
    <row r="245" spans="2:5" ht="16.5" customHeight="1">
      <c r="B245" s="17"/>
      <c r="D245" s="17"/>
      <c r="E245" s="17"/>
    </row>
    <row r="246" spans="2:5" ht="16.5" customHeight="1">
      <c r="B246" s="17"/>
      <c r="D246" s="17"/>
      <c r="E246" s="17"/>
    </row>
    <row r="247" spans="2:5" ht="16.5" customHeight="1">
      <c r="B247" s="17"/>
      <c r="D247" s="17"/>
      <c r="E247" s="17"/>
    </row>
    <row r="248" spans="2:5" ht="16.5" customHeight="1">
      <c r="B248" s="17"/>
      <c r="D248" s="17"/>
      <c r="E248" s="17"/>
    </row>
    <row r="249" spans="2:5" ht="16.5" customHeight="1">
      <c r="B249" s="17"/>
      <c r="D249" s="17"/>
      <c r="E249" s="17"/>
    </row>
    <row r="250" spans="2:5" ht="16.5" customHeight="1">
      <c r="B250" s="17"/>
      <c r="D250" s="17"/>
      <c r="E250" s="17"/>
    </row>
    <row r="251" spans="2:5" ht="16.5" customHeight="1">
      <c r="B251" s="17"/>
      <c r="D251" s="17"/>
      <c r="E251" s="17"/>
    </row>
    <row r="252" spans="2:5" ht="16.5" customHeight="1">
      <c r="B252" s="17"/>
      <c r="D252" s="17"/>
      <c r="E252" s="17"/>
    </row>
    <row r="253" spans="2:5" ht="16.5" customHeight="1">
      <c r="B253" s="17"/>
      <c r="D253" s="17"/>
      <c r="E253" s="17"/>
    </row>
    <row r="254" spans="2:5" ht="16.5" customHeight="1">
      <c r="B254" s="17"/>
      <c r="D254" s="17"/>
      <c r="E254" s="17"/>
    </row>
    <row r="255" spans="2:5" ht="16.5" customHeight="1">
      <c r="B255" s="17"/>
      <c r="D255" s="17"/>
      <c r="E255" s="17"/>
    </row>
    <row r="256" spans="2:5" ht="16.5" customHeight="1">
      <c r="B256" s="17"/>
      <c r="D256" s="17"/>
      <c r="E256" s="17"/>
    </row>
    <row r="257" spans="2:5" ht="16.5" customHeight="1">
      <c r="B257" s="17"/>
      <c r="D257" s="17"/>
      <c r="E257" s="17"/>
    </row>
    <row r="258" spans="2:5" ht="16.5" customHeight="1">
      <c r="B258" s="17"/>
      <c r="D258" s="17"/>
      <c r="E258" s="17"/>
    </row>
    <row r="259" spans="2:5" ht="16.5" customHeight="1">
      <c r="B259" s="17"/>
      <c r="D259" s="17"/>
      <c r="E259" s="17"/>
    </row>
    <row r="260" spans="2:5" ht="16.5" customHeight="1">
      <c r="B260" s="17"/>
      <c r="D260" s="17"/>
      <c r="E260" s="17"/>
    </row>
    <row r="261" spans="2:5" ht="16.5" customHeight="1">
      <c r="B261" s="17"/>
      <c r="D261" s="17"/>
      <c r="E261" s="17"/>
    </row>
    <row r="262" spans="2:5" ht="16.5" customHeight="1">
      <c r="B262" s="17"/>
      <c r="D262" s="17"/>
      <c r="E262" s="17"/>
    </row>
    <row r="263" spans="2:5" ht="16.5" customHeight="1">
      <c r="B263" s="17"/>
      <c r="D263" s="17"/>
      <c r="E263" s="17"/>
    </row>
    <row r="264" spans="2:5" ht="16.5" customHeight="1">
      <c r="B264" s="17"/>
      <c r="D264" s="17"/>
      <c r="E264" s="17"/>
    </row>
    <row r="265" spans="2:5" ht="16.5" customHeight="1">
      <c r="B265" s="17"/>
      <c r="D265" s="17"/>
      <c r="E265" s="17"/>
    </row>
    <row r="266" spans="2:5" ht="16.5" customHeight="1">
      <c r="B266" s="17"/>
      <c r="D266" s="17"/>
      <c r="E266" s="17"/>
    </row>
    <row r="267" spans="2:5" ht="16.5" customHeight="1">
      <c r="B267" s="17"/>
      <c r="D267" s="17"/>
      <c r="E267" s="17"/>
    </row>
    <row r="268" spans="2:5" ht="16.5" customHeight="1">
      <c r="B268" s="17"/>
      <c r="D268" s="17"/>
      <c r="E268" s="17"/>
    </row>
    <row r="269" spans="2:5" ht="16.5" customHeight="1">
      <c r="B269" s="17"/>
      <c r="D269" s="17"/>
      <c r="E269" s="17"/>
    </row>
    <row r="270" spans="2:5" ht="16.5" customHeight="1">
      <c r="B270" s="17"/>
      <c r="D270" s="17"/>
      <c r="E270" s="17"/>
    </row>
    <row r="271" spans="2:5" ht="16.5" customHeight="1">
      <c r="B271" s="17"/>
      <c r="D271" s="17"/>
      <c r="E271" s="17"/>
    </row>
    <row r="272" spans="2:5" ht="16.5" customHeight="1">
      <c r="B272" s="17"/>
      <c r="D272" s="17"/>
      <c r="E272" s="17"/>
    </row>
    <row r="273" spans="2:5" ht="16.5" customHeight="1">
      <c r="B273" s="17"/>
      <c r="D273" s="17"/>
      <c r="E273" s="17"/>
    </row>
    <row r="274" spans="2:5" ht="16.5" customHeight="1">
      <c r="B274" s="17"/>
      <c r="D274" s="17"/>
      <c r="E274" s="17"/>
    </row>
    <row r="275" spans="2:5" ht="16.5" customHeight="1">
      <c r="B275" s="17"/>
      <c r="D275" s="17"/>
      <c r="E275" s="17"/>
    </row>
    <row r="276" spans="2:5" ht="16.5" customHeight="1">
      <c r="B276" s="17"/>
      <c r="D276" s="17"/>
      <c r="E276" s="17"/>
    </row>
    <row r="277" spans="2:5" ht="16.5" customHeight="1">
      <c r="B277" s="17"/>
      <c r="D277" s="17"/>
      <c r="E277" s="17"/>
    </row>
    <row r="278" spans="2:5" ht="16.5" customHeight="1">
      <c r="B278" s="17"/>
      <c r="D278" s="17"/>
      <c r="E278" s="17"/>
    </row>
    <row r="279" spans="2:5" ht="16.5" customHeight="1">
      <c r="B279" s="17"/>
      <c r="D279" s="17"/>
      <c r="E279" s="17"/>
    </row>
    <row r="280" spans="2:5" ht="16.5" customHeight="1">
      <c r="B280" s="17"/>
      <c r="D280" s="17"/>
      <c r="E280" s="17"/>
    </row>
    <row r="281" spans="2:5" ht="16.5" customHeight="1">
      <c r="B281" s="17"/>
      <c r="D281" s="17"/>
      <c r="E281" s="17"/>
    </row>
    <row r="282" spans="2:5" ht="16.5" customHeight="1">
      <c r="B282" s="17"/>
      <c r="D282" s="17"/>
      <c r="E282" s="17"/>
    </row>
    <row r="283" spans="2:5" ht="16.5" customHeight="1">
      <c r="B283" s="17"/>
      <c r="D283" s="17"/>
      <c r="E283" s="17"/>
    </row>
    <row r="284" spans="2:5" ht="16.5" customHeight="1">
      <c r="B284" s="17"/>
      <c r="D284" s="17"/>
      <c r="E284" s="17"/>
    </row>
    <row r="285" spans="2:5" ht="16.5" customHeight="1">
      <c r="B285" s="17"/>
      <c r="D285" s="17"/>
      <c r="E285" s="17"/>
    </row>
    <row r="286" spans="2:5" ht="16.5" customHeight="1">
      <c r="B286" s="17"/>
      <c r="D286" s="17"/>
      <c r="E286" s="17"/>
    </row>
    <row r="287" spans="2:5" ht="16.5" customHeight="1">
      <c r="B287" s="17"/>
      <c r="D287" s="17"/>
      <c r="E287" s="17"/>
    </row>
    <row r="288" spans="2:5" ht="16.5" customHeight="1">
      <c r="B288" s="17"/>
      <c r="D288" s="17"/>
      <c r="E288" s="17"/>
    </row>
    <row r="289" spans="2:5" ht="16.5" customHeight="1">
      <c r="B289" s="17"/>
      <c r="D289" s="17"/>
      <c r="E289" s="17"/>
    </row>
    <row r="290" spans="2:5" ht="16.5" customHeight="1">
      <c r="B290" s="17"/>
      <c r="D290" s="17"/>
      <c r="E290" s="17"/>
    </row>
    <row r="291" spans="2:5" ht="16.5" customHeight="1">
      <c r="B291" s="17"/>
      <c r="D291" s="17"/>
      <c r="E291" s="17"/>
    </row>
    <row r="292" spans="2:5" ht="16.5" customHeight="1">
      <c r="B292" s="17"/>
      <c r="D292" s="17"/>
      <c r="E292" s="17"/>
    </row>
    <row r="293" spans="2:5" ht="16.5" customHeight="1">
      <c r="B293" s="17"/>
      <c r="D293" s="17"/>
      <c r="E293" s="17"/>
    </row>
    <row r="294" spans="2:5" ht="16.5" customHeight="1">
      <c r="B294" s="17"/>
      <c r="D294" s="17"/>
      <c r="E294" s="17"/>
    </row>
    <row r="295" spans="2:5" ht="16.5" customHeight="1">
      <c r="B295" s="17"/>
      <c r="D295" s="17"/>
      <c r="E295" s="17"/>
    </row>
    <row r="296" spans="2:5" ht="16.5" customHeight="1">
      <c r="B296" s="17"/>
      <c r="D296" s="17"/>
      <c r="E296" s="17"/>
    </row>
    <row r="297" spans="2:5" ht="16.5" customHeight="1">
      <c r="B297" s="17"/>
      <c r="D297" s="17"/>
      <c r="E297" s="17"/>
    </row>
    <row r="298" spans="2:5" ht="16.5" customHeight="1">
      <c r="B298" s="17"/>
      <c r="D298" s="17"/>
      <c r="E298" s="17"/>
    </row>
    <row r="299" spans="2:5" ht="16.5" customHeight="1">
      <c r="B299" s="17"/>
      <c r="D299" s="17"/>
      <c r="E299" s="17"/>
    </row>
    <row r="300" spans="2:5" ht="16.5" customHeight="1">
      <c r="B300" s="17"/>
      <c r="D300" s="17"/>
      <c r="E300" s="17"/>
    </row>
    <row r="301" spans="2:5" ht="16.5" customHeight="1">
      <c r="B301" s="17"/>
      <c r="D301" s="17"/>
      <c r="E301" s="17"/>
    </row>
    <row r="302" spans="2:5" ht="16.5" customHeight="1">
      <c r="B302" s="17"/>
      <c r="D302" s="17"/>
      <c r="E302" s="17"/>
    </row>
    <row r="303" spans="2:5" ht="16.5" customHeight="1">
      <c r="B303" s="17"/>
      <c r="D303" s="17"/>
      <c r="E303" s="17"/>
    </row>
    <row r="304" spans="2:5" ht="16.5" customHeight="1">
      <c r="B304" s="17"/>
      <c r="D304" s="17"/>
      <c r="E304" s="17"/>
    </row>
    <row r="305" spans="2:5" ht="16.5" customHeight="1">
      <c r="B305" s="17"/>
      <c r="D305" s="17"/>
      <c r="E305" s="17"/>
    </row>
    <row r="306" spans="2:5" ht="16.5" customHeight="1">
      <c r="B306" s="17"/>
      <c r="D306" s="17"/>
      <c r="E306" s="17"/>
    </row>
    <row r="307" spans="2:5" ht="16.5" customHeight="1">
      <c r="B307" s="17"/>
      <c r="D307" s="17"/>
      <c r="E307" s="17"/>
    </row>
    <row r="308" spans="2:5" ht="16.5" customHeight="1">
      <c r="B308" s="17"/>
      <c r="D308" s="17"/>
      <c r="E308" s="17"/>
    </row>
    <row r="309" spans="2:5" ht="16.5" customHeight="1">
      <c r="B309" s="17"/>
      <c r="D309" s="17"/>
      <c r="E309" s="17"/>
    </row>
    <row r="310" spans="2:5" ht="16.5" customHeight="1">
      <c r="B310" s="17"/>
      <c r="D310" s="17"/>
      <c r="E310" s="17"/>
    </row>
    <row r="311" spans="2:5" ht="16.5" customHeight="1">
      <c r="B311" s="17"/>
      <c r="D311" s="17"/>
      <c r="E311" s="17"/>
    </row>
    <row r="312" spans="2:5" ht="16.5" customHeight="1">
      <c r="B312" s="17"/>
      <c r="D312" s="17"/>
      <c r="E312" s="17"/>
    </row>
    <row r="313" spans="2:5" ht="16.5" customHeight="1">
      <c r="B313" s="17"/>
      <c r="D313" s="17"/>
      <c r="E313" s="17"/>
    </row>
    <row r="314" spans="2:5" ht="16.5" customHeight="1">
      <c r="B314" s="17"/>
      <c r="D314" s="17"/>
      <c r="E314" s="17"/>
    </row>
    <row r="315" spans="2:5" ht="16.5" customHeight="1">
      <c r="B315" s="17"/>
      <c r="D315" s="17"/>
      <c r="E315" s="17"/>
    </row>
    <row r="316" spans="2:5" ht="16.5" customHeight="1">
      <c r="B316" s="17"/>
      <c r="D316" s="17"/>
      <c r="E316" s="17"/>
    </row>
    <row r="317" spans="2:5" ht="16.5" customHeight="1">
      <c r="B317" s="17"/>
      <c r="D317" s="17"/>
      <c r="E317" s="17"/>
    </row>
    <row r="318" spans="2:5" ht="16.5" customHeight="1">
      <c r="B318" s="17"/>
      <c r="D318" s="17"/>
      <c r="E318" s="17"/>
    </row>
    <row r="319" spans="2:5" ht="16.5" customHeight="1">
      <c r="B319" s="17"/>
      <c r="D319" s="17"/>
      <c r="E319" s="17"/>
    </row>
    <row r="320" spans="2:5" ht="16.5" customHeight="1">
      <c r="B320" s="17"/>
      <c r="D320" s="17"/>
      <c r="E320" s="17"/>
    </row>
    <row r="321" spans="2:5" ht="16.5" customHeight="1">
      <c r="B321" s="17"/>
      <c r="D321" s="17"/>
      <c r="E321" s="17"/>
    </row>
    <row r="322" spans="2:5" ht="16.5" customHeight="1">
      <c r="B322" s="17"/>
      <c r="D322" s="17"/>
      <c r="E322" s="17"/>
    </row>
    <row r="323" spans="2:5" ht="16.5" customHeight="1">
      <c r="B323" s="17"/>
      <c r="D323" s="17"/>
      <c r="E323" s="17"/>
    </row>
    <row r="324" spans="2:5" ht="16.5" customHeight="1">
      <c r="B324" s="17"/>
      <c r="D324" s="17"/>
      <c r="E324" s="17"/>
    </row>
    <row r="325" spans="2:5" ht="16.5" customHeight="1">
      <c r="B325" s="17"/>
      <c r="D325" s="17"/>
      <c r="E325" s="17"/>
    </row>
    <row r="326" spans="2:5" ht="16.5" customHeight="1">
      <c r="B326" s="17"/>
      <c r="D326" s="17"/>
      <c r="E326" s="17"/>
    </row>
    <row r="327" spans="2:5" ht="16.5" customHeight="1">
      <c r="B327" s="17"/>
      <c r="D327" s="17"/>
      <c r="E327" s="17"/>
    </row>
    <row r="328" spans="2:5" ht="16.5" customHeight="1">
      <c r="B328" s="17"/>
      <c r="D328" s="17"/>
      <c r="E328" s="17"/>
    </row>
    <row r="329" spans="2:5" ht="16.5" customHeight="1">
      <c r="B329" s="17"/>
      <c r="D329" s="17"/>
      <c r="E329" s="17"/>
    </row>
    <row r="330" spans="2:5" ht="16.5" customHeight="1">
      <c r="B330" s="17"/>
      <c r="D330" s="17"/>
      <c r="E330" s="17"/>
    </row>
    <row r="331" spans="2:5" ht="16.5" customHeight="1">
      <c r="B331" s="17"/>
      <c r="D331" s="17"/>
      <c r="E331" s="17"/>
    </row>
    <row r="332" spans="2:5" ht="16.5" customHeight="1">
      <c r="B332" s="17"/>
      <c r="D332" s="17"/>
      <c r="E332" s="17"/>
    </row>
    <row r="333" spans="2:5" ht="16.5" customHeight="1">
      <c r="B333" s="17"/>
      <c r="D333" s="17"/>
      <c r="E333" s="17"/>
    </row>
    <row r="334" spans="2:5" ht="16.5" customHeight="1">
      <c r="B334" s="17"/>
      <c r="D334" s="17"/>
      <c r="E334" s="17"/>
    </row>
    <row r="335" spans="2:5" ht="16.5" customHeight="1">
      <c r="B335" s="17"/>
      <c r="D335" s="17"/>
      <c r="E335" s="17"/>
    </row>
    <row r="336" spans="2:5" ht="16.5" customHeight="1">
      <c r="B336" s="17"/>
      <c r="D336" s="17"/>
      <c r="E336" s="17"/>
    </row>
    <row r="337" spans="2:5" ht="16.5" customHeight="1">
      <c r="B337" s="17"/>
      <c r="D337" s="17"/>
      <c r="E337" s="17"/>
    </row>
    <row r="338" spans="2:5" ht="16.5" customHeight="1">
      <c r="B338" s="17"/>
      <c r="D338" s="17"/>
      <c r="E338" s="17"/>
    </row>
    <row r="339" spans="2:5" ht="16.5" customHeight="1">
      <c r="B339" s="17"/>
      <c r="D339" s="17"/>
      <c r="E339" s="17"/>
    </row>
    <row r="340" spans="2:5" ht="16.5" customHeight="1">
      <c r="B340" s="17"/>
      <c r="D340" s="17"/>
      <c r="E340" s="17"/>
    </row>
    <row r="341" spans="2:5" ht="16.5" customHeight="1">
      <c r="B341" s="17"/>
      <c r="D341" s="17"/>
      <c r="E341" s="17"/>
    </row>
    <row r="342" spans="2:5" ht="16.5" customHeight="1">
      <c r="B342" s="17"/>
      <c r="D342" s="17"/>
      <c r="E342" s="17"/>
    </row>
    <row r="343" spans="2:5" ht="16.5" customHeight="1">
      <c r="B343" s="17"/>
      <c r="D343" s="17"/>
      <c r="E343" s="17"/>
    </row>
    <row r="344" spans="2:5" ht="16.5" customHeight="1">
      <c r="B344" s="17"/>
      <c r="D344" s="17"/>
      <c r="E344" s="17"/>
    </row>
    <row r="345" spans="2:5" ht="16.5" customHeight="1">
      <c r="B345" s="17"/>
      <c r="D345" s="17"/>
      <c r="E345" s="17"/>
    </row>
    <row r="346" spans="2:5" ht="16.5" customHeight="1">
      <c r="B346" s="17"/>
      <c r="D346" s="17"/>
      <c r="E346" s="17"/>
    </row>
    <row r="347" spans="2:5" ht="16.5" customHeight="1">
      <c r="B347" s="17"/>
      <c r="D347" s="17"/>
      <c r="E347" s="17"/>
    </row>
    <row r="348" spans="2:5" ht="16.5" customHeight="1">
      <c r="B348" s="17"/>
      <c r="D348" s="17"/>
      <c r="E348" s="17"/>
    </row>
    <row r="349" spans="2:5" ht="16.5" customHeight="1">
      <c r="B349" s="17"/>
      <c r="D349" s="17"/>
      <c r="E349" s="17"/>
    </row>
    <row r="350" spans="2:5" ht="16.5" customHeight="1">
      <c r="B350" s="17"/>
      <c r="D350" s="17"/>
      <c r="E350" s="17"/>
    </row>
    <row r="351" spans="2:5" ht="16.5" customHeight="1">
      <c r="B351" s="17"/>
      <c r="D351" s="17"/>
      <c r="E351" s="17"/>
    </row>
    <row r="352" spans="2:5" ht="16.5" customHeight="1">
      <c r="B352" s="17"/>
      <c r="D352" s="17"/>
      <c r="E352" s="17"/>
    </row>
    <row r="353" spans="2:5" ht="16.5" customHeight="1">
      <c r="B353" s="17"/>
      <c r="D353" s="17"/>
      <c r="E353" s="17"/>
    </row>
    <row r="354" spans="2:5" ht="16.5" customHeight="1">
      <c r="B354" s="17"/>
      <c r="D354" s="17"/>
      <c r="E354" s="17"/>
    </row>
    <row r="355" spans="2:5" ht="16.5" customHeight="1">
      <c r="B355" s="17"/>
      <c r="D355" s="17"/>
      <c r="E355" s="17"/>
    </row>
    <row r="356" spans="2:5" ht="16.5" customHeight="1">
      <c r="B356" s="17"/>
      <c r="D356" s="17"/>
      <c r="E356" s="17"/>
    </row>
    <row r="357" spans="2:5" ht="16.5" customHeight="1">
      <c r="B357" s="17"/>
      <c r="D357" s="17"/>
      <c r="E357" s="17"/>
    </row>
    <row r="358" spans="2:5" ht="16.5" customHeight="1">
      <c r="B358" s="17"/>
      <c r="D358" s="17"/>
      <c r="E358" s="17"/>
    </row>
    <row r="359" spans="2:5" ht="16.5" customHeight="1">
      <c r="B359" s="17"/>
      <c r="D359" s="17"/>
      <c r="E359" s="17"/>
    </row>
    <row r="360" spans="2:5" ht="16.5" customHeight="1">
      <c r="B360" s="17"/>
      <c r="D360" s="17"/>
      <c r="E360" s="17"/>
    </row>
    <row r="361" spans="2:5" ht="16.5" customHeight="1">
      <c r="B361" s="17"/>
      <c r="D361" s="17"/>
      <c r="E361" s="17"/>
    </row>
    <row r="362" spans="2:5" ht="16.5" customHeight="1">
      <c r="B362" s="17"/>
      <c r="D362" s="17"/>
      <c r="E362" s="17"/>
    </row>
    <row r="363" spans="2:5" ht="16.5" customHeight="1">
      <c r="B363" s="17"/>
      <c r="D363" s="17"/>
      <c r="E363" s="17"/>
    </row>
    <row r="364" spans="2:5" ht="16.5" customHeight="1">
      <c r="B364" s="17"/>
      <c r="D364" s="17"/>
      <c r="E364" s="17"/>
    </row>
    <row r="365" spans="2:5" ht="16.5" customHeight="1">
      <c r="B365" s="17"/>
      <c r="D365" s="17"/>
      <c r="E365" s="17"/>
    </row>
    <row r="366" spans="2:5" ht="16.5" customHeight="1">
      <c r="B366" s="17"/>
      <c r="D366" s="17"/>
      <c r="E366" s="17"/>
    </row>
    <row r="367" spans="2:5" ht="16.5" customHeight="1">
      <c r="B367" s="17"/>
      <c r="D367" s="17"/>
      <c r="E367" s="17"/>
    </row>
    <row r="368" spans="2:5" ht="16.5" customHeight="1">
      <c r="B368" s="17"/>
      <c r="D368" s="17"/>
      <c r="E368" s="17"/>
    </row>
    <row r="369" spans="2:5" ht="16.5" customHeight="1">
      <c r="B369" s="17"/>
      <c r="D369" s="17"/>
      <c r="E369" s="17"/>
    </row>
    <row r="370" spans="2:5" ht="16.5" customHeight="1">
      <c r="B370" s="17"/>
      <c r="D370" s="17"/>
      <c r="E370" s="17"/>
    </row>
    <row r="371" spans="2:5" ht="16.5" customHeight="1">
      <c r="B371" s="17"/>
      <c r="D371" s="17"/>
      <c r="E371" s="17"/>
    </row>
    <row r="372" spans="2:5" ht="16.5" customHeight="1">
      <c r="B372" s="17"/>
      <c r="D372" s="17"/>
      <c r="E372" s="17"/>
    </row>
    <row r="373" spans="2:5" ht="16.5" customHeight="1">
      <c r="B373" s="17"/>
      <c r="D373" s="17"/>
      <c r="E373" s="17"/>
    </row>
    <row r="374" spans="2:5" ht="16.5" customHeight="1">
      <c r="B374" s="17"/>
      <c r="D374" s="17"/>
      <c r="E374" s="17"/>
    </row>
    <row r="375" spans="2:5" ht="16.5" customHeight="1">
      <c r="B375" s="17"/>
      <c r="D375" s="17"/>
      <c r="E375" s="17"/>
    </row>
    <row r="376" spans="2:5" ht="16.5" customHeight="1">
      <c r="B376" s="17"/>
      <c r="D376" s="17"/>
      <c r="E376" s="17"/>
    </row>
    <row r="377" spans="2:5" ht="16.5" customHeight="1">
      <c r="B377" s="17"/>
      <c r="D377" s="17"/>
      <c r="E377" s="17"/>
    </row>
    <row r="378" spans="2:5" ht="16.5" customHeight="1">
      <c r="B378" s="17"/>
      <c r="D378" s="17"/>
      <c r="E378" s="17"/>
    </row>
    <row r="379" spans="2:5" ht="16.5" customHeight="1">
      <c r="B379" s="17"/>
      <c r="D379" s="17"/>
      <c r="E379" s="17"/>
    </row>
    <row r="380" spans="2:5" ht="16.5" customHeight="1">
      <c r="B380" s="17"/>
      <c r="D380" s="17"/>
      <c r="E380" s="17"/>
    </row>
    <row r="381" spans="2:5" ht="16.5" customHeight="1">
      <c r="B381" s="17"/>
      <c r="D381" s="17"/>
      <c r="E381" s="17"/>
    </row>
    <row r="382" spans="2:5" ht="16.5" customHeight="1">
      <c r="B382" s="17"/>
      <c r="D382" s="17"/>
      <c r="E382" s="17"/>
    </row>
    <row r="383" spans="2:5" ht="16.5" customHeight="1">
      <c r="B383" s="17"/>
      <c r="D383" s="17"/>
      <c r="E383" s="17"/>
    </row>
    <row r="384" spans="2:5" ht="16.5" customHeight="1">
      <c r="B384" s="17"/>
      <c r="D384" s="17"/>
      <c r="E384" s="17"/>
    </row>
    <row r="385" spans="2:5" ht="16.5" customHeight="1">
      <c r="B385" s="17"/>
      <c r="D385" s="17"/>
      <c r="E385" s="17"/>
    </row>
    <row r="386" spans="2:5" ht="16.5" customHeight="1">
      <c r="B386" s="17"/>
      <c r="D386" s="17"/>
      <c r="E386" s="17"/>
    </row>
    <row r="387" spans="2:5" ht="16.5" customHeight="1">
      <c r="B387" s="17"/>
      <c r="D387" s="17"/>
      <c r="E387" s="17"/>
    </row>
    <row r="388" spans="2:5" ht="16.5" customHeight="1">
      <c r="B388" s="17"/>
      <c r="D388" s="17"/>
      <c r="E388" s="17"/>
    </row>
    <row r="389" spans="2:5" ht="16.5" customHeight="1">
      <c r="B389" s="17"/>
      <c r="D389" s="17"/>
      <c r="E389" s="17"/>
    </row>
    <row r="390" spans="2:5" ht="16.5" customHeight="1">
      <c r="B390" s="17"/>
      <c r="D390" s="17"/>
      <c r="E390" s="17"/>
    </row>
    <row r="391" spans="2:5" ht="16.5" customHeight="1">
      <c r="B391" s="17"/>
      <c r="D391" s="17"/>
      <c r="E391" s="17"/>
    </row>
    <row r="392" spans="2:5" ht="16.5" customHeight="1">
      <c r="B392" s="17"/>
      <c r="D392" s="17"/>
      <c r="E392" s="17"/>
    </row>
    <row r="393" spans="2:5" ht="16.5" customHeight="1">
      <c r="B393" s="17"/>
      <c r="D393" s="17"/>
      <c r="E393" s="17"/>
    </row>
    <row r="394" spans="2:5" ht="16.5" customHeight="1">
      <c r="B394" s="17"/>
      <c r="D394" s="17"/>
      <c r="E394" s="17"/>
    </row>
    <row r="395" spans="2:5" ht="16.5" customHeight="1">
      <c r="B395" s="17"/>
      <c r="D395" s="17"/>
      <c r="E395" s="17"/>
    </row>
    <row r="396" spans="2:5" ht="16.5" customHeight="1">
      <c r="B396" s="17"/>
      <c r="D396" s="17"/>
      <c r="E396" s="17"/>
    </row>
    <row r="397" spans="2:5" ht="16.5" customHeight="1">
      <c r="B397" s="17"/>
      <c r="D397" s="17"/>
      <c r="E397" s="17"/>
    </row>
    <row r="398" spans="2:5" ht="16.5" customHeight="1">
      <c r="B398" s="17"/>
      <c r="D398" s="17"/>
      <c r="E398" s="17"/>
    </row>
    <row r="399" spans="2:5" ht="16.5" customHeight="1">
      <c r="B399" s="17"/>
      <c r="D399" s="17"/>
      <c r="E399" s="17"/>
    </row>
    <row r="400" spans="2:5" ht="16.5" customHeight="1">
      <c r="B400" s="17"/>
      <c r="D400" s="17"/>
      <c r="E400" s="17"/>
    </row>
    <row r="401" spans="2:5" ht="16.5" customHeight="1">
      <c r="B401" s="17"/>
      <c r="D401" s="17"/>
      <c r="E401" s="17"/>
    </row>
    <row r="402" spans="2:5" ht="16.5" customHeight="1">
      <c r="B402" s="17"/>
      <c r="D402" s="17"/>
      <c r="E402" s="17"/>
    </row>
    <row r="403" spans="2:5" ht="16.5" customHeight="1">
      <c r="B403" s="17"/>
      <c r="D403" s="17"/>
      <c r="E403" s="17"/>
    </row>
    <row r="404" spans="2:5" ht="16.5" customHeight="1">
      <c r="B404" s="17"/>
      <c r="D404" s="17"/>
      <c r="E404" s="17"/>
    </row>
    <row r="405" spans="2:5" ht="16.5" customHeight="1">
      <c r="B405" s="17"/>
      <c r="D405" s="17"/>
      <c r="E405" s="17"/>
    </row>
    <row r="406" spans="2:5" ht="16.5" customHeight="1">
      <c r="B406" s="17"/>
      <c r="D406" s="17"/>
      <c r="E406" s="17"/>
    </row>
    <row r="407" spans="2:5" ht="16.5" customHeight="1">
      <c r="B407" s="17"/>
      <c r="D407" s="17"/>
      <c r="E407" s="17"/>
    </row>
    <row r="408" spans="2:5" ht="16.5" customHeight="1">
      <c r="B408" s="17"/>
      <c r="D408" s="17"/>
      <c r="E408" s="17"/>
    </row>
    <row r="409" spans="2:5" ht="16.5" customHeight="1">
      <c r="B409" s="17"/>
      <c r="D409" s="17"/>
      <c r="E409" s="17"/>
    </row>
    <row r="410" spans="2:5" ht="16.5" customHeight="1">
      <c r="B410" s="17"/>
      <c r="D410" s="17"/>
      <c r="E410" s="17"/>
    </row>
    <row r="411" spans="2:5" ht="16.5" customHeight="1">
      <c r="B411" s="17"/>
      <c r="D411" s="17"/>
      <c r="E411" s="17"/>
    </row>
    <row r="412" spans="2:5" ht="16.5" customHeight="1">
      <c r="B412" s="17"/>
      <c r="D412" s="17"/>
      <c r="E412" s="17"/>
    </row>
    <row r="413" spans="2:5" ht="16.5" customHeight="1">
      <c r="B413" s="17"/>
      <c r="D413" s="17"/>
      <c r="E413" s="17"/>
    </row>
    <row r="414" spans="2:5" ht="16.5" customHeight="1">
      <c r="B414" s="17"/>
      <c r="D414" s="17"/>
      <c r="E414" s="17"/>
    </row>
    <row r="415" spans="2:5" ht="16.5" customHeight="1">
      <c r="B415" s="17"/>
      <c r="D415" s="17"/>
      <c r="E415" s="17"/>
    </row>
    <row r="416" spans="2:5" ht="16.5" customHeight="1">
      <c r="B416" s="17"/>
      <c r="D416" s="17"/>
      <c r="E416" s="17"/>
    </row>
    <row r="417" spans="2:5" ht="16.5" customHeight="1">
      <c r="B417" s="17"/>
      <c r="D417" s="17"/>
      <c r="E417" s="17"/>
    </row>
    <row r="418" spans="2:5" ht="16.5" customHeight="1">
      <c r="B418" s="17"/>
      <c r="D418" s="17"/>
      <c r="E418" s="17"/>
    </row>
    <row r="419" spans="2:5" ht="16.5" customHeight="1">
      <c r="B419" s="17"/>
      <c r="D419" s="17"/>
      <c r="E419" s="17"/>
    </row>
    <row r="420" spans="2:5" ht="16.5" customHeight="1">
      <c r="B420" s="17"/>
      <c r="D420" s="17"/>
      <c r="E420" s="17"/>
    </row>
    <row r="421" spans="2:5" ht="16.5" customHeight="1">
      <c r="B421" s="17"/>
      <c r="D421" s="17"/>
      <c r="E421" s="17"/>
    </row>
    <row r="422" spans="2:5" ht="16.5" customHeight="1">
      <c r="B422" s="17"/>
      <c r="D422" s="17"/>
      <c r="E422" s="17"/>
    </row>
    <row r="423" spans="2:5" ht="16.5" customHeight="1">
      <c r="B423" s="17"/>
      <c r="D423" s="17"/>
      <c r="E423" s="17"/>
    </row>
    <row r="424" spans="2:5" ht="16.5" customHeight="1">
      <c r="B424" s="17"/>
      <c r="D424" s="17"/>
      <c r="E424" s="17"/>
    </row>
    <row r="425" spans="2:5" ht="16.5" customHeight="1">
      <c r="B425" s="17"/>
      <c r="D425" s="17"/>
      <c r="E425" s="17"/>
    </row>
    <row r="426" spans="2:5" ht="16.5" customHeight="1">
      <c r="B426" s="17"/>
      <c r="D426" s="17"/>
      <c r="E426" s="17"/>
    </row>
    <row r="427" spans="2:5" ht="16.5" customHeight="1">
      <c r="B427" s="17"/>
      <c r="D427" s="17"/>
      <c r="E427" s="17"/>
    </row>
    <row r="428" spans="2:5" ht="16.5" customHeight="1">
      <c r="B428" s="17"/>
      <c r="D428" s="17"/>
      <c r="E428" s="17"/>
    </row>
    <row r="429" spans="2:5" ht="16.5" customHeight="1">
      <c r="B429" s="17"/>
      <c r="D429" s="17"/>
      <c r="E429" s="17"/>
    </row>
    <row r="430" spans="2:5" ht="16.5" customHeight="1">
      <c r="B430" s="17"/>
      <c r="D430" s="17"/>
      <c r="E430" s="17"/>
    </row>
    <row r="431" spans="2:5" ht="16.5" customHeight="1">
      <c r="B431" s="17"/>
      <c r="D431" s="17"/>
      <c r="E431" s="17"/>
    </row>
    <row r="432" spans="2:5" ht="16.5" customHeight="1">
      <c r="B432" s="17"/>
      <c r="D432" s="17"/>
      <c r="E432" s="17"/>
    </row>
    <row r="433" spans="2:5" ht="16.5" customHeight="1">
      <c r="B433" s="17"/>
      <c r="D433" s="17"/>
      <c r="E433" s="17"/>
    </row>
    <row r="434" spans="2:5" ht="16.5" customHeight="1">
      <c r="B434" s="17"/>
      <c r="D434" s="17"/>
      <c r="E434" s="17"/>
    </row>
    <row r="435" spans="2:5" ht="16.5" customHeight="1">
      <c r="B435" s="17"/>
      <c r="D435" s="17"/>
      <c r="E435" s="17"/>
    </row>
    <row r="436" spans="2:5" ht="16.5" customHeight="1">
      <c r="B436" s="17"/>
      <c r="D436" s="17"/>
      <c r="E436" s="17"/>
    </row>
    <row r="437" spans="2:5" ht="16.5" customHeight="1">
      <c r="B437" s="17"/>
      <c r="D437" s="17"/>
      <c r="E437" s="17"/>
    </row>
    <row r="438" spans="2:5" ht="16.5" customHeight="1">
      <c r="B438" s="17"/>
      <c r="D438" s="17"/>
      <c r="E438" s="17"/>
    </row>
    <row r="439" spans="2:5" ht="16.5" customHeight="1">
      <c r="B439" s="17"/>
      <c r="D439" s="17"/>
      <c r="E439" s="17"/>
    </row>
    <row r="440" spans="2:5" ht="16.5" customHeight="1">
      <c r="B440" s="17"/>
      <c r="D440" s="17"/>
      <c r="E440" s="17"/>
    </row>
    <row r="441" spans="2:5" ht="16.5" customHeight="1">
      <c r="B441" s="17"/>
      <c r="D441" s="17"/>
      <c r="E441" s="17"/>
    </row>
    <row r="442" spans="2:5" ht="16.5" customHeight="1">
      <c r="B442" s="17"/>
      <c r="D442" s="17"/>
      <c r="E442" s="17"/>
    </row>
    <row r="443" spans="2:5" ht="16.5" customHeight="1">
      <c r="B443" s="17"/>
      <c r="D443" s="17"/>
      <c r="E443" s="17"/>
    </row>
    <row r="444" spans="2:5" ht="16.5" customHeight="1">
      <c r="B444" s="17"/>
      <c r="D444" s="17"/>
      <c r="E444" s="17"/>
    </row>
    <row r="445" spans="2:5" ht="16.5" customHeight="1">
      <c r="B445" s="17"/>
      <c r="D445" s="17"/>
      <c r="E445" s="17"/>
    </row>
    <row r="446" spans="2:5" ht="16.5" customHeight="1">
      <c r="B446" s="17"/>
      <c r="D446" s="17"/>
      <c r="E446" s="17"/>
    </row>
    <row r="447" spans="2:5" ht="16.5" customHeight="1">
      <c r="B447" s="17"/>
      <c r="D447" s="17"/>
      <c r="E447" s="17"/>
    </row>
    <row r="448" spans="2:5" ht="16.5" customHeight="1">
      <c r="B448" s="17"/>
      <c r="D448" s="17"/>
      <c r="E448" s="17"/>
    </row>
    <row r="449" spans="2:5" ht="16.5" customHeight="1">
      <c r="B449" s="17"/>
      <c r="D449" s="17"/>
      <c r="E449" s="17"/>
    </row>
    <row r="450" spans="2:5" ht="16.5" customHeight="1">
      <c r="B450" s="17"/>
      <c r="D450" s="17"/>
      <c r="E450" s="17"/>
    </row>
    <row r="451" spans="2:5" ht="16.5" customHeight="1">
      <c r="B451" s="17"/>
      <c r="D451" s="17"/>
      <c r="E451" s="17"/>
    </row>
    <row r="452" spans="2:5" ht="16.5" customHeight="1">
      <c r="B452" s="17"/>
      <c r="D452" s="17"/>
      <c r="E452" s="17"/>
    </row>
    <row r="453" spans="2:5" ht="16.5" customHeight="1">
      <c r="B453" s="17"/>
      <c r="D453" s="17"/>
      <c r="E453" s="17"/>
    </row>
    <row r="454" spans="2:5" ht="16.5" customHeight="1">
      <c r="B454" s="17"/>
      <c r="D454" s="17"/>
      <c r="E454" s="17"/>
    </row>
    <row r="455" spans="2:5" ht="16.5" customHeight="1">
      <c r="B455" s="17"/>
      <c r="D455" s="17"/>
      <c r="E455" s="17"/>
    </row>
    <row r="456" spans="2:5" ht="16.5" customHeight="1">
      <c r="B456" s="17"/>
      <c r="D456" s="17"/>
      <c r="E456" s="17"/>
    </row>
    <row r="457" spans="2:5" ht="16.5" customHeight="1">
      <c r="B457" s="17"/>
      <c r="D457" s="17"/>
      <c r="E457" s="17"/>
    </row>
    <row r="458" spans="2:5" ht="16.5" customHeight="1">
      <c r="B458" s="17"/>
      <c r="D458" s="17"/>
      <c r="E458" s="17"/>
    </row>
    <row r="459" spans="2:5" ht="16.5" customHeight="1">
      <c r="B459" s="17"/>
      <c r="D459" s="17"/>
      <c r="E459" s="17"/>
    </row>
    <row r="460" spans="2:5" ht="16.5" customHeight="1">
      <c r="B460" s="17"/>
      <c r="D460" s="17"/>
      <c r="E460" s="17"/>
    </row>
    <row r="461" spans="2:5" ht="16.5" customHeight="1">
      <c r="B461" s="17"/>
      <c r="D461" s="17"/>
      <c r="E461" s="17"/>
    </row>
    <row r="462" spans="2:5" ht="16.5" customHeight="1">
      <c r="B462" s="17"/>
      <c r="D462" s="17"/>
      <c r="E462" s="17"/>
    </row>
    <row r="463" spans="2:5" ht="16.5" customHeight="1">
      <c r="B463" s="17"/>
      <c r="D463" s="17"/>
      <c r="E463" s="17"/>
    </row>
    <row r="464" spans="2:5" ht="16.5" customHeight="1">
      <c r="B464" s="17"/>
      <c r="D464" s="17"/>
      <c r="E464" s="17"/>
    </row>
    <row r="465" spans="2:5" ht="16.5" customHeight="1">
      <c r="B465" s="17"/>
      <c r="D465" s="17"/>
      <c r="E465" s="17"/>
    </row>
    <row r="466" spans="2:5" ht="16.5" customHeight="1">
      <c r="B466" s="17"/>
      <c r="D466" s="17"/>
      <c r="E466" s="17"/>
    </row>
    <row r="467" spans="2:5" ht="16.5" customHeight="1">
      <c r="B467" s="17"/>
      <c r="D467" s="17"/>
      <c r="E467" s="17"/>
    </row>
    <row r="468" spans="2:5" ht="16.5" customHeight="1">
      <c r="B468" s="17"/>
      <c r="D468" s="17"/>
      <c r="E468" s="17"/>
    </row>
    <row r="469" spans="2:5" ht="16.5" customHeight="1">
      <c r="B469" s="17"/>
      <c r="D469" s="17"/>
      <c r="E469" s="17"/>
    </row>
    <row r="470" spans="2:5" ht="16.5" customHeight="1">
      <c r="B470" s="17"/>
      <c r="D470" s="17"/>
      <c r="E470" s="17"/>
    </row>
    <row r="471" spans="2:5" ht="16.5" customHeight="1">
      <c r="B471" s="17"/>
      <c r="D471" s="17"/>
      <c r="E471" s="17"/>
    </row>
    <row r="472" spans="2:5" ht="16.5" customHeight="1">
      <c r="B472" s="17"/>
      <c r="D472" s="17"/>
      <c r="E472" s="17"/>
    </row>
    <row r="473" spans="2:5" ht="16.5" customHeight="1">
      <c r="B473" s="17"/>
      <c r="D473" s="17"/>
      <c r="E473" s="17"/>
    </row>
    <row r="474" spans="2:5" ht="16.5" customHeight="1">
      <c r="B474" s="17"/>
      <c r="D474" s="17"/>
      <c r="E474" s="17"/>
    </row>
    <row r="475" spans="2:5" ht="16.5" customHeight="1">
      <c r="B475" s="17"/>
      <c r="D475" s="17"/>
      <c r="E475" s="17"/>
    </row>
    <row r="476" spans="2:5" ht="16.5" customHeight="1">
      <c r="B476" s="17"/>
      <c r="D476" s="17"/>
      <c r="E476" s="17"/>
    </row>
    <row r="477" spans="2:5" ht="16.5" customHeight="1">
      <c r="B477" s="17"/>
      <c r="D477" s="17"/>
      <c r="E477" s="17"/>
    </row>
    <row r="478" spans="2:5" ht="16.5" customHeight="1">
      <c r="B478" s="17"/>
      <c r="D478" s="17"/>
      <c r="E478" s="17"/>
    </row>
    <row r="479" spans="2:5" ht="16.5" customHeight="1">
      <c r="B479" s="17"/>
      <c r="D479" s="17"/>
      <c r="E479" s="17"/>
    </row>
    <row r="480" spans="2:5" ht="16.5" customHeight="1">
      <c r="B480" s="17"/>
      <c r="D480" s="17"/>
      <c r="E480" s="17"/>
    </row>
    <row r="481" spans="2:5" ht="16.5" customHeight="1">
      <c r="B481" s="17"/>
      <c r="D481" s="17"/>
      <c r="E481" s="17"/>
    </row>
    <row r="482" spans="2:5" ht="16.5" customHeight="1">
      <c r="B482" s="17"/>
      <c r="D482" s="17"/>
      <c r="E482" s="17"/>
    </row>
    <row r="483" spans="2:5" ht="16.5" customHeight="1">
      <c r="B483" s="17"/>
      <c r="D483" s="17"/>
      <c r="E483" s="17"/>
    </row>
    <row r="484" spans="2:5" ht="16.5" customHeight="1">
      <c r="B484" s="17"/>
      <c r="D484" s="17"/>
      <c r="E484" s="17"/>
    </row>
    <row r="485" spans="2:5" ht="16.5" customHeight="1">
      <c r="B485" s="17"/>
      <c r="D485" s="17"/>
      <c r="E485" s="17"/>
    </row>
    <row r="486" spans="2:5" ht="16.5" customHeight="1">
      <c r="B486" s="17"/>
      <c r="D486" s="17"/>
      <c r="E486" s="17"/>
    </row>
    <row r="487" spans="2:5" ht="16.5" customHeight="1">
      <c r="B487" s="17"/>
      <c r="D487" s="17"/>
      <c r="E487" s="17"/>
    </row>
    <row r="488" spans="2:5" ht="16.5" customHeight="1">
      <c r="B488" s="17"/>
      <c r="D488" s="17"/>
      <c r="E488" s="17"/>
    </row>
    <row r="489" spans="2:5" ht="16.5" customHeight="1">
      <c r="B489" s="17"/>
      <c r="D489" s="17"/>
      <c r="E489" s="17"/>
    </row>
    <row r="490" spans="2:5" ht="16.5" customHeight="1">
      <c r="B490" s="17"/>
      <c r="D490" s="17"/>
      <c r="E490" s="17"/>
    </row>
    <row r="491" spans="2:5" ht="16.5" customHeight="1">
      <c r="B491" s="17"/>
      <c r="D491" s="17"/>
      <c r="E491" s="17"/>
    </row>
    <row r="492" spans="2:5" ht="16.5" customHeight="1">
      <c r="B492" s="17"/>
      <c r="D492" s="17"/>
      <c r="E492" s="17"/>
    </row>
    <row r="493" spans="2:5" ht="16.5" customHeight="1">
      <c r="B493" s="17"/>
      <c r="D493" s="17"/>
      <c r="E493" s="17"/>
    </row>
    <row r="494" spans="2:5" ht="16.5" customHeight="1">
      <c r="B494" s="17"/>
      <c r="D494" s="17"/>
      <c r="E494" s="17"/>
    </row>
    <row r="495" spans="2:5" ht="16.5" customHeight="1">
      <c r="B495" s="17"/>
      <c r="D495" s="17"/>
      <c r="E495" s="17"/>
    </row>
    <row r="496" spans="2:5" ht="16.5" customHeight="1">
      <c r="B496" s="17"/>
      <c r="D496" s="17"/>
      <c r="E496" s="17"/>
    </row>
    <row r="497" spans="2:5" ht="16.5" customHeight="1">
      <c r="B497" s="17"/>
      <c r="D497" s="17"/>
      <c r="E497" s="17"/>
    </row>
    <row r="498" spans="2:5" ht="16.5" customHeight="1">
      <c r="B498" s="17"/>
      <c r="D498" s="17"/>
      <c r="E498" s="17"/>
    </row>
    <row r="499" spans="2:5" ht="16.5" customHeight="1">
      <c r="B499" s="17"/>
      <c r="D499" s="17"/>
      <c r="E499" s="17"/>
    </row>
    <row r="500" spans="2:5" ht="16.5" customHeight="1">
      <c r="B500" s="17"/>
      <c r="D500" s="17"/>
      <c r="E500" s="17"/>
    </row>
    <row r="501" spans="2:5" ht="16.5" customHeight="1">
      <c r="B501" s="17"/>
      <c r="D501" s="17"/>
      <c r="E501" s="17"/>
    </row>
    <row r="502" spans="2:5" ht="16.5" customHeight="1">
      <c r="B502" s="17"/>
      <c r="D502" s="17"/>
      <c r="E502" s="17"/>
    </row>
    <row r="503" spans="2:5" ht="16.5" customHeight="1">
      <c r="B503" s="17"/>
      <c r="D503" s="17"/>
      <c r="E503" s="17"/>
    </row>
    <row r="504" spans="2:5" ht="16.5" customHeight="1">
      <c r="B504" s="17"/>
      <c r="D504" s="17"/>
      <c r="E504" s="17"/>
    </row>
    <row r="505" spans="2:5" ht="16.5" customHeight="1">
      <c r="B505" s="17"/>
      <c r="D505" s="17"/>
      <c r="E505" s="17"/>
    </row>
    <row r="506" spans="2:5" ht="16.5" customHeight="1">
      <c r="B506" s="17"/>
      <c r="D506" s="17"/>
      <c r="E506" s="17"/>
    </row>
    <row r="507" spans="2:5" ht="16.5" customHeight="1">
      <c r="B507" s="17"/>
      <c r="D507" s="17"/>
      <c r="E507" s="17"/>
    </row>
    <row r="508" spans="2:5" ht="16.5" customHeight="1">
      <c r="B508" s="17"/>
      <c r="D508" s="17"/>
      <c r="E508" s="17"/>
    </row>
    <row r="509" spans="2:5" ht="16.5" customHeight="1">
      <c r="B509" s="17"/>
      <c r="D509" s="17"/>
      <c r="E509" s="17"/>
    </row>
    <row r="510" spans="2:5" ht="16.5" customHeight="1">
      <c r="B510" s="17"/>
      <c r="D510" s="17"/>
      <c r="E510" s="17"/>
    </row>
    <row r="511" spans="2:5" ht="16.5" customHeight="1">
      <c r="B511" s="17"/>
      <c r="D511" s="17"/>
      <c r="E511" s="17"/>
    </row>
    <row r="512" spans="2:5" ht="16.5" customHeight="1">
      <c r="B512" s="17"/>
      <c r="D512" s="17"/>
      <c r="E512" s="17"/>
    </row>
    <row r="513" spans="2:5" ht="16.5" customHeight="1">
      <c r="B513" s="17"/>
      <c r="D513" s="17"/>
      <c r="E513" s="17"/>
    </row>
    <row r="514" spans="2:5" ht="16.5" customHeight="1">
      <c r="B514" s="17"/>
      <c r="D514" s="17"/>
      <c r="E514" s="17"/>
    </row>
    <row r="515" spans="2:5" ht="16.5" customHeight="1">
      <c r="B515" s="17"/>
      <c r="D515" s="17"/>
      <c r="E515" s="17"/>
    </row>
    <row r="516" spans="2:5" ht="16.5" customHeight="1">
      <c r="B516" s="17"/>
      <c r="D516" s="17"/>
      <c r="E516" s="17"/>
    </row>
    <row r="517" spans="2:5" ht="16.5" customHeight="1">
      <c r="B517" s="17"/>
      <c r="D517" s="17"/>
      <c r="E517" s="17"/>
    </row>
    <row r="518" spans="2:5" ht="16.5" customHeight="1">
      <c r="B518" s="17"/>
      <c r="D518" s="17"/>
      <c r="E518" s="17"/>
    </row>
    <row r="519" spans="2:5" ht="16.5" customHeight="1">
      <c r="B519" s="17"/>
      <c r="D519" s="17"/>
      <c r="E519" s="17"/>
    </row>
    <row r="520" spans="2:5" ht="16.5" customHeight="1">
      <c r="B520" s="17"/>
      <c r="D520" s="17"/>
      <c r="E520" s="17"/>
    </row>
    <row r="521" spans="2:5" ht="16.5" customHeight="1">
      <c r="B521" s="17"/>
      <c r="D521" s="17"/>
      <c r="E521" s="17"/>
    </row>
    <row r="522" spans="2:5" ht="16.5" customHeight="1">
      <c r="B522" s="17"/>
      <c r="D522" s="17"/>
      <c r="E522" s="17"/>
    </row>
    <row r="523" spans="2:5" ht="16.5" customHeight="1">
      <c r="B523" s="17"/>
      <c r="D523" s="17"/>
      <c r="E523" s="17"/>
    </row>
    <row r="524" spans="2:5" ht="16.5" customHeight="1">
      <c r="B524" s="17"/>
      <c r="D524" s="17"/>
      <c r="E524" s="17"/>
    </row>
    <row r="525" spans="2:5" ht="16.5" customHeight="1">
      <c r="B525" s="17"/>
      <c r="D525" s="17"/>
      <c r="E525" s="17"/>
    </row>
    <row r="526" spans="2:5" ht="16.5" customHeight="1">
      <c r="B526" s="17"/>
      <c r="D526" s="17"/>
      <c r="E526" s="17"/>
    </row>
    <row r="527" spans="2:5" ht="16.5" customHeight="1">
      <c r="B527" s="17"/>
      <c r="D527" s="17"/>
      <c r="E527" s="17"/>
    </row>
    <row r="528" spans="2:5" ht="16.5" customHeight="1">
      <c r="B528" s="17"/>
      <c r="D528" s="17"/>
      <c r="E528" s="17"/>
    </row>
    <row r="529" spans="2:5" ht="16.5" customHeight="1">
      <c r="B529" s="17"/>
      <c r="D529" s="17"/>
      <c r="E529" s="17"/>
    </row>
    <row r="530" spans="2:5" ht="16.5" customHeight="1">
      <c r="B530" s="17"/>
      <c r="D530" s="17"/>
      <c r="E530" s="17"/>
    </row>
    <row r="531" spans="2:5" ht="16.5" customHeight="1">
      <c r="B531" s="17"/>
      <c r="D531" s="17"/>
      <c r="E531" s="17"/>
    </row>
    <row r="532" spans="2:5" ht="16.5" customHeight="1">
      <c r="B532" s="17"/>
      <c r="D532" s="17"/>
      <c r="E532" s="17"/>
    </row>
    <row r="533" spans="2:5" ht="16.5" customHeight="1">
      <c r="B533" s="17"/>
      <c r="D533" s="17"/>
      <c r="E533" s="17"/>
    </row>
    <row r="534" spans="2:5" ht="16.5" customHeight="1">
      <c r="B534" s="17"/>
      <c r="D534" s="17"/>
      <c r="E534" s="17"/>
    </row>
    <row r="535" spans="2:5" ht="16.5" customHeight="1">
      <c r="B535" s="17"/>
      <c r="D535" s="17"/>
      <c r="E535" s="17"/>
    </row>
    <row r="536" spans="2:5" ht="16.5" customHeight="1">
      <c r="B536" s="17"/>
      <c r="D536" s="17"/>
      <c r="E536" s="17"/>
    </row>
    <row r="537" spans="2:5" ht="16.5" customHeight="1">
      <c r="B537" s="17"/>
      <c r="D537" s="17"/>
      <c r="E537" s="17"/>
    </row>
    <row r="538" spans="2:5" ht="16.5" customHeight="1">
      <c r="B538" s="17"/>
      <c r="D538" s="17"/>
      <c r="E538" s="17"/>
    </row>
    <row r="539" spans="2:5" ht="16.5" customHeight="1">
      <c r="B539" s="17"/>
      <c r="D539" s="17"/>
      <c r="E539" s="17"/>
    </row>
    <row r="540" spans="2:5" ht="16.5" customHeight="1">
      <c r="B540" s="17"/>
      <c r="D540" s="17"/>
      <c r="E540" s="17"/>
    </row>
    <row r="541" spans="2:5" ht="16.5" customHeight="1">
      <c r="B541" s="17"/>
      <c r="D541" s="17"/>
      <c r="E541" s="17"/>
    </row>
    <row r="542" spans="2:5" ht="16.5" customHeight="1">
      <c r="B542" s="17"/>
      <c r="D542" s="17"/>
      <c r="E542" s="17"/>
    </row>
    <row r="543" spans="2:5" ht="16.5" customHeight="1">
      <c r="B543" s="17"/>
      <c r="D543" s="17"/>
      <c r="E543" s="17"/>
    </row>
    <row r="544" spans="2:5" ht="16.5" customHeight="1">
      <c r="B544" s="17"/>
      <c r="D544" s="17"/>
      <c r="E544" s="17"/>
    </row>
    <row r="545" spans="2:5" ht="16.5" customHeight="1">
      <c r="B545" s="17"/>
      <c r="D545" s="17"/>
      <c r="E545" s="17"/>
    </row>
    <row r="546" spans="2:5" ht="16.5" customHeight="1">
      <c r="B546" s="17"/>
      <c r="D546" s="17"/>
      <c r="E546" s="17"/>
    </row>
    <row r="547" spans="2:5" ht="16.5" customHeight="1">
      <c r="B547" s="17"/>
      <c r="D547" s="17"/>
      <c r="E547" s="17"/>
    </row>
    <row r="548" spans="2:5" ht="16.5" customHeight="1">
      <c r="B548" s="17"/>
      <c r="D548" s="17"/>
      <c r="E548" s="17"/>
    </row>
    <row r="549" spans="2:5" ht="16.5" customHeight="1">
      <c r="B549" s="17"/>
      <c r="D549" s="17"/>
      <c r="E549" s="17"/>
    </row>
    <row r="550" spans="2:5" ht="16.5" customHeight="1">
      <c r="B550" s="17"/>
      <c r="D550" s="17"/>
      <c r="E550" s="17"/>
    </row>
    <row r="551" spans="2:5" ht="16.5" customHeight="1">
      <c r="B551" s="17"/>
      <c r="D551" s="17"/>
      <c r="E551" s="17"/>
    </row>
    <row r="552" spans="2:5" ht="16.5" customHeight="1">
      <c r="B552" s="17"/>
      <c r="D552" s="17"/>
      <c r="E552" s="17"/>
    </row>
    <row r="553" spans="2:5" ht="16.5" customHeight="1">
      <c r="B553" s="17"/>
      <c r="D553" s="17"/>
      <c r="E553" s="17"/>
    </row>
    <row r="554" spans="2:5" ht="16.5" customHeight="1">
      <c r="B554" s="17"/>
      <c r="D554" s="17"/>
      <c r="E554" s="17"/>
    </row>
    <row r="555" spans="2:5" ht="16.5" customHeight="1">
      <c r="B555" s="17"/>
      <c r="D555" s="17"/>
      <c r="E555" s="17"/>
    </row>
    <row r="556" spans="2:5" ht="16.5" customHeight="1">
      <c r="B556" s="17"/>
      <c r="D556" s="17"/>
      <c r="E556" s="17"/>
    </row>
    <row r="557" spans="2:5" ht="16.5" customHeight="1">
      <c r="B557" s="17"/>
      <c r="D557" s="17"/>
      <c r="E557" s="17"/>
    </row>
    <row r="558" spans="2:5" ht="16.5" customHeight="1">
      <c r="B558" s="17"/>
      <c r="D558" s="17"/>
      <c r="E558" s="17"/>
    </row>
    <row r="559" spans="2:5" ht="16.5" customHeight="1">
      <c r="B559" s="17"/>
      <c r="D559" s="17"/>
      <c r="E559" s="17"/>
    </row>
    <row r="560" spans="2:5" ht="16.5" customHeight="1">
      <c r="B560" s="17"/>
      <c r="D560" s="17"/>
      <c r="E560" s="17"/>
    </row>
    <row r="561" spans="2:5" ht="16.5" customHeight="1">
      <c r="B561" s="17"/>
      <c r="D561" s="17"/>
      <c r="E561" s="17"/>
    </row>
    <row r="562" spans="2:5" ht="16.5" customHeight="1">
      <c r="B562" s="17"/>
      <c r="D562" s="17"/>
      <c r="E562" s="17"/>
    </row>
    <row r="563" spans="2:5" ht="16.5" customHeight="1">
      <c r="B563" s="17"/>
      <c r="D563" s="17"/>
      <c r="E563" s="17"/>
    </row>
    <row r="564" spans="2:5" ht="16.5" customHeight="1">
      <c r="B564" s="17"/>
      <c r="D564" s="17"/>
      <c r="E564" s="17"/>
    </row>
    <row r="565" spans="2:5" ht="16.5" customHeight="1">
      <c r="B565" s="17"/>
      <c r="D565" s="17"/>
      <c r="E565" s="17"/>
    </row>
    <row r="566" spans="2:5" ht="16.5" customHeight="1">
      <c r="B566" s="17"/>
      <c r="D566" s="17"/>
      <c r="E566" s="17"/>
    </row>
    <row r="567" spans="2:5" ht="16.5" customHeight="1">
      <c r="B567" s="17"/>
      <c r="D567" s="17"/>
      <c r="E567" s="17"/>
    </row>
    <row r="568" spans="2:5" ht="16.5" customHeight="1">
      <c r="B568" s="17"/>
      <c r="D568" s="17"/>
      <c r="E568" s="17"/>
    </row>
    <row r="569" spans="2:5" ht="16.5" customHeight="1">
      <c r="B569" s="17"/>
      <c r="D569" s="17"/>
      <c r="E569" s="17"/>
    </row>
    <row r="570" spans="2:5" ht="16.5" customHeight="1">
      <c r="B570" s="17"/>
      <c r="D570" s="17"/>
      <c r="E570" s="17"/>
    </row>
    <row r="571" spans="2:5" ht="16.5" customHeight="1">
      <c r="B571" s="17"/>
      <c r="D571" s="17"/>
      <c r="E571" s="17"/>
    </row>
    <row r="572" spans="2:5" ht="16.5" customHeight="1">
      <c r="B572" s="17"/>
      <c r="D572" s="17"/>
      <c r="E572" s="17"/>
    </row>
    <row r="573" spans="2:5" ht="16.5" customHeight="1">
      <c r="B573" s="17"/>
      <c r="D573" s="17"/>
      <c r="E573" s="17"/>
    </row>
    <row r="574" spans="2:5" ht="16.5" customHeight="1">
      <c r="B574" s="17"/>
      <c r="D574" s="17"/>
      <c r="E574" s="17"/>
    </row>
    <row r="575" spans="2:5" ht="16.5" customHeight="1">
      <c r="B575" s="17"/>
      <c r="D575" s="17"/>
      <c r="E575" s="17"/>
    </row>
    <row r="576" spans="2:5" ht="16.5" customHeight="1">
      <c r="B576" s="17"/>
      <c r="D576" s="17"/>
      <c r="E576" s="17"/>
    </row>
    <row r="577" spans="2:5" ht="16.5" customHeight="1">
      <c r="B577" s="17"/>
      <c r="D577" s="17"/>
      <c r="E577" s="17"/>
    </row>
    <row r="578" spans="2:5" ht="16.5" customHeight="1">
      <c r="B578" s="17"/>
      <c r="D578" s="17"/>
      <c r="E578" s="17"/>
    </row>
    <row r="579" spans="2:5" ht="16.5" customHeight="1">
      <c r="B579" s="17"/>
      <c r="D579" s="17"/>
      <c r="E579" s="17"/>
    </row>
    <row r="580" spans="2:5" ht="16.5" customHeight="1">
      <c r="B580" s="17"/>
      <c r="D580" s="17"/>
      <c r="E580" s="17"/>
    </row>
    <row r="581" spans="2:5" ht="16.5" customHeight="1">
      <c r="B581" s="17"/>
      <c r="D581" s="17"/>
      <c r="E581" s="17"/>
    </row>
    <row r="582" spans="2:5" ht="16.5" customHeight="1">
      <c r="B582" s="17"/>
      <c r="D582" s="17"/>
      <c r="E582" s="17"/>
    </row>
    <row r="583" spans="2:5" ht="16.5" customHeight="1">
      <c r="B583" s="17"/>
      <c r="D583" s="17"/>
      <c r="E583" s="17"/>
    </row>
    <row r="584" spans="2:5" ht="16.5" customHeight="1">
      <c r="B584" s="17"/>
      <c r="D584" s="17"/>
      <c r="E584" s="17"/>
    </row>
    <row r="585" spans="2:5" ht="16.5" customHeight="1">
      <c r="B585" s="17"/>
      <c r="D585" s="17"/>
      <c r="E585" s="17"/>
    </row>
    <row r="586" spans="2:5" ht="16.5" customHeight="1">
      <c r="B586" s="17"/>
      <c r="D586" s="17"/>
      <c r="E586" s="17"/>
    </row>
    <row r="587" spans="2:5" ht="16.5" customHeight="1">
      <c r="B587" s="17"/>
      <c r="D587" s="17"/>
      <c r="E587" s="17"/>
    </row>
    <row r="588" spans="2:5" ht="16.5" customHeight="1">
      <c r="B588" s="17"/>
      <c r="D588" s="17"/>
      <c r="E588" s="17"/>
    </row>
    <row r="589" spans="2:5" ht="16.5" customHeight="1">
      <c r="B589" s="17"/>
      <c r="D589" s="17"/>
      <c r="E589" s="17"/>
    </row>
    <row r="590" spans="2:5" ht="16.5" customHeight="1">
      <c r="B590" s="17"/>
      <c r="D590" s="17"/>
      <c r="E590" s="17"/>
    </row>
    <row r="591" spans="2:5" ht="16.5" customHeight="1">
      <c r="B591" s="17"/>
      <c r="D591" s="17"/>
      <c r="E591" s="17"/>
    </row>
    <row r="592" spans="2:5" ht="16.5" customHeight="1">
      <c r="B592" s="17"/>
      <c r="D592" s="17"/>
      <c r="E592" s="17"/>
    </row>
    <row r="593" spans="2:5" ht="16.5" customHeight="1">
      <c r="B593" s="17"/>
      <c r="D593" s="17"/>
      <c r="E593" s="17"/>
    </row>
    <row r="594" spans="2:5" ht="16.5" customHeight="1">
      <c r="B594" s="17"/>
      <c r="D594" s="17"/>
      <c r="E594" s="17"/>
    </row>
    <row r="595" spans="2:5" ht="16.5" customHeight="1">
      <c r="B595" s="17"/>
      <c r="D595" s="17"/>
      <c r="E595" s="17"/>
    </row>
    <row r="596" spans="2:5" ht="16.5" customHeight="1">
      <c r="B596" s="17"/>
      <c r="D596" s="17"/>
      <c r="E596" s="17"/>
    </row>
    <row r="597" spans="2:5" ht="16.5" customHeight="1">
      <c r="B597" s="17"/>
      <c r="D597" s="17"/>
      <c r="E597" s="17"/>
    </row>
    <row r="598" spans="2:5" ht="16.5" customHeight="1">
      <c r="B598" s="17"/>
      <c r="D598" s="17"/>
      <c r="E598" s="17"/>
    </row>
    <row r="599" spans="2:5" ht="16.5" customHeight="1">
      <c r="B599" s="17"/>
      <c r="D599" s="17"/>
      <c r="E599" s="17"/>
    </row>
    <row r="600" spans="2:5" ht="16.5" customHeight="1">
      <c r="B600" s="17"/>
      <c r="D600" s="17"/>
      <c r="E600" s="17"/>
    </row>
    <row r="601" spans="2:5" ht="16.5" customHeight="1">
      <c r="B601" s="17"/>
      <c r="D601" s="17"/>
      <c r="E601" s="17"/>
    </row>
    <row r="602" spans="2:5" ht="16.5" customHeight="1">
      <c r="B602" s="17"/>
      <c r="D602" s="17"/>
      <c r="E602" s="17"/>
    </row>
    <row r="603" spans="2:5" ht="16.5" customHeight="1">
      <c r="B603" s="17"/>
      <c r="D603" s="17"/>
      <c r="E603" s="17"/>
    </row>
    <row r="604" spans="2:5" ht="16.5" customHeight="1">
      <c r="B604" s="17"/>
      <c r="D604" s="17"/>
      <c r="E604" s="17"/>
    </row>
    <row r="605" spans="2:5" ht="16.5" customHeight="1">
      <c r="B605" s="17"/>
      <c r="D605" s="17"/>
      <c r="E605" s="17"/>
    </row>
    <row r="606" spans="2:5" ht="16.5" customHeight="1">
      <c r="B606" s="17"/>
      <c r="D606" s="17"/>
      <c r="E606" s="17"/>
    </row>
    <row r="607" spans="2:5" ht="16.5" customHeight="1">
      <c r="B607" s="17"/>
      <c r="D607" s="17"/>
      <c r="E607" s="17"/>
    </row>
    <row r="608" spans="2:5" ht="16.5" customHeight="1">
      <c r="B608" s="17"/>
      <c r="D608" s="17"/>
      <c r="E608" s="17"/>
    </row>
    <row r="609" spans="2:5" ht="16.5" customHeight="1">
      <c r="B609" s="17"/>
      <c r="D609" s="17"/>
      <c r="E609" s="17"/>
    </row>
    <row r="610" spans="2:5" ht="16.5" customHeight="1">
      <c r="B610" s="17"/>
      <c r="D610" s="17"/>
      <c r="E610" s="17"/>
    </row>
    <row r="611" spans="2:5" ht="16.5" customHeight="1">
      <c r="B611" s="17"/>
      <c r="D611" s="17"/>
      <c r="E611" s="17"/>
    </row>
    <row r="612" spans="2:5" ht="16.5" customHeight="1">
      <c r="B612" s="17"/>
      <c r="D612" s="17"/>
      <c r="E612" s="17"/>
    </row>
    <row r="613" spans="2:5" ht="16.5" customHeight="1">
      <c r="B613" s="17"/>
      <c r="D613" s="17"/>
      <c r="E613" s="17"/>
    </row>
    <row r="614" spans="2:5" ht="16.5" customHeight="1">
      <c r="B614" s="17"/>
      <c r="D614" s="17"/>
      <c r="E614" s="17"/>
    </row>
    <row r="615" spans="2:5" ht="16.5" customHeight="1">
      <c r="B615" s="17"/>
      <c r="D615" s="17"/>
      <c r="E615" s="17"/>
    </row>
    <row r="616" spans="2:5" ht="16.5" customHeight="1">
      <c r="B616" s="17"/>
      <c r="D616" s="17"/>
      <c r="E616" s="17"/>
    </row>
    <row r="617" spans="2:5" ht="16.5" customHeight="1">
      <c r="B617" s="17"/>
      <c r="D617" s="17"/>
      <c r="E617" s="17"/>
    </row>
    <row r="618" spans="2:5" ht="16.5" customHeight="1">
      <c r="B618" s="17"/>
      <c r="D618" s="17"/>
      <c r="E618" s="17"/>
    </row>
    <row r="619" spans="2:5" ht="16.5" customHeight="1">
      <c r="B619" s="17"/>
      <c r="D619" s="17"/>
      <c r="E619" s="17"/>
    </row>
    <row r="620" spans="2:5" ht="16.5" customHeight="1">
      <c r="B620" s="17"/>
      <c r="D620" s="17"/>
      <c r="E620" s="17"/>
    </row>
    <row r="621" spans="2:5" ht="16.5" customHeight="1">
      <c r="B621" s="17"/>
      <c r="D621" s="17"/>
      <c r="E621" s="17"/>
    </row>
    <row r="622" spans="2:5" ht="16.5" customHeight="1">
      <c r="B622" s="17"/>
      <c r="D622" s="17"/>
      <c r="E622" s="17"/>
    </row>
    <row r="623" spans="2:5" ht="16.5" customHeight="1">
      <c r="B623" s="17"/>
      <c r="D623" s="17"/>
      <c r="E623" s="17"/>
    </row>
    <row r="624" spans="2:5" ht="16.5" customHeight="1">
      <c r="B624" s="17"/>
      <c r="D624" s="17"/>
      <c r="E624" s="17"/>
    </row>
    <row r="625" spans="2:5" ht="16.5" customHeight="1">
      <c r="B625" s="17"/>
      <c r="D625" s="17"/>
      <c r="E625" s="17"/>
    </row>
    <row r="626" spans="2:5" ht="16.5" customHeight="1">
      <c r="B626" s="17"/>
      <c r="D626" s="17"/>
      <c r="E626" s="17"/>
    </row>
    <row r="627" spans="2:5" ht="16.5" customHeight="1">
      <c r="B627" s="17"/>
      <c r="D627" s="17"/>
      <c r="E627" s="17"/>
    </row>
    <row r="628" spans="2:5" ht="16.5" customHeight="1">
      <c r="B628" s="17"/>
      <c r="D628" s="17"/>
      <c r="E628" s="17"/>
    </row>
    <row r="629" spans="2:5" ht="16.5" customHeight="1">
      <c r="B629" s="17"/>
      <c r="D629" s="17"/>
      <c r="E629" s="17"/>
    </row>
    <row r="630" spans="2:5" ht="16.5" customHeight="1">
      <c r="B630" s="17"/>
      <c r="D630" s="17"/>
      <c r="E630" s="17"/>
    </row>
    <row r="631" spans="2:5" ht="16.5" customHeight="1">
      <c r="B631" s="17"/>
      <c r="D631" s="17"/>
      <c r="E631" s="17"/>
    </row>
    <row r="632" spans="2:5" ht="16.5" customHeight="1">
      <c r="B632" s="17"/>
      <c r="D632" s="17"/>
      <c r="E632" s="17"/>
    </row>
    <row r="633" spans="2:5" ht="16.5" customHeight="1">
      <c r="B633" s="17"/>
      <c r="D633" s="17"/>
      <c r="E633" s="17"/>
    </row>
    <row r="634" spans="2:5" ht="16.5" customHeight="1">
      <c r="B634" s="17"/>
      <c r="D634" s="17"/>
      <c r="E634" s="17"/>
    </row>
    <row r="635" spans="2:5" ht="16.5" customHeight="1">
      <c r="B635" s="17"/>
      <c r="D635" s="17"/>
      <c r="E635" s="17"/>
    </row>
    <row r="636" spans="2:5" ht="16.5" customHeight="1">
      <c r="B636" s="17"/>
      <c r="D636" s="17"/>
      <c r="E636" s="17"/>
    </row>
    <row r="637" spans="2:5" ht="16.5" customHeight="1">
      <c r="B637" s="17"/>
      <c r="D637" s="17"/>
      <c r="E637" s="17"/>
    </row>
    <row r="638" spans="2:5" ht="16.5" customHeight="1">
      <c r="B638" s="17"/>
      <c r="D638" s="17"/>
      <c r="E638" s="17"/>
    </row>
    <row r="639" spans="2:5" ht="16.5" customHeight="1">
      <c r="B639" s="17"/>
      <c r="D639" s="17"/>
      <c r="E639" s="17"/>
    </row>
    <row r="640" spans="2:5" ht="16.5" customHeight="1">
      <c r="B640" s="17"/>
      <c r="D640" s="17"/>
      <c r="E640" s="17"/>
    </row>
    <row r="641" spans="2:5" ht="16.5" customHeight="1">
      <c r="B641" s="17"/>
      <c r="D641" s="17"/>
      <c r="E641" s="17"/>
    </row>
    <row r="642" spans="2:5" ht="16.5" customHeight="1">
      <c r="B642" s="17"/>
      <c r="D642" s="17"/>
      <c r="E642" s="17"/>
    </row>
    <row r="643" spans="2:5" ht="16.5" customHeight="1">
      <c r="B643" s="17"/>
      <c r="D643" s="17"/>
      <c r="E643" s="17"/>
    </row>
    <row r="644" spans="2:5" ht="16.5" customHeight="1">
      <c r="B644" s="17"/>
      <c r="D644" s="17"/>
      <c r="E644" s="17"/>
    </row>
    <row r="645" spans="2:5" ht="16.5" customHeight="1">
      <c r="B645" s="17"/>
      <c r="D645" s="17"/>
      <c r="E645" s="17"/>
    </row>
    <row r="646" spans="2:5" ht="16.5" customHeight="1">
      <c r="B646" s="17"/>
      <c r="D646" s="17"/>
      <c r="E646" s="17"/>
    </row>
    <row r="647" spans="2:5" ht="16.5" customHeight="1">
      <c r="B647" s="17"/>
      <c r="D647" s="17"/>
      <c r="E647" s="17"/>
    </row>
    <row r="648" spans="2:5" ht="16.5" customHeight="1">
      <c r="B648" s="17"/>
      <c r="D648" s="17"/>
      <c r="E648" s="17"/>
    </row>
    <row r="649" spans="2:5" ht="16.5" customHeight="1">
      <c r="B649" s="17"/>
      <c r="D649" s="17"/>
      <c r="E649" s="17"/>
    </row>
    <row r="650" spans="2:5" ht="16.5" customHeight="1">
      <c r="B650" s="17"/>
      <c r="D650" s="17"/>
      <c r="E650" s="17"/>
    </row>
    <row r="651" spans="2:5" ht="16.5" customHeight="1">
      <c r="B651" s="17"/>
      <c r="D651" s="17"/>
      <c r="E651" s="17"/>
    </row>
    <row r="652" spans="2:5" ht="16.5" customHeight="1">
      <c r="B652" s="17"/>
      <c r="D652" s="17"/>
      <c r="E652" s="17"/>
    </row>
    <row r="653" spans="2:5" ht="16.5" customHeight="1">
      <c r="B653" s="17"/>
      <c r="D653" s="17"/>
      <c r="E653" s="17"/>
    </row>
    <row r="654" spans="2:5" ht="16.5" customHeight="1">
      <c r="B654" s="17"/>
      <c r="D654" s="17"/>
      <c r="E654" s="17"/>
    </row>
    <row r="655" spans="2:5" ht="16.5" customHeight="1">
      <c r="B655" s="17"/>
      <c r="D655" s="17"/>
      <c r="E655" s="17"/>
    </row>
    <row r="656" spans="2:5" ht="16.5" customHeight="1">
      <c r="B656" s="17"/>
      <c r="D656" s="17"/>
      <c r="E656" s="17"/>
    </row>
    <row r="657" spans="2:5" ht="16.5" customHeight="1">
      <c r="B657" s="17"/>
      <c r="D657" s="17"/>
      <c r="E657" s="17"/>
    </row>
    <row r="658" spans="2:5" ht="16.5" customHeight="1">
      <c r="B658" s="17"/>
      <c r="D658" s="17"/>
      <c r="E658" s="17"/>
    </row>
    <row r="659" spans="2:5" ht="16.5" customHeight="1">
      <c r="B659" s="17"/>
      <c r="D659" s="17"/>
      <c r="E659" s="17"/>
    </row>
    <row r="660" spans="2:5" ht="16.5" customHeight="1">
      <c r="B660" s="17"/>
      <c r="D660" s="17"/>
      <c r="E660" s="17"/>
    </row>
    <row r="661" spans="2:5" ht="16.5" customHeight="1">
      <c r="B661" s="17"/>
      <c r="D661" s="17"/>
      <c r="E661" s="17"/>
    </row>
    <row r="662" spans="2:5" ht="16.5" customHeight="1">
      <c r="B662" s="17"/>
      <c r="D662" s="17"/>
      <c r="E662" s="17"/>
    </row>
    <row r="663" spans="2:5" ht="16.5" customHeight="1">
      <c r="B663" s="17"/>
      <c r="D663" s="17"/>
      <c r="E663" s="17"/>
    </row>
    <row r="664" spans="2:5" ht="16.5" customHeight="1">
      <c r="B664" s="17"/>
      <c r="D664" s="17"/>
      <c r="E664" s="17"/>
    </row>
    <row r="665" spans="2:5" ht="16.5" customHeight="1">
      <c r="B665" s="17"/>
      <c r="D665" s="17"/>
      <c r="E665" s="17"/>
    </row>
    <row r="666" spans="2:5" ht="16.5" customHeight="1">
      <c r="B666" s="17"/>
      <c r="D666" s="17"/>
      <c r="E666" s="17"/>
    </row>
    <row r="667" spans="2:5" ht="16.5" customHeight="1">
      <c r="B667" s="17"/>
      <c r="D667" s="17"/>
      <c r="E667" s="17"/>
    </row>
    <row r="668" spans="2:5" ht="16.5" customHeight="1">
      <c r="B668" s="17"/>
      <c r="D668" s="17"/>
      <c r="E668" s="17"/>
    </row>
    <row r="669" spans="2:5" ht="16.5" customHeight="1">
      <c r="B669" s="17"/>
      <c r="D669" s="17"/>
      <c r="E669" s="17"/>
    </row>
    <row r="670" spans="2:5" ht="16.5" customHeight="1">
      <c r="B670" s="17"/>
      <c r="D670" s="17"/>
      <c r="E670" s="17"/>
    </row>
    <row r="671" spans="2:5" ht="16.5" customHeight="1">
      <c r="B671" s="17"/>
      <c r="D671" s="17"/>
      <c r="E671" s="17"/>
    </row>
    <row r="672" spans="2:5" ht="16.5" customHeight="1">
      <c r="B672" s="17"/>
      <c r="D672" s="17"/>
      <c r="E672" s="17"/>
    </row>
    <row r="673" spans="2:5" ht="16.5" customHeight="1">
      <c r="B673" s="17"/>
      <c r="D673" s="17"/>
      <c r="E673" s="17"/>
    </row>
    <row r="674" spans="2:5" ht="16.5" customHeight="1">
      <c r="B674" s="17"/>
      <c r="D674" s="17"/>
      <c r="E674" s="17"/>
    </row>
    <row r="675" spans="2:5" ht="16.5" customHeight="1">
      <c r="B675" s="17"/>
      <c r="D675" s="17"/>
      <c r="E675" s="17"/>
    </row>
    <row r="676" spans="2:5" ht="16.5" customHeight="1">
      <c r="B676" s="17"/>
      <c r="D676" s="17"/>
      <c r="E676" s="17"/>
    </row>
    <row r="677" spans="2:5" ht="16.5" customHeight="1">
      <c r="B677" s="17"/>
      <c r="D677" s="17"/>
      <c r="E677" s="17"/>
    </row>
    <row r="678" spans="2:5" ht="16.5" customHeight="1">
      <c r="B678" s="17"/>
      <c r="D678" s="17"/>
      <c r="E678" s="17"/>
    </row>
    <row r="679" spans="2:5" ht="16.5" customHeight="1">
      <c r="B679" s="17"/>
      <c r="D679" s="17"/>
      <c r="E679" s="17"/>
    </row>
    <row r="680" spans="2:5" ht="16.5" customHeight="1">
      <c r="B680" s="17"/>
      <c r="D680" s="17"/>
      <c r="E680" s="17"/>
    </row>
    <row r="681" spans="2:5" ht="16.5" customHeight="1">
      <c r="B681" s="17"/>
      <c r="D681" s="17"/>
      <c r="E681" s="17"/>
    </row>
    <row r="682" spans="2:5" ht="16.5" customHeight="1">
      <c r="B682" s="17"/>
      <c r="D682" s="17"/>
      <c r="E682" s="17"/>
    </row>
    <row r="683" spans="2:5" ht="16.5" customHeight="1">
      <c r="B683" s="17"/>
      <c r="D683" s="17"/>
      <c r="E683" s="17"/>
    </row>
    <row r="684" spans="2:5" ht="16.5" customHeight="1">
      <c r="B684" s="17"/>
      <c r="D684" s="17"/>
      <c r="E684" s="17"/>
    </row>
    <row r="685" spans="2:5" ht="16.5" customHeight="1">
      <c r="B685" s="17"/>
      <c r="D685" s="17"/>
      <c r="E685" s="17"/>
    </row>
    <row r="686" spans="2:5" ht="16.5" customHeight="1">
      <c r="B686" s="17"/>
      <c r="D686" s="17"/>
      <c r="E686" s="17"/>
    </row>
    <row r="687" spans="2:5" ht="16.5" customHeight="1">
      <c r="B687" s="17"/>
      <c r="D687" s="17"/>
      <c r="E687" s="17"/>
    </row>
    <row r="688" spans="2:5" ht="16.5" customHeight="1">
      <c r="B688" s="17"/>
      <c r="D688" s="17"/>
      <c r="E688" s="17"/>
    </row>
    <row r="689" spans="2:5" ht="16.5" customHeight="1">
      <c r="B689" s="17"/>
      <c r="D689" s="17"/>
      <c r="E689" s="17"/>
    </row>
    <row r="690" spans="2:5" ht="16.5" customHeight="1">
      <c r="B690" s="17"/>
      <c r="D690" s="17"/>
      <c r="E690" s="17"/>
    </row>
    <row r="691" spans="2:5" ht="16.5" customHeight="1">
      <c r="B691" s="17"/>
      <c r="D691" s="17"/>
      <c r="E691" s="17"/>
    </row>
    <row r="692" spans="2:5" ht="16.5" customHeight="1">
      <c r="B692" s="17"/>
      <c r="D692" s="17"/>
      <c r="E692" s="17"/>
    </row>
    <row r="693" spans="2:5" ht="16.5" customHeight="1">
      <c r="B693" s="17"/>
      <c r="D693" s="17"/>
      <c r="E693" s="17"/>
    </row>
    <row r="694" spans="2:5" ht="16.5" customHeight="1">
      <c r="B694" s="17"/>
      <c r="D694" s="17"/>
      <c r="E694" s="17"/>
    </row>
    <row r="695" spans="2:5" ht="16.5" customHeight="1">
      <c r="B695" s="17"/>
      <c r="D695" s="17"/>
      <c r="E695" s="17"/>
    </row>
    <row r="696" spans="2:5" ht="16.5" customHeight="1">
      <c r="B696" s="17"/>
      <c r="D696" s="17"/>
      <c r="E696" s="17"/>
    </row>
    <row r="697" spans="2:5" ht="16.5" customHeight="1">
      <c r="B697" s="17"/>
      <c r="D697" s="17"/>
      <c r="E697" s="17"/>
    </row>
    <row r="698" spans="2:5" ht="16.5" customHeight="1">
      <c r="B698" s="17"/>
      <c r="D698" s="17"/>
      <c r="E698" s="17"/>
    </row>
    <row r="699" spans="2:5" ht="16.5" customHeight="1">
      <c r="B699" s="17"/>
      <c r="D699" s="17"/>
      <c r="E699" s="17"/>
    </row>
    <row r="700" spans="2:5" ht="16.5" customHeight="1">
      <c r="B700" s="17"/>
      <c r="D700" s="17"/>
      <c r="E700" s="17"/>
    </row>
    <row r="701" spans="2:5" ht="16.5" customHeight="1">
      <c r="B701" s="17"/>
      <c r="D701" s="17"/>
      <c r="E701" s="17"/>
    </row>
    <row r="702" spans="2:5" ht="16.5" customHeight="1">
      <c r="B702" s="17"/>
      <c r="D702" s="17"/>
      <c r="E702" s="17"/>
    </row>
    <row r="703" spans="2:5" ht="16.5" customHeight="1">
      <c r="B703" s="17"/>
      <c r="D703" s="17"/>
      <c r="E703" s="17"/>
    </row>
    <row r="704" spans="2:5" ht="16.5" customHeight="1">
      <c r="B704" s="17"/>
      <c r="D704" s="17"/>
      <c r="E704" s="17"/>
    </row>
    <row r="705" spans="2:5" ht="16.5" customHeight="1">
      <c r="B705" s="17"/>
      <c r="D705" s="17"/>
      <c r="E705" s="17"/>
    </row>
    <row r="706" spans="2:5" ht="16.5" customHeight="1">
      <c r="B706" s="17"/>
      <c r="D706" s="17"/>
      <c r="E706" s="17"/>
    </row>
    <row r="707" spans="2:5" ht="16.5" customHeight="1">
      <c r="B707" s="17"/>
      <c r="D707" s="17"/>
      <c r="E707" s="17"/>
    </row>
    <row r="708" spans="2:5" ht="16.5" customHeight="1">
      <c r="B708" s="17"/>
      <c r="D708" s="17"/>
      <c r="E708" s="17"/>
    </row>
    <row r="709" spans="2:5" ht="16.5" customHeight="1">
      <c r="B709" s="17"/>
      <c r="D709" s="17"/>
      <c r="E709" s="17"/>
    </row>
    <row r="710" spans="2:5" ht="16.5" customHeight="1">
      <c r="B710" s="17"/>
      <c r="D710" s="17"/>
      <c r="E710" s="17"/>
    </row>
    <row r="711" spans="2:5" ht="16.5" customHeight="1">
      <c r="B711" s="17"/>
      <c r="D711" s="17"/>
      <c r="E711" s="17"/>
    </row>
    <row r="712" spans="2:5" ht="16.5" customHeight="1">
      <c r="B712" s="17"/>
      <c r="D712" s="17"/>
      <c r="E712" s="17"/>
    </row>
    <row r="713" spans="2:5" ht="16.5" customHeight="1">
      <c r="B713" s="17"/>
      <c r="D713" s="17"/>
      <c r="E713" s="17"/>
    </row>
    <row r="714" spans="2:5" ht="16.5" customHeight="1">
      <c r="B714" s="17"/>
      <c r="D714" s="17"/>
      <c r="E714" s="17"/>
    </row>
    <row r="715" spans="2:5" ht="16.5" customHeight="1">
      <c r="B715" s="17"/>
      <c r="D715" s="17"/>
      <c r="E715" s="17"/>
    </row>
    <row r="716" spans="2:5" ht="16.5" customHeight="1">
      <c r="B716" s="17"/>
      <c r="D716" s="17"/>
      <c r="E716" s="17"/>
    </row>
    <row r="717" spans="2:5" ht="16.5" customHeight="1">
      <c r="B717" s="17"/>
      <c r="D717" s="17"/>
      <c r="E717" s="17"/>
    </row>
    <row r="718" spans="2:5" ht="16.5" customHeight="1">
      <c r="B718" s="17"/>
      <c r="D718" s="17"/>
      <c r="E718" s="17"/>
    </row>
    <row r="719" spans="2:5" ht="16.5" customHeight="1">
      <c r="B719" s="17"/>
      <c r="D719" s="17"/>
      <c r="E719" s="17"/>
    </row>
    <row r="720" spans="2:5" ht="16.5" customHeight="1">
      <c r="B720" s="17"/>
      <c r="D720" s="17"/>
      <c r="E720" s="17"/>
    </row>
    <row r="721" spans="2:5" ht="16.5" customHeight="1">
      <c r="B721" s="17"/>
      <c r="D721" s="17"/>
      <c r="E721" s="17"/>
    </row>
    <row r="722" spans="2:5" ht="16.5" customHeight="1">
      <c r="B722" s="17"/>
      <c r="D722" s="17"/>
      <c r="E722" s="17"/>
    </row>
    <row r="723" spans="2:5" ht="16.5" customHeight="1">
      <c r="B723" s="17"/>
      <c r="D723" s="17"/>
      <c r="E723" s="17"/>
    </row>
    <row r="724" spans="2:5" ht="16.5" customHeight="1">
      <c r="B724" s="17"/>
      <c r="D724" s="17"/>
      <c r="E724" s="17"/>
    </row>
    <row r="725" spans="2:5" ht="16.5" customHeight="1">
      <c r="B725" s="17"/>
      <c r="D725" s="17"/>
      <c r="E725" s="17"/>
    </row>
    <row r="726" spans="2:5" ht="16.5" customHeight="1">
      <c r="B726" s="17"/>
      <c r="D726" s="17"/>
      <c r="E726" s="17"/>
    </row>
    <row r="727" spans="2:5" ht="16.5" customHeight="1">
      <c r="B727" s="17"/>
      <c r="D727" s="17"/>
      <c r="E727" s="17"/>
    </row>
    <row r="728" spans="2:5" ht="16.5" customHeight="1">
      <c r="B728" s="17"/>
      <c r="D728" s="17"/>
      <c r="E728" s="17"/>
    </row>
    <row r="729" spans="2:5" ht="16.5" customHeight="1">
      <c r="B729" s="17"/>
      <c r="D729" s="17"/>
      <c r="E729" s="17"/>
    </row>
    <row r="730" spans="2:5" ht="16.5" customHeight="1">
      <c r="B730" s="17"/>
      <c r="D730" s="17"/>
      <c r="E730" s="17"/>
    </row>
    <row r="731" spans="2:5" ht="16.5" customHeight="1">
      <c r="B731" s="17"/>
      <c r="D731" s="17"/>
      <c r="E731" s="17"/>
    </row>
    <row r="732" spans="2:5" ht="16.5" customHeight="1">
      <c r="B732" s="17"/>
      <c r="D732" s="17"/>
      <c r="E732" s="17"/>
    </row>
    <row r="733" spans="2:5" ht="16.5" customHeight="1">
      <c r="B733" s="17"/>
      <c r="D733" s="17"/>
      <c r="E733" s="17"/>
    </row>
    <row r="734" spans="2:5" ht="16.5" customHeight="1">
      <c r="B734" s="17"/>
      <c r="D734" s="17"/>
      <c r="E734" s="17"/>
    </row>
    <row r="735" spans="2:5" ht="16.5" customHeight="1">
      <c r="B735" s="17"/>
      <c r="D735" s="17"/>
      <c r="E735" s="17"/>
    </row>
    <row r="736" spans="2:5" ht="16.5" customHeight="1">
      <c r="B736" s="17"/>
      <c r="D736" s="17"/>
      <c r="E736" s="17"/>
    </row>
    <row r="737" spans="2:5" ht="16.5" customHeight="1">
      <c r="B737" s="17"/>
      <c r="D737" s="17"/>
      <c r="E737" s="17"/>
    </row>
    <row r="738" spans="2:5" ht="16.5" customHeight="1">
      <c r="B738" s="17"/>
      <c r="D738" s="17"/>
      <c r="E738" s="17"/>
    </row>
    <row r="739" spans="2:5" ht="16.5" customHeight="1">
      <c r="B739" s="17"/>
      <c r="D739" s="17"/>
      <c r="E739" s="17"/>
    </row>
    <row r="740" spans="2:5" ht="16.5" customHeight="1">
      <c r="B740" s="17"/>
      <c r="D740" s="17"/>
      <c r="E740" s="17"/>
    </row>
    <row r="741" spans="2:5" ht="16.5" customHeight="1">
      <c r="B741" s="17"/>
      <c r="D741" s="17"/>
      <c r="E741" s="17"/>
    </row>
    <row r="742" spans="2:5" ht="16.5" customHeight="1">
      <c r="B742" s="17"/>
      <c r="D742" s="17"/>
      <c r="E742" s="17"/>
    </row>
    <row r="743" spans="2:5" ht="16.5" customHeight="1">
      <c r="B743" s="17"/>
      <c r="D743" s="17"/>
      <c r="E743" s="17"/>
    </row>
    <row r="744" spans="2:5" ht="16.5" customHeight="1">
      <c r="B744" s="17"/>
      <c r="D744" s="17"/>
      <c r="E744" s="17"/>
    </row>
    <row r="745" spans="2:5" ht="16.5" customHeight="1">
      <c r="B745" s="17"/>
      <c r="D745" s="17"/>
      <c r="E745" s="17"/>
    </row>
    <row r="746" spans="2:5" ht="16.5" customHeight="1">
      <c r="B746" s="17"/>
      <c r="D746" s="17"/>
      <c r="E746" s="17"/>
    </row>
    <row r="747" spans="2:5" ht="16.5" customHeight="1">
      <c r="B747" s="17"/>
      <c r="D747" s="17"/>
      <c r="E747" s="17"/>
    </row>
    <row r="748" spans="2:5" ht="16.5" customHeight="1">
      <c r="B748" s="17"/>
      <c r="D748" s="17"/>
      <c r="E748" s="17"/>
    </row>
    <row r="749" spans="2:5" ht="16.5" customHeight="1">
      <c r="B749" s="17"/>
      <c r="D749" s="17"/>
      <c r="E749" s="17"/>
    </row>
    <row r="750" spans="2:5" ht="16.5" customHeight="1">
      <c r="B750" s="17"/>
      <c r="D750" s="17"/>
      <c r="E750" s="17"/>
    </row>
    <row r="751" spans="2:5" ht="16.5" customHeight="1">
      <c r="B751" s="17"/>
      <c r="D751" s="17"/>
      <c r="E751" s="17"/>
    </row>
    <row r="752" spans="2:5" ht="16.5" customHeight="1">
      <c r="B752" s="17"/>
      <c r="D752" s="17"/>
      <c r="E752" s="17"/>
    </row>
    <row r="753" spans="2:5" ht="16.5" customHeight="1">
      <c r="B753" s="17"/>
      <c r="D753" s="17"/>
      <c r="E753" s="17"/>
    </row>
    <row r="754" spans="2:5" ht="16.5" customHeight="1">
      <c r="B754" s="17"/>
      <c r="D754" s="17"/>
      <c r="E754" s="17"/>
    </row>
    <row r="755" spans="2:5" ht="16.5" customHeight="1">
      <c r="B755" s="17"/>
      <c r="D755" s="17"/>
      <c r="E755" s="17"/>
    </row>
    <row r="756" spans="2:5" ht="16.5" customHeight="1">
      <c r="B756" s="17"/>
      <c r="D756" s="17"/>
      <c r="E756" s="17"/>
    </row>
    <row r="757" spans="2:5" ht="16.5" customHeight="1">
      <c r="B757" s="17"/>
      <c r="D757" s="17"/>
      <c r="E757" s="17"/>
    </row>
    <row r="758" spans="2:5" ht="16.5" customHeight="1">
      <c r="B758" s="17"/>
      <c r="D758" s="17"/>
      <c r="E758" s="17"/>
    </row>
    <row r="759" spans="2:5" ht="16.5" customHeight="1">
      <c r="B759" s="17"/>
      <c r="D759" s="17"/>
      <c r="E759" s="17"/>
    </row>
    <row r="760" spans="2:5" ht="16.5" customHeight="1">
      <c r="B760" s="17"/>
      <c r="D760" s="17"/>
      <c r="E760" s="17"/>
    </row>
    <row r="761" spans="2:5" ht="16.5" customHeight="1">
      <c r="B761" s="17"/>
      <c r="D761" s="17"/>
      <c r="E761" s="17"/>
    </row>
    <row r="762" spans="2:5" ht="16.5" customHeight="1">
      <c r="B762" s="17"/>
      <c r="D762" s="17"/>
      <c r="E762" s="17"/>
    </row>
    <row r="763" spans="2:5" ht="16.5" customHeight="1">
      <c r="B763" s="17"/>
      <c r="D763" s="17"/>
      <c r="E763" s="17"/>
    </row>
    <row r="764" spans="2:5" ht="16.5" customHeight="1">
      <c r="B764" s="17"/>
      <c r="D764" s="17"/>
      <c r="E764" s="17"/>
    </row>
    <row r="765" spans="2:5" ht="16.5" customHeight="1">
      <c r="B765" s="17"/>
      <c r="D765" s="17"/>
      <c r="E765" s="17"/>
    </row>
    <row r="766" spans="2:5" ht="16.5" customHeight="1">
      <c r="B766" s="17"/>
      <c r="D766" s="17"/>
      <c r="E766" s="17"/>
    </row>
    <row r="767" spans="2:5" ht="16.5" customHeight="1">
      <c r="B767" s="17"/>
      <c r="D767" s="17"/>
      <c r="E767" s="17"/>
    </row>
    <row r="768" spans="2:5" ht="16.5" customHeight="1">
      <c r="B768" s="17"/>
      <c r="D768" s="17"/>
      <c r="E768" s="17"/>
    </row>
    <row r="769" spans="2:5" ht="16.5" customHeight="1">
      <c r="B769" s="17"/>
      <c r="D769" s="17"/>
      <c r="E769" s="17"/>
    </row>
    <row r="770" spans="2:5" ht="16.5" customHeight="1">
      <c r="B770" s="17"/>
      <c r="D770" s="17"/>
      <c r="E770" s="17"/>
    </row>
    <row r="771" spans="2:5" ht="16.5" customHeight="1">
      <c r="B771" s="17"/>
      <c r="D771" s="17"/>
      <c r="E771" s="17"/>
    </row>
    <row r="772" spans="2:5" ht="16.5" customHeight="1">
      <c r="B772" s="17"/>
      <c r="D772" s="17"/>
      <c r="E772" s="17"/>
    </row>
    <row r="773" spans="2:5" ht="16.5" customHeight="1">
      <c r="B773" s="17"/>
      <c r="D773" s="17"/>
      <c r="E773" s="17"/>
    </row>
    <row r="774" spans="2:5" ht="16.5" customHeight="1">
      <c r="B774" s="17"/>
      <c r="D774" s="17"/>
      <c r="E774" s="17"/>
    </row>
    <row r="775" spans="2:5" ht="16.5" customHeight="1">
      <c r="B775" s="17"/>
      <c r="D775" s="17"/>
      <c r="E775" s="17"/>
    </row>
    <row r="776" spans="2:5" ht="16.5" customHeight="1">
      <c r="B776" s="17"/>
      <c r="D776" s="17"/>
      <c r="E776" s="17"/>
    </row>
    <row r="777" spans="2:5" ht="16.5" customHeight="1">
      <c r="B777" s="17"/>
      <c r="D777" s="17"/>
      <c r="E777" s="17"/>
    </row>
    <row r="778" spans="2:5" ht="16.5" customHeight="1">
      <c r="B778" s="17"/>
      <c r="D778" s="17"/>
      <c r="E778" s="17"/>
    </row>
    <row r="779" spans="2:5" ht="16.5" customHeight="1">
      <c r="B779" s="17"/>
      <c r="D779" s="17"/>
      <c r="E779" s="17"/>
    </row>
    <row r="780" spans="2:5" ht="16.5" customHeight="1">
      <c r="B780" s="17"/>
      <c r="D780" s="17"/>
      <c r="E780" s="17"/>
    </row>
    <row r="781" spans="2:5" ht="16.5" customHeight="1">
      <c r="B781" s="17"/>
      <c r="D781" s="17"/>
      <c r="E781" s="17"/>
    </row>
    <row r="782" spans="2:5" ht="16.5" customHeight="1">
      <c r="B782" s="17"/>
      <c r="D782" s="17"/>
      <c r="E782" s="17"/>
    </row>
    <row r="783" spans="2:5" ht="16.5" customHeight="1">
      <c r="B783" s="17"/>
      <c r="D783" s="17"/>
      <c r="E783" s="17"/>
    </row>
    <row r="784" spans="2:5" ht="16.5" customHeight="1">
      <c r="B784" s="17"/>
      <c r="D784" s="17"/>
      <c r="E784" s="17"/>
    </row>
    <row r="785" spans="2:5" ht="16.5" customHeight="1">
      <c r="B785" s="17"/>
      <c r="D785" s="17"/>
      <c r="E785" s="17"/>
    </row>
    <row r="786" spans="2:5" ht="16.5" customHeight="1">
      <c r="B786" s="17"/>
      <c r="D786" s="17"/>
      <c r="E786" s="17"/>
    </row>
    <row r="787" spans="2:5" ht="16.5" customHeight="1">
      <c r="B787" s="17"/>
      <c r="D787" s="17"/>
      <c r="E787" s="17"/>
    </row>
    <row r="788" spans="2:5" ht="16.5" customHeight="1">
      <c r="B788" s="17"/>
      <c r="D788" s="17"/>
      <c r="E788" s="17"/>
    </row>
    <row r="789" spans="2:5" ht="16.5" customHeight="1">
      <c r="B789" s="17"/>
      <c r="D789" s="17"/>
      <c r="E789" s="17"/>
    </row>
    <row r="790" spans="2:5" ht="16.5" customHeight="1">
      <c r="B790" s="17"/>
      <c r="D790" s="17"/>
      <c r="E790" s="17"/>
    </row>
    <row r="791" spans="2:5" ht="16.5" customHeight="1">
      <c r="B791" s="17"/>
      <c r="D791" s="17"/>
      <c r="E791" s="17"/>
    </row>
    <row r="792" spans="2:5" ht="16.5" customHeight="1">
      <c r="B792" s="17"/>
      <c r="D792" s="17"/>
      <c r="E792" s="17"/>
    </row>
    <row r="793" spans="2:5" ht="16.5" customHeight="1">
      <c r="B793" s="17"/>
      <c r="D793" s="17"/>
      <c r="E793" s="17"/>
    </row>
    <row r="794" spans="2:5" ht="16.5" customHeight="1">
      <c r="B794" s="17"/>
      <c r="D794" s="17"/>
      <c r="E794" s="17"/>
    </row>
    <row r="795" spans="2:5" ht="16.5" customHeight="1">
      <c r="B795" s="17"/>
      <c r="D795" s="17"/>
      <c r="E795" s="17"/>
    </row>
    <row r="796" spans="2:5" ht="16.5" customHeight="1">
      <c r="B796" s="17"/>
      <c r="D796" s="17"/>
      <c r="E796" s="17"/>
    </row>
    <row r="797" spans="2:5" ht="16.5" customHeight="1">
      <c r="B797" s="17"/>
      <c r="D797" s="17"/>
      <c r="E797" s="17"/>
    </row>
    <row r="798" spans="2:5" ht="16.5" customHeight="1">
      <c r="B798" s="17"/>
      <c r="D798" s="17"/>
      <c r="E798" s="17"/>
    </row>
    <row r="799" spans="2:5" ht="16.5" customHeight="1">
      <c r="B799" s="17"/>
      <c r="D799" s="17"/>
      <c r="E799" s="17"/>
    </row>
    <row r="800" spans="2:5" ht="16.5" customHeight="1">
      <c r="B800" s="17"/>
      <c r="D800" s="17"/>
      <c r="E800" s="17"/>
    </row>
    <row r="801" spans="2:5" ht="16.5" customHeight="1">
      <c r="B801" s="17"/>
      <c r="D801" s="17"/>
      <c r="E801" s="17"/>
    </row>
    <row r="802" spans="2:5" ht="16.5" customHeight="1">
      <c r="B802" s="17"/>
      <c r="D802" s="17"/>
      <c r="E802" s="17"/>
    </row>
    <row r="803" spans="2:5" ht="16.5" customHeight="1">
      <c r="B803" s="17"/>
      <c r="D803" s="17"/>
      <c r="E803" s="17"/>
    </row>
    <row r="804" spans="2:5" ht="16.5" customHeight="1">
      <c r="B804" s="17"/>
      <c r="D804" s="17"/>
      <c r="E804" s="17"/>
    </row>
    <row r="805" spans="2:5" ht="16.5" customHeight="1">
      <c r="B805" s="17"/>
      <c r="D805" s="17"/>
      <c r="E805" s="17"/>
    </row>
    <row r="806" spans="2:5" ht="16.5" customHeight="1">
      <c r="B806" s="17"/>
      <c r="D806" s="17"/>
      <c r="E806" s="17"/>
    </row>
    <row r="807" spans="2:5" ht="16.5" customHeight="1">
      <c r="B807" s="17"/>
      <c r="D807" s="17"/>
      <c r="E807" s="17"/>
    </row>
    <row r="808" spans="2:5" ht="16.5" customHeight="1">
      <c r="B808" s="17"/>
      <c r="D808" s="17"/>
      <c r="E808" s="17"/>
    </row>
    <row r="809" spans="2:5" ht="16.5" customHeight="1">
      <c r="B809" s="17"/>
      <c r="D809" s="17"/>
      <c r="E809" s="17"/>
    </row>
    <row r="810" spans="2:5" ht="16.5" customHeight="1">
      <c r="B810" s="17"/>
      <c r="D810" s="17"/>
      <c r="E810" s="17"/>
    </row>
    <row r="811" spans="2:5" ht="16.5" customHeight="1">
      <c r="B811" s="17"/>
      <c r="D811" s="17"/>
      <c r="E811" s="17"/>
    </row>
    <row r="812" spans="2:5" ht="16.5" customHeight="1">
      <c r="B812" s="17"/>
      <c r="D812" s="17"/>
      <c r="E812" s="17"/>
    </row>
    <row r="813" spans="2:5" ht="16.5" customHeight="1">
      <c r="B813" s="17"/>
      <c r="D813" s="17"/>
      <c r="E813" s="17"/>
    </row>
    <row r="814" spans="2:5" ht="16.5" customHeight="1">
      <c r="B814" s="17"/>
      <c r="D814" s="17"/>
      <c r="E814" s="17"/>
    </row>
    <row r="815" spans="2:5" ht="16.5" customHeight="1">
      <c r="B815" s="17"/>
      <c r="D815" s="17"/>
      <c r="E815" s="17"/>
    </row>
    <row r="816" spans="2:5" ht="16.5" customHeight="1">
      <c r="B816" s="17"/>
      <c r="D816" s="17"/>
      <c r="E816" s="17"/>
    </row>
    <row r="817" spans="2:5" ht="16.5" customHeight="1">
      <c r="B817" s="17"/>
      <c r="D817" s="17"/>
      <c r="E817" s="17"/>
    </row>
    <row r="818" spans="2:5" ht="16.5" customHeight="1">
      <c r="B818" s="17"/>
      <c r="D818" s="17"/>
      <c r="E818" s="17"/>
    </row>
    <row r="819" spans="2:5" ht="16.5" customHeight="1">
      <c r="B819" s="17"/>
      <c r="D819" s="17"/>
      <c r="E819" s="17"/>
    </row>
    <row r="820" spans="2:5" ht="16.5" customHeight="1">
      <c r="B820" s="17"/>
      <c r="D820" s="17"/>
      <c r="E820" s="17"/>
    </row>
    <row r="821" spans="2:5" ht="16.5" customHeight="1">
      <c r="B821" s="17"/>
      <c r="D821" s="17"/>
      <c r="E821" s="17"/>
    </row>
    <row r="822" spans="2:5" ht="16.5" customHeight="1">
      <c r="B822" s="17"/>
      <c r="D822" s="17"/>
      <c r="E822" s="17"/>
    </row>
    <row r="823" spans="2:5" ht="16.5" customHeight="1">
      <c r="B823" s="17"/>
      <c r="D823" s="17"/>
      <c r="E823" s="17"/>
    </row>
    <row r="824" spans="2:5" ht="16.5" customHeight="1">
      <c r="B824" s="17"/>
      <c r="D824" s="17"/>
      <c r="E824" s="17"/>
    </row>
    <row r="825" spans="2:5" ht="16.5" customHeight="1">
      <c r="B825" s="17"/>
      <c r="D825" s="17"/>
      <c r="E825" s="17"/>
    </row>
    <row r="826" spans="2:5" ht="16.5" customHeight="1">
      <c r="B826" s="17"/>
      <c r="D826" s="17"/>
      <c r="E826" s="17"/>
    </row>
    <row r="827" spans="2:5" ht="16.5" customHeight="1">
      <c r="B827" s="17"/>
      <c r="D827" s="17"/>
      <c r="E827" s="17"/>
    </row>
    <row r="828" spans="2:5" ht="16.5" customHeight="1">
      <c r="B828" s="17"/>
      <c r="D828" s="17"/>
      <c r="E828" s="17"/>
    </row>
    <row r="829" spans="2:5" ht="16.5" customHeight="1">
      <c r="B829" s="17"/>
      <c r="D829" s="17"/>
      <c r="E829" s="17"/>
    </row>
    <row r="830" spans="2:5" ht="16.5" customHeight="1">
      <c r="B830" s="17"/>
      <c r="D830" s="17"/>
      <c r="E830" s="17"/>
    </row>
    <row r="831" spans="2:5" ht="16.5" customHeight="1">
      <c r="B831" s="17"/>
      <c r="D831" s="17"/>
      <c r="E831" s="17"/>
    </row>
    <row r="832" spans="2:5" ht="16.5" customHeight="1">
      <c r="B832" s="17"/>
      <c r="D832" s="17"/>
      <c r="E832" s="17"/>
    </row>
    <row r="833" spans="2:5" ht="16.5" customHeight="1">
      <c r="B833" s="17"/>
      <c r="D833" s="17"/>
      <c r="E833" s="17"/>
    </row>
    <row r="834" spans="2:5" ht="16.5" customHeight="1">
      <c r="B834" s="17"/>
      <c r="D834" s="17"/>
      <c r="E834" s="17"/>
    </row>
    <row r="835" spans="2:5" ht="16.5" customHeight="1">
      <c r="B835" s="17"/>
      <c r="D835" s="17"/>
      <c r="E835" s="17"/>
    </row>
    <row r="836" spans="2:5" ht="16.5" customHeight="1">
      <c r="B836" s="17"/>
      <c r="D836" s="17"/>
      <c r="E836" s="17"/>
    </row>
    <row r="837" spans="2:5" ht="16.5" customHeight="1">
      <c r="B837" s="17"/>
      <c r="D837" s="17"/>
      <c r="E837" s="17"/>
    </row>
    <row r="838" spans="2:5" ht="16.5" customHeight="1">
      <c r="B838" s="17"/>
      <c r="D838" s="17"/>
      <c r="E838" s="17"/>
    </row>
    <row r="839" spans="2:5" ht="16.5" customHeight="1">
      <c r="B839" s="17"/>
      <c r="D839" s="17"/>
      <c r="E839" s="17"/>
    </row>
    <row r="840" spans="2:5" ht="16.5" customHeight="1">
      <c r="B840" s="17"/>
      <c r="D840" s="17"/>
      <c r="E840" s="17"/>
    </row>
    <row r="841" spans="2:5" ht="16.5" customHeight="1">
      <c r="B841" s="17"/>
      <c r="D841" s="17"/>
      <c r="E841" s="17"/>
    </row>
    <row r="842" spans="2:5" ht="16.5" customHeight="1">
      <c r="B842" s="17"/>
      <c r="D842" s="17"/>
      <c r="E842" s="17"/>
    </row>
    <row r="843" spans="2:5" ht="16.5" customHeight="1">
      <c r="B843" s="17"/>
      <c r="D843" s="17"/>
      <c r="E843" s="17"/>
    </row>
    <row r="844" spans="2:5" ht="16.5" customHeight="1">
      <c r="B844" s="17"/>
      <c r="D844" s="17"/>
      <c r="E844" s="17"/>
    </row>
    <row r="845" spans="2:5" ht="16.5" customHeight="1">
      <c r="B845" s="17"/>
      <c r="D845" s="17"/>
      <c r="E845" s="17"/>
    </row>
    <row r="846" spans="2:5" ht="16.5" customHeight="1">
      <c r="B846" s="17"/>
      <c r="D846" s="17"/>
      <c r="E846" s="17"/>
    </row>
    <row r="847" spans="2:5" ht="16.5" customHeight="1">
      <c r="B847" s="17"/>
      <c r="D847" s="17"/>
      <c r="E847" s="17"/>
    </row>
    <row r="848" spans="2:5" ht="16.5" customHeight="1">
      <c r="B848" s="17"/>
      <c r="D848" s="17"/>
      <c r="E848" s="17"/>
    </row>
    <row r="849" spans="2:5" ht="16.5" customHeight="1">
      <c r="B849" s="17"/>
      <c r="D849" s="17"/>
      <c r="E849" s="17"/>
    </row>
    <row r="850" spans="2:5" ht="16.5" customHeight="1">
      <c r="B850" s="17"/>
      <c r="D850" s="17"/>
      <c r="E850" s="17"/>
    </row>
    <row r="851" spans="2:5" ht="16.5" customHeight="1">
      <c r="B851" s="17"/>
      <c r="D851" s="17"/>
      <c r="E851" s="17"/>
    </row>
    <row r="852" spans="2:5" ht="16.5" customHeight="1">
      <c r="B852" s="17"/>
      <c r="D852" s="17"/>
      <c r="E852" s="17"/>
    </row>
    <row r="853" spans="2:5" ht="16.5" customHeight="1">
      <c r="B853" s="17"/>
      <c r="D853" s="17"/>
      <c r="E853" s="17"/>
    </row>
    <row r="854" spans="2:5" ht="16.5" customHeight="1">
      <c r="B854" s="17"/>
      <c r="D854" s="17"/>
      <c r="E854" s="17"/>
    </row>
    <row r="855" spans="2:5" ht="16.5" customHeight="1">
      <c r="B855" s="17"/>
      <c r="D855" s="17"/>
      <c r="E855" s="17"/>
    </row>
    <row r="856" spans="2:5" ht="16.5" customHeight="1">
      <c r="B856" s="17"/>
      <c r="D856" s="17"/>
      <c r="E856" s="17"/>
    </row>
    <row r="857" spans="2:5" ht="16.5" customHeight="1">
      <c r="B857" s="17"/>
      <c r="D857" s="17"/>
      <c r="E857" s="17"/>
    </row>
    <row r="858" spans="2:5" ht="16.5" customHeight="1">
      <c r="B858" s="17"/>
      <c r="D858" s="17"/>
      <c r="E858" s="17"/>
    </row>
    <row r="859" spans="2:5" ht="16.5" customHeight="1">
      <c r="B859" s="17"/>
      <c r="D859" s="17"/>
      <c r="E859" s="17"/>
    </row>
    <row r="860" spans="2:5" ht="16.5" customHeight="1">
      <c r="B860" s="17"/>
      <c r="D860" s="17"/>
      <c r="E860" s="17"/>
    </row>
    <row r="861" spans="2:5" ht="16.5" customHeight="1">
      <c r="B861" s="17"/>
      <c r="D861" s="17"/>
      <c r="E861" s="17"/>
    </row>
    <row r="862" spans="2:5" ht="16.5" customHeight="1">
      <c r="B862" s="17"/>
      <c r="D862" s="17"/>
      <c r="E862" s="17"/>
    </row>
    <row r="863" spans="2:5" ht="16.5" customHeight="1">
      <c r="B863" s="17"/>
      <c r="D863" s="17"/>
      <c r="E863" s="17"/>
    </row>
    <row r="864" spans="2:5" ht="16.5" customHeight="1">
      <c r="B864" s="17"/>
      <c r="D864" s="17"/>
      <c r="E864" s="17"/>
    </row>
    <row r="865" spans="2:5" ht="16.5" customHeight="1">
      <c r="B865" s="17"/>
      <c r="D865" s="17"/>
      <c r="E865" s="17"/>
    </row>
    <row r="866" spans="2:5" ht="16.5" customHeight="1">
      <c r="B866" s="17"/>
      <c r="D866" s="17"/>
      <c r="E866" s="17"/>
    </row>
    <row r="867" spans="2:5" ht="16.5" customHeight="1">
      <c r="B867" s="17"/>
      <c r="D867" s="17"/>
      <c r="E867" s="17"/>
    </row>
    <row r="868" spans="2:5" ht="16.5" customHeight="1">
      <c r="B868" s="17"/>
      <c r="D868" s="17"/>
      <c r="E868" s="17"/>
    </row>
    <row r="869" spans="2:5" ht="16.5" customHeight="1">
      <c r="B869" s="17"/>
      <c r="D869" s="17"/>
      <c r="E869" s="17"/>
    </row>
    <row r="870" spans="2:5" ht="16.5" customHeight="1">
      <c r="B870" s="17"/>
      <c r="D870" s="17"/>
      <c r="E870" s="17"/>
    </row>
    <row r="871" spans="2:5" ht="16.5" customHeight="1">
      <c r="B871" s="17"/>
      <c r="D871" s="17"/>
      <c r="E871" s="17"/>
    </row>
    <row r="872" spans="2:5" ht="16.5" customHeight="1">
      <c r="B872" s="17"/>
      <c r="D872" s="17"/>
      <c r="E872" s="17"/>
    </row>
    <row r="873" spans="2:5" ht="16.5" customHeight="1">
      <c r="B873" s="17"/>
      <c r="D873" s="17"/>
      <c r="E873" s="17"/>
    </row>
    <row r="874" spans="2:5" ht="16.5" customHeight="1">
      <c r="B874" s="17"/>
      <c r="D874" s="17"/>
      <c r="E874" s="17"/>
    </row>
    <row r="875" spans="2:5" ht="16.5" customHeight="1">
      <c r="B875" s="17"/>
      <c r="D875" s="17"/>
      <c r="E875" s="17"/>
    </row>
    <row r="876" spans="2:5" ht="16.5" customHeight="1">
      <c r="B876" s="17"/>
      <c r="D876" s="17"/>
      <c r="E876" s="17"/>
    </row>
    <row r="877" spans="2:5" ht="16.5" customHeight="1">
      <c r="B877" s="17"/>
      <c r="D877" s="17"/>
      <c r="E877" s="17"/>
    </row>
    <row r="878" spans="2:5" ht="16.5" customHeight="1">
      <c r="B878" s="17"/>
      <c r="D878" s="17"/>
      <c r="E878" s="17"/>
    </row>
    <row r="879" spans="2:5" ht="16.5" customHeight="1">
      <c r="B879" s="17"/>
      <c r="D879" s="17"/>
      <c r="E879" s="17"/>
    </row>
    <row r="880" spans="2:5" ht="16.5" customHeight="1">
      <c r="B880" s="17"/>
      <c r="D880" s="17"/>
      <c r="E880" s="17"/>
    </row>
    <row r="881" spans="2:5" ht="16.5" customHeight="1">
      <c r="B881" s="17"/>
      <c r="D881" s="17"/>
      <c r="E881" s="17"/>
    </row>
    <row r="882" spans="2:5" ht="16.5" customHeight="1">
      <c r="B882" s="17"/>
      <c r="D882" s="17"/>
      <c r="E882" s="17"/>
    </row>
    <row r="883" spans="2:5" ht="16.5" customHeight="1">
      <c r="B883" s="17"/>
      <c r="D883" s="17"/>
      <c r="E883" s="17"/>
    </row>
    <row r="884" spans="2:5" ht="16.5" customHeight="1">
      <c r="B884" s="17"/>
      <c r="D884" s="17"/>
      <c r="E884" s="17"/>
    </row>
    <row r="885" spans="2:5" ht="16.5" customHeight="1">
      <c r="B885" s="17"/>
      <c r="D885" s="17"/>
      <c r="E885" s="17"/>
    </row>
    <row r="886" spans="2:5" ht="16.5" customHeight="1">
      <c r="B886" s="17"/>
      <c r="D886" s="17"/>
      <c r="E886" s="17"/>
    </row>
    <row r="887" spans="2:5" ht="16.5" customHeight="1">
      <c r="B887" s="17"/>
      <c r="D887" s="17"/>
      <c r="E887" s="17"/>
    </row>
    <row r="888" spans="2:5" ht="16.5" customHeight="1">
      <c r="B888" s="17"/>
      <c r="D888" s="17"/>
      <c r="E888" s="17"/>
    </row>
    <row r="889" spans="2:5" ht="16.5" customHeight="1">
      <c r="B889" s="17"/>
      <c r="D889" s="17"/>
      <c r="E889" s="17"/>
    </row>
    <row r="890" spans="2:5" ht="16.5" customHeight="1">
      <c r="B890" s="17"/>
      <c r="D890" s="17"/>
      <c r="E890" s="17"/>
    </row>
    <row r="891" spans="2:5" ht="16.5" customHeight="1">
      <c r="B891" s="17"/>
      <c r="D891" s="17"/>
      <c r="E891" s="17"/>
    </row>
    <row r="892" spans="2:5" ht="16.5" customHeight="1">
      <c r="B892" s="17"/>
      <c r="D892" s="17"/>
      <c r="E892" s="17"/>
    </row>
    <row r="893" spans="2:5" ht="16.5" customHeight="1">
      <c r="B893" s="17"/>
      <c r="D893" s="17"/>
      <c r="E893" s="17"/>
    </row>
    <row r="894" spans="2:5" ht="16.5" customHeight="1">
      <c r="B894" s="17"/>
      <c r="D894" s="17"/>
      <c r="E894" s="17"/>
    </row>
    <row r="895" spans="2:5" ht="16.5" customHeight="1">
      <c r="B895" s="17"/>
      <c r="D895" s="17"/>
      <c r="E895" s="17"/>
    </row>
    <row r="896" spans="2:5" ht="16.5" customHeight="1">
      <c r="B896" s="17"/>
      <c r="D896" s="17"/>
      <c r="E896" s="17"/>
    </row>
    <row r="897" spans="2:5" ht="16.5" customHeight="1">
      <c r="B897" s="17"/>
      <c r="D897" s="17"/>
      <c r="E897" s="17"/>
    </row>
    <row r="898" spans="2:5" ht="16.5" customHeight="1">
      <c r="B898" s="17"/>
      <c r="D898" s="17"/>
      <c r="E898" s="17"/>
    </row>
    <row r="899" spans="2:5" ht="16.5" customHeight="1">
      <c r="B899" s="17"/>
      <c r="D899" s="17"/>
      <c r="E899" s="17"/>
    </row>
    <row r="900" spans="2:5" ht="16.5" customHeight="1">
      <c r="B900" s="17"/>
      <c r="D900" s="17"/>
      <c r="E900" s="17"/>
    </row>
    <row r="901" spans="2:5" ht="16.5" customHeight="1">
      <c r="B901" s="17"/>
      <c r="D901" s="17"/>
      <c r="E901" s="17"/>
    </row>
    <row r="902" spans="2:5" ht="16.5" customHeight="1">
      <c r="B902" s="17"/>
      <c r="D902" s="17"/>
      <c r="E902" s="17"/>
    </row>
    <row r="903" spans="2:5" ht="16.5" customHeight="1">
      <c r="B903" s="17"/>
      <c r="D903" s="17"/>
      <c r="E903" s="17"/>
    </row>
    <row r="904" spans="2:5" ht="16.5" customHeight="1">
      <c r="B904" s="17"/>
      <c r="D904" s="17"/>
      <c r="E904" s="17"/>
    </row>
    <row r="905" spans="2:5" ht="16.5" customHeight="1">
      <c r="B905" s="17"/>
      <c r="D905" s="17"/>
      <c r="E905" s="17"/>
    </row>
    <row r="906" spans="2:5" ht="16.5" customHeight="1">
      <c r="B906" s="17"/>
      <c r="D906" s="17"/>
      <c r="E906" s="17"/>
    </row>
    <row r="907" spans="2:5" ht="16.5" customHeight="1">
      <c r="B907" s="17"/>
      <c r="D907" s="17"/>
      <c r="E907" s="17"/>
    </row>
    <row r="908" spans="2:5" ht="16.5" customHeight="1">
      <c r="B908" s="17"/>
      <c r="D908" s="17"/>
      <c r="E908" s="17"/>
    </row>
    <row r="909" spans="2:5" ht="16.5" customHeight="1">
      <c r="B909" s="17"/>
      <c r="D909" s="17"/>
      <c r="E909" s="17"/>
    </row>
    <row r="910" spans="2:5" ht="16.5" customHeight="1">
      <c r="B910" s="17"/>
      <c r="D910" s="17"/>
      <c r="E910" s="17"/>
    </row>
    <row r="911" spans="2:5" ht="16.5" customHeight="1">
      <c r="B911" s="17"/>
      <c r="D911" s="17"/>
      <c r="E911" s="17"/>
    </row>
    <row r="912" spans="2:5" ht="16.5" customHeight="1">
      <c r="B912" s="17"/>
      <c r="D912" s="17"/>
      <c r="E912" s="17"/>
    </row>
    <row r="913" spans="2:5" ht="16.5" customHeight="1">
      <c r="B913" s="17"/>
      <c r="D913" s="17"/>
      <c r="E913" s="17"/>
    </row>
    <row r="914" spans="2:5" ht="16.5" customHeight="1">
      <c r="B914" s="17"/>
      <c r="D914" s="17"/>
      <c r="E914" s="17"/>
    </row>
    <row r="915" spans="2:5" ht="16.5" customHeight="1">
      <c r="B915" s="17"/>
      <c r="D915" s="17"/>
      <c r="E915" s="17"/>
    </row>
    <row r="916" spans="2:5" ht="16.5" customHeight="1">
      <c r="B916" s="17"/>
      <c r="D916" s="17"/>
      <c r="E916" s="17"/>
    </row>
    <row r="917" spans="2:5" ht="16.5" customHeight="1">
      <c r="B917" s="17"/>
      <c r="D917" s="17"/>
      <c r="E917" s="17"/>
    </row>
    <row r="918" spans="2:5" ht="16.5" customHeight="1">
      <c r="B918" s="17"/>
      <c r="D918" s="17"/>
      <c r="E918" s="17"/>
    </row>
    <row r="919" spans="2:5" ht="16.5" customHeight="1">
      <c r="B919" s="17"/>
      <c r="D919" s="17"/>
      <c r="E919" s="17"/>
    </row>
    <row r="920" spans="2:5" ht="16.5" customHeight="1">
      <c r="B920" s="17"/>
      <c r="D920" s="17"/>
      <c r="E920" s="17"/>
    </row>
    <row r="921" spans="2:5" ht="16.5" customHeight="1">
      <c r="B921" s="17"/>
      <c r="D921" s="17"/>
      <c r="E921" s="17"/>
    </row>
    <row r="922" spans="2:5" ht="16.5" customHeight="1">
      <c r="B922" s="17"/>
      <c r="D922" s="17"/>
      <c r="E922" s="17"/>
    </row>
    <row r="923" spans="2:5" ht="16.5" customHeight="1">
      <c r="B923" s="17"/>
      <c r="D923" s="17"/>
      <c r="E923" s="17"/>
    </row>
    <row r="924" spans="2:5" ht="16.5" customHeight="1">
      <c r="B924" s="17"/>
      <c r="D924" s="17"/>
      <c r="E924" s="17"/>
    </row>
    <row r="925" spans="2:5" ht="16.5" customHeight="1">
      <c r="B925" s="17"/>
      <c r="D925" s="17"/>
      <c r="E925" s="17"/>
    </row>
    <row r="926" spans="2:5" ht="16.5" customHeight="1">
      <c r="B926" s="17"/>
      <c r="D926" s="17"/>
      <c r="E926" s="17"/>
    </row>
    <row r="927" spans="2:5" ht="16.5" customHeight="1">
      <c r="B927" s="17"/>
      <c r="D927" s="17"/>
      <c r="E927" s="17"/>
    </row>
    <row r="928" spans="2:5" ht="16.5" customHeight="1">
      <c r="B928" s="17"/>
      <c r="D928" s="17"/>
      <c r="E928" s="17"/>
    </row>
    <row r="929" spans="2:5" ht="16.5" customHeight="1">
      <c r="B929" s="17"/>
      <c r="D929" s="17"/>
      <c r="E929" s="17"/>
    </row>
    <row r="930" spans="2:5" ht="16.5" customHeight="1">
      <c r="B930" s="17"/>
      <c r="D930" s="17"/>
      <c r="E930" s="17"/>
    </row>
    <row r="931" spans="2:5" ht="16.5" customHeight="1">
      <c r="B931" s="17"/>
      <c r="D931" s="17"/>
      <c r="E931" s="17"/>
    </row>
    <row r="932" spans="2:5" ht="16.5" customHeight="1">
      <c r="B932" s="17"/>
      <c r="D932" s="17"/>
      <c r="E932" s="17"/>
    </row>
    <row r="933" spans="2:5" ht="16.5" customHeight="1">
      <c r="B933" s="17"/>
      <c r="D933" s="17"/>
      <c r="E933" s="17"/>
    </row>
    <row r="934" spans="2:5" ht="16.5" customHeight="1">
      <c r="B934" s="17"/>
      <c r="D934" s="17"/>
      <c r="E934" s="17"/>
    </row>
    <row r="935" spans="2:5" ht="16.5" customHeight="1">
      <c r="B935" s="17"/>
      <c r="D935" s="17"/>
      <c r="E935" s="17"/>
    </row>
    <row r="936" spans="2:5" ht="16.5" customHeight="1">
      <c r="B936" s="17"/>
      <c r="D936" s="17"/>
      <c r="E936" s="17"/>
    </row>
    <row r="937" spans="2:5" ht="16.5" customHeight="1">
      <c r="B937" s="17"/>
      <c r="D937" s="17"/>
      <c r="E937" s="17"/>
    </row>
    <row r="938" spans="2:5" ht="16.5" customHeight="1">
      <c r="B938" s="17"/>
      <c r="D938" s="17"/>
      <c r="E938" s="17"/>
    </row>
    <row r="939" spans="2:5" ht="16.5" customHeight="1">
      <c r="B939" s="17"/>
      <c r="D939" s="17"/>
      <c r="E939" s="17"/>
    </row>
    <row r="940" spans="2:5" ht="16.5" customHeight="1">
      <c r="B940" s="17"/>
      <c r="D940" s="17"/>
      <c r="E940" s="17"/>
    </row>
    <row r="941" spans="2:5" ht="16.5" customHeight="1">
      <c r="B941" s="17"/>
      <c r="D941" s="17"/>
      <c r="E941" s="17"/>
    </row>
    <row r="942" spans="2:5" ht="16.5" customHeight="1">
      <c r="B942" s="17"/>
      <c r="D942" s="17"/>
      <c r="E942" s="17"/>
    </row>
    <row r="943" spans="2:5" ht="16.5" customHeight="1">
      <c r="B943" s="17"/>
      <c r="D943" s="17"/>
      <c r="E943" s="17"/>
    </row>
    <row r="944" spans="2:5" ht="16.5" customHeight="1">
      <c r="B944" s="17"/>
      <c r="D944" s="17"/>
      <c r="E944" s="17"/>
    </row>
    <row r="945" spans="2:5" ht="16.5" customHeight="1">
      <c r="B945" s="17"/>
      <c r="D945" s="17"/>
      <c r="E945" s="17"/>
    </row>
    <row r="946" spans="2:5" ht="16.5" customHeight="1">
      <c r="B946" s="17"/>
      <c r="D946" s="17"/>
      <c r="E946" s="17"/>
    </row>
    <row r="947" spans="2:5" ht="16.5" customHeight="1">
      <c r="B947" s="17"/>
      <c r="D947" s="17"/>
      <c r="E947" s="17"/>
    </row>
    <row r="948" spans="2:5" ht="16.5" customHeight="1">
      <c r="B948" s="17"/>
      <c r="D948" s="17"/>
      <c r="E948" s="17"/>
    </row>
    <row r="949" spans="2:5" ht="16.5" customHeight="1">
      <c r="B949" s="17"/>
      <c r="D949" s="17"/>
      <c r="E949" s="17"/>
    </row>
    <row r="950" spans="2:5" ht="16.5" customHeight="1">
      <c r="B950" s="17"/>
      <c r="D950" s="17"/>
      <c r="E950" s="17"/>
    </row>
    <row r="951" spans="2:5" ht="16.5" customHeight="1">
      <c r="B951" s="17"/>
      <c r="D951" s="17"/>
      <c r="E951" s="17"/>
    </row>
    <row r="952" spans="2:5" ht="16.5" customHeight="1">
      <c r="B952" s="17"/>
      <c r="D952" s="17"/>
      <c r="E952" s="17"/>
    </row>
    <row r="953" spans="2:5" ht="16.5" customHeight="1">
      <c r="B953" s="17"/>
      <c r="D953" s="17"/>
      <c r="E953" s="17"/>
    </row>
    <row r="954" spans="2:5" ht="16.5" customHeight="1">
      <c r="B954" s="17"/>
      <c r="D954" s="17"/>
      <c r="E954" s="17"/>
    </row>
    <row r="955" spans="2:5" ht="16.5" customHeight="1">
      <c r="B955" s="17"/>
      <c r="D955" s="17"/>
      <c r="E955" s="17"/>
    </row>
    <row r="956" spans="2:5" ht="16.5" customHeight="1">
      <c r="B956" s="17"/>
      <c r="D956" s="17"/>
      <c r="E956" s="17"/>
    </row>
    <row r="957" spans="2:5" ht="16.5" customHeight="1">
      <c r="B957" s="17"/>
      <c r="D957" s="17"/>
      <c r="E957" s="17"/>
    </row>
    <row r="958" spans="2:5" ht="16.5" customHeight="1">
      <c r="B958" s="17"/>
      <c r="D958" s="17"/>
      <c r="E958" s="17"/>
    </row>
    <row r="959" spans="2:5" ht="16.5" customHeight="1">
      <c r="B959" s="17"/>
      <c r="D959" s="17"/>
      <c r="E959" s="17"/>
    </row>
    <row r="960" spans="2:5" ht="16.5" customHeight="1">
      <c r="B960" s="17"/>
      <c r="D960" s="17"/>
      <c r="E960" s="17"/>
    </row>
    <row r="961" spans="2:5" ht="16.5" customHeight="1">
      <c r="B961" s="17"/>
      <c r="D961" s="17"/>
      <c r="E961" s="17"/>
    </row>
    <row r="962" spans="2:5" ht="16.5" customHeight="1">
      <c r="B962" s="17"/>
      <c r="D962" s="17"/>
      <c r="E962" s="17"/>
    </row>
    <row r="963" spans="2:5" ht="16.5" customHeight="1">
      <c r="B963" s="17"/>
      <c r="D963" s="17"/>
      <c r="E963" s="17"/>
    </row>
    <row r="964" spans="2:5" ht="16.5" customHeight="1">
      <c r="B964" s="17"/>
      <c r="D964" s="17"/>
      <c r="E964" s="17"/>
    </row>
    <row r="965" spans="2:5" ht="16.5" customHeight="1">
      <c r="B965" s="17"/>
      <c r="D965" s="17"/>
      <c r="E965" s="17"/>
    </row>
    <row r="966" spans="2:5" ht="16.5" customHeight="1">
      <c r="B966" s="17"/>
      <c r="D966" s="17"/>
      <c r="E966" s="17"/>
    </row>
    <row r="967" spans="2:5" ht="16.5" customHeight="1">
      <c r="B967" s="17"/>
      <c r="D967" s="17"/>
      <c r="E967" s="17"/>
    </row>
    <row r="968" spans="2:5" ht="16.5" customHeight="1">
      <c r="B968" s="17"/>
      <c r="D968" s="17"/>
      <c r="E968" s="17"/>
    </row>
    <row r="969" spans="2:5" ht="16.5" customHeight="1">
      <c r="B969" s="17"/>
      <c r="D969" s="17"/>
      <c r="E969" s="17"/>
    </row>
    <row r="970" spans="2:5" ht="16.5" customHeight="1">
      <c r="B970" s="17"/>
      <c r="D970" s="17"/>
      <c r="E970" s="17"/>
    </row>
    <row r="971" spans="2:5" ht="16.5" customHeight="1">
      <c r="B971" s="17"/>
      <c r="D971" s="17"/>
      <c r="E971" s="17"/>
    </row>
    <row r="972" spans="2:5" ht="16.5" customHeight="1">
      <c r="B972" s="17"/>
      <c r="D972" s="17"/>
      <c r="E972" s="17"/>
    </row>
    <row r="973" spans="2:5" ht="16.5" customHeight="1">
      <c r="B973" s="17"/>
      <c r="D973" s="17"/>
      <c r="E973" s="17"/>
    </row>
    <row r="974" spans="2:5" ht="16.5" customHeight="1">
      <c r="B974" s="17"/>
      <c r="D974" s="17"/>
      <c r="E974" s="17"/>
    </row>
    <row r="975" spans="2:5" ht="16.5" customHeight="1">
      <c r="B975" s="17"/>
      <c r="D975" s="17"/>
      <c r="E975" s="17"/>
    </row>
    <row r="976" spans="2:5" ht="16.5" customHeight="1">
      <c r="B976" s="17"/>
      <c r="D976" s="17"/>
      <c r="E976" s="17"/>
    </row>
    <row r="977" spans="2:5" ht="16.5" customHeight="1">
      <c r="B977" s="17"/>
      <c r="D977" s="17"/>
      <c r="E977" s="17"/>
    </row>
    <row r="978" spans="2:5" ht="16.5" customHeight="1">
      <c r="B978" s="17"/>
      <c r="D978" s="17"/>
      <c r="E978" s="17"/>
    </row>
    <row r="979" spans="2:5" ht="16.5" customHeight="1">
      <c r="B979" s="17"/>
      <c r="D979" s="17"/>
      <c r="E979" s="17"/>
    </row>
    <row r="980" spans="2:5" ht="16.5" customHeight="1">
      <c r="B980" s="17"/>
      <c r="D980" s="17"/>
      <c r="E980" s="17"/>
    </row>
    <row r="981" spans="2:5" ht="16.5" customHeight="1">
      <c r="B981" s="17"/>
      <c r="D981" s="17"/>
      <c r="E981" s="17"/>
    </row>
    <row r="982" spans="2:5" ht="16.5" customHeight="1">
      <c r="B982" s="17"/>
      <c r="D982" s="17"/>
      <c r="E982" s="17"/>
    </row>
    <row r="983" spans="2:5" ht="16.5" customHeight="1">
      <c r="B983" s="17"/>
      <c r="D983" s="17"/>
      <c r="E983" s="17"/>
    </row>
    <row r="984" spans="2:5" ht="16.5" customHeight="1">
      <c r="B984" s="17"/>
      <c r="D984" s="17"/>
      <c r="E984" s="17"/>
    </row>
    <row r="985" spans="2:5" ht="16.5" customHeight="1">
      <c r="B985" s="17"/>
      <c r="D985" s="17"/>
      <c r="E985" s="17"/>
    </row>
    <row r="986" spans="2:5" ht="16.5" customHeight="1">
      <c r="B986" s="17"/>
      <c r="D986" s="17"/>
      <c r="E986" s="17"/>
    </row>
    <row r="987" spans="2:5" ht="16.5" customHeight="1">
      <c r="B987" s="17"/>
      <c r="D987" s="17"/>
      <c r="E987" s="17"/>
    </row>
    <row r="988" spans="2:5" ht="16.5" customHeight="1">
      <c r="B988" s="17"/>
      <c r="D988" s="17"/>
      <c r="E988" s="17"/>
    </row>
    <row r="989" spans="2:5" ht="16.5" customHeight="1">
      <c r="B989" s="17"/>
      <c r="D989" s="17"/>
      <c r="E989" s="17"/>
    </row>
    <row r="990" spans="2:5" ht="16.5" customHeight="1">
      <c r="B990" s="17"/>
      <c r="D990" s="17"/>
      <c r="E990" s="17"/>
    </row>
    <row r="991" spans="2:5" ht="16.5" customHeight="1">
      <c r="B991" s="17"/>
      <c r="D991" s="17"/>
      <c r="E991" s="17"/>
    </row>
    <row r="992" spans="2:5" ht="16.5" customHeight="1">
      <c r="B992" s="17"/>
      <c r="D992" s="17"/>
      <c r="E992" s="17"/>
    </row>
    <row r="993" spans="2:5" ht="16.5" customHeight="1">
      <c r="B993" s="17"/>
      <c r="D993" s="17"/>
      <c r="E993" s="17"/>
    </row>
    <row r="994" spans="2:5" ht="16.5" customHeight="1">
      <c r="B994" s="17"/>
      <c r="D994" s="17"/>
      <c r="E994" s="17"/>
    </row>
    <row r="995" spans="2:5" ht="16.5" customHeight="1">
      <c r="B995" s="17"/>
      <c r="D995" s="17"/>
      <c r="E995" s="17"/>
    </row>
    <row r="996" spans="2:5" ht="16.5" customHeight="1">
      <c r="B996" s="17"/>
      <c r="D996" s="17"/>
      <c r="E996" s="17"/>
    </row>
    <row r="997" spans="2:5" ht="16.5" customHeight="1">
      <c r="B997" s="17"/>
      <c r="D997" s="17"/>
      <c r="E997" s="17"/>
    </row>
    <row r="998" spans="2:5" ht="16.5" customHeight="1">
      <c r="B998" s="17"/>
      <c r="D998" s="17"/>
      <c r="E998" s="17"/>
    </row>
    <row r="999" spans="2:5" ht="16.5" customHeight="1">
      <c r="B999" s="17"/>
      <c r="D999" s="17"/>
      <c r="E999" s="17"/>
    </row>
    <row r="1000" spans="2:5" ht="16.5" customHeight="1">
      <c r="B1000" s="17"/>
      <c r="D1000" s="17"/>
      <c r="E1000" s="17"/>
    </row>
  </sheetData>
  <mergeCells count="24">
    <mergeCell ref="A1:H1"/>
    <mergeCell ref="A2:B3"/>
    <mergeCell ref="C2:C3"/>
    <mergeCell ref="E2:E3"/>
    <mergeCell ref="F2:H2"/>
    <mergeCell ref="A4:A5"/>
    <mergeCell ref="A6:B6"/>
    <mergeCell ref="A8:B8"/>
    <mergeCell ref="A9:A10"/>
    <mergeCell ref="A12:A23"/>
    <mergeCell ref="G31:G37"/>
    <mergeCell ref="F34:F37"/>
    <mergeCell ref="A30:B30"/>
    <mergeCell ref="A32:A33"/>
    <mergeCell ref="B32:B33"/>
    <mergeCell ref="C32:C33"/>
    <mergeCell ref="D32:D33"/>
    <mergeCell ref="E32:E33"/>
    <mergeCell ref="A34:A37"/>
    <mergeCell ref="A38:B38"/>
    <mergeCell ref="A24:B24"/>
    <mergeCell ref="A25:B25"/>
    <mergeCell ref="A26:B26"/>
    <mergeCell ref="A27:B27"/>
  </mergeCells>
  <phoneticPr fontId="27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30"/>
  <sheetViews>
    <sheetView workbookViewId="0">
      <pane ySplit="3" topLeftCell="A76" activePane="bottomLeft" state="frozen"/>
      <selection pane="bottomLeft" activeCell="C27" sqref="C27:E31"/>
    </sheetView>
  </sheetViews>
  <sheetFormatPr defaultColWidth="12.5703125" defaultRowHeight="15" customHeight="1"/>
  <cols>
    <col min="1" max="1" width="36.140625" customWidth="1"/>
    <col min="2" max="2" width="17.28515625" customWidth="1"/>
    <col min="3" max="3" width="85.5703125" bestFit="1" customWidth="1"/>
    <col min="4" max="4" width="23" bestFit="1" customWidth="1"/>
    <col min="5" max="5" width="13.140625" bestFit="1" customWidth="1"/>
    <col min="6" max="6" width="14" bestFit="1" customWidth="1"/>
    <col min="7" max="7" width="12.28515625" customWidth="1"/>
    <col min="8" max="8" width="23" bestFit="1" customWidth="1"/>
    <col min="9" max="9" width="12.85546875" bestFit="1" customWidth="1"/>
    <col min="10" max="10" width="14.42578125" customWidth="1"/>
    <col min="11" max="11" width="8.28515625" customWidth="1"/>
    <col min="12" max="14" width="7.5703125" customWidth="1"/>
    <col min="15" max="15" width="14.42578125" customWidth="1"/>
    <col min="16" max="16" width="15.28515625" bestFit="1" customWidth="1"/>
    <col min="17" max="17" width="9.5703125" customWidth="1"/>
    <col min="18" max="18" width="15.28515625" bestFit="1" customWidth="1"/>
    <col min="19" max="19" width="9.5703125" customWidth="1"/>
    <col min="20" max="20" width="17.28515625" bestFit="1" customWidth="1"/>
    <col min="21" max="21" width="8.28515625" bestFit="1" customWidth="1"/>
    <col min="22" max="22" width="15.28515625" bestFit="1" customWidth="1"/>
    <col min="23" max="23" width="9.5703125" bestFit="1" customWidth="1"/>
    <col min="24" max="24" width="12.28515625" bestFit="1" customWidth="1"/>
    <col min="25" max="25" width="7" bestFit="1" customWidth="1"/>
    <col min="26" max="26" width="14.85546875" bestFit="1" customWidth="1"/>
    <col min="27" max="27" width="8.28515625" bestFit="1" customWidth="1"/>
    <col min="28" max="28" width="7.5703125" customWidth="1"/>
    <col min="30" max="33" width="14.5703125" bestFit="1" customWidth="1"/>
    <col min="34" max="34" width="16" bestFit="1" customWidth="1"/>
    <col min="35" max="35" width="14.5703125" bestFit="1" customWidth="1"/>
    <col min="36" max="37" width="16" bestFit="1" customWidth="1"/>
    <col min="38" max="39" width="14.5703125" bestFit="1" customWidth="1"/>
    <col min="40" max="41" width="16" bestFit="1" customWidth="1"/>
    <col min="42" max="42" width="28.7109375" bestFit="1" customWidth="1"/>
    <col min="43" max="43" width="18.140625" bestFit="1" customWidth="1"/>
  </cols>
  <sheetData>
    <row r="1" spans="1:43" ht="16.5" customHeight="1">
      <c r="A1" s="711" t="s">
        <v>407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O1" s="60" t="s">
        <v>220</v>
      </c>
      <c r="P1" s="61"/>
      <c r="Q1" s="62"/>
      <c r="R1" s="61"/>
      <c r="S1" s="62"/>
      <c r="T1" s="61"/>
      <c r="U1" s="62"/>
      <c r="V1" s="61"/>
      <c r="W1" s="62"/>
      <c r="X1" s="61"/>
      <c r="Y1" s="62"/>
      <c r="Z1" s="61"/>
      <c r="AA1" s="62"/>
      <c r="AC1" s="63" t="s">
        <v>221</v>
      </c>
      <c r="AD1" s="64" t="s">
        <v>222</v>
      </c>
      <c r="AE1" s="64" t="s">
        <v>223</v>
      </c>
      <c r="AF1" s="64" t="s">
        <v>224</v>
      </c>
      <c r="AG1" s="64" t="s">
        <v>225</v>
      </c>
      <c r="AH1" s="64" t="s">
        <v>226</v>
      </c>
      <c r="AI1" s="64" t="s">
        <v>227</v>
      </c>
      <c r="AJ1" s="64" t="s">
        <v>228</v>
      </c>
      <c r="AK1" s="64" t="s">
        <v>229</v>
      </c>
      <c r="AL1" s="64" t="s">
        <v>230</v>
      </c>
      <c r="AM1" s="64" t="s">
        <v>231</v>
      </c>
      <c r="AN1" s="64" t="s">
        <v>232</v>
      </c>
      <c r="AO1" s="64" t="s">
        <v>233</v>
      </c>
      <c r="AP1" s="64" t="s">
        <v>234</v>
      </c>
      <c r="AQ1" s="64" t="s">
        <v>235</v>
      </c>
    </row>
    <row r="2" spans="1:43" ht="32.25" customHeight="1">
      <c r="A2" s="65">
        <f>예산!C3</f>
        <v>2956400000</v>
      </c>
      <c r="B2" s="44"/>
      <c r="C2" s="66"/>
      <c r="D2" s="44"/>
      <c r="E2" s="61"/>
      <c r="F2" s="44"/>
      <c r="G2" s="44"/>
      <c r="H2" s="61"/>
      <c r="I2" s="67"/>
      <c r="J2" s="68" t="s">
        <v>236</v>
      </c>
      <c r="K2" s="62"/>
      <c r="O2" s="69" t="s">
        <v>237</v>
      </c>
      <c r="P2" s="647" t="s">
        <v>7</v>
      </c>
      <c r="Q2" s="595"/>
      <c r="R2" s="647" t="s">
        <v>238</v>
      </c>
      <c r="S2" s="595"/>
      <c r="T2" s="647" t="s">
        <v>31</v>
      </c>
      <c r="U2" s="595"/>
      <c r="V2" s="647" t="s">
        <v>71</v>
      </c>
      <c r="W2" s="595"/>
      <c r="X2" s="647" t="s">
        <v>83</v>
      </c>
      <c r="Y2" s="595"/>
      <c r="Z2" s="647" t="s">
        <v>239</v>
      </c>
      <c r="AA2" s="595"/>
      <c r="AD2" s="70">
        <f t="shared" ref="AD2:AO2" si="0">SUMIF($G6:$G178, AD1, $H6:$H178)</f>
        <v>0</v>
      </c>
      <c r="AE2" s="70">
        <f t="shared" si="0"/>
        <v>6810520</v>
      </c>
      <c r="AF2" s="70">
        <f t="shared" si="0"/>
        <v>209059160</v>
      </c>
      <c r="AG2" s="70">
        <f t="shared" si="0"/>
        <v>376785260</v>
      </c>
      <c r="AH2" s="70">
        <f t="shared" si="0"/>
        <v>270219411</v>
      </c>
      <c r="AI2" s="70">
        <f t="shared" si="0"/>
        <v>32954493</v>
      </c>
      <c r="AJ2" s="70">
        <f t="shared" si="0"/>
        <v>299427648</v>
      </c>
      <c r="AK2" s="70">
        <f t="shared" si="0"/>
        <v>58817390</v>
      </c>
      <c r="AL2" s="70">
        <f t="shared" si="0"/>
        <v>151093545</v>
      </c>
      <c r="AM2" s="70">
        <f t="shared" si="0"/>
        <v>0</v>
      </c>
      <c r="AN2" s="70">
        <f t="shared" si="0"/>
        <v>0</v>
      </c>
      <c r="AO2" s="70">
        <f t="shared" si="0"/>
        <v>0</v>
      </c>
      <c r="AP2" s="70">
        <f>SUM(AD2:AO2)</f>
        <v>1405167427</v>
      </c>
      <c r="AQ2" s="71">
        <f>$A$2-$AP$2</f>
        <v>1551232573</v>
      </c>
    </row>
    <row r="3" spans="1:43" ht="16.5" customHeight="1">
      <c r="A3" s="72" t="s">
        <v>240</v>
      </c>
      <c r="B3" s="73" t="s">
        <v>241</v>
      </c>
      <c r="C3" s="74" t="s">
        <v>0</v>
      </c>
      <c r="D3" s="662" t="s">
        <v>242</v>
      </c>
      <c r="E3" s="663"/>
      <c r="F3" s="664"/>
      <c r="G3" s="73" t="s">
        <v>243</v>
      </c>
      <c r="H3" s="75" t="s">
        <v>244</v>
      </c>
      <c r="I3" s="76" t="s">
        <v>245</v>
      </c>
      <c r="J3" s="77" t="s">
        <v>246</v>
      </c>
      <c r="K3" s="78" t="s">
        <v>247</v>
      </c>
      <c r="O3" s="79" t="s">
        <v>248</v>
      </c>
      <c r="P3" s="80">
        <f>H26</f>
        <v>128580500</v>
      </c>
      <c r="Q3" s="81">
        <f>K26</f>
        <v>0.5949196786833636</v>
      </c>
      <c r="R3" s="80">
        <f>H39</f>
        <v>186800000</v>
      </c>
      <c r="S3" s="81">
        <f>K39</f>
        <v>1.0435754189944133</v>
      </c>
      <c r="T3" s="80">
        <f>H56</f>
        <v>103213000</v>
      </c>
      <c r="U3" s="81">
        <f>K56</f>
        <v>8.947107186383968E-2</v>
      </c>
      <c r="V3" s="80">
        <f>H76</f>
        <v>67164759</v>
      </c>
      <c r="W3" s="81">
        <f>K76</f>
        <v>0.92959726944752774</v>
      </c>
      <c r="X3" s="80">
        <f>H153</f>
        <v>0</v>
      </c>
      <c r="Y3" s="81">
        <f>K153</f>
        <v>0</v>
      </c>
      <c r="Z3" s="82">
        <f>H154</f>
        <v>0</v>
      </c>
      <c r="AA3" s="83">
        <f>K154</f>
        <v>0</v>
      </c>
      <c r="AD3" s="84">
        <f t="shared" ref="AD3:AQ3" si="1">AD2/$A$2</f>
        <v>0</v>
      </c>
      <c r="AE3" s="84">
        <f t="shared" si="1"/>
        <v>2.3036530915978891E-3</v>
      </c>
      <c r="AF3" s="84">
        <f t="shared" si="1"/>
        <v>7.0714098227574074E-2</v>
      </c>
      <c r="AG3" s="84">
        <f t="shared" si="1"/>
        <v>0.12744732106616155</v>
      </c>
      <c r="AH3" s="84">
        <f t="shared" si="1"/>
        <v>9.1401505547287237E-2</v>
      </c>
      <c r="AI3" s="84">
        <f t="shared" si="1"/>
        <v>1.1146831619537275E-2</v>
      </c>
      <c r="AJ3" s="84">
        <f t="shared" si="1"/>
        <v>0.10128116898931132</v>
      </c>
      <c r="AK3" s="84">
        <f t="shared" si="1"/>
        <v>1.989493640914626E-2</v>
      </c>
      <c r="AL3" s="84">
        <f t="shared" si="1"/>
        <v>5.1107274049519688E-2</v>
      </c>
      <c r="AM3" s="84">
        <f t="shared" si="1"/>
        <v>0</v>
      </c>
      <c r="AN3" s="84">
        <f t="shared" si="1"/>
        <v>0</v>
      </c>
      <c r="AO3" s="84">
        <f t="shared" si="1"/>
        <v>0</v>
      </c>
      <c r="AP3" s="84">
        <f t="shared" si="1"/>
        <v>0.47529678900013528</v>
      </c>
      <c r="AQ3" s="84">
        <f t="shared" si="1"/>
        <v>0.52470321099986472</v>
      </c>
    </row>
    <row r="4" spans="1:43" ht="16.5" customHeight="1">
      <c r="A4" s="624" t="s">
        <v>7</v>
      </c>
      <c r="B4" s="712" t="s">
        <v>249</v>
      </c>
      <c r="C4" s="636">
        <f>예산!G15</f>
        <v>122770857</v>
      </c>
      <c r="D4" s="85" t="s">
        <v>15</v>
      </c>
      <c r="E4" s="660"/>
      <c r="F4" s="595"/>
      <c r="G4" s="228" t="s">
        <v>529</v>
      </c>
      <c r="H4" s="413">
        <v>15264848</v>
      </c>
      <c r="I4" s="414">
        <v>45981</v>
      </c>
      <c r="J4" s="85"/>
      <c r="K4" s="651"/>
      <c r="O4" s="60">
        <v>45788</v>
      </c>
      <c r="P4" s="61">
        <v>2781628</v>
      </c>
      <c r="Q4" s="62">
        <v>1.5020954171344377E-2</v>
      </c>
      <c r="R4" s="61">
        <v>14600000</v>
      </c>
      <c r="S4" s="62">
        <v>7.1921182266009853E-2</v>
      </c>
      <c r="T4" s="61">
        <v>0</v>
      </c>
      <c r="U4" s="62">
        <v>0</v>
      </c>
      <c r="V4" s="61">
        <v>0</v>
      </c>
      <c r="W4" s="62">
        <v>0</v>
      </c>
      <c r="X4" s="61">
        <v>5500000</v>
      </c>
      <c r="Y4" s="62">
        <v>4.4688636370576029E-3</v>
      </c>
      <c r="Z4" s="61">
        <v>22881628</v>
      </c>
      <c r="AA4" s="62">
        <v>7.7396928697064001E-3</v>
      </c>
    </row>
    <row r="5" spans="1:43" ht="16.5" customHeight="1">
      <c r="A5" s="579"/>
      <c r="B5" s="700"/>
      <c r="C5" s="637"/>
      <c r="D5" s="85" t="s">
        <v>19</v>
      </c>
      <c r="E5" s="660"/>
      <c r="F5" s="595"/>
      <c r="G5" s="228" t="s">
        <v>530</v>
      </c>
      <c r="H5" s="413">
        <v>15264848</v>
      </c>
      <c r="I5" s="414">
        <v>45948</v>
      </c>
      <c r="J5" s="85"/>
      <c r="K5" s="579"/>
      <c r="O5" s="60">
        <v>45804</v>
      </c>
      <c r="P5" s="61">
        <v>6186888</v>
      </c>
      <c r="Q5" s="62">
        <v>3.3409557680337008E-2</v>
      </c>
      <c r="R5" s="61">
        <v>29200000</v>
      </c>
      <c r="S5" s="62">
        <v>0.14384236453201971</v>
      </c>
      <c r="T5" s="61">
        <v>0</v>
      </c>
      <c r="U5" s="62">
        <v>0</v>
      </c>
      <c r="V5" s="61">
        <v>0</v>
      </c>
      <c r="W5" s="62">
        <v>0</v>
      </c>
      <c r="X5" s="61">
        <v>12540700</v>
      </c>
      <c r="Y5" s="62">
        <v>1.0181921250117498E-2</v>
      </c>
      <c r="Z5" s="61">
        <v>47927588</v>
      </c>
      <c r="AA5" s="62">
        <v>1.6212456447760992E-2</v>
      </c>
    </row>
    <row r="6" spans="1:43" ht="16.5" customHeight="1">
      <c r="A6" s="579"/>
      <c r="B6" s="700"/>
      <c r="C6" s="637"/>
      <c r="D6" s="85" t="s">
        <v>250</v>
      </c>
      <c r="E6" s="660"/>
      <c r="F6" s="595"/>
      <c r="G6" s="306" t="s">
        <v>376</v>
      </c>
      <c r="H6" s="413">
        <v>15264848</v>
      </c>
      <c r="I6" s="414">
        <v>45923</v>
      </c>
      <c r="J6" s="85"/>
      <c r="K6" s="579"/>
      <c r="O6" s="60"/>
      <c r="P6" s="61">
        <v>214498758.39999998</v>
      </c>
      <c r="Q6" s="62">
        <v>0.99999999999999989</v>
      </c>
      <c r="R6" s="61">
        <v>179000000</v>
      </c>
      <c r="S6" s="62">
        <v>1</v>
      </c>
      <c r="T6" s="61">
        <v>1229517390</v>
      </c>
      <c r="U6" s="62">
        <v>0.98221728545520381</v>
      </c>
      <c r="V6" s="61">
        <v>108039500</v>
      </c>
      <c r="W6" s="62">
        <v>1</v>
      </c>
      <c r="X6" s="61">
        <v>8829000</v>
      </c>
      <c r="Y6" s="62">
        <v>0</v>
      </c>
      <c r="Z6" s="61">
        <v>1830000</v>
      </c>
      <c r="AA6" s="62">
        <v>0</v>
      </c>
    </row>
    <row r="7" spans="1:43" ht="16.5" customHeight="1">
      <c r="A7" s="579"/>
      <c r="B7" s="700"/>
      <c r="C7" s="637"/>
      <c r="D7" s="85" t="s">
        <v>250</v>
      </c>
      <c r="E7" s="660"/>
      <c r="F7" s="595"/>
      <c r="G7" s="306" t="s">
        <v>394</v>
      </c>
      <c r="H7" s="413">
        <v>4668770</v>
      </c>
      <c r="I7" s="414">
        <v>45897</v>
      </c>
      <c r="J7" s="85"/>
      <c r="K7" s="579"/>
      <c r="O7" s="60"/>
      <c r="P7" s="61"/>
      <c r="Q7" s="62"/>
      <c r="R7" s="61"/>
      <c r="S7" s="62"/>
      <c r="T7" s="61"/>
      <c r="U7" s="62"/>
      <c r="V7" s="61"/>
      <c r="W7" s="62"/>
      <c r="X7" s="61"/>
      <c r="Y7" s="62"/>
      <c r="Z7" s="61"/>
      <c r="AA7" s="62"/>
    </row>
    <row r="8" spans="1:43" ht="16.5" customHeight="1">
      <c r="A8" s="579"/>
      <c r="B8" s="700"/>
      <c r="C8" s="637"/>
      <c r="D8" s="412"/>
      <c r="E8" s="408"/>
      <c r="F8" s="407"/>
      <c r="G8" s="306" t="s">
        <v>394</v>
      </c>
      <c r="H8" s="413">
        <v>4668777</v>
      </c>
      <c r="I8" s="414">
        <v>45889</v>
      </c>
      <c r="J8" s="85"/>
      <c r="K8" s="579"/>
      <c r="O8" s="60"/>
      <c r="P8" s="61"/>
      <c r="Q8" s="62"/>
      <c r="R8" s="61"/>
      <c r="S8" s="62"/>
      <c r="T8" s="61"/>
      <c r="U8" s="62"/>
      <c r="V8" s="61"/>
      <c r="W8" s="62"/>
      <c r="X8" s="61"/>
      <c r="Y8" s="62"/>
      <c r="Z8" s="61"/>
      <c r="AA8" s="62"/>
    </row>
    <row r="9" spans="1:43" ht="16.5" customHeight="1">
      <c r="A9" s="579"/>
      <c r="B9" s="700"/>
      <c r="C9" s="637"/>
      <c r="D9" s="401"/>
      <c r="F9" s="409"/>
      <c r="G9" s="306" t="s">
        <v>394</v>
      </c>
      <c r="H9" s="413">
        <v>2450884</v>
      </c>
      <c r="I9" s="414">
        <v>45887</v>
      </c>
      <c r="J9" s="85"/>
      <c r="K9" s="579"/>
      <c r="O9" s="60"/>
      <c r="P9" s="61"/>
      <c r="Q9" s="62"/>
      <c r="R9" s="61"/>
      <c r="S9" s="62"/>
      <c r="T9" s="61"/>
      <c r="U9" s="62"/>
      <c r="V9" s="61"/>
      <c r="W9" s="62"/>
      <c r="X9" s="61"/>
      <c r="Y9" s="62"/>
      <c r="Z9" s="61"/>
      <c r="AA9" s="62"/>
    </row>
    <row r="10" spans="1:43" ht="16.5" customHeight="1">
      <c r="A10" s="579"/>
      <c r="B10" s="700"/>
      <c r="C10" s="637"/>
      <c r="D10" s="401"/>
      <c r="F10" s="409"/>
      <c r="G10" s="306" t="s">
        <v>394</v>
      </c>
      <c r="H10" s="413">
        <v>10000</v>
      </c>
      <c r="I10" s="414">
        <v>45883</v>
      </c>
      <c r="J10" s="85"/>
      <c r="K10" s="579"/>
      <c r="O10" s="60"/>
      <c r="P10" s="61"/>
      <c r="Q10" s="62"/>
      <c r="R10" s="61"/>
      <c r="S10" s="62"/>
      <c r="T10" s="61"/>
      <c r="U10" s="62"/>
      <c r="V10" s="61"/>
      <c r="W10" s="62"/>
      <c r="X10" s="61"/>
      <c r="Y10" s="62"/>
      <c r="Z10" s="61"/>
      <c r="AA10" s="62"/>
    </row>
    <row r="11" spans="1:43" ht="16.5" customHeight="1">
      <c r="A11" s="579"/>
      <c r="B11" s="700"/>
      <c r="C11" s="637"/>
      <c r="D11" s="401"/>
      <c r="F11" s="409"/>
      <c r="G11" s="306" t="s">
        <v>368</v>
      </c>
      <c r="H11" s="413">
        <v>2450884</v>
      </c>
      <c r="I11" s="414">
        <v>45868</v>
      </c>
      <c r="J11" s="85"/>
      <c r="K11" s="579"/>
      <c r="O11" s="60"/>
      <c r="P11" s="61"/>
      <c r="Q11" s="62"/>
      <c r="R11" s="61"/>
      <c r="S11" s="62"/>
      <c r="T11" s="61"/>
      <c r="U11" s="62"/>
      <c r="V11" s="61"/>
      <c r="W11" s="62"/>
      <c r="X11" s="61"/>
      <c r="Y11" s="62"/>
      <c r="Z11" s="61"/>
      <c r="AA11" s="62"/>
    </row>
    <row r="12" spans="1:43" ht="16.5" customHeight="1">
      <c r="A12" s="579"/>
      <c r="B12" s="700"/>
      <c r="C12" s="637"/>
      <c r="D12" s="401"/>
      <c r="F12" s="409"/>
      <c r="G12" s="85" t="s">
        <v>368</v>
      </c>
      <c r="H12" s="413">
        <v>-1589500</v>
      </c>
      <c r="I12" s="414">
        <v>45867</v>
      </c>
      <c r="J12" s="85"/>
      <c r="K12" s="579"/>
      <c r="O12" s="60"/>
      <c r="P12" s="61"/>
      <c r="Q12" s="62"/>
      <c r="R12" s="61"/>
      <c r="S12" s="62"/>
      <c r="T12" s="61"/>
      <c r="U12" s="62"/>
      <c r="V12" s="61"/>
      <c r="W12" s="62"/>
      <c r="X12" s="61"/>
      <c r="Y12" s="62"/>
      <c r="Z12" s="61"/>
      <c r="AA12" s="62"/>
    </row>
    <row r="13" spans="1:43" ht="16.5" customHeight="1">
      <c r="A13" s="579"/>
      <c r="B13" s="700"/>
      <c r="C13" s="637"/>
      <c r="D13" s="401"/>
      <c r="F13" s="409"/>
      <c r="G13" s="85" t="s">
        <v>368</v>
      </c>
      <c r="H13" s="413">
        <v>4658777</v>
      </c>
      <c r="I13" s="414">
        <v>45863</v>
      </c>
      <c r="J13" s="85"/>
      <c r="K13" s="579"/>
      <c r="O13" s="60"/>
      <c r="P13" s="61"/>
      <c r="Q13" s="62"/>
      <c r="R13" s="61"/>
      <c r="S13" s="62"/>
      <c r="T13" s="61"/>
      <c r="U13" s="62"/>
      <c r="V13" s="61"/>
      <c r="W13" s="62"/>
      <c r="X13" s="61"/>
      <c r="Y13" s="62"/>
      <c r="Z13" s="61"/>
      <c r="AA13" s="62"/>
    </row>
    <row r="14" spans="1:43" ht="16.5" customHeight="1">
      <c r="A14" s="579"/>
      <c r="B14" s="700"/>
      <c r="C14" s="637"/>
      <c r="D14" s="46"/>
      <c r="E14" s="405"/>
      <c r="F14" s="406"/>
      <c r="G14" s="85" t="s">
        <v>368</v>
      </c>
      <c r="H14" s="413">
        <v>1589500</v>
      </c>
      <c r="I14" s="414">
        <v>45861</v>
      </c>
      <c r="J14" s="85"/>
      <c r="K14" s="581"/>
      <c r="O14" s="60"/>
      <c r="P14" s="61"/>
      <c r="Q14" s="62"/>
      <c r="R14" s="61"/>
      <c r="S14" s="62"/>
      <c r="T14" s="61"/>
      <c r="U14" s="62"/>
      <c r="V14" s="61"/>
      <c r="W14" s="62"/>
      <c r="X14" s="61"/>
      <c r="Y14" s="62"/>
      <c r="Z14" s="61"/>
      <c r="AA14" s="62"/>
    </row>
    <row r="15" spans="1:43" ht="16.5" customHeight="1">
      <c r="A15" s="580"/>
      <c r="B15" s="700"/>
      <c r="C15" s="637"/>
      <c r="D15" s="403"/>
      <c r="E15" s="403"/>
      <c r="F15" s="404"/>
      <c r="G15" s="85" t="s">
        <v>368</v>
      </c>
      <c r="H15" s="413">
        <v>980000</v>
      </c>
      <c r="I15" s="414">
        <v>45856</v>
      </c>
      <c r="J15" s="85"/>
      <c r="K15" s="410"/>
      <c r="O15" s="60"/>
      <c r="P15" s="61"/>
      <c r="Q15" s="62"/>
      <c r="R15" s="61"/>
      <c r="S15" s="62"/>
      <c r="T15" s="61"/>
      <c r="U15" s="62"/>
      <c r="V15" s="61"/>
      <c r="W15" s="62"/>
      <c r="X15" s="61"/>
      <c r="Y15" s="62"/>
      <c r="Z15" s="61"/>
      <c r="AA15" s="62"/>
    </row>
    <row r="16" spans="1:43" ht="16.5" customHeight="1">
      <c r="A16" s="580"/>
      <c r="B16" s="700"/>
      <c r="C16" s="637"/>
      <c r="D16" s="403"/>
      <c r="E16" s="403"/>
      <c r="F16" s="404"/>
      <c r="G16" s="85" t="s">
        <v>368</v>
      </c>
      <c r="H16" s="413">
        <v>67560</v>
      </c>
      <c r="I16" s="414">
        <v>45856</v>
      </c>
      <c r="J16" s="85"/>
      <c r="K16" s="410"/>
      <c r="O16" s="60"/>
      <c r="P16" s="61"/>
      <c r="Q16" s="62"/>
      <c r="R16" s="61"/>
      <c r="S16" s="62"/>
      <c r="T16" s="61"/>
      <c r="U16" s="62"/>
      <c r="V16" s="61"/>
      <c r="W16" s="62"/>
      <c r="X16" s="61"/>
      <c r="Y16" s="62"/>
      <c r="Z16" s="61"/>
      <c r="AA16" s="62"/>
    </row>
    <row r="17" spans="1:27" ht="16.5" customHeight="1">
      <c r="A17" s="580"/>
      <c r="B17" s="700"/>
      <c r="C17" s="637"/>
      <c r="D17" s="403"/>
      <c r="E17" s="403"/>
      <c r="F17" s="404"/>
      <c r="G17" s="85" t="s">
        <v>364</v>
      </c>
      <c r="H17" s="413">
        <v>3405260</v>
      </c>
      <c r="I17" s="414">
        <v>45831</v>
      </c>
      <c r="J17" s="85"/>
      <c r="K17" s="410"/>
      <c r="O17" s="60"/>
      <c r="P17" s="61"/>
      <c r="Q17" s="62"/>
      <c r="R17" s="61"/>
      <c r="S17" s="62"/>
      <c r="T17" s="61"/>
      <c r="U17" s="62"/>
      <c r="V17" s="61"/>
      <c r="W17" s="62"/>
      <c r="X17" s="61"/>
      <c r="Y17" s="62"/>
      <c r="Z17" s="61"/>
      <c r="AA17" s="62"/>
    </row>
    <row r="18" spans="1:27" ht="16.5" customHeight="1">
      <c r="A18" s="580"/>
      <c r="B18" s="700"/>
      <c r="C18" s="637"/>
      <c r="D18" s="403"/>
      <c r="E18" s="403"/>
      <c r="F18" s="404"/>
      <c r="G18" s="85" t="s">
        <v>393</v>
      </c>
      <c r="H18" s="413">
        <v>3405260</v>
      </c>
      <c r="I18" s="414">
        <v>45798</v>
      </c>
      <c r="J18" s="85"/>
      <c r="K18" s="410"/>
      <c r="O18" s="60"/>
      <c r="P18" s="61"/>
      <c r="Q18" s="62"/>
      <c r="R18" s="61"/>
      <c r="S18" s="62"/>
      <c r="T18" s="61"/>
      <c r="U18" s="62"/>
      <c r="V18" s="61"/>
      <c r="W18" s="62"/>
      <c r="X18" s="61"/>
      <c r="Y18" s="62"/>
      <c r="Z18" s="61"/>
      <c r="AA18" s="62"/>
    </row>
    <row r="19" spans="1:27" ht="16.5" customHeight="1">
      <c r="A19" s="580"/>
      <c r="B19" s="700"/>
      <c r="C19" s="637"/>
      <c r="D19" s="403"/>
      <c r="E19" s="403"/>
      <c r="F19" s="404"/>
      <c r="G19" s="85" t="s">
        <v>531</v>
      </c>
      <c r="H19" s="413">
        <v>3405260</v>
      </c>
      <c r="I19" s="414">
        <v>45776</v>
      </c>
      <c r="J19" s="85"/>
      <c r="K19" s="410"/>
      <c r="O19" s="60"/>
      <c r="P19" s="61"/>
      <c r="Q19" s="62"/>
      <c r="R19" s="61"/>
      <c r="S19" s="62"/>
      <c r="T19" s="61"/>
      <c r="U19" s="62"/>
      <c r="V19" s="61"/>
      <c r="W19" s="62"/>
      <c r="X19" s="61"/>
      <c r="Y19" s="62"/>
      <c r="Z19" s="61"/>
      <c r="AA19" s="62"/>
    </row>
    <row r="20" spans="1:27" ht="16.5" customHeight="1">
      <c r="A20" s="580"/>
      <c r="B20" s="700"/>
      <c r="C20" s="637"/>
      <c r="D20" s="403"/>
      <c r="E20" s="403"/>
      <c r="F20" s="404"/>
      <c r="G20" s="85" t="s">
        <v>531</v>
      </c>
      <c r="H20" s="413">
        <v>3405260</v>
      </c>
      <c r="I20" s="414">
        <v>45761</v>
      </c>
      <c r="J20" s="85"/>
      <c r="K20" s="410"/>
      <c r="O20" s="60"/>
      <c r="P20" s="61"/>
      <c r="Q20" s="62"/>
      <c r="R20" s="61"/>
      <c r="S20" s="62"/>
      <c r="T20" s="61"/>
      <c r="U20" s="62"/>
      <c r="V20" s="61"/>
      <c r="W20" s="62"/>
      <c r="X20" s="61"/>
      <c r="Y20" s="62"/>
      <c r="Z20" s="61"/>
      <c r="AA20" s="62"/>
    </row>
    <row r="21" spans="1:27" ht="16.5" customHeight="1">
      <c r="A21" s="580"/>
      <c r="B21" s="700"/>
      <c r="C21" s="637"/>
      <c r="D21" s="403"/>
      <c r="E21" s="403"/>
      <c r="F21" s="404"/>
      <c r="G21" s="85"/>
      <c r="H21" s="86"/>
      <c r="I21" s="87"/>
      <c r="J21" s="85"/>
      <c r="K21" s="410"/>
      <c r="O21" s="60"/>
      <c r="P21" s="61"/>
      <c r="Q21" s="62"/>
      <c r="R21" s="61"/>
      <c r="S21" s="62"/>
      <c r="T21" s="61"/>
      <c r="U21" s="62"/>
      <c r="V21" s="61"/>
      <c r="W21" s="62"/>
      <c r="X21" s="61"/>
      <c r="Y21" s="62"/>
      <c r="Z21" s="61"/>
      <c r="AA21" s="62"/>
    </row>
    <row r="22" spans="1:27" ht="16.5" customHeight="1">
      <c r="A22" s="580"/>
      <c r="B22" s="713"/>
      <c r="C22" s="714"/>
      <c r="D22" s="403"/>
      <c r="E22" s="403"/>
      <c r="F22" s="404"/>
      <c r="G22" s="85"/>
      <c r="H22" s="86"/>
      <c r="I22" s="87"/>
      <c r="J22" s="85"/>
      <c r="K22" s="410"/>
      <c r="O22" s="60"/>
      <c r="P22" s="61"/>
      <c r="Q22" s="62"/>
      <c r="R22" s="61"/>
      <c r="S22" s="62"/>
      <c r="T22" s="61"/>
      <c r="U22" s="62"/>
      <c r="V22" s="61"/>
      <c r="W22" s="62"/>
      <c r="X22" s="61"/>
      <c r="Y22" s="62"/>
      <c r="Z22" s="61"/>
      <c r="AA22" s="62"/>
    </row>
    <row r="23" spans="1:27" ht="16.5" customHeight="1">
      <c r="A23" s="579"/>
      <c r="B23" s="613" t="s">
        <v>21</v>
      </c>
      <c r="C23" s="594"/>
      <c r="D23" s="595"/>
      <c r="E23" s="88">
        <f>SUM(E4:E14)</f>
        <v>0</v>
      </c>
      <c r="F23" s="89"/>
      <c r="G23" s="89"/>
      <c r="H23" s="88">
        <f>SUM(H6:H16)</f>
        <v>35220500</v>
      </c>
      <c r="I23" s="90"/>
      <c r="J23" s="89"/>
      <c r="K23" s="91"/>
      <c r="O23" s="60"/>
      <c r="P23" s="61"/>
      <c r="Q23" s="62"/>
      <c r="R23" s="61"/>
      <c r="S23" s="62"/>
      <c r="T23" s="61"/>
      <c r="U23" s="62"/>
      <c r="V23" s="61"/>
      <c r="W23" s="62"/>
      <c r="X23" s="61"/>
      <c r="Y23" s="62"/>
      <c r="Z23" s="61"/>
      <c r="AA23" s="62"/>
    </row>
    <row r="24" spans="1:27" ht="16.5" customHeight="1">
      <c r="A24" s="579"/>
      <c r="B24" s="85" t="s">
        <v>26</v>
      </c>
      <c r="C24" s="92">
        <f>예산!G20</f>
        <v>93360000</v>
      </c>
      <c r="D24" s="85"/>
      <c r="E24" s="86"/>
      <c r="F24" s="85"/>
      <c r="G24" s="85"/>
      <c r="H24" s="86">
        <f>C24</f>
        <v>93360000</v>
      </c>
      <c r="I24" s="87"/>
      <c r="J24" s="85"/>
      <c r="K24" s="93"/>
      <c r="O24" s="60"/>
      <c r="P24" s="61"/>
      <c r="Q24" s="62"/>
      <c r="R24" s="61"/>
      <c r="S24" s="62"/>
      <c r="T24" s="61"/>
      <c r="U24" s="62"/>
      <c r="V24" s="61"/>
      <c r="W24" s="62"/>
      <c r="X24" s="61"/>
      <c r="Y24" s="62"/>
      <c r="Z24" s="61"/>
      <c r="AA24" s="62"/>
    </row>
    <row r="25" spans="1:27" ht="16.5" customHeight="1">
      <c r="A25" s="581"/>
      <c r="B25" s="613" t="s">
        <v>21</v>
      </c>
      <c r="C25" s="594"/>
      <c r="D25" s="595"/>
      <c r="E25" s="88">
        <f>$C24</f>
        <v>93360000</v>
      </c>
      <c r="F25" s="94"/>
      <c r="G25" s="89"/>
      <c r="H25" s="95">
        <f>SUM(H24)</f>
        <v>93360000</v>
      </c>
      <c r="I25" s="90"/>
      <c r="J25" s="89"/>
      <c r="K25" s="91"/>
      <c r="O25" s="60"/>
      <c r="P25" s="61"/>
      <c r="Q25" s="62"/>
      <c r="R25" s="61"/>
      <c r="S25" s="62"/>
      <c r="T25" s="61"/>
      <c r="U25" s="62"/>
      <c r="V25" s="61"/>
      <c r="W25" s="62"/>
      <c r="X25" s="61"/>
      <c r="Y25" s="62"/>
      <c r="Z25" s="61"/>
      <c r="AA25" s="62"/>
    </row>
    <row r="26" spans="1:27" ht="16.5" customHeight="1">
      <c r="A26" s="629" t="s">
        <v>251</v>
      </c>
      <c r="B26" s="594"/>
      <c r="C26" s="96">
        <f>C4+C24</f>
        <v>216130857</v>
      </c>
      <c r="D26" s="97"/>
      <c r="E26" s="98">
        <f>C26</f>
        <v>216130857</v>
      </c>
      <c r="F26" s="99"/>
      <c r="G26" s="100"/>
      <c r="H26" s="101">
        <f>H23+H25</f>
        <v>128580500</v>
      </c>
      <c r="I26" s="648"/>
      <c r="J26" s="595"/>
      <c r="K26" s="102">
        <f>H26/C26</f>
        <v>0.5949196786833636</v>
      </c>
      <c r="O26" s="60"/>
      <c r="P26" s="61"/>
      <c r="Q26" s="62"/>
      <c r="R26" s="61"/>
      <c r="S26" s="62"/>
      <c r="T26" s="61"/>
      <c r="U26" s="62"/>
      <c r="V26" s="61"/>
      <c r="W26" s="62"/>
      <c r="X26" s="61"/>
      <c r="Y26" s="62"/>
      <c r="Z26" s="61"/>
      <c r="AA26" s="62"/>
    </row>
    <row r="27" spans="1:27" ht="16.5" customHeight="1">
      <c r="A27" s="624" t="s">
        <v>238</v>
      </c>
      <c r="B27" s="85" t="s">
        <v>238</v>
      </c>
      <c r="C27" s="103">
        <f>예산!G27</f>
        <v>179000000</v>
      </c>
      <c r="D27" s="85"/>
      <c r="E27" s="86"/>
      <c r="F27" s="85"/>
      <c r="G27" s="306" t="s">
        <v>385</v>
      </c>
      <c r="H27" s="413">
        <v>-8100000</v>
      </c>
      <c r="I27" s="414">
        <v>45988</v>
      </c>
      <c r="J27" s="85"/>
      <c r="K27" s="93"/>
      <c r="O27" s="60"/>
      <c r="P27" s="61"/>
      <c r="Q27" s="62"/>
      <c r="R27" s="61"/>
      <c r="S27" s="62"/>
      <c r="T27" s="61"/>
      <c r="U27" s="62"/>
      <c r="V27" s="61"/>
      <c r="W27" s="62"/>
      <c r="X27" s="61"/>
      <c r="Y27" s="62"/>
      <c r="Z27" s="61"/>
      <c r="AA27" s="62"/>
    </row>
    <row r="28" spans="1:27" ht="16.5" customHeight="1">
      <c r="A28" s="579"/>
      <c r="B28" s="85"/>
      <c r="C28" s="103"/>
      <c r="D28" s="85"/>
      <c r="E28" s="86"/>
      <c r="F28" s="85"/>
      <c r="G28" s="306" t="s">
        <v>385</v>
      </c>
      <c r="H28" s="413">
        <v>-8100000</v>
      </c>
      <c r="I28" s="414">
        <v>45988</v>
      </c>
      <c r="J28" s="85"/>
      <c r="K28" s="93"/>
      <c r="O28" s="60"/>
      <c r="P28" s="61"/>
      <c r="Q28" s="62"/>
      <c r="R28" s="61"/>
      <c r="S28" s="62"/>
      <c r="T28" s="61"/>
      <c r="U28" s="62"/>
      <c r="V28" s="61"/>
      <c r="W28" s="62"/>
      <c r="X28" s="61"/>
      <c r="Y28" s="62"/>
      <c r="Z28" s="61"/>
      <c r="AA28" s="62"/>
    </row>
    <row r="29" spans="1:27" ht="16.5" customHeight="1">
      <c r="A29" s="579"/>
      <c r="B29" s="85"/>
      <c r="C29" s="92"/>
      <c r="D29" s="85"/>
      <c r="E29" s="86"/>
      <c r="F29" s="85"/>
      <c r="G29" s="306" t="s">
        <v>385</v>
      </c>
      <c r="H29" s="413">
        <v>84100000</v>
      </c>
      <c r="I29" s="414">
        <v>45967</v>
      </c>
      <c r="J29" s="85"/>
      <c r="K29" s="93"/>
      <c r="O29" s="60"/>
      <c r="P29" s="61"/>
      <c r="Q29" s="62"/>
      <c r="R29" s="61"/>
      <c r="S29" s="62"/>
      <c r="T29" s="61"/>
      <c r="U29" s="62"/>
      <c r="V29" s="61"/>
      <c r="W29" s="62"/>
      <c r="X29" s="61"/>
      <c r="Y29" s="62"/>
      <c r="Z29" s="61"/>
      <c r="AA29" s="62"/>
    </row>
    <row r="30" spans="1:27" ht="16.5" customHeight="1">
      <c r="A30" s="579"/>
      <c r="B30" s="85"/>
      <c r="C30" s="92"/>
      <c r="D30" s="85"/>
      <c r="E30" s="86"/>
      <c r="F30" s="85"/>
      <c r="G30" s="306" t="s">
        <v>364</v>
      </c>
      <c r="H30" s="413">
        <v>118900000</v>
      </c>
      <c r="I30" s="414">
        <v>45812</v>
      </c>
      <c r="J30" s="85"/>
      <c r="K30" s="93"/>
      <c r="O30" s="60"/>
      <c r="P30" s="61"/>
      <c r="Q30" s="62"/>
      <c r="R30" s="61"/>
      <c r="S30" s="62"/>
      <c r="T30" s="61"/>
      <c r="U30" s="62"/>
      <c r="V30" s="61"/>
      <c r="W30" s="62"/>
      <c r="X30" s="61"/>
      <c r="Y30" s="62"/>
      <c r="Z30" s="61"/>
      <c r="AA30" s="62"/>
    </row>
    <row r="31" spans="1:27" ht="16.5" customHeight="1">
      <c r="A31" s="579"/>
      <c r="B31" s="85"/>
      <c r="C31" s="92"/>
      <c r="D31" s="85"/>
      <c r="E31" s="86"/>
      <c r="F31" s="85"/>
      <c r="G31" s="306"/>
      <c r="H31" s="308"/>
      <c r="I31" s="87"/>
      <c r="J31" s="85"/>
      <c r="K31" s="93"/>
      <c r="O31" s="60"/>
      <c r="P31" s="61"/>
      <c r="Q31" s="62"/>
      <c r="R31" s="61"/>
      <c r="S31" s="62"/>
      <c r="T31" s="61"/>
      <c r="U31" s="62"/>
      <c r="V31" s="61"/>
      <c r="W31" s="62"/>
      <c r="X31" s="61"/>
      <c r="Y31" s="62"/>
      <c r="Z31" s="61"/>
      <c r="AA31" s="62"/>
    </row>
    <row r="32" spans="1:27" ht="16.5" customHeight="1">
      <c r="A32" s="579"/>
      <c r="B32" s="85"/>
      <c r="C32" s="92"/>
      <c r="D32" s="85"/>
      <c r="E32" s="86"/>
      <c r="F32" s="85"/>
      <c r="G32" s="306"/>
      <c r="H32" s="308"/>
      <c r="I32" s="87"/>
      <c r="J32" s="85"/>
      <c r="K32" s="93"/>
      <c r="O32" s="60"/>
      <c r="P32" s="61"/>
      <c r="Q32" s="62"/>
      <c r="R32" s="61"/>
      <c r="S32" s="62"/>
      <c r="T32" s="61"/>
      <c r="U32" s="62"/>
      <c r="V32" s="61"/>
      <c r="W32" s="62"/>
      <c r="X32" s="61"/>
      <c r="Y32" s="62"/>
      <c r="Z32" s="61"/>
      <c r="AA32" s="62"/>
    </row>
    <row r="33" spans="1:27" ht="16.5" customHeight="1">
      <c r="A33" s="579"/>
      <c r="B33" s="85"/>
      <c r="C33" s="92"/>
      <c r="D33" s="85"/>
      <c r="E33" s="86"/>
      <c r="F33" s="85"/>
      <c r="G33" s="306"/>
      <c r="H33" s="308"/>
      <c r="I33" s="87"/>
      <c r="J33" s="85"/>
      <c r="K33" s="93"/>
      <c r="O33" s="60"/>
      <c r="P33" s="61"/>
      <c r="Q33" s="62"/>
      <c r="R33" s="61"/>
      <c r="S33" s="62"/>
      <c r="T33" s="61"/>
      <c r="U33" s="62"/>
      <c r="V33" s="61"/>
      <c r="W33" s="62"/>
      <c r="X33" s="61"/>
      <c r="Y33" s="62"/>
      <c r="Z33" s="61"/>
      <c r="AA33" s="62"/>
    </row>
    <row r="34" spans="1:27" ht="16.5" customHeight="1">
      <c r="A34" s="579"/>
      <c r="B34" s="85"/>
      <c r="C34" s="92"/>
      <c r="D34" s="85"/>
      <c r="E34" s="86"/>
      <c r="F34" s="85"/>
      <c r="G34" s="85"/>
      <c r="H34" s="104"/>
      <c r="I34" s="87"/>
      <c r="J34" s="85"/>
      <c r="K34" s="93"/>
      <c r="O34" s="60"/>
      <c r="P34" s="61"/>
      <c r="Q34" s="62"/>
      <c r="R34" s="61"/>
      <c r="S34" s="62"/>
      <c r="T34" s="61"/>
      <c r="U34" s="62"/>
      <c r="V34" s="61"/>
      <c r="W34" s="62"/>
      <c r="X34" s="61"/>
      <c r="Y34" s="62"/>
      <c r="Z34" s="61"/>
      <c r="AA34" s="62"/>
    </row>
    <row r="35" spans="1:27" ht="16.5" customHeight="1">
      <c r="A35" s="579"/>
      <c r="B35" s="85"/>
      <c r="C35" s="92"/>
      <c r="D35" s="85"/>
      <c r="E35" s="86"/>
      <c r="F35" s="85"/>
      <c r="G35" s="85"/>
      <c r="H35" s="104"/>
      <c r="I35" s="87"/>
      <c r="J35" s="85"/>
      <c r="K35" s="93"/>
      <c r="O35" s="60"/>
      <c r="P35" s="61"/>
      <c r="Q35" s="62"/>
      <c r="R35" s="61"/>
      <c r="S35" s="62"/>
      <c r="T35" s="61"/>
      <c r="U35" s="62"/>
      <c r="V35" s="61"/>
      <c r="W35" s="62"/>
      <c r="X35" s="61"/>
      <c r="Y35" s="62"/>
      <c r="Z35" s="61"/>
      <c r="AA35" s="62"/>
    </row>
    <row r="36" spans="1:27" ht="16.5" customHeight="1">
      <c r="A36" s="579"/>
      <c r="B36" s="85"/>
      <c r="C36" s="92"/>
      <c r="D36" s="85"/>
      <c r="E36" s="86"/>
      <c r="F36" s="85"/>
      <c r="G36" s="85"/>
      <c r="H36" s="104"/>
      <c r="I36" s="87"/>
      <c r="J36" s="85"/>
      <c r="K36" s="93"/>
      <c r="O36" s="60"/>
      <c r="P36" s="61"/>
      <c r="Q36" s="62"/>
      <c r="R36" s="61"/>
      <c r="S36" s="62"/>
      <c r="T36" s="61"/>
      <c r="U36" s="62"/>
      <c r="V36" s="61"/>
      <c r="W36" s="62"/>
      <c r="X36" s="61"/>
      <c r="Y36" s="62"/>
      <c r="Z36" s="61"/>
      <c r="AA36" s="62"/>
    </row>
    <row r="37" spans="1:27" ht="16.5" customHeight="1">
      <c r="A37" s="579"/>
      <c r="B37" s="85"/>
      <c r="C37" s="92"/>
      <c r="D37" s="85"/>
      <c r="E37" s="86"/>
      <c r="F37" s="85"/>
      <c r="G37" s="85"/>
      <c r="H37" s="104"/>
      <c r="I37" s="87"/>
      <c r="J37" s="85"/>
      <c r="K37" s="93"/>
      <c r="O37" s="60"/>
      <c r="P37" s="61"/>
      <c r="Q37" s="62"/>
      <c r="R37" s="61"/>
      <c r="S37" s="62"/>
      <c r="T37" s="61"/>
      <c r="U37" s="62"/>
      <c r="V37" s="61"/>
      <c r="W37" s="62"/>
      <c r="X37" s="61"/>
      <c r="Y37" s="62"/>
      <c r="Z37" s="61"/>
      <c r="AA37" s="62"/>
    </row>
    <row r="38" spans="1:27" ht="16.5" customHeight="1">
      <c r="A38" s="581"/>
      <c r="B38" s="85"/>
      <c r="C38" s="105"/>
      <c r="D38" s="85"/>
      <c r="E38" s="86"/>
      <c r="F38" s="85"/>
      <c r="G38" s="85"/>
      <c r="H38" s="104"/>
      <c r="I38" s="87"/>
      <c r="J38" s="85"/>
      <c r="K38" s="93"/>
      <c r="O38" s="60"/>
      <c r="P38" s="61"/>
      <c r="Q38" s="62"/>
      <c r="R38" s="61"/>
      <c r="S38" s="62"/>
      <c r="T38" s="61"/>
      <c r="U38" s="62"/>
      <c r="V38" s="61"/>
      <c r="W38" s="62"/>
      <c r="X38" s="61"/>
      <c r="Y38" s="62"/>
      <c r="Z38" s="61"/>
      <c r="AA38" s="62"/>
    </row>
    <row r="39" spans="1:27" ht="16.5" customHeight="1" thickBot="1">
      <c r="A39" s="629" t="s">
        <v>252</v>
      </c>
      <c r="B39" s="594"/>
      <c r="C39" s="96">
        <f>C27</f>
        <v>179000000</v>
      </c>
      <c r="D39" s="97"/>
      <c r="E39" s="98">
        <f>C39</f>
        <v>179000000</v>
      </c>
      <c r="F39" s="99"/>
      <c r="G39" s="100"/>
      <c r="H39" s="101">
        <f>SUM(H27:H38)</f>
        <v>186800000</v>
      </c>
      <c r="I39" s="648"/>
      <c r="J39" s="595"/>
      <c r="K39" s="102">
        <f>H39/C39</f>
        <v>1.0435754189944133</v>
      </c>
      <c r="O39" s="60"/>
      <c r="P39" s="61"/>
      <c r="Q39" s="62"/>
      <c r="R39" s="61"/>
      <c r="S39" s="62"/>
      <c r="T39" s="61"/>
      <c r="U39" s="62"/>
      <c r="V39" s="61"/>
      <c r="W39" s="62"/>
      <c r="X39" s="61"/>
      <c r="Y39" s="62"/>
      <c r="Z39" s="61"/>
      <c r="AA39" s="62"/>
    </row>
    <row r="40" spans="1:27" ht="16.5" customHeight="1">
      <c r="A40" s="624" t="s">
        <v>31</v>
      </c>
      <c r="B40" s="625" t="s">
        <v>253</v>
      </c>
      <c r="C40" s="11" t="s">
        <v>372</v>
      </c>
      <c r="D40" s="85"/>
      <c r="E40" s="86"/>
      <c r="F40" s="85"/>
      <c r="G40" s="85" t="s">
        <v>385</v>
      </c>
      <c r="H40" s="413">
        <v>21990000</v>
      </c>
      <c r="I40" s="414">
        <v>45985</v>
      </c>
      <c r="J40" s="85"/>
      <c r="K40" s="93"/>
      <c r="O40" s="60"/>
      <c r="P40" s="61"/>
      <c r="Q40" s="62"/>
      <c r="R40" s="61"/>
      <c r="S40" s="62"/>
      <c r="T40" s="61"/>
      <c r="U40" s="62"/>
      <c r="V40" s="61"/>
      <c r="W40" s="62"/>
      <c r="X40" s="61"/>
      <c r="Y40" s="62"/>
      <c r="Z40" s="61"/>
      <c r="AA40" s="62"/>
    </row>
    <row r="41" spans="1:27" ht="16.5" customHeight="1">
      <c r="A41" s="579"/>
      <c r="B41" s="579"/>
      <c r="C41" s="11" t="s">
        <v>438</v>
      </c>
      <c r="D41" s="85"/>
      <c r="E41" s="86"/>
      <c r="F41" s="85"/>
      <c r="G41" s="306" t="s">
        <v>385</v>
      </c>
      <c r="H41" s="413">
        <v>165000</v>
      </c>
      <c r="I41" s="414">
        <v>45981</v>
      </c>
      <c r="J41" s="85"/>
      <c r="K41" s="93"/>
      <c r="O41" s="60"/>
      <c r="P41" s="61"/>
      <c r="Q41" s="62"/>
      <c r="R41" s="61"/>
      <c r="S41" s="62"/>
      <c r="T41" s="61"/>
      <c r="U41" s="62"/>
      <c r="V41" s="61"/>
      <c r="W41" s="62"/>
      <c r="X41" s="61"/>
      <c r="Y41" s="62"/>
      <c r="Z41" s="61"/>
      <c r="AA41" s="62"/>
    </row>
    <row r="42" spans="1:27" ht="16.5" customHeight="1">
      <c r="A42" s="579"/>
      <c r="B42" s="579"/>
      <c r="C42" s="11" t="s">
        <v>532</v>
      </c>
      <c r="D42" s="85"/>
      <c r="E42" s="86"/>
      <c r="F42" s="85"/>
      <c r="G42" s="85" t="s">
        <v>385</v>
      </c>
      <c r="H42" s="413">
        <v>30000</v>
      </c>
      <c r="I42" s="414">
        <v>45978</v>
      </c>
      <c r="J42" s="85"/>
      <c r="K42" s="93"/>
      <c r="O42" s="60"/>
      <c r="P42" s="61"/>
      <c r="Q42" s="62"/>
      <c r="R42" s="61"/>
      <c r="S42" s="62"/>
      <c r="T42" s="61"/>
      <c r="U42" s="62"/>
      <c r="V42" s="61"/>
      <c r="W42" s="62"/>
      <c r="X42" s="61"/>
      <c r="Y42" s="62"/>
      <c r="Z42" s="61"/>
      <c r="AA42" s="62"/>
    </row>
    <row r="43" spans="1:27" ht="16.5" customHeight="1">
      <c r="A43" s="579"/>
      <c r="B43" s="579"/>
      <c r="C43" s="11" t="s">
        <v>371</v>
      </c>
      <c r="D43" s="85"/>
      <c r="E43" s="86"/>
      <c r="F43" s="85"/>
      <c r="G43" s="85" t="s">
        <v>369</v>
      </c>
      <c r="H43" s="413">
        <v>42988000</v>
      </c>
      <c r="I43" s="414">
        <v>45947</v>
      </c>
      <c r="J43" s="85" t="s">
        <v>398</v>
      </c>
      <c r="K43" s="93">
        <f>SUM(H40:H43,H47:H48)/A2</f>
        <v>3.4881274523068599E-2</v>
      </c>
      <c r="O43" s="60"/>
      <c r="P43" s="61"/>
      <c r="Q43" s="62"/>
      <c r="R43" s="61"/>
      <c r="S43" s="62"/>
      <c r="T43" s="61"/>
      <c r="U43" s="62"/>
      <c r="V43" s="61"/>
      <c r="W43" s="62"/>
      <c r="X43" s="61"/>
      <c r="Y43" s="62"/>
      <c r="Z43" s="61"/>
      <c r="AA43" s="62"/>
    </row>
    <row r="44" spans="1:27" ht="16.5" customHeight="1">
      <c r="A44" s="580"/>
      <c r="B44" s="580"/>
      <c r="C44" s="11" t="s">
        <v>533</v>
      </c>
      <c r="D44" s="85"/>
      <c r="E44" s="86"/>
      <c r="F44" s="85"/>
      <c r="G44" s="85" t="s">
        <v>376</v>
      </c>
      <c r="H44" s="413">
        <v>30000</v>
      </c>
      <c r="I44" s="414">
        <v>45918</v>
      </c>
      <c r="J44" s="85"/>
      <c r="K44" s="93"/>
      <c r="O44" s="60"/>
      <c r="P44" s="61"/>
      <c r="Q44" s="62"/>
      <c r="R44" s="61"/>
      <c r="S44" s="62"/>
      <c r="T44" s="61"/>
      <c r="U44" s="62"/>
      <c r="V44" s="61"/>
      <c r="W44" s="62"/>
      <c r="X44" s="61"/>
      <c r="Y44" s="62"/>
      <c r="Z44" s="61"/>
      <c r="AA44" s="62"/>
    </row>
    <row r="45" spans="1:27" ht="16.5" customHeight="1">
      <c r="A45" s="580"/>
      <c r="B45" s="580"/>
      <c r="C45" s="11" t="s">
        <v>534</v>
      </c>
      <c r="D45" s="85"/>
      <c r="E45" s="86"/>
      <c r="F45" s="85"/>
      <c r="G45" s="85" t="s">
        <v>376</v>
      </c>
      <c r="H45" s="413">
        <v>30000</v>
      </c>
      <c r="I45" s="414">
        <v>45918</v>
      </c>
      <c r="J45" s="85" t="s">
        <v>399</v>
      </c>
      <c r="K45" s="93">
        <f>SUM(H44:H46)/A2</f>
        <v>3.0442429982411039E-5</v>
      </c>
      <c r="O45" s="60"/>
      <c r="P45" s="61"/>
      <c r="Q45" s="62"/>
      <c r="R45" s="61"/>
      <c r="S45" s="62"/>
      <c r="T45" s="61"/>
      <c r="U45" s="62"/>
      <c r="V45" s="61"/>
      <c r="W45" s="62"/>
      <c r="X45" s="61"/>
      <c r="Y45" s="62"/>
      <c r="Z45" s="61"/>
      <c r="AA45" s="62"/>
    </row>
    <row r="46" spans="1:27" ht="16.5" customHeight="1">
      <c r="A46" s="580"/>
      <c r="B46" s="580"/>
      <c r="C46" s="11" t="s">
        <v>535</v>
      </c>
      <c r="D46" s="85"/>
      <c r="E46" s="86"/>
      <c r="F46" s="85"/>
      <c r="G46" s="306" t="s">
        <v>376</v>
      </c>
      <c r="H46" s="413">
        <v>30000</v>
      </c>
      <c r="I46" s="414">
        <v>45918</v>
      </c>
      <c r="J46" s="85"/>
      <c r="K46" s="93"/>
      <c r="O46" s="60"/>
      <c r="P46" s="61"/>
      <c r="Q46" s="62"/>
      <c r="R46" s="61"/>
      <c r="S46" s="62"/>
      <c r="T46" s="61"/>
      <c r="U46" s="62"/>
      <c r="V46" s="61"/>
      <c r="W46" s="62"/>
      <c r="X46" s="61"/>
      <c r="Y46" s="62"/>
      <c r="Z46" s="61"/>
      <c r="AA46" s="62"/>
    </row>
    <row r="47" spans="1:27" ht="16.5" customHeight="1">
      <c r="A47" s="580"/>
      <c r="B47" s="580"/>
      <c r="C47" s="326" t="s">
        <v>373</v>
      </c>
      <c r="D47" s="85"/>
      <c r="E47" s="86"/>
      <c r="F47" s="85"/>
      <c r="G47" s="306" t="s">
        <v>376</v>
      </c>
      <c r="H47" s="413">
        <v>8030000</v>
      </c>
      <c r="I47" s="414">
        <v>45910</v>
      </c>
      <c r="J47" s="85"/>
      <c r="K47" s="93"/>
      <c r="O47" s="60"/>
      <c r="P47" s="61"/>
      <c r="Q47" s="62"/>
      <c r="R47" s="61"/>
      <c r="S47" s="62"/>
      <c r="T47" s="61"/>
      <c r="U47" s="62"/>
      <c r="V47" s="61"/>
      <c r="W47" s="62"/>
      <c r="X47" s="61"/>
      <c r="Y47" s="62"/>
      <c r="Z47" s="61"/>
      <c r="AA47" s="62"/>
    </row>
    <row r="48" spans="1:27" ht="16.5" customHeight="1">
      <c r="A48" s="579"/>
      <c r="B48" s="581"/>
      <c r="C48" s="244" t="s">
        <v>536</v>
      </c>
      <c r="D48" s="85"/>
      <c r="E48" s="86"/>
      <c r="F48" s="85"/>
      <c r="G48" s="306" t="s">
        <v>368</v>
      </c>
      <c r="H48" s="413">
        <v>29920000</v>
      </c>
      <c r="I48" s="414">
        <v>45863</v>
      </c>
      <c r="J48" s="85"/>
      <c r="K48" s="93"/>
      <c r="O48" s="60"/>
      <c r="P48" s="61"/>
      <c r="Q48" s="62"/>
      <c r="R48" s="61"/>
      <c r="S48" s="62"/>
      <c r="T48" s="61"/>
      <c r="U48" s="62"/>
      <c r="V48" s="61"/>
      <c r="W48" s="62"/>
      <c r="X48" s="61"/>
      <c r="Y48" s="62"/>
      <c r="Z48" s="61"/>
      <c r="AA48" s="62"/>
    </row>
    <row r="49" spans="1:27" ht="16.5" customHeight="1">
      <c r="A49" s="580"/>
      <c r="B49" s="46"/>
      <c r="C49" s="415" t="s">
        <v>537</v>
      </c>
      <c r="D49" s="235"/>
      <c r="E49" s="86"/>
      <c r="F49" s="85"/>
      <c r="G49" s="306" t="s">
        <v>393</v>
      </c>
      <c r="H49" s="413">
        <v>186410400</v>
      </c>
      <c r="I49" s="414">
        <v>45791</v>
      </c>
      <c r="J49" s="85"/>
      <c r="K49" s="93"/>
      <c r="O49" s="60"/>
      <c r="P49" s="61"/>
      <c r="Q49" s="62"/>
      <c r="R49" s="61"/>
      <c r="S49" s="62"/>
      <c r="T49" s="61"/>
      <c r="U49" s="62"/>
      <c r="V49" s="61"/>
      <c r="W49" s="62"/>
      <c r="X49" s="61"/>
      <c r="Y49" s="62"/>
      <c r="Z49" s="61"/>
      <c r="AA49" s="62"/>
    </row>
    <row r="50" spans="1:27" ht="16.5" customHeight="1">
      <c r="A50" s="580"/>
      <c r="B50" s="46"/>
      <c r="C50" s="415"/>
      <c r="D50" s="235"/>
      <c r="E50" s="86"/>
      <c r="F50" s="85"/>
      <c r="G50" s="306"/>
      <c r="H50" s="309"/>
      <c r="I50" s="87"/>
      <c r="J50" s="85"/>
      <c r="K50" s="93"/>
      <c r="O50" s="60"/>
      <c r="P50" s="61"/>
      <c r="Q50" s="62"/>
      <c r="R50" s="61"/>
      <c r="S50" s="62"/>
      <c r="T50" s="61"/>
      <c r="U50" s="62"/>
      <c r="V50" s="61"/>
      <c r="W50" s="62"/>
      <c r="X50" s="61"/>
      <c r="Y50" s="62"/>
      <c r="Z50" s="61"/>
      <c r="AA50" s="62"/>
    </row>
    <row r="51" spans="1:27" ht="16.5" customHeight="1">
      <c r="A51" s="579"/>
      <c r="B51" s="613" t="s">
        <v>21</v>
      </c>
      <c r="C51" s="594"/>
      <c r="D51" s="595"/>
      <c r="E51" s="88"/>
      <c r="F51" s="94"/>
      <c r="G51" s="89"/>
      <c r="H51" s="88">
        <f>SUM(H40:H48)</f>
        <v>103213000</v>
      </c>
      <c r="I51" s="90"/>
      <c r="J51" s="89"/>
      <c r="K51" s="91"/>
      <c r="O51" s="60"/>
      <c r="P51" s="61"/>
      <c r="Q51" s="62"/>
      <c r="R51" s="61"/>
      <c r="S51" s="62"/>
      <c r="T51" s="61"/>
      <c r="U51" s="62"/>
      <c r="V51" s="61"/>
      <c r="W51" s="62"/>
      <c r="X51" s="61"/>
      <c r="Y51" s="62"/>
      <c r="Z51" s="61"/>
      <c r="AA51" s="62"/>
    </row>
    <row r="52" spans="1:27" ht="16.5" customHeight="1">
      <c r="A52" s="579"/>
      <c r="B52" s="625" t="s">
        <v>69</v>
      </c>
      <c r="C52" s="29" t="s">
        <v>106</v>
      </c>
      <c r="D52" s="85"/>
      <c r="E52" s="86">
        <f>예산!G88</f>
        <v>0</v>
      </c>
      <c r="F52" s="85"/>
      <c r="G52" s="85" t="s">
        <v>233</v>
      </c>
      <c r="H52" s="86"/>
      <c r="I52" s="87"/>
      <c r="J52" s="85"/>
      <c r="K52" s="93"/>
      <c r="O52" s="60"/>
      <c r="P52" s="61"/>
      <c r="Q52" s="62"/>
      <c r="R52" s="61"/>
      <c r="S52" s="62"/>
      <c r="T52" s="61"/>
      <c r="U52" s="62"/>
      <c r="V52" s="61"/>
      <c r="W52" s="62"/>
      <c r="X52" s="61"/>
      <c r="Y52" s="62"/>
      <c r="Z52" s="61"/>
      <c r="AA52" s="62"/>
    </row>
    <row r="53" spans="1:27" ht="16.5" customHeight="1">
      <c r="A53" s="579"/>
      <c r="B53" s="579"/>
      <c r="C53" s="11" t="s">
        <v>111</v>
      </c>
      <c r="D53" s="85"/>
      <c r="E53" s="86">
        <f>예산!G89</f>
        <v>0</v>
      </c>
      <c r="F53" s="85"/>
      <c r="G53" s="85" t="s">
        <v>233</v>
      </c>
      <c r="H53" s="86"/>
      <c r="I53" s="87"/>
      <c r="J53" s="85"/>
      <c r="K53" s="93"/>
      <c r="O53" s="60"/>
      <c r="P53" s="61"/>
      <c r="Q53" s="62"/>
      <c r="R53" s="61"/>
      <c r="S53" s="62"/>
      <c r="T53" s="61"/>
      <c r="U53" s="62"/>
      <c r="V53" s="61"/>
      <c r="W53" s="62"/>
      <c r="X53" s="61"/>
      <c r="Y53" s="62"/>
      <c r="Z53" s="61"/>
      <c r="AA53" s="62"/>
    </row>
    <row r="54" spans="1:27" ht="16.5" customHeight="1">
      <c r="A54" s="579"/>
      <c r="B54" s="581"/>
      <c r="C54" s="11" t="s">
        <v>113</v>
      </c>
      <c r="D54" s="85"/>
      <c r="E54" s="86"/>
      <c r="F54" s="85"/>
      <c r="G54" s="85" t="s">
        <v>233</v>
      </c>
      <c r="H54" s="86"/>
      <c r="I54" s="87"/>
      <c r="J54" s="85"/>
      <c r="K54" s="93"/>
      <c r="O54" s="60"/>
      <c r="P54" s="61"/>
      <c r="Q54" s="62"/>
      <c r="R54" s="61"/>
      <c r="S54" s="62"/>
      <c r="T54" s="61"/>
      <c r="U54" s="62"/>
      <c r="V54" s="61"/>
      <c r="W54" s="62"/>
      <c r="X54" s="61"/>
      <c r="Y54" s="62"/>
      <c r="Z54" s="61"/>
      <c r="AA54" s="62"/>
    </row>
    <row r="55" spans="1:27" ht="16.5" customHeight="1">
      <c r="A55" s="581"/>
      <c r="B55" s="613" t="s">
        <v>21</v>
      </c>
      <c r="C55" s="594"/>
      <c r="D55" s="595"/>
      <c r="E55" s="88"/>
      <c r="F55" s="89"/>
      <c r="G55" s="89"/>
      <c r="H55" s="95">
        <f>SUM(H52:H54)</f>
        <v>0</v>
      </c>
      <c r="I55" s="90"/>
      <c r="J55" s="89"/>
      <c r="K55" s="91"/>
      <c r="O55" s="60"/>
      <c r="P55" s="61"/>
      <c r="Q55" s="62"/>
      <c r="R55" s="61"/>
      <c r="S55" s="62"/>
      <c r="T55" s="61"/>
      <c r="U55" s="62"/>
      <c r="V55" s="61"/>
      <c r="W55" s="62"/>
      <c r="X55" s="61"/>
      <c r="Y55" s="62"/>
      <c r="Z55" s="61"/>
      <c r="AA55" s="62"/>
    </row>
    <row r="56" spans="1:27" ht="16.5" customHeight="1" thickBot="1">
      <c r="A56" s="629" t="s">
        <v>254</v>
      </c>
      <c r="B56" s="594"/>
      <c r="C56" s="96">
        <f>예산!G67</f>
        <v>1153590740</v>
      </c>
      <c r="D56" s="97"/>
      <c r="E56" s="98"/>
      <c r="F56" s="99"/>
      <c r="G56" s="100"/>
      <c r="H56" s="101">
        <f>H51+H55</f>
        <v>103213000</v>
      </c>
      <c r="I56" s="648"/>
      <c r="J56" s="595"/>
      <c r="K56" s="102">
        <f>H56/C56</f>
        <v>8.947107186383968E-2</v>
      </c>
      <c r="O56" s="60"/>
      <c r="P56" s="61"/>
      <c r="Q56" s="62"/>
      <c r="R56" s="61"/>
      <c r="S56" s="62"/>
      <c r="T56" s="61"/>
      <c r="U56" s="62"/>
      <c r="V56" s="61"/>
      <c r="W56" s="62"/>
      <c r="X56" s="61"/>
      <c r="Y56" s="62"/>
      <c r="Z56" s="61"/>
      <c r="AA56" s="62"/>
    </row>
    <row r="57" spans="1:27" ht="16.5" customHeight="1">
      <c r="A57" s="630" t="s">
        <v>71</v>
      </c>
      <c r="B57" s="411" t="s">
        <v>274</v>
      </c>
      <c r="C57" s="103" t="s">
        <v>554</v>
      </c>
      <c r="D57" s="85"/>
      <c r="E57" s="86"/>
      <c r="F57" s="85"/>
      <c r="G57" s="306"/>
      <c r="H57" s="413">
        <v>2332000</v>
      </c>
      <c r="I57" s="414">
        <v>45989</v>
      </c>
      <c r="J57" s="85"/>
      <c r="K57" s="93"/>
      <c r="O57" s="60"/>
      <c r="P57" s="61"/>
      <c r="Q57" s="62"/>
      <c r="R57" s="61"/>
      <c r="S57" s="62"/>
      <c r="T57" s="61"/>
      <c r="U57" s="62"/>
      <c r="V57" s="61"/>
      <c r="W57" s="62"/>
      <c r="X57" s="61"/>
      <c r="Y57" s="62"/>
      <c r="Z57" s="61"/>
      <c r="AA57" s="62"/>
    </row>
    <row r="58" spans="1:27" ht="16.5" customHeight="1">
      <c r="A58" s="631"/>
      <c r="B58" s="402"/>
      <c r="C58" s="103" t="s">
        <v>553</v>
      </c>
      <c r="D58" s="85"/>
      <c r="E58" s="86"/>
      <c r="F58" s="85"/>
      <c r="G58" s="306"/>
      <c r="H58" s="413">
        <v>3168000</v>
      </c>
      <c r="I58" s="414">
        <v>45985</v>
      </c>
      <c r="J58" s="85"/>
      <c r="K58" s="93"/>
      <c r="O58" s="60"/>
      <c r="P58" s="61"/>
      <c r="Q58" s="62"/>
      <c r="R58" s="61"/>
      <c r="S58" s="62"/>
      <c r="T58" s="61"/>
      <c r="U58" s="62"/>
      <c r="V58" s="61"/>
      <c r="W58" s="62"/>
      <c r="X58" s="61"/>
      <c r="Y58" s="62"/>
      <c r="Z58" s="61"/>
      <c r="AA58" s="62"/>
    </row>
    <row r="59" spans="1:27" ht="16.5" customHeight="1">
      <c r="A59" s="631"/>
      <c r="B59" s="402"/>
      <c r="C59" s="92" t="s">
        <v>552</v>
      </c>
      <c r="D59" s="85"/>
      <c r="E59" s="86"/>
      <c r="F59" s="85"/>
      <c r="G59" s="306"/>
      <c r="H59" s="413">
        <v>33500</v>
      </c>
      <c r="I59" s="414">
        <v>45982</v>
      </c>
      <c r="J59" s="85"/>
      <c r="K59" s="93"/>
      <c r="O59" s="60"/>
      <c r="P59" s="61"/>
      <c r="Q59" s="62"/>
      <c r="R59" s="61"/>
      <c r="S59" s="62"/>
      <c r="T59" s="61"/>
      <c r="U59" s="62"/>
      <c r="V59" s="61"/>
      <c r="W59" s="62"/>
      <c r="X59" s="61"/>
      <c r="Y59" s="62"/>
      <c r="Z59" s="61"/>
      <c r="AA59" s="62"/>
    </row>
    <row r="60" spans="1:27" ht="16.5" customHeight="1">
      <c r="A60" s="631"/>
      <c r="B60" s="250"/>
      <c r="C60" s="92" t="s">
        <v>551</v>
      </c>
      <c r="D60" s="85"/>
      <c r="E60" s="86"/>
      <c r="F60" s="85"/>
      <c r="G60" s="85"/>
      <c r="H60" s="413">
        <v>1873300</v>
      </c>
      <c r="I60" s="414">
        <v>45981</v>
      </c>
      <c r="J60" s="85"/>
      <c r="K60" s="93"/>
      <c r="O60" s="60"/>
      <c r="P60" s="61"/>
      <c r="Q60" s="62"/>
      <c r="R60" s="61"/>
      <c r="S60" s="62"/>
      <c r="T60" s="61"/>
      <c r="U60" s="62"/>
      <c r="V60" s="61"/>
      <c r="W60" s="62"/>
      <c r="X60" s="61"/>
      <c r="Y60" s="62"/>
      <c r="Z60" s="61"/>
      <c r="AA60" s="62"/>
    </row>
    <row r="61" spans="1:27" ht="16.5" customHeight="1">
      <c r="A61" s="631"/>
      <c r="B61" s="421" t="s">
        <v>259</v>
      </c>
      <c r="C61" s="416" t="s">
        <v>550</v>
      </c>
      <c r="D61" s="85"/>
      <c r="E61" s="86"/>
      <c r="F61" s="85"/>
      <c r="G61" s="85"/>
      <c r="H61" s="413">
        <v>5676000</v>
      </c>
      <c r="I61" s="414">
        <v>45944</v>
      </c>
      <c r="J61" s="85"/>
      <c r="K61" s="93"/>
      <c r="O61" s="60"/>
      <c r="P61" s="61"/>
      <c r="Q61" s="62"/>
      <c r="R61" s="61"/>
      <c r="S61" s="62"/>
      <c r="T61" s="61"/>
      <c r="U61" s="62"/>
      <c r="V61" s="61"/>
      <c r="W61" s="62"/>
      <c r="X61" s="61"/>
      <c r="Y61" s="62"/>
      <c r="Z61" s="61"/>
      <c r="AA61" s="62"/>
    </row>
    <row r="62" spans="1:27" ht="16.5" customHeight="1">
      <c r="A62" s="631"/>
      <c r="B62" s="422"/>
      <c r="C62" s="417" t="s">
        <v>549</v>
      </c>
      <c r="D62" s="85"/>
      <c r="E62" s="86"/>
      <c r="F62" s="85"/>
      <c r="G62" s="306"/>
      <c r="H62" s="413">
        <v>1155000</v>
      </c>
      <c r="I62" s="414">
        <v>45932</v>
      </c>
      <c r="J62" s="85"/>
      <c r="K62" s="93"/>
      <c r="O62" s="60"/>
      <c r="P62" s="61"/>
      <c r="Q62" s="62"/>
      <c r="R62" s="61"/>
      <c r="S62" s="62"/>
      <c r="T62" s="61"/>
      <c r="U62" s="62"/>
      <c r="V62" s="61"/>
      <c r="W62" s="62"/>
      <c r="X62" s="61"/>
      <c r="Y62" s="62"/>
      <c r="Z62" s="61"/>
      <c r="AA62" s="62"/>
    </row>
    <row r="63" spans="1:27" ht="16.5" customHeight="1">
      <c r="A63" s="631"/>
      <c r="B63" s="422"/>
      <c r="C63" s="418" t="s">
        <v>547</v>
      </c>
      <c r="D63" s="85"/>
      <c r="E63" s="86"/>
      <c r="F63" s="85"/>
      <c r="G63" s="252"/>
      <c r="H63" s="413">
        <v>1925000</v>
      </c>
      <c r="I63" s="414">
        <v>45932</v>
      </c>
      <c r="J63" s="236"/>
      <c r="K63" s="93"/>
      <c r="O63" s="60"/>
      <c r="P63" s="61"/>
      <c r="Q63" s="62"/>
      <c r="R63" s="61"/>
      <c r="S63" s="62"/>
      <c r="T63" s="61"/>
      <c r="U63" s="62"/>
      <c r="V63" s="61"/>
      <c r="W63" s="62"/>
      <c r="X63" s="61"/>
      <c r="Y63" s="62"/>
      <c r="Z63" s="61"/>
      <c r="AA63" s="62"/>
    </row>
    <row r="64" spans="1:27" ht="16.5" customHeight="1">
      <c r="A64" s="631"/>
      <c r="B64" s="422"/>
      <c r="C64" s="419" t="s">
        <v>548</v>
      </c>
      <c r="D64" s="235"/>
      <c r="E64" s="86"/>
      <c r="F64" s="85"/>
      <c r="G64" s="252"/>
      <c r="H64" s="413">
        <v>643500</v>
      </c>
      <c r="I64" s="414">
        <v>45932</v>
      </c>
      <c r="J64" s="237"/>
      <c r="K64" s="311"/>
      <c r="O64" s="60"/>
      <c r="P64" s="61"/>
      <c r="Q64" s="62"/>
      <c r="R64" s="61"/>
      <c r="S64" s="62"/>
      <c r="T64" s="61"/>
      <c r="U64" s="62"/>
      <c r="V64" s="61"/>
      <c r="W64" s="62"/>
      <c r="X64" s="61"/>
      <c r="Y64" s="62"/>
      <c r="Z64" s="61"/>
      <c r="AA64" s="62"/>
    </row>
    <row r="65" spans="1:27" ht="16.5" customHeight="1">
      <c r="A65" s="631"/>
      <c r="B65" s="422"/>
      <c r="C65" s="419" t="s">
        <v>544</v>
      </c>
      <c r="D65" s="235"/>
      <c r="E65" s="86"/>
      <c r="F65" s="85"/>
      <c r="G65" s="252"/>
      <c r="H65" s="413">
        <v>822250</v>
      </c>
      <c r="I65" s="414">
        <v>45932</v>
      </c>
      <c r="J65" s="237"/>
      <c r="K65" s="311"/>
      <c r="O65" s="60"/>
      <c r="P65" s="61"/>
      <c r="Q65" s="62"/>
      <c r="R65" s="61"/>
      <c r="S65" s="62"/>
      <c r="T65" s="61"/>
      <c r="U65" s="62"/>
      <c r="V65" s="61"/>
      <c r="W65" s="62"/>
      <c r="X65" s="61"/>
      <c r="Y65" s="62"/>
      <c r="Z65" s="61"/>
      <c r="AA65" s="62"/>
    </row>
    <row r="66" spans="1:27" ht="16.5" customHeight="1">
      <c r="A66" s="631"/>
      <c r="B66" s="422"/>
      <c r="C66" s="419" t="s">
        <v>545</v>
      </c>
      <c r="D66" s="235"/>
      <c r="E66" s="86"/>
      <c r="F66" s="85"/>
      <c r="G66" s="252"/>
      <c r="H66" s="413">
        <v>2332000</v>
      </c>
      <c r="I66" s="414">
        <v>45930</v>
      </c>
      <c r="J66" s="237"/>
      <c r="K66" s="311"/>
      <c r="O66" s="60"/>
      <c r="P66" s="61"/>
      <c r="Q66" s="62"/>
      <c r="R66" s="61"/>
      <c r="S66" s="62"/>
      <c r="T66" s="61"/>
      <c r="U66" s="62"/>
      <c r="V66" s="61"/>
      <c r="W66" s="62"/>
      <c r="X66" s="61"/>
      <c r="Y66" s="62"/>
      <c r="Z66" s="61"/>
      <c r="AA66" s="62"/>
    </row>
    <row r="67" spans="1:27" ht="16.5" customHeight="1">
      <c r="A67" s="631"/>
      <c r="B67" s="422"/>
      <c r="C67" s="419" t="s">
        <v>546</v>
      </c>
      <c r="D67" s="235"/>
      <c r="E67" s="86"/>
      <c r="F67" s="85"/>
      <c r="G67" s="252"/>
      <c r="H67" s="413">
        <v>1496000</v>
      </c>
      <c r="I67" s="414">
        <v>45930</v>
      </c>
      <c r="J67" s="237"/>
      <c r="K67" s="311"/>
      <c r="O67" s="60"/>
      <c r="P67" s="61"/>
      <c r="Q67" s="62"/>
      <c r="R67" s="61"/>
      <c r="S67" s="62"/>
      <c r="T67" s="61"/>
      <c r="U67" s="62"/>
      <c r="V67" s="61"/>
      <c r="W67" s="62"/>
      <c r="X67" s="61"/>
      <c r="Y67" s="62"/>
      <c r="Z67" s="61"/>
      <c r="AA67" s="62"/>
    </row>
    <row r="68" spans="1:27" ht="16.5" customHeight="1">
      <c r="A68" s="631"/>
      <c r="B68" s="422"/>
      <c r="C68" s="419" t="s">
        <v>547</v>
      </c>
      <c r="D68" s="235"/>
      <c r="E68" s="86"/>
      <c r="F68" s="85"/>
      <c r="G68" s="252"/>
      <c r="H68" s="413">
        <v>1531200</v>
      </c>
      <c r="I68" s="414">
        <v>45917</v>
      </c>
      <c r="J68" s="237"/>
      <c r="K68" s="311"/>
      <c r="O68" s="60"/>
      <c r="P68" s="61"/>
      <c r="Q68" s="62"/>
      <c r="R68" s="61"/>
      <c r="S68" s="62"/>
      <c r="T68" s="61"/>
      <c r="U68" s="62"/>
      <c r="V68" s="61"/>
      <c r="W68" s="62"/>
      <c r="X68" s="61"/>
      <c r="Y68" s="62"/>
      <c r="Z68" s="61"/>
      <c r="AA68" s="62"/>
    </row>
    <row r="69" spans="1:27" ht="16.5" customHeight="1">
      <c r="A69" s="631"/>
      <c r="B69" s="422"/>
      <c r="C69" s="419" t="s">
        <v>542</v>
      </c>
      <c r="D69" s="235"/>
      <c r="E69" s="86"/>
      <c r="F69" s="85"/>
      <c r="G69" s="252"/>
      <c r="H69" s="413">
        <v>8288500</v>
      </c>
      <c r="I69" s="414">
        <v>45917</v>
      </c>
      <c r="J69" s="237"/>
      <c r="K69" s="311"/>
      <c r="O69" s="60"/>
      <c r="P69" s="61"/>
      <c r="Q69" s="62"/>
      <c r="R69" s="61"/>
      <c r="S69" s="62"/>
      <c r="T69" s="61"/>
      <c r="U69" s="62"/>
      <c r="V69" s="61"/>
      <c r="W69" s="62"/>
      <c r="X69" s="61"/>
      <c r="Y69" s="62"/>
      <c r="Z69" s="61"/>
      <c r="AA69" s="62"/>
    </row>
    <row r="70" spans="1:27" ht="16.5" customHeight="1">
      <c r="A70" s="631"/>
      <c r="B70" s="422"/>
      <c r="C70" s="419" t="s">
        <v>543</v>
      </c>
      <c r="D70" s="235"/>
      <c r="E70" s="86"/>
      <c r="F70" s="85"/>
      <c r="G70" s="252"/>
      <c r="H70" s="413">
        <v>935000</v>
      </c>
      <c r="I70" s="414">
        <v>45917</v>
      </c>
      <c r="J70" s="237"/>
      <c r="K70" s="311"/>
      <c r="O70" s="60"/>
      <c r="P70" s="61"/>
      <c r="Q70" s="62"/>
      <c r="R70" s="61"/>
      <c r="S70" s="62"/>
      <c r="T70" s="61"/>
      <c r="U70" s="62"/>
      <c r="V70" s="61"/>
      <c r="W70" s="62"/>
      <c r="X70" s="61"/>
      <c r="Y70" s="62"/>
      <c r="Z70" s="61"/>
      <c r="AA70" s="62"/>
    </row>
    <row r="71" spans="1:27" ht="16.5" customHeight="1">
      <c r="A71" s="631"/>
      <c r="B71" s="422"/>
      <c r="C71" s="419" t="s">
        <v>541</v>
      </c>
      <c r="D71" s="235"/>
      <c r="E71" s="86"/>
      <c r="F71" s="85"/>
      <c r="G71" s="252"/>
      <c r="H71" s="413">
        <v>10164000</v>
      </c>
      <c r="I71" s="414">
        <v>45869</v>
      </c>
      <c r="J71" s="237"/>
      <c r="K71" s="311"/>
      <c r="O71" s="60"/>
      <c r="P71" s="61"/>
      <c r="Q71" s="62"/>
      <c r="R71" s="61"/>
      <c r="S71" s="62"/>
      <c r="T71" s="61"/>
      <c r="U71" s="62"/>
      <c r="V71" s="61"/>
      <c r="W71" s="62"/>
      <c r="X71" s="61"/>
      <c r="Y71" s="62"/>
      <c r="Z71" s="61"/>
      <c r="AA71" s="62"/>
    </row>
    <row r="72" spans="1:27" ht="16.5" customHeight="1">
      <c r="A72" s="631"/>
      <c r="B72" s="422"/>
      <c r="C72" s="419" t="s">
        <v>540</v>
      </c>
      <c r="D72" s="235"/>
      <c r="E72" s="86"/>
      <c r="F72" s="85"/>
      <c r="G72" s="252"/>
      <c r="H72" s="413">
        <v>4219509</v>
      </c>
      <c r="I72" s="414">
        <v>45862</v>
      </c>
      <c r="J72" s="237"/>
      <c r="K72" s="311"/>
      <c r="O72" s="60"/>
      <c r="P72" s="61"/>
      <c r="Q72" s="62"/>
      <c r="R72" s="61"/>
      <c r="S72" s="62"/>
      <c r="T72" s="61"/>
      <c r="U72" s="62"/>
      <c r="V72" s="61"/>
      <c r="W72" s="62"/>
      <c r="X72" s="61"/>
      <c r="Y72" s="62"/>
      <c r="Z72" s="61"/>
      <c r="AA72" s="62"/>
    </row>
    <row r="73" spans="1:27" ht="16.5" customHeight="1">
      <c r="A73" s="631"/>
      <c r="B73" s="422"/>
      <c r="C73" s="419" t="s">
        <v>539</v>
      </c>
      <c r="D73" s="235"/>
      <c r="E73" s="86"/>
      <c r="F73" s="85"/>
      <c r="G73" s="252"/>
      <c r="H73" s="413">
        <v>1320000</v>
      </c>
      <c r="I73" s="414">
        <v>45818</v>
      </c>
      <c r="J73" s="237"/>
      <c r="K73" s="311"/>
      <c r="O73" s="60"/>
      <c r="P73" s="61"/>
      <c r="Q73" s="62"/>
      <c r="R73" s="61"/>
      <c r="S73" s="62"/>
      <c r="T73" s="61"/>
      <c r="U73" s="62"/>
      <c r="V73" s="61"/>
      <c r="W73" s="62"/>
      <c r="X73" s="61"/>
      <c r="Y73" s="62"/>
      <c r="Z73" s="61"/>
      <c r="AA73" s="62"/>
    </row>
    <row r="74" spans="1:27" ht="16.5" customHeight="1">
      <c r="A74" s="631"/>
      <c r="B74" s="422"/>
      <c r="C74" s="419" t="s">
        <v>538</v>
      </c>
      <c r="D74" s="235"/>
      <c r="E74" s="86"/>
      <c r="F74" s="85"/>
      <c r="G74" s="252"/>
      <c r="H74" s="413">
        <v>19250000</v>
      </c>
      <c r="I74" s="414">
        <v>45806</v>
      </c>
      <c r="J74" s="237"/>
      <c r="K74" s="311"/>
      <c r="O74" s="60"/>
      <c r="P74" s="61"/>
      <c r="Q74" s="62"/>
      <c r="R74" s="61"/>
      <c r="S74" s="62"/>
      <c r="T74" s="61"/>
      <c r="U74" s="62"/>
      <c r="V74" s="61"/>
      <c r="W74" s="62"/>
      <c r="X74" s="61"/>
      <c r="Y74" s="62"/>
      <c r="Z74" s="61"/>
      <c r="AA74" s="62"/>
    </row>
    <row r="75" spans="1:27" ht="16.5" customHeight="1" thickBot="1">
      <c r="A75" s="632"/>
      <c r="B75" s="423"/>
      <c r="C75" s="420"/>
      <c r="D75" s="235"/>
      <c r="E75" s="86"/>
      <c r="F75" s="85"/>
      <c r="G75" s="252"/>
      <c r="H75" s="263"/>
      <c r="I75" s="279"/>
      <c r="J75" s="237"/>
      <c r="K75" s="311"/>
      <c r="O75" s="60"/>
      <c r="P75" s="61"/>
      <c r="Q75" s="62"/>
      <c r="R75" s="61"/>
      <c r="S75" s="62"/>
      <c r="T75" s="61"/>
      <c r="U75" s="62"/>
      <c r="V75" s="61"/>
      <c r="W75" s="62"/>
      <c r="X75" s="61"/>
      <c r="Y75" s="62"/>
      <c r="Z75" s="61"/>
      <c r="AA75" s="62"/>
    </row>
    <row r="76" spans="1:27" ht="16.5" customHeight="1">
      <c r="A76" s="629" t="s">
        <v>261</v>
      </c>
      <c r="B76" s="628"/>
      <c r="C76" s="424">
        <f>예산!G98</f>
        <v>72251459</v>
      </c>
      <c r="D76" s="425"/>
      <c r="E76" s="108"/>
      <c r="F76" s="109"/>
      <c r="G76" s="110"/>
      <c r="H76" s="426">
        <f>SUM(H57:H75)</f>
        <v>67164759</v>
      </c>
      <c r="I76" s="709"/>
      <c r="J76" s="710"/>
      <c r="K76" s="427">
        <f>H76/C76</f>
        <v>0.92959726944752774</v>
      </c>
      <c r="O76" s="60"/>
      <c r="P76" s="61"/>
      <c r="Q76" s="62"/>
      <c r="R76" s="61"/>
      <c r="S76" s="62"/>
      <c r="T76" s="61"/>
      <c r="U76" s="62"/>
      <c r="V76" s="61"/>
      <c r="W76" s="62"/>
      <c r="X76" s="61"/>
      <c r="Y76" s="62"/>
      <c r="Z76" s="61"/>
      <c r="AA76" s="62"/>
    </row>
    <row r="77" spans="1:27" ht="16.5" customHeight="1">
      <c r="A77" s="630" t="s">
        <v>83</v>
      </c>
      <c r="B77" s="237"/>
      <c r="C77" s="435" t="s">
        <v>603</v>
      </c>
      <c r="D77" s="237"/>
      <c r="E77" s="263"/>
      <c r="F77" s="237"/>
      <c r="G77" s="237" t="s">
        <v>393</v>
      </c>
      <c r="H77" s="413">
        <v>5500000</v>
      </c>
      <c r="I77" s="414">
        <v>45785</v>
      </c>
      <c r="J77" s="237"/>
      <c r="K77" s="280"/>
      <c r="O77" s="60"/>
      <c r="P77" s="61"/>
      <c r="Q77" s="62"/>
      <c r="R77" s="61"/>
      <c r="S77" s="62"/>
      <c r="T77" s="61"/>
      <c r="U77" s="62"/>
      <c r="V77" s="61"/>
      <c r="W77" s="62"/>
      <c r="X77" s="61"/>
      <c r="Y77" s="62"/>
      <c r="Z77" s="61"/>
      <c r="AA77" s="62"/>
    </row>
    <row r="78" spans="1:27" ht="16.5" customHeight="1">
      <c r="A78" s="589"/>
      <c r="B78" s="237"/>
      <c r="C78" s="435" t="s">
        <v>602</v>
      </c>
      <c r="D78" s="237"/>
      <c r="E78" s="263"/>
      <c r="F78" s="237"/>
      <c r="G78" s="237" t="s">
        <v>393</v>
      </c>
      <c r="H78" s="413">
        <v>1000000</v>
      </c>
      <c r="I78" s="414">
        <v>45800</v>
      </c>
      <c r="J78" s="237"/>
      <c r="K78" s="280"/>
      <c r="O78" s="60"/>
      <c r="P78" s="61"/>
      <c r="Q78" s="62"/>
      <c r="R78" s="61"/>
      <c r="S78" s="62"/>
      <c r="T78" s="61"/>
      <c r="U78" s="62"/>
      <c r="V78" s="61"/>
      <c r="W78" s="62"/>
      <c r="X78" s="61"/>
      <c r="Y78" s="62"/>
      <c r="Z78" s="61"/>
      <c r="AA78" s="62"/>
    </row>
    <row r="79" spans="1:27" ht="16.5" customHeight="1">
      <c r="A79" s="589"/>
      <c r="B79" s="237"/>
      <c r="C79" s="435" t="s">
        <v>601</v>
      </c>
      <c r="D79" s="237"/>
      <c r="E79" s="263"/>
      <c r="F79" s="237"/>
      <c r="G79" s="237" t="s">
        <v>393</v>
      </c>
      <c r="H79" s="413">
        <v>12743500</v>
      </c>
      <c r="I79" s="414">
        <v>45805</v>
      </c>
      <c r="J79" s="237"/>
      <c r="K79" s="280"/>
      <c r="O79" s="60"/>
      <c r="P79" s="61"/>
      <c r="Q79" s="62"/>
      <c r="R79" s="61"/>
      <c r="S79" s="62"/>
      <c r="T79" s="61"/>
      <c r="U79" s="62"/>
      <c r="V79" s="61"/>
      <c r="W79" s="62"/>
      <c r="X79" s="61"/>
      <c r="Y79" s="62"/>
      <c r="Z79" s="61"/>
      <c r="AA79" s="62"/>
    </row>
    <row r="80" spans="1:27" ht="16.5" customHeight="1">
      <c r="A80" s="589"/>
      <c r="B80" s="237"/>
      <c r="C80" s="435" t="s">
        <v>600</v>
      </c>
      <c r="D80" s="237"/>
      <c r="E80" s="263"/>
      <c r="F80" s="237"/>
      <c r="G80" s="218" t="s">
        <v>364</v>
      </c>
      <c r="H80" s="413">
        <v>18480000</v>
      </c>
      <c r="I80" s="414">
        <v>45813</v>
      </c>
      <c r="J80" s="237"/>
      <c r="K80" s="280"/>
      <c r="O80" s="60"/>
      <c r="P80" s="61"/>
      <c r="Q80" s="62"/>
      <c r="R80" s="61"/>
      <c r="S80" s="62"/>
      <c r="T80" s="61"/>
      <c r="U80" s="62"/>
      <c r="V80" s="61"/>
      <c r="W80" s="62"/>
      <c r="X80" s="61"/>
      <c r="Y80" s="62"/>
      <c r="Z80" s="61"/>
      <c r="AA80" s="62"/>
    </row>
    <row r="81" spans="1:27" ht="16.5" customHeight="1">
      <c r="A81" s="589"/>
      <c r="B81" s="237"/>
      <c r="C81" s="435" t="s">
        <v>599</v>
      </c>
      <c r="D81" s="261"/>
      <c r="E81" s="261"/>
      <c r="F81" s="261"/>
      <c r="G81" s="218" t="s">
        <v>364</v>
      </c>
      <c r="H81" s="413">
        <v>1000000</v>
      </c>
      <c r="I81" s="414">
        <v>45819</v>
      </c>
      <c r="J81" s="237"/>
      <c r="K81" s="280"/>
      <c r="O81" s="60"/>
      <c r="P81" s="61"/>
      <c r="Q81" s="62"/>
      <c r="R81" s="61"/>
      <c r="S81" s="62"/>
      <c r="T81" s="61"/>
      <c r="U81" s="62"/>
      <c r="V81" s="61"/>
      <c r="W81" s="62"/>
      <c r="X81" s="61"/>
      <c r="Y81" s="62"/>
      <c r="Z81" s="61"/>
      <c r="AA81" s="62"/>
    </row>
    <row r="82" spans="1:27" ht="16.5" customHeight="1">
      <c r="A82" s="589"/>
      <c r="B82" s="237"/>
      <c r="C82" s="435" t="s">
        <v>598</v>
      </c>
      <c r="D82" s="261"/>
      <c r="E82" s="261"/>
      <c r="F82" s="261"/>
      <c r="G82" s="237" t="s">
        <v>364</v>
      </c>
      <c r="H82" s="413">
        <v>230000000</v>
      </c>
      <c r="I82" s="414">
        <v>45833</v>
      </c>
      <c r="J82" s="237"/>
      <c r="K82" s="280"/>
      <c r="O82" s="60"/>
      <c r="P82" s="61"/>
      <c r="Q82" s="62"/>
      <c r="R82" s="61"/>
      <c r="S82" s="62"/>
      <c r="T82" s="61"/>
      <c r="U82" s="62"/>
      <c r="V82" s="61"/>
      <c r="W82" s="62"/>
      <c r="X82" s="61"/>
      <c r="Y82" s="62"/>
      <c r="Z82" s="61"/>
      <c r="AA82" s="62"/>
    </row>
    <row r="83" spans="1:27" ht="16.5" customHeight="1">
      <c r="A83" s="589"/>
      <c r="B83" s="237"/>
      <c r="C83" s="435" t="s">
        <v>597</v>
      </c>
      <c r="D83" s="261"/>
      <c r="E83" s="261"/>
      <c r="F83" s="261"/>
      <c r="G83" s="237" t="s">
        <v>364</v>
      </c>
      <c r="H83" s="413">
        <v>5000000</v>
      </c>
      <c r="I83" s="414">
        <v>45838</v>
      </c>
      <c r="J83" s="237"/>
      <c r="K83" s="280"/>
      <c r="O83" s="60"/>
      <c r="P83" s="61"/>
      <c r="Q83" s="62"/>
      <c r="R83" s="61"/>
      <c r="S83" s="62"/>
      <c r="T83" s="61"/>
      <c r="U83" s="62"/>
      <c r="V83" s="61"/>
      <c r="W83" s="62"/>
      <c r="X83" s="61"/>
      <c r="Y83" s="62"/>
      <c r="Z83" s="61"/>
      <c r="AA83" s="62"/>
    </row>
    <row r="84" spans="1:27" ht="16.5" customHeight="1">
      <c r="A84" s="589"/>
      <c r="B84" s="237"/>
      <c r="C84" s="435" t="s">
        <v>596</v>
      </c>
      <c r="D84" s="261"/>
      <c r="E84" s="261"/>
      <c r="F84" s="261"/>
      <c r="G84" s="237" t="s">
        <v>368</v>
      </c>
      <c r="H84" s="413">
        <v>5800000</v>
      </c>
      <c r="I84" s="414">
        <v>45853</v>
      </c>
      <c r="J84" s="237"/>
      <c r="K84" s="280"/>
      <c r="O84" s="60"/>
      <c r="P84" s="61"/>
      <c r="Q84" s="62"/>
      <c r="R84" s="61"/>
      <c r="S84" s="62"/>
      <c r="T84" s="61"/>
      <c r="U84" s="62"/>
      <c r="V84" s="61"/>
      <c r="W84" s="62"/>
      <c r="X84" s="61"/>
      <c r="Y84" s="62"/>
      <c r="Z84" s="61"/>
      <c r="AA84" s="62"/>
    </row>
    <row r="85" spans="1:27" ht="16.5" customHeight="1">
      <c r="A85" s="589"/>
      <c r="B85" s="237"/>
      <c r="C85" s="435" t="s">
        <v>593</v>
      </c>
      <c r="D85" s="237"/>
      <c r="E85" s="263"/>
      <c r="F85" s="237"/>
      <c r="G85" s="237" t="s">
        <v>368</v>
      </c>
      <c r="H85" s="413">
        <v>2300000</v>
      </c>
      <c r="I85" s="414">
        <v>45856</v>
      </c>
      <c r="J85" s="237"/>
      <c r="K85" s="280"/>
      <c r="O85" s="60"/>
      <c r="P85" s="61"/>
      <c r="Q85" s="62"/>
      <c r="R85" s="61"/>
      <c r="S85" s="62"/>
      <c r="T85" s="61"/>
      <c r="U85" s="62"/>
      <c r="V85" s="61"/>
      <c r="W85" s="62"/>
      <c r="X85" s="61"/>
      <c r="Y85" s="62"/>
      <c r="Z85" s="61"/>
      <c r="AA85" s="62"/>
    </row>
    <row r="86" spans="1:27" ht="16.5" customHeight="1">
      <c r="A86" s="589"/>
      <c r="B86" s="237"/>
      <c r="C86" s="435" t="s">
        <v>593</v>
      </c>
      <c r="D86" s="237"/>
      <c r="E86" s="263"/>
      <c r="F86" s="237"/>
      <c r="G86" s="237" t="s">
        <v>368</v>
      </c>
      <c r="H86" s="413">
        <v>3300000</v>
      </c>
      <c r="I86" s="414">
        <v>45856</v>
      </c>
      <c r="J86" s="237"/>
      <c r="K86" s="280"/>
      <c r="O86" s="60"/>
      <c r="P86" s="61"/>
      <c r="Q86" s="62"/>
      <c r="R86" s="61"/>
      <c r="S86" s="62"/>
      <c r="T86" s="61"/>
      <c r="U86" s="62"/>
      <c r="V86" s="61"/>
      <c r="W86" s="62"/>
      <c r="X86" s="61"/>
      <c r="Y86" s="62"/>
      <c r="Z86" s="61"/>
      <c r="AA86" s="62"/>
    </row>
    <row r="87" spans="1:27" ht="16.5" customHeight="1">
      <c r="A87" s="589"/>
      <c r="B87" s="237"/>
      <c r="C87" s="435" t="s">
        <v>593</v>
      </c>
      <c r="D87" s="237"/>
      <c r="E87" s="263"/>
      <c r="F87" s="237"/>
      <c r="G87" s="237" t="s">
        <v>368</v>
      </c>
      <c r="H87" s="413">
        <v>3300000</v>
      </c>
      <c r="I87" s="414">
        <v>45856</v>
      </c>
      <c r="J87" s="237"/>
      <c r="K87" s="280"/>
      <c r="O87" s="60"/>
      <c r="P87" s="61"/>
      <c r="Q87" s="62"/>
      <c r="R87" s="61"/>
      <c r="S87" s="62"/>
      <c r="T87" s="61"/>
      <c r="U87" s="62"/>
      <c r="V87" s="61"/>
      <c r="W87" s="62"/>
      <c r="X87" s="61"/>
      <c r="Y87" s="62"/>
      <c r="Z87" s="61"/>
      <c r="AA87" s="62"/>
    </row>
    <row r="88" spans="1:27" ht="16.5" customHeight="1">
      <c r="A88" s="589"/>
      <c r="B88" s="237"/>
      <c r="C88" s="435" t="s">
        <v>594</v>
      </c>
      <c r="D88" s="237"/>
      <c r="E88" s="263"/>
      <c r="F88" s="237"/>
      <c r="G88" s="237" t="s">
        <v>368</v>
      </c>
      <c r="H88" s="413">
        <v>800000</v>
      </c>
      <c r="I88" s="414">
        <v>45856</v>
      </c>
      <c r="J88" s="237"/>
      <c r="K88" s="280"/>
      <c r="O88" s="60"/>
      <c r="P88" s="61"/>
      <c r="Q88" s="62"/>
      <c r="R88" s="61"/>
      <c r="S88" s="62"/>
      <c r="T88" s="61"/>
      <c r="U88" s="62"/>
      <c r="V88" s="61"/>
      <c r="W88" s="62"/>
      <c r="X88" s="61"/>
      <c r="Y88" s="62"/>
      <c r="Z88" s="61"/>
      <c r="AA88" s="62"/>
    </row>
    <row r="89" spans="1:27" ht="16.5" customHeight="1">
      <c r="A89" s="589"/>
      <c r="B89" s="237"/>
      <c r="C89" s="435" t="s">
        <v>595</v>
      </c>
      <c r="D89" s="237"/>
      <c r="E89" s="263"/>
      <c r="F89" s="237"/>
      <c r="G89" s="237" t="s">
        <v>368</v>
      </c>
      <c r="H89" s="413">
        <v>2300000</v>
      </c>
      <c r="I89" s="414">
        <v>45856</v>
      </c>
      <c r="J89" s="237"/>
      <c r="K89" s="280"/>
      <c r="O89" s="60"/>
      <c r="P89" s="61"/>
      <c r="Q89" s="62"/>
      <c r="R89" s="61"/>
      <c r="S89" s="62"/>
      <c r="T89" s="61"/>
      <c r="U89" s="62"/>
      <c r="V89" s="61"/>
      <c r="W89" s="62"/>
      <c r="X89" s="61"/>
      <c r="Y89" s="62"/>
      <c r="Z89" s="61"/>
      <c r="AA89" s="62"/>
    </row>
    <row r="90" spans="1:27" ht="16.5" customHeight="1">
      <c r="A90" s="589"/>
      <c r="B90" s="433"/>
      <c r="C90" s="435" t="s">
        <v>590</v>
      </c>
      <c r="D90" s="237"/>
      <c r="E90" s="263"/>
      <c r="F90" s="237"/>
      <c r="G90" s="237" t="s">
        <v>368</v>
      </c>
      <c r="H90" s="413">
        <v>44000</v>
      </c>
      <c r="I90" s="414">
        <v>45860</v>
      </c>
      <c r="J90" s="237"/>
      <c r="K90" s="280"/>
      <c r="O90" s="60"/>
      <c r="P90" s="61"/>
      <c r="Q90" s="62"/>
      <c r="R90" s="61"/>
      <c r="S90" s="62"/>
      <c r="T90" s="61"/>
      <c r="U90" s="62"/>
      <c r="V90" s="61"/>
      <c r="W90" s="62"/>
      <c r="X90" s="61"/>
      <c r="Y90" s="62"/>
      <c r="Z90" s="61"/>
      <c r="AA90" s="62"/>
    </row>
    <row r="91" spans="1:27" ht="16.5" customHeight="1">
      <c r="A91" s="589"/>
      <c r="B91" s="433"/>
      <c r="C91" s="435" t="s">
        <v>204</v>
      </c>
      <c r="D91" s="237"/>
      <c r="E91" s="263"/>
      <c r="F91" s="237"/>
      <c r="G91" s="237" t="s">
        <v>368</v>
      </c>
      <c r="H91" s="413">
        <v>4740</v>
      </c>
      <c r="I91" s="414">
        <v>45860</v>
      </c>
      <c r="J91" s="237"/>
      <c r="K91" s="280"/>
      <c r="O91" s="60"/>
      <c r="P91" s="61"/>
      <c r="Q91" s="62"/>
      <c r="R91" s="61"/>
      <c r="S91" s="62"/>
      <c r="T91" s="61"/>
      <c r="U91" s="62"/>
      <c r="V91" s="61"/>
      <c r="W91" s="62"/>
      <c r="X91" s="61"/>
      <c r="Y91" s="62"/>
      <c r="Z91" s="61"/>
      <c r="AA91" s="62"/>
    </row>
    <row r="92" spans="1:27" ht="16.5" customHeight="1">
      <c r="A92" s="589"/>
      <c r="B92" s="433"/>
      <c r="C92" s="435" t="s">
        <v>591</v>
      </c>
      <c r="D92" s="237"/>
      <c r="E92" s="263"/>
      <c r="F92" s="237"/>
      <c r="G92" s="237" t="s">
        <v>368</v>
      </c>
      <c r="H92" s="413">
        <v>318450</v>
      </c>
      <c r="I92" s="414">
        <v>45860</v>
      </c>
      <c r="J92" s="237"/>
      <c r="K92" s="280"/>
      <c r="O92" s="60"/>
      <c r="P92" s="61"/>
      <c r="Q92" s="62"/>
      <c r="R92" s="61"/>
      <c r="S92" s="62"/>
      <c r="T92" s="61"/>
      <c r="U92" s="62"/>
      <c r="V92" s="61"/>
      <c r="W92" s="62"/>
      <c r="X92" s="61"/>
      <c r="Y92" s="62"/>
      <c r="Z92" s="61"/>
      <c r="AA92" s="62"/>
    </row>
    <row r="93" spans="1:27" ht="16.5" customHeight="1">
      <c r="A93" s="589"/>
      <c r="B93" s="266"/>
      <c r="C93" s="435" t="s">
        <v>592</v>
      </c>
      <c r="D93" s="237"/>
      <c r="E93" s="263"/>
      <c r="F93" s="237"/>
      <c r="G93" s="237" t="s">
        <v>368</v>
      </c>
      <c r="H93" s="413">
        <v>555000</v>
      </c>
      <c r="I93" s="414">
        <v>45860</v>
      </c>
      <c r="J93" s="237"/>
      <c r="K93" s="280"/>
      <c r="O93" s="60"/>
      <c r="P93" s="61"/>
      <c r="Q93" s="62"/>
      <c r="R93" s="61"/>
      <c r="S93" s="62"/>
      <c r="T93" s="61"/>
      <c r="U93" s="62"/>
      <c r="V93" s="61"/>
      <c r="W93" s="62"/>
      <c r="X93" s="61"/>
      <c r="Y93" s="62"/>
      <c r="Z93" s="61"/>
      <c r="AA93" s="62"/>
    </row>
    <row r="94" spans="1:27" ht="16.5" customHeight="1">
      <c r="A94" s="589"/>
      <c r="B94" s="266"/>
      <c r="C94" s="435" t="s">
        <v>588</v>
      </c>
      <c r="D94" s="237"/>
      <c r="E94" s="263"/>
      <c r="F94" s="237"/>
      <c r="G94" s="237" t="s">
        <v>368</v>
      </c>
      <c r="H94" s="413">
        <v>50000000</v>
      </c>
      <c r="I94" s="414">
        <v>45866</v>
      </c>
      <c r="J94" s="237"/>
      <c r="K94" s="280"/>
      <c r="O94" s="60"/>
      <c r="P94" s="61"/>
      <c r="Q94" s="62"/>
      <c r="R94" s="61"/>
      <c r="S94" s="62"/>
      <c r="T94" s="61"/>
      <c r="U94" s="62"/>
      <c r="V94" s="61"/>
      <c r="W94" s="62"/>
      <c r="X94" s="61"/>
      <c r="Y94" s="62"/>
      <c r="Z94" s="61"/>
      <c r="AA94" s="62"/>
    </row>
    <row r="95" spans="1:27" ht="16.5" customHeight="1">
      <c r="A95" s="589"/>
      <c r="B95" s="266"/>
      <c r="C95" s="435" t="s">
        <v>588</v>
      </c>
      <c r="D95" s="237"/>
      <c r="E95" s="263"/>
      <c r="F95" s="237"/>
      <c r="G95" s="237" t="s">
        <v>368</v>
      </c>
      <c r="H95" s="413">
        <v>25000000</v>
      </c>
      <c r="I95" s="414">
        <v>45866</v>
      </c>
      <c r="J95" s="237"/>
      <c r="K95" s="280"/>
      <c r="O95" s="60"/>
      <c r="P95" s="61"/>
      <c r="Q95" s="62"/>
      <c r="R95" s="61"/>
      <c r="S95" s="62"/>
      <c r="T95" s="61"/>
      <c r="U95" s="62"/>
      <c r="V95" s="61"/>
      <c r="W95" s="62"/>
      <c r="X95" s="61"/>
      <c r="Y95" s="62"/>
      <c r="Z95" s="61"/>
      <c r="AA95" s="62"/>
    </row>
    <row r="96" spans="1:27" ht="16.5" customHeight="1">
      <c r="A96" s="589"/>
      <c r="B96" s="266"/>
      <c r="C96" s="435" t="s">
        <v>589</v>
      </c>
      <c r="D96" s="237"/>
      <c r="E96" s="263"/>
      <c r="F96" s="237"/>
      <c r="G96" s="237" t="s">
        <v>368</v>
      </c>
      <c r="H96" s="413">
        <v>21120000</v>
      </c>
      <c r="I96" s="414">
        <v>45866</v>
      </c>
      <c r="J96" s="237"/>
      <c r="K96" s="280"/>
      <c r="O96" s="60"/>
      <c r="P96" s="61"/>
      <c r="Q96" s="62"/>
      <c r="R96" s="61"/>
      <c r="S96" s="62"/>
      <c r="T96" s="61"/>
      <c r="U96" s="62"/>
      <c r="V96" s="61"/>
      <c r="W96" s="62"/>
      <c r="X96" s="61"/>
      <c r="Y96" s="62"/>
      <c r="Z96" s="61"/>
      <c r="AA96" s="62"/>
    </row>
    <row r="97" spans="1:27" ht="16.5" customHeight="1">
      <c r="A97" s="589"/>
      <c r="B97" s="266"/>
      <c r="C97" s="435" t="s">
        <v>588</v>
      </c>
      <c r="D97" s="237"/>
      <c r="E97" s="263"/>
      <c r="F97" s="237"/>
      <c r="G97" s="237" t="s">
        <v>368</v>
      </c>
      <c r="H97" s="413">
        <v>15000000</v>
      </c>
      <c r="I97" s="414">
        <v>45867</v>
      </c>
      <c r="J97" s="237"/>
      <c r="K97" s="280"/>
      <c r="O97" s="60"/>
      <c r="P97" s="61"/>
      <c r="Q97" s="62"/>
      <c r="R97" s="61"/>
      <c r="S97" s="62"/>
      <c r="T97" s="61"/>
      <c r="U97" s="62"/>
      <c r="V97" s="61"/>
      <c r="W97" s="62"/>
      <c r="X97" s="61"/>
      <c r="Y97" s="62"/>
      <c r="Z97" s="61"/>
      <c r="AA97" s="62"/>
    </row>
    <row r="98" spans="1:27" ht="16.5" customHeight="1">
      <c r="A98" s="589"/>
      <c r="B98" s="266"/>
      <c r="C98" s="435" t="s">
        <v>588</v>
      </c>
      <c r="D98" s="237"/>
      <c r="E98" s="263"/>
      <c r="F98" s="237"/>
      <c r="G98" s="237" t="s">
        <v>368</v>
      </c>
      <c r="H98" s="413">
        <v>30000000</v>
      </c>
      <c r="I98" s="414">
        <v>45867</v>
      </c>
      <c r="J98" s="237"/>
      <c r="K98" s="280"/>
      <c r="O98" s="60"/>
      <c r="P98" s="61"/>
      <c r="Q98" s="62"/>
      <c r="R98" s="61"/>
      <c r="S98" s="62"/>
      <c r="T98" s="61"/>
      <c r="U98" s="62"/>
      <c r="V98" s="61"/>
      <c r="W98" s="62"/>
      <c r="X98" s="61"/>
      <c r="Y98" s="62"/>
      <c r="Z98" s="61"/>
      <c r="AA98" s="62"/>
    </row>
    <row r="99" spans="1:27" ht="16.5" customHeight="1">
      <c r="A99" s="589"/>
      <c r="B99" s="266"/>
      <c r="C99" s="435" t="s">
        <v>588</v>
      </c>
      <c r="D99" s="237"/>
      <c r="E99" s="263"/>
      <c r="F99" s="237"/>
      <c r="G99" s="237" t="s">
        <v>368</v>
      </c>
      <c r="H99" s="413">
        <v>20000000</v>
      </c>
      <c r="I99" s="414">
        <v>45867</v>
      </c>
      <c r="J99" s="237"/>
      <c r="K99" s="280"/>
      <c r="O99" s="60"/>
      <c r="P99" s="61"/>
      <c r="Q99" s="62"/>
      <c r="R99" s="61"/>
      <c r="S99" s="62"/>
      <c r="T99" s="61"/>
      <c r="U99" s="62"/>
      <c r="V99" s="61"/>
      <c r="W99" s="62"/>
      <c r="X99" s="61"/>
      <c r="Y99" s="62"/>
      <c r="Z99" s="61"/>
      <c r="AA99" s="62"/>
    </row>
    <row r="100" spans="1:27" ht="16.5" customHeight="1">
      <c r="A100" s="589"/>
      <c r="B100" s="237"/>
      <c r="C100" s="435" t="s">
        <v>588</v>
      </c>
      <c r="D100" s="261"/>
      <c r="E100" s="261"/>
      <c r="F100" s="261"/>
      <c r="G100" s="237" t="s">
        <v>368</v>
      </c>
      <c r="H100" s="413">
        <v>45000000</v>
      </c>
      <c r="I100" s="414">
        <v>45867</v>
      </c>
      <c r="J100" s="237"/>
      <c r="K100" s="280"/>
      <c r="O100" s="60"/>
      <c r="P100" s="61"/>
      <c r="Q100" s="62"/>
      <c r="R100" s="61"/>
      <c r="S100" s="62"/>
      <c r="T100" s="61"/>
      <c r="U100" s="62"/>
      <c r="V100" s="61"/>
      <c r="W100" s="62"/>
      <c r="X100" s="61"/>
      <c r="Y100" s="62"/>
      <c r="Z100" s="61"/>
      <c r="AA100" s="62"/>
    </row>
    <row r="101" spans="1:27" ht="16.5" customHeight="1">
      <c r="A101" s="589"/>
      <c r="B101" s="266"/>
      <c r="C101" s="435" t="s">
        <v>586</v>
      </c>
      <c r="D101" s="237"/>
      <c r="E101" s="263"/>
      <c r="F101" s="237"/>
      <c r="G101" s="237" t="s">
        <v>368</v>
      </c>
      <c r="H101" s="413">
        <v>210000</v>
      </c>
      <c r="I101" s="414">
        <v>45868</v>
      </c>
      <c r="J101" s="237"/>
      <c r="K101" s="280"/>
      <c r="O101" s="60"/>
      <c r="P101" s="61"/>
      <c r="Q101" s="62"/>
      <c r="R101" s="61"/>
      <c r="S101" s="62"/>
      <c r="T101" s="61"/>
      <c r="U101" s="62"/>
      <c r="V101" s="61"/>
      <c r="W101" s="62"/>
      <c r="X101" s="61"/>
      <c r="Y101" s="62"/>
      <c r="Z101" s="61"/>
      <c r="AA101" s="62"/>
    </row>
    <row r="102" spans="1:27" ht="16.5" customHeight="1">
      <c r="A102" s="589"/>
      <c r="B102" s="266"/>
      <c r="C102" s="435" t="s">
        <v>586</v>
      </c>
      <c r="D102" s="237"/>
      <c r="E102" s="263"/>
      <c r="F102" s="237"/>
      <c r="G102" s="237" t="s">
        <v>368</v>
      </c>
      <c r="H102" s="413">
        <v>200000</v>
      </c>
      <c r="I102" s="414">
        <v>45868</v>
      </c>
      <c r="J102" s="237"/>
      <c r="K102" s="280"/>
      <c r="O102" s="60"/>
      <c r="P102" s="61"/>
      <c r="Q102" s="62"/>
      <c r="R102" s="61"/>
      <c r="S102" s="62"/>
      <c r="T102" s="61"/>
      <c r="U102" s="62"/>
      <c r="V102" s="61"/>
      <c r="W102" s="62"/>
      <c r="X102" s="61"/>
      <c r="Y102" s="62"/>
      <c r="Z102" s="61"/>
      <c r="AA102" s="62"/>
    </row>
    <row r="103" spans="1:27" ht="16.5" customHeight="1">
      <c r="A103" s="589"/>
      <c r="B103" s="266"/>
      <c r="C103" s="435" t="s">
        <v>586</v>
      </c>
      <c r="D103" s="237"/>
      <c r="E103" s="263"/>
      <c r="F103" s="237"/>
      <c r="G103" s="237" t="s">
        <v>368</v>
      </c>
      <c r="H103" s="413">
        <v>90000</v>
      </c>
      <c r="I103" s="414">
        <v>45868</v>
      </c>
      <c r="J103" s="237"/>
      <c r="K103" s="280"/>
      <c r="O103" s="60"/>
      <c r="P103" s="61"/>
      <c r="Q103" s="62"/>
      <c r="R103" s="61"/>
      <c r="S103" s="62"/>
      <c r="T103" s="61"/>
      <c r="U103" s="62"/>
      <c r="V103" s="61"/>
      <c r="W103" s="62"/>
      <c r="X103" s="61"/>
      <c r="Y103" s="62"/>
      <c r="Z103" s="61"/>
      <c r="AA103" s="62"/>
    </row>
    <row r="104" spans="1:27" ht="16.5" customHeight="1">
      <c r="A104" s="589"/>
      <c r="B104" s="266"/>
      <c r="C104" s="435" t="s">
        <v>587</v>
      </c>
      <c r="D104" s="237"/>
      <c r="E104" s="263"/>
      <c r="F104" s="237"/>
      <c r="G104" s="237" t="s">
        <v>368</v>
      </c>
      <c r="H104" s="413">
        <v>1260000</v>
      </c>
      <c r="I104" s="414">
        <v>45868</v>
      </c>
      <c r="J104" s="237"/>
      <c r="K104" s="280"/>
      <c r="O104" s="60"/>
      <c r="P104" s="61"/>
      <c r="Q104" s="62"/>
      <c r="R104" s="61"/>
      <c r="S104" s="62"/>
      <c r="T104" s="61"/>
      <c r="U104" s="62"/>
      <c r="V104" s="61"/>
      <c r="W104" s="62"/>
      <c r="X104" s="61"/>
      <c r="Y104" s="62"/>
      <c r="Z104" s="61"/>
      <c r="AA104" s="62"/>
    </row>
    <row r="105" spans="1:27" ht="16.5" customHeight="1">
      <c r="A105" s="589"/>
      <c r="B105" s="237"/>
      <c r="C105" s="435" t="s">
        <v>587</v>
      </c>
      <c r="D105" s="237"/>
      <c r="E105" s="263"/>
      <c r="F105" s="237"/>
      <c r="G105" s="237" t="s">
        <v>368</v>
      </c>
      <c r="H105" s="413">
        <v>1260000</v>
      </c>
      <c r="I105" s="414">
        <v>45868</v>
      </c>
      <c r="J105" s="237"/>
      <c r="K105" s="280"/>
      <c r="O105" s="60"/>
      <c r="P105" s="61"/>
      <c r="Q105" s="62"/>
      <c r="R105" s="61"/>
      <c r="S105" s="62"/>
      <c r="T105" s="61"/>
      <c r="U105" s="62"/>
      <c r="V105" s="61"/>
      <c r="W105" s="62"/>
      <c r="X105" s="61"/>
      <c r="Y105" s="62"/>
      <c r="Z105" s="61"/>
      <c r="AA105" s="62"/>
    </row>
    <row r="106" spans="1:27" ht="16.5" customHeight="1">
      <c r="A106" s="589"/>
      <c r="B106" s="266"/>
      <c r="C106" s="435" t="s">
        <v>587</v>
      </c>
      <c r="D106" s="237"/>
      <c r="E106" s="263"/>
      <c r="F106" s="237"/>
      <c r="G106" s="237" t="s">
        <v>368</v>
      </c>
      <c r="H106" s="413">
        <v>540000</v>
      </c>
      <c r="I106" s="414">
        <v>45868</v>
      </c>
      <c r="J106" s="237"/>
      <c r="K106" s="280"/>
      <c r="O106" s="60"/>
      <c r="P106" s="61"/>
      <c r="Q106" s="62"/>
      <c r="R106" s="61"/>
      <c r="S106" s="62"/>
      <c r="T106" s="61"/>
      <c r="U106" s="62"/>
      <c r="V106" s="61"/>
      <c r="W106" s="62"/>
      <c r="X106" s="61"/>
      <c r="Y106" s="62"/>
      <c r="Z106" s="61"/>
      <c r="AA106" s="62"/>
    </row>
    <row r="107" spans="1:27" ht="16.5" customHeight="1">
      <c r="A107" s="589"/>
      <c r="B107" s="266"/>
      <c r="C107" s="435" t="s">
        <v>587</v>
      </c>
      <c r="D107" s="237"/>
      <c r="E107" s="263"/>
      <c r="F107" s="237"/>
      <c r="G107" s="237" t="s">
        <v>368</v>
      </c>
      <c r="H107" s="413">
        <v>540000</v>
      </c>
      <c r="I107" s="414">
        <v>45868</v>
      </c>
      <c r="J107" s="237"/>
      <c r="K107" s="280"/>
      <c r="O107" s="60"/>
      <c r="P107" s="61"/>
      <c r="Q107" s="62"/>
      <c r="R107" s="61"/>
      <c r="S107" s="62"/>
      <c r="T107" s="61"/>
      <c r="U107" s="62"/>
      <c r="V107" s="61"/>
      <c r="W107" s="62"/>
      <c r="X107" s="61"/>
      <c r="Y107" s="62"/>
      <c r="Z107" s="61"/>
      <c r="AA107" s="62"/>
    </row>
    <row r="108" spans="1:27" ht="16.5" customHeight="1">
      <c r="A108" s="589"/>
      <c r="B108" s="266"/>
      <c r="C108" s="435" t="s">
        <v>585</v>
      </c>
      <c r="D108" s="237"/>
      <c r="E108" s="263"/>
      <c r="F108" s="237"/>
      <c r="G108" s="237" t="s">
        <v>368</v>
      </c>
      <c r="H108" s="413">
        <v>1200000</v>
      </c>
      <c r="I108" s="414">
        <v>45869</v>
      </c>
      <c r="J108" s="237"/>
      <c r="K108" s="280"/>
      <c r="O108" s="60"/>
      <c r="P108" s="61"/>
      <c r="Q108" s="62"/>
      <c r="R108" s="61"/>
      <c r="S108" s="62"/>
      <c r="T108" s="61"/>
      <c r="U108" s="62"/>
      <c r="V108" s="61"/>
      <c r="W108" s="62"/>
      <c r="X108" s="61"/>
      <c r="Y108" s="62"/>
      <c r="Z108" s="61"/>
      <c r="AA108" s="62"/>
    </row>
    <row r="109" spans="1:27" ht="16.5" customHeight="1">
      <c r="A109" s="589"/>
      <c r="B109" s="237"/>
      <c r="C109" s="435" t="s">
        <v>585</v>
      </c>
      <c r="D109" s="237"/>
      <c r="E109" s="263"/>
      <c r="F109" s="237"/>
      <c r="G109" s="237" t="s">
        <v>368</v>
      </c>
      <c r="H109" s="413">
        <v>1500000</v>
      </c>
      <c r="I109" s="414">
        <v>45869</v>
      </c>
      <c r="J109" s="237"/>
      <c r="K109" s="280"/>
      <c r="O109" s="60"/>
      <c r="P109" s="61"/>
      <c r="Q109" s="62"/>
      <c r="R109" s="61"/>
      <c r="S109" s="62"/>
      <c r="T109" s="61"/>
      <c r="U109" s="62"/>
      <c r="V109" s="61"/>
      <c r="W109" s="62"/>
      <c r="X109" s="61"/>
      <c r="Y109" s="62"/>
      <c r="Z109" s="61"/>
      <c r="AA109" s="62"/>
    </row>
    <row r="110" spans="1:27" ht="16.5" customHeight="1">
      <c r="A110" s="589"/>
      <c r="B110" s="266"/>
      <c r="C110" s="435" t="s">
        <v>586</v>
      </c>
      <c r="D110" s="237"/>
      <c r="E110" s="263"/>
      <c r="F110" s="237"/>
      <c r="G110" s="237" t="s">
        <v>368</v>
      </c>
      <c r="H110" s="413">
        <v>210000</v>
      </c>
      <c r="I110" s="414">
        <v>45869</v>
      </c>
      <c r="J110" s="237"/>
      <c r="K110" s="280"/>
      <c r="O110" s="60"/>
      <c r="P110" s="61"/>
      <c r="Q110" s="62"/>
      <c r="R110" s="61"/>
      <c r="S110" s="62"/>
      <c r="T110" s="61"/>
      <c r="U110" s="62"/>
      <c r="V110" s="61"/>
      <c r="W110" s="62"/>
      <c r="X110" s="61"/>
      <c r="Y110" s="62"/>
      <c r="Z110" s="61"/>
      <c r="AA110" s="62"/>
    </row>
    <row r="111" spans="1:27" ht="16.5" customHeight="1">
      <c r="A111" s="589"/>
      <c r="B111" s="266"/>
      <c r="C111" s="435" t="s">
        <v>586</v>
      </c>
      <c r="D111" s="237"/>
      <c r="E111" s="263"/>
      <c r="F111" s="237"/>
      <c r="G111" s="237" t="s">
        <v>368</v>
      </c>
      <c r="H111" s="413">
        <v>200000</v>
      </c>
      <c r="I111" s="414">
        <v>45869</v>
      </c>
      <c r="J111" s="237"/>
      <c r="K111" s="280"/>
      <c r="O111" s="60"/>
      <c r="P111" s="61"/>
      <c r="Q111" s="62"/>
      <c r="R111" s="61"/>
      <c r="S111" s="62"/>
      <c r="T111" s="61"/>
      <c r="U111" s="62"/>
      <c r="V111" s="61"/>
      <c r="W111" s="62"/>
      <c r="X111" s="61"/>
      <c r="Y111" s="62"/>
      <c r="Z111" s="61"/>
      <c r="AA111" s="62"/>
    </row>
    <row r="112" spans="1:27" ht="16.5" customHeight="1">
      <c r="A112" s="589"/>
      <c r="B112" s="266"/>
      <c r="C112" s="435" t="s">
        <v>586</v>
      </c>
      <c r="D112" s="237"/>
      <c r="E112" s="263"/>
      <c r="F112" s="237"/>
      <c r="G112" s="237" t="s">
        <v>368</v>
      </c>
      <c r="H112" s="413">
        <v>90000</v>
      </c>
      <c r="I112" s="414">
        <v>45869</v>
      </c>
      <c r="J112" s="237"/>
      <c r="K112" s="280"/>
      <c r="O112" s="60"/>
      <c r="P112" s="61"/>
      <c r="Q112" s="62"/>
      <c r="R112" s="61"/>
      <c r="S112" s="62"/>
      <c r="T112" s="61"/>
      <c r="U112" s="62"/>
      <c r="V112" s="61"/>
      <c r="W112" s="62"/>
      <c r="X112" s="61"/>
      <c r="Y112" s="62"/>
      <c r="Z112" s="61"/>
      <c r="AA112" s="62"/>
    </row>
    <row r="113" spans="1:27" ht="16.5" customHeight="1">
      <c r="A113" s="589"/>
      <c r="B113" s="266"/>
      <c r="C113" s="435" t="s">
        <v>584</v>
      </c>
      <c r="D113" s="237"/>
      <c r="E113" s="263"/>
      <c r="F113" s="237"/>
      <c r="G113" s="237" t="s">
        <v>394</v>
      </c>
      <c r="H113" s="413">
        <v>3260000</v>
      </c>
      <c r="I113" s="414">
        <v>45874</v>
      </c>
      <c r="J113" s="237"/>
      <c r="K113" s="280"/>
      <c r="O113" s="60"/>
      <c r="P113" s="61"/>
      <c r="Q113" s="62"/>
      <c r="R113" s="61"/>
      <c r="S113" s="62"/>
      <c r="T113" s="61"/>
      <c r="U113" s="62"/>
      <c r="V113" s="61"/>
      <c r="W113" s="62"/>
      <c r="X113" s="61"/>
      <c r="Y113" s="62"/>
      <c r="Z113" s="61"/>
      <c r="AA113" s="62"/>
    </row>
    <row r="114" spans="1:27" ht="16.5" customHeight="1">
      <c r="A114" s="589"/>
      <c r="B114" s="266"/>
      <c r="C114" s="435" t="s">
        <v>583</v>
      </c>
      <c r="D114" s="237"/>
      <c r="E114" s="263"/>
      <c r="F114" s="237"/>
      <c r="G114" s="237" t="s">
        <v>394</v>
      </c>
      <c r="H114" s="413">
        <v>592500</v>
      </c>
      <c r="I114" s="414">
        <v>45877</v>
      </c>
      <c r="J114" s="237"/>
      <c r="K114" s="280"/>
      <c r="O114" s="60"/>
      <c r="P114" s="61"/>
      <c r="Q114" s="62"/>
      <c r="R114" s="61"/>
      <c r="S114" s="62"/>
      <c r="T114" s="61"/>
      <c r="U114" s="62"/>
      <c r="V114" s="61"/>
      <c r="W114" s="62"/>
      <c r="X114" s="61"/>
      <c r="Y114" s="62"/>
      <c r="Z114" s="61"/>
      <c r="AA114" s="62"/>
    </row>
    <row r="115" spans="1:27" ht="16.5" customHeight="1">
      <c r="A115" s="589"/>
      <c r="B115" s="237"/>
      <c r="C115" s="435" t="s">
        <v>582</v>
      </c>
      <c r="D115" s="266"/>
      <c r="E115" s="263"/>
      <c r="F115" s="432"/>
      <c r="G115" s="237" t="s">
        <v>394</v>
      </c>
      <c r="H115" s="413">
        <v>1800000</v>
      </c>
      <c r="I115" s="414">
        <v>45890</v>
      </c>
      <c r="J115" s="237"/>
      <c r="K115" s="280"/>
      <c r="O115" s="60"/>
      <c r="P115" s="61"/>
      <c r="Q115" s="62"/>
      <c r="R115" s="61"/>
      <c r="S115" s="62"/>
      <c r="T115" s="61"/>
      <c r="U115" s="62"/>
      <c r="V115" s="61"/>
      <c r="W115" s="62"/>
      <c r="X115" s="61"/>
      <c r="Y115" s="62"/>
      <c r="Z115" s="61"/>
      <c r="AA115" s="62"/>
    </row>
    <row r="116" spans="1:27" ht="16.5" customHeight="1">
      <c r="A116" s="589"/>
      <c r="B116" s="237"/>
      <c r="C116" s="435" t="s">
        <v>581</v>
      </c>
      <c r="D116" s="237"/>
      <c r="E116" s="263"/>
      <c r="F116" s="237"/>
      <c r="G116" s="237" t="s">
        <v>394</v>
      </c>
      <c r="H116" s="413">
        <v>2000000</v>
      </c>
      <c r="I116" s="414">
        <v>45895</v>
      </c>
      <c r="J116" s="237"/>
      <c r="K116" s="280"/>
      <c r="O116" s="60"/>
      <c r="P116" s="61"/>
      <c r="Q116" s="62"/>
      <c r="R116" s="61"/>
      <c r="S116" s="62"/>
      <c r="T116" s="61"/>
      <c r="U116" s="62"/>
      <c r="V116" s="61"/>
      <c r="W116" s="62"/>
      <c r="X116" s="61"/>
      <c r="Y116" s="62"/>
      <c r="Z116" s="61"/>
      <c r="AA116" s="62"/>
    </row>
    <row r="117" spans="1:27" ht="16.5" customHeight="1">
      <c r="A117" s="589"/>
      <c r="B117" s="237"/>
      <c r="C117" s="435" t="s">
        <v>578</v>
      </c>
      <c r="D117" s="237"/>
      <c r="E117" s="263"/>
      <c r="F117" s="237"/>
      <c r="G117" s="237" t="s">
        <v>394</v>
      </c>
      <c r="H117" s="413">
        <v>689730</v>
      </c>
      <c r="I117" s="414">
        <v>45901</v>
      </c>
      <c r="J117" s="237"/>
      <c r="K117" s="280"/>
      <c r="O117" s="60"/>
      <c r="P117" s="61"/>
      <c r="Q117" s="62"/>
      <c r="R117" s="61"/>
      <c r="S117" s="62"/>
      <c r="T117" s="61"/>
      <c r="U117" s="62"/>
      <c r="V117" s="61"/>
      <c r="W117" s="62"/>
      <c r="X117" s="61"/>
      <c r="Y117" s="62"/>
      <c r="Z117" s="61"/>
      <c r="AA117" s="62"/>
    </row>
    <row r="118" spans="1:27" ht="16.5" customHeight="1">
      <c r="A118" s="589"/>
      <c r="B118" s="237"/>
      <c r="C118" s="435" t="s">
        <v>579</v>
      </c>
      <c r="D118" s="237"/>
      <c r="E118" s="263"/>
      <c r="F118" s="237"/>
      <c r="G118" s="237" t="s">
        <v>394</v>
      </c>
      <c r="H118" s="413">
        <v>12549832</v>
      </c>
      <c r="I118" s="414">
        <v>45901</v>
      </c>
      <c r="J118" s="237"/>
      <c r="K118" s="280"/>
      <c r="O118" s="60"/>
      <c r="P118" s="61"/>
      <c r="Q118" s="62"/>
      <c r="R118" s="61"/>
      <c r="S118" s="62"/>
      <c r="T118" s="61"/>
      <c r="U118" s="62"/>
      <c r="V118" s="61"/>
      <c r="W118" s="62"/>
      <c r="X118" s="61"/>
      <c r="Y118" s="62"/>
      <c r="Z118" s="61"/>
      <c r="AA118" s="62"/>
    </row>
    <row r="119" spans="1:27" ht="16.5" customHeight="1">
      <c r="A119" s="589"/>
      <c r="B119" s="237"/>
      <c r="C119" s="435" t="s">
        <v>580</v>
      </c>
      <c r="D119" s="237"/>
      <c r="E119" s="263"/>
      <c r="F119" s="237"/>
      <c r="G119" s="237" t="s">
        <v>394</v>
      </c>
      <c r="H119" s="413">
        <v>264000</v>
      </c>
      <c r="I119" s="414">
        <v>45901</v>
      </c>
      <c r="J119" s="237"/>
      <c r="K119" s="280"/>
      <c r="O119" s="60"/>
      <c r="P119" s="61"/>
      <c r="Q119" s="62"/>
      <c r="R119" s="61"/>
      <c r="S119" s="62"/>
      <c r="T119" s="61"/>
      <c r="U119" s="62"/>
      <c r="V119" s="61"/>
      <c r="W119" s="62"/>
      <c r="X119" s="61"/>
      <c r="Y119" s="62"/>
      <c r="Z119" s="61"/>
      <c r="AA119" s="62"/>
    </row>
    <row r="120" spans="1:27" ht="16.5" customHeight="1">
      <c r="A120" s="589"/>
      <c r="B120" s="237"/>
      <c r="C120" s="435" t="s">
        <v>577</v>
      </c>
      <c r="D120" s="237"/>
      <c r="E120" s="263"/>
      <c r="F120" s="237"/>
      <c r="G120" s="436" t="s">
        <v>606</v>
      </c>
      <c r="H120" s="413">
        <v>2000000</v>
      </c>
      <c r="I120" s="414">
        <v>45903</v>
      </c>
      <c r="J120" s="237"/>
      <c r="K120" s="280"/>
      <c r="O120" s="60"/>
      <c r="P120" s="61"/>
      <c r="Q120" s="62"/>
      <c r="R120" s="61"/>
      <c r="S120" s="62"/>
      <c r="T120" s="61"/>
      <c r="U120" s="62"/>
      <c r="V120" s="61"/>
      <c r="W120" s="62"/>
      <c r="X120" s="61"/>
      <c r="Y120" s="62"/>
      <c r="Z120" s="61"/>
      <c r="AA120" s="62"/>
    </row>
    <row r="121" spans="1:27" ht="16.5" customHeight="1">
      <c r="A121" s="589"/>
      <c r="B121" s="237"/>
      <c r="C121" s="435" t="s">
        <v>575</v>
      </c>
      <c r="D121" s="237"/>
      <c r="E121" s="263"/>
      <c r="F121" s="237"/>
      <c r="G121" s="237" t="s">
        <v>376</v>
      </c>
      <c r="H121" s="413">
        <v>371600</v>
      </c>
      <c r="I121" s="414">
        <v>45915</v>
      </c>
      <c r="J121" s="237"/>
      <c r="K121" s="280"/>
      <c r="O121" s="60"/>
      <c r="P121" s="61"/>
      <c r="Q121" s="62"/>
      <c r="R121" s="61"/>
      <c r="S121" s="62"/>
      <c r="T121" s="61"/>
      <c r="U121" s="62"/>
      <c r="V121" s="61"/>
      <c r="W121" s="62"/>
      <c r="X121" s="61"/>
      <c r="Y121" s="62"/>
      <c r="Z121" s="61"/>
      <c r="AA121" s="62"/>
    </row>
    <row r="122" spans="1:27" ht="16.5" customHeight="1">
      <c r="A122" s="589"/>
      <c r="B122" s="237"/>
      <c r="C122" s="435" t="s">
        <v>576</v>
      </c>
      <c r="D122" s="237"/>
      <c r="E122" s="263"/>
      <c r="F122" s="237"/>
      <c r="G122" s="237" t="s">
        <v>376</v>
      </c>
      <c r="H122" s="413">
        <v>265652200</v>
      </c>
      <c r="I122" s="414">
        <v>45915</v>
      </c>
      <c r="J122" s="237"/>
      <c r="K122" s="280"/>
      <c r="O122" s="60"/>
      <c r="P122" s="61"/>
      <c r="Q122" s="62"/>
      <c r="R122" s="61"/>
      <c r="S122" s="62"/>
      <c r="T122" s="61"/>
      <c r="U122" s="62"/>
      <c r="V122" s="61"/>
      <c r="W122" s="62"/>
      <c r="X122" s="61"/>
      <c r="Y122" s="62"/>
      <c r="Z122" s="61"/>
      <c r="AA122" s="62"/>
    </row>
    <row r="123" spans="1:27" ht="16.5" customHeight="1">
      <c r="A123" s="589"/>
      <c r="B123" s="237"/>
      <c r="C123" s="435" t="s">
        <v>573</v>
      </c>
      <c r="D123" s="237"/>
      <c r="E123" s="263"/>
      <c r="F123" s="237"/>
      <c r="G123" s="237" t="s">
        <v>376</v>
      </c>
      <c r="H123" s="413">
        <v>8019000</v>
      </c>
      <c r="I123" s="414">
        <v>45932</v>
      </c>
      <c r="J123" s="237"/>
      <c r="K123" s="280"/>
      <c r="O123" s="60"/>
      <c r="P123" s="61"/>
      <c r="Q123" s="62"/>
      <c r="R123" s="61"/>
      <c r="S123" s="62"/>
      <c r="T123" s="61"/>
      <c r="U123" s="62"/>
      <c r="V123" s="61"/>
      <c r="W123" s="62"/>
      <c r="X123" s="61"/>
      <c r="Y123" s="62"/>
      <c r="Z123" s="61"/>
      <c r="AA123" s="62"/>
    </row>
    <row r="124" spans="1:27" ht="16.5" customHeight="1">
      <c r="A124" s="589"/>
      <c r="B124" s="237"/>
      <c r="C124" s="435" t="s">
        <v>574</v>
      </c>
      <c r="D124" s="266"/>
      <c r="E124" s="263"/>
      <c r="F124" s="432"/>
      <c r="G124" s="237" t="s">
        <v>369</v>
      </c>
      <c r="H124" s="413">
        <v>2000000</v>
      </c>
      <c r="I124" s="414">
        <v>45932</v>
      </c>
      <c r="J124" s="237"/>
      <c r="K124" s="280"/>
      <c r="O124" s="60"/>
      <c r="P124" s="61"/>
      <c r="Q124" s="62"/>
      <c r="R124" s="61"/>
      <c r="S124" s="62"/>
      <c r="T124" s="61"/>
      <c r="U124" s="62"/>
      <c r="V124" s="61"/>
      <c r="W124" s="62"/>
      <c r="X124" s="61"/>
      <c r="Y124" s="62"/>
      <c r="Z124" s="61"/>
      <c r="AA124" s="62"/>
    </row>
    <row r="125" spans="1:27" ht="16.5" customHeight="1">
      <c r="A125" s="589"/>
      <c r="B125" s="237"/>
      <c r="C125" s="435" t="s">
        <v>570</v>
      </c>
      <c r="D125" s="237"/>
      <c r="E125" s="263"/>
      <c r="F125" s="237"/>
      <c r="G125" s="237" t="s">
        <v>369</v>
      </c>
      <c r="H125" s="413">
        <v>109000</v>
      </c>
      <c r="I125" s="414">
        <v>45947</v>
      </c>
      <c r="J125" s="237"/>
      <c r="K125" s="280"/>
      <c r="O125" s="60"/>
      <c r="P125" s="61"/>
      <c r="Q125" s="62"/>
      <c r="R125" s="61"/>
      <c r="S125" s="62"/>
      <c r="T125" s="61"/>
      <c r="U125" s="62"/>
      <c r="V125" s="61"/>
      <c r="W125" s="62"/>
      <c r="X125" s="61"/>
      <c r="Y125" s="62"/>
      <c r="Z125" s="61"/>
      <c r="AA125" s="62"/>
    </row>
    <row r="126" spans="1:27" ht="16.5" customHeight="1">
      <c r="A126" s="589"/>
      <c r="B126" s="237"/>
      <c r="C126" s="435" t="s">
        <v>571</v>
      </c>
      <c r="D126" s="266"/>
      <c r="E126" s="263"/>
      <c r="F126" s="432"/>
      <c r="G126" s="237" t="s">
        <v>369</v>
      </c>
      <c r="H126" s="413">
        <v>2000000</v>
      </c>
      <c r="I126" s="414">
        <v>45952</v>
      </c>
      <c r="J126" s="237"/>
      <c r="K126" s="280"/>
      <c r="O126" s="60"/>
      <c r="P126" s="61"/>
      <c r="Q126" s="62"/>
      <c r="R126" s="61"/>
      <c r="S126" s="62"/>
      <c r="T126" s="61"/>
      <c r="U126" s="62"/>
      <c r="V126" s="61"/>
      <c r="W126" s="62"/>
      <c r="X126" s="61"/>
      <c r="Y126" s="62"/>
      <c r="Z126" s="61"/>
      <c r="AA126" s="62"/>
    </row>
    <row r="127" spans="1:27" ht="16.5" customHeight="1">
      <c r="A127" s="589"/>
      <c r="B127" s="237"/>
      <c r="C127" s="435" t="s">
        <v>572</v>
      </c>
      <c r="D127" s="237"/>
      <c r="E127" s="263"/>
      <c r="F127" s="237"/>
      <c r="G127" s="237" t="s">
        <v>369</v>
      </c>
      <c r="H127" s="413">
        <v>5000000</v>
      </c>
      <c r="I127" s="414">
        <v>45952</v>
      </c>
      <c r="J127" s="237"/>
      <c r="K127" s="280"/>
      <c r="O127" s="60"/>
      <c r="P127" s="61"/>
      <c r="Q127" s="62"/>
      <c r="R127" s="61"/>
      <c r="S127" s="62"/>
      <c r="T127" s="61"/>
      <c r="U127" s="62"/>
      <c r="V127" s="61"/>
      <c r="W127" s="62"/>
      <c r="X127" s="61"/>
      <c r="Y127" s="62"/>
      <c r="Z127" s="61"/>
      <c r="AA127" s="62"/>
    </row>
    <row r="128" spans="1:27" ht="16.5" customHeight="1">
      <c r="A128" s="589"/>
      <c r="B128" s="237"/>
      <c r="C128" s="435" t="s">
        <v>567</v>
      </c>
      <c r="D128" s="237"/>
      <c r="E128" s="263"/>
      <c r="F128" s="237"/>
      <c r="G128" s="237" t="s">
        <v>369</v>
      </c>
      <c r="H128" s="413">
        <v>500000</v>
      </c>
      <c r="I128" s="414">
        <v>45954</v>
      </c>
      <c r="J128" s="237"/>
      <c r="K128" s="280"/>
      <c r="O128" s="60"/>
      <c r="P128" s="61"/>
      <c r="Q128" s="62"/>
      <c r="R128" s="61"/>
      <c r="S128" s="62"/>
      <c r="T128" s="61"/>
      <c r="U128" s="62"/>
      <c r="V128" s="61"/>
      <c r="W128" s="62"/>
      <c r="X128" s="61"/>
      <c r="Y128" s="62"/>
      <c r="Z128" s="61"/>
      <c r="AA128" s="62"/>
    </row>
    <row r="129" spans="1:27" ht="16.5" customHeight="1">
      <c r="A129" s="589"/>
      <c r="B129" s="237"/>
      <c r="C129" s="435" t="s">
        <v>568</v>
      </c>
      <c r="D129" s="237"/>
      <c r="E129" s="263"/>
      <c r="F129" s="237"/>
      <c r="G129" s="237" t="s">
        <v>369</v>
      </c>
      <c r="H129" s="413">
        <v>22990</v>
      </c>
      <c r="I129" s="414">
        <v>45954</v>
      </c>
      <c r="J129" s="237"/>
      <c r="K129" s="280"/>
      <c r="O129" s="60"/>
      <c r="P129" s="61"/>
      <c r="Q129" s="62"/>
      <c r="R129" s="61"/>
      <c r="S129" s="62"/>
      <c r="T129" s="61"/>
      <c r="U129" s="62"/>
      <c r="V129" s="61"/>
      <c r="W129" s="62"/>
      <c r="X129" s="61"/>
      <c r="Y129" s="62"/>
      <c r="Z129" s="61"/>
      <c r="AA129" s="62"/>
    </row>
    <row r="130" spans="1:27" ht="16.5" customHeight="1">
      <c r="A130" s="589"/>
      <c r="B130" s="237"/>
      <c r="C130" s="435" t="s">
        <v>569</v>
      </c>
      <c r="D130" s="237"/>
      <c r="E130" s="263"/>
      <c r="F130" s="237"/>
      <c r="G130" s="237" t="s">
        <v>369</v>
      </c>
      <c r="H130" s="413">
        <v>53400</v>
      </c>
      <c r="I130" s="414">
        <v>45954</v>
      </c>
      <c r="J130" s="237"/>
      <c r="K130" s="280"/>
      <c r="O130" s="60"/>
      <c r="P130" s="61"/>
      <c r="Q130" s="62"/>
      <c r="R130" s="61"/>
      <c r="S130" s="62"/>
      <c r="T130" s="61"/>
      <c r="U130" s="62"/>
      <c r="V130" s="61"/>
      <c r="W130" s="62"/>
      <c r="X130" s="61"/>
      <c r="Y130" s="62"/>
      <c r="Z130" s="61"/>
      <c r="AA130" s="62"/>
    </row>
    <row r="131" spans="1:27" ht="16.5" customHeight="1">
      <c r="A131" s="589"/>
      <c r="B131" s="237"/>
      <c r="C131" s="435" t="s">
        <v>570</v>
      </c>
      <c r="D131" s="237"/>
      <c r="E131" s="263"/>
      <c r="F131" s="237"/>
      <c r="G131" s="237" t="s">
        <v>369</v>
      </c>
      <c r="H131" s="413">
        <v>1526000</v>
      </c>
      <c r="I131" s="414">
        <v>45954</v>
      </c>
      <c r="J131" s="237"/>
      <c r="K131" s="280"/>
      <c r="O131" s="60"/>
      <c r="P131" s="61"/>
      <c r="Q131" s="62"/>
      <c r="R131" s="61"/>
      <c r="S131" s="62"/>
      <c r="T131" s="61"/>
      <c r="U131" s="62"/>
      <c r="V131" s="61"/>
      <c r="W131" s="62"/>
      <c r="X131" s="61"/>
      <c r="Y131" s="62"/>
      <c r="Z131" s="61"/>
      <c r="AA131" s="62"/>
    </row>
    <row r="132" spans="1:27" ht="16.5" customHeight="1">
      <c r="A132" s="589"/>
      <c r="B132" s="237"/>
      <c r="C132" s="435" t="s">
        <v>573</v>
      </c>
      <c r="D132" s="237"/>
      <c r="E132" s="262"/>
      <c r="F132" s="237"/>
      <c r="G132" s="237" t="s">
        <v>369</v>
      </c>
      <c r="H132" s="413">
        <v>3618000</v>
      </c>
      <c r="I132" s="414">
        <v>45954</v>
      </c>
      <c r="J132" s="237"/>
      <c r="K132" s="280"/>
      <c r="O132" s="60"/>
      <c r="P132" s="61"/>
      <c r="Q132" s="62"/>
      <c r="R132" s="61"/>
      <c r="S132" s="62"/>
      <c r="T132" s="61"/>
      <c r="U132" s="62"/>
      <c r="V132" s="61"/>
      <c r="W132" s="62"/>
      <c r="X132" s="61"/>
      <c r="Y132" s="62"/>
      <c r="Z132" s="61"/>
      <c r="AA132" s="62"/>
    </row>
    <row r="133" spans="1:27" ht="16.5" customHeight="1">
      <c r="A133" s="589"/>
      <c r="B133" s="237"/>
      <c r="C133" s="435" t="s">
        <v>574</v>
      </c>
      <c r="D133" s="237"/>
      <c r="E133" s="262"/>
      <c r="F133" s="237"/>
      <c r="G133" s="237" t="s">
        <v>369</v>
      </c>
      <c r="H133" s="413">
        <v>1000000</v>
      </c>
      <c r="I133" s="414">
        <v>45954</v>
      </c>
      <c r="J133" s="237"/>
      <c r="K133" s="280"/>
      <c r="O133" s="60"/>
      <c r="P133" s="61"/>
      <c r="Q133" s="62"/>
      <c r="R133" s="61"/>
      <c r="S133" s="62"/>
      <c r="T133" s="61"/>
      <c r="U133" s="62"/>
      <c r="V133" s="61"/>
      <c r="W133" s="62"/>
      <c r="X133" s="61"/>
      <c r="Y133" s="62"/>
      <c r="Z133" s="61"/>
      <c r="AA133" s="62"/>
    </row>
    <row r="134" spans="1:27" ht="16.5" customHeight="1">
      <c r="A134" s="589"/>
      <c r="B134" s="237"/>
      <c r="C134" s="435" t="s">
        <v>566</v>
      </c>
      <c r="D134" s="237"/>
      <c r="E134" s="262"/>
      <c r="F134" s="237"/>
      <c r="G134" s="237" t="s">
        <v>385</v>
      </c>
      <c r="H134" s="413">
        <v>1194800</v>
      </c>
      <c r="I134" s="414">
        <v>45967</v>
      </c>
      <c r="J134" s="237"/>
      <c r="K134" s="280"/>
      <c r="O134" s="60"/>
      <c r="P134" s="61"/>
      <c r="Q134" s="62"/>
      <c r="R134" s="61"/>
      <c r="S134" s="62"/>
      <c r="T134" s="61"/>
      <c r="U134" s="62"/>
      <c r="V134" s="61"/>
      <c r="W134" s="62"/>
      <c r="X134" s="61"/>
      <c r="Y134" s="62"/>
      <c r="Z134" s="61"/>
      <c r="AA134" s="62"/>
    </row>
    <row r="135" spans="1:27" ht="16.5" customHeight="1">
      <c r="A135" s="589"/>
      <c r="B135" s="237"/>
      <c r="C135" s="435" t="s">
        <v>564</v>
      </c>
      <c r="D135" s="261"/>
      <c r="E135" s="261"/>
      <c r="F135" s="237"/>
      <c r="G135" s="237" t="s">
        <v>385</v>
      </c>
      <c r="H135" s="413">
        <v>1000000</v>
      </c>
      <c r="I135" s="414">
        <v>45972</v>
      </c>
      <c r="J135" s="237"/>
      <c r="K135" s="280"/>
      <c r="O135" s="60"/>
      <c r="P135" s="61"/>
      <c r="Q135" s="62"/>
      <c r="R135" s="61"/>
      <c r="S135" s="62"/>
      <c r="T135" s="61"/>
      <c r="U135" s="62"/>
      <c r="V135" s="61"/>
      <c r="W135" s="62"/>
      <c r="X135" s="61"/>
      <c r="Y135" s="62"/>
      <c r="Z135" s="61"/>
      <c r="AA135" s="62"/>
    </row>
    <row r="136" spans="1:27" ht="16.5" customHeight="1">
      <c r="A136" s="589"/>
      <c r="B136" s="237"/>
      <c r="C136" s="435" t="s">
        <v>565</v>
      </c>
      <c r="D136" s="237"/>
      <c r="E136" s="262"/>
      <c r="F136" s="237"/>
      <c r="G136" s="436" t="s">
        <v>604</v>
      </c>
      <c r="H136" s="413">
        <v>6750000</v>
      </c>
      <c r="I136" s="414">
        <v>45972</v>
      </c>
      <c r="J136" s="263"/>
      <c r="K136" s="280"/>
      <c r="O136" s="60"/>
      <c r="P136" s="61"/>
      <c r="Q136" s="62"/>
      <c r="R136" s="61"/>
      <c r="S136" s="62"/>
      <c r="T136" s="61"/>
      <c r="U136" s="62"/>
      <c r="V136" s="61"/>
      <c r="W136" s="62"/>
      <c r="X136" s="61"/>
      <c r="Y136" s="62"/>
      <c r="Z136" s="61"/>
      <c r="AA136" s="62"/>
    </row>
    <row r="137" spans="1:27" ht="16.5" customHeight="1">
      <c r="A137" s="589"/>
      <c r="B137" s="237"/>
      <c r="C137" s="435" t="s">
        <v>563</v>
      </c>
      <c r="D137" s="237"/>
      <c r="E137" s="262"/>
      <c r="F137" s="237"/>
      <c r="G137" s="436" t="s">
        <v>604</v>
      </c>
      <c r="H137" s="413">
        <v>17886411</v>
      </c>
      <c r="I137" s="414">
        <v>45974</v>
      </c>
      <c r="J137" s="237"/>
      <c r="K137" s="280"/>
      <c r="O137" s="60"/>
      <c r="P137" s="61"/>
      <c r="Q137" s="62"/>
      <c r="R137" s="61"/>
      <c r="S137" s="62"/>
      <c r="T137" s="61"/>
      <c r="U137" s="62"/>
      <c r="V137" s="61"/>
      <c r="W137" s="62"/>
      <c r="X137" s="61"/>
      <c r="Y137" s="62"/>
      <c r="Z137" s="61"/>
      <c r="AA137" s="62"/>
    </row>
    <row r="138" spans="1:27" ht="16.5" customHeight="1">
      <c r="A138" s="589"/>
      <c r="B138" s="237"/>
      <c r="C138" s="435" t="s">
        <v>561</v>
      </c>
      <c r="D138" s="237"/>
      <c r="E138" s="262"/>
      <c r="F138" s="237"/>
      <c r="G138" s="436" t="s">
        <v>604</v>
      </c>
      <c r="H138" s="413">
        <v>14100000</v>
      </c>
      <c r="I138" s="414">
        <v>45980</v>
      </c>
      <c r="J138" s="237"/>
      <c r="K138" s="280"/>
      <c r="O138" s="60"/>
      <c r="P138" s="61"/>
      <c r="Q138" s="62"/>
      <c r="R138" s="61"/>
      <c r="S138" s="62"/>
      <c r="T138" s="61"/>
      <c r="U138" s="62"/>
      <c r="V138" s="61"/>
      <c r="W138" s="62"/>
      <c r="X138" s="61"/>
      <c r="Y138" s="62"/>
      <c r="Z138" s="61"/>
      <c r="AA138" s="62"/>
    </row>
    <row r="139" spans="1:27" ht="16.5" customHeight="1">
      <c r="A139" s="589"/>
      <c r="B139" s="237"/>
      <c r="C139" s="435" t="s">
        <v>562</v>
      </c>
      <c r="D139" s="237"/>
      <c r="E139" s="263"/>
      <c r="F139" s="237"/>
      <c r="G139" s="436" t="s">
        <v>605</v>
      </c>
      <c r="H139" s="413">
        <v>18700000</v>
      </c>
      <c r="I139" s="414">
        <v>45980</v>
      </c>
      <c r="J139" s="237"/>
      <c r="K139" s="280"/>
      <c r="O139" s="60"/>
      <c r="P139" s="61"/>
      <c r="Q139" s="62"/>
      <c r="R139" s="61"/>
      <c r="S139" s="62"/>
      <c r="T139" s="61"/>
      <c r="U139" s="62"/>
      <c r="V139" s="61"/>
      <c r="W139" s="62"/>
      <c r="X139" s="61"/>
      <c r="Y139" s="62"/>
      <c r="Z139" s="61"/>
      <c r="AA139" s="62"/>
    </row>
    <row r="140" spans="1:27" ht="16.5" customHeight="1">
      <c r="A140" s="589"/>
      <c r="B140" s="261"/>
      <c r="C140" s="435" t="s">
        <v>560</v>
      </c>
      <c r="D140" s="231"/>
      <c r="E140" s="261"/>
      <c r="F140" s="261"/>
      <c r="G140" s="237" t="s">
        <v>385</v>
      </c>
      <c r="H140" s="413">
        <v>720000</v>
      </c>
      <c r="I140" s="414">
        <v>45981</v>
      </c>
      <c r="J140" s="237"/>
      <c r="K140" s="280"/>
      <c r="O140" s="60"/>
      <c r="P140" s="61"/>
      <c r="Q140" s="62"/>
      <c r="R140" s="61"/>
      <c r="S140" s="62"/>
      <c r="T140" s="61"/>
      <c r="U140" s="62"/>
      <c r="V140" s="61"/>
      <c r="W140" s="62"/>
      <c r="X140" s="61"/>
      <c r="Y140" s="62"/>
      <c r="Z140" s="61"/>
      <c r="AA140" s="62"/>
    </row>
    <row r="141" spans="1:27" ht="16.5" customHeight="1">
      <c r="A141" s="589"/>
      <c r="B141" s="261"/>
      <c r="C141" s="435" t="s">
        <v>558</v>
      </c>
      <c r="D141" s="231"/>
      <c r="E141" s="261"/>
      <c r="F141" s="261"/>
      <c r="G141" s="237" t="s">
        <v>385</v>
      </c>
      <c r="H141" s="413">
        <v>5100</v>
      </c>
      <c r="I141" s="414">
        <v>45986</v>
      </c>
      <c r="J141" s="237"/>
      <c r="K141" s="280"/>
      <c r="O141" s="60"/>
      <c r="P141" s="61"/>
      <c r="Q141" s="62"/>
      <c r="R141" s="61"/>
      <c r="S141" s="62"/>
      <c r="T141" s="61"/>
      <c r="U141" s="62"/>
      <c r="V141" s="61"/>
      <c r="W141" s="62"/>
      <c r="X141" s="61"/>
      <c r="Y141" s="62"/>
      <c r="Z141" s="61"/>
      <c r="AA141" s="62"/>
    </row>
    <row r="142" spans="1:27" ht="16.5" customHeight="1">
      <c r="A142" s="589"/>
      <c r="B142" s="237"/>
      <c r="C142" s="435" t="s">
        <v>559</v>
      </c>
      <c r="D142" s="237"/>
      <c r="E142" s="263"/>
      <c r="F142" s="432"/>
      <c r="G142" s="237" t="s">
        <v>385</v>
      </c>
      <c r="H142" s="413">
        <v>37000</v>
      </c>
      <c r="I142" s="414">
        <v>45986</v>
      </c>
      <c r="J142" s="237"/>
      <c r="K142" s="280"/>
      <c r="O142" s="60"/>
      <c r="P142" s="61"/>
      <c r="Q142" s="62"/>
      <c r="R142" s="61"/>
      <c r="S142" s="62"/>
      <c r="T142" s="61"/>
      <c r="U142" s="62"/>
      <c r="V142" s="61"/>
      <c r="W142" s="62"/>
      <c r="X142" s="61"/>
      <c r="Y142" s="62"/>
      <c r="Z142" s="61"/>
      <c r="AA142" s="62"/>
    </row>
    <row r="143" spans="1:27" ht="16.5" customHeight="1">
      <c r="A143" s="589"/>
      <c r="B143" s="237"/>
      <c r="C143" s="435" t="s">
        <v>557</v>
      </c>
      <c r="D143" s="237"/>
      <c r="E143" s="263"/>
      <c r="F143" s="237"/>
      <c r="G143" s="237" t="s">
        <v>385</v>
      </c>
      <c r="H143" s="413">
        <v>83700</v>
      </c>
      <c r="I143" s="414">
        <v>45989</v>
      </c>
      <c r="J143" s="237"/>
      <c r="K143" s="280"/>
      <c r="O143" s="60"/>
      <c r="P143" s="61"/>
      <c r="Q143" s="62"/>
      <c r="R143" s="61"/>
      <c r="S143" s="62"/>
      <c r="T143" s="61"/>
      <c r="U143" s="62"/>
      <c r="V143" s="61"/>
      <c r="W143" s="62"/>
      <c r="X143" s="61"/>
      <c r="Y143" s="62"/>
      <c r="Z143" s="61"/>
      <c r="AA143" s="62"/>
    </row>
    <row r="144" spans="1:27" ht="16.5" customHeight="1">
      <c r="A144" s="589"/>
      <c r="B144" s="237"/>
      <c r="C144" s="435" t="s">
        <v>557</v>
      </c>
      <c r="D144" s="237"/>
      <c r="E144" s="263"/>
      <c r="F144" s="237"/>
      <c r="G144" s="237" t="s">
        <v>385</v>
      </c>
      <c r="H144" s="413">
        <v>531534</v>
      </c>
      <c r="I144" s="414">
        <v>45989</v>
      </c>
      <c r="J144" s="237"/>
      <c r="K144" s="280"/>
      <c r="O144" s="60"/>
      <c r="P144" s="61"/>
      <c r="Q144" s="62"/>
      <c r="R144" s="61"/>
      <c r="S144" s="62"/>
      <c r="T144" s="61"/>
      <c r="U144" s="62"/>
      <c r="V144" s="61"/>
      <c r="W144" s="62"/>
      <c r="X144" s="61"/>
      <c r="Y144" s="62"/>
      <c r="Z144" s="61"/>
      <c r="AA144" s="62"/>
    </row>
    <row r="145" spans="1:27" ht="16.5" customHeight="1">
      <c r="A145" s="589"/>
      <c r="B145" s="237"/>
      <c r="C145" s="435" t="s">
        <v>555</v>
      </c>
      <c r="D145" s="237"/>
      <c r="E145" s="263"/>
      <c r="F145" s="237"/>
      <c r="G145" s="237"/>
      <c r="H145" s="413">
        <v>20000000</v>
      </c>
      <c r="I145" s="414"/>
      <c r="J145" s="237"/>
      <c r="K145" s="280"/>
      <c r="O145" s="60"/>
      <c r="P145" s="61"/>
      <c r="Q145" s="62"/>
      <c r="R145" s="61"/>
      <c r="S145" s="62"/>
      <c r="T145" s="61"/>
      <c r="U145" s="62"/>
      <c r="V145" s="61"/>
      <c r="W145" s="62"/>
      <c r="X145" s="61"/>
      <c r="Y145" s="62"/>
      <c r="Z145" s="61"/>
      <c r="AA145" s="62"/>
    </row>
    <row r="146" spans="1:27" ht="16.5" customHeight="1">
      <c r="A146" s="589"/>
      <c r="B146" s="237"/>
      <c r="C146" s="435" t="s">
        <v>556</v>
      </c>
      <c r="D146" s="237"/>
      <c r="E146" s="263"/>
      <c r="F146" s="237"/>
      <c r="G146" s="237"/>
      <c r="H146" s="413">
        <v>21766810</v>
      </c>
      <c r="I146" s="414"/>
      <c r="J146" s="237"/>
      <c r="K146" s="280"/>
      <c r="O146" s="60"/>
      <c r="P146" s="61"/>
      <c r="Q146" s="62"/>
      <c r="R146" s="61"/>
      <c r="S146" s="62"/>
      <c r="T146" s="61"/>
      <c r="U146" s="62"/>
      <c r="V146" s="61"/>
      <c r="W146" s="62"/>
      <c r="X146" s="61"/>
      <c r="Y146" s="62"/>
      <c r="Z146" s="61"/>
      <c r="AA146" s="62"/>
    </row>
    <row r="147" spans="1:27" ht="16.5" customHeight="1">
      <c r="A147" s="589"/>
      <c r="B147" s="237"/>
      <c r="C147" s="432"/>
      <c r="D147" s="237"/>
      <c r="E147" s="263"/>
      <c r="F147" s="237"/>
      <c r="G147" s="237"/>
      <c r="H147" s="263"/>
      <c r="I147" s="279"/>
      <c r="J147" s="237"/>
      <c r="K147" s="280"/>
      <c r="O147" s="60"/>
      <c r="P147" s="61"/>
      <c r="Q147" s="62"/>
      <c r="R147" s="61"/>
      <c r="S147" s="62"/>
      <c r="T147" s="61"/>
      <c r="U147" s="62"/>
      <c r="V147" s="61"/>
      <c r="W147" s="62"/>
      <c r="X147" s="61"/>
      <c r="Y147" s="62"/>
      <c r="Z147" s="61"/>
      <c r="AA147" s="62"/>
    </row>
    <row r="148" spans="1:27" ht="16.5" customHeight="1">
      <c r="A148" s="589"/>
      <c r="B148" s="237"/>
      <c r="C148" s="266"/>
      <c r="D148" s="266"/>
      <c r="E148" s="263"/>
      <c r="F148" s="432"/>
      <c r="G148" s="432"/>
      <c r="H148" s="263"/>
      <c r="I148" s="279"/>
      <c r="J148" s="237"/>
      <c r="K148" s="280"/>
      <c r="O148" s="60"/>
      <c r="P148" s="61"/>
      <c r="Q148" s="62"/>
      <c r="R148" s="61"/>
      <c r="S148" s="62"/>
      <c r="T148" s="61"/>
      <c r="U148" s="62"/>
      <c r="V148" s="61"/>
      <c r="W148" s="62"/>
      <c r="X148" s="61"/>
      <c r="Y148" s="62"/>
      <c r="Z148" s="61"/>
      <c r="AA148" s="62"/>
    </row>
    <row r="149" spans="1:27" ht="16.5" customHeight="1">
      <c r="A149" s="589"/>
      <c r="B149" s="237"/>
      <c r="C149" s="432"/>
      <c r="D149" s="237"/>
      <c r="E149" s="263"/>
      <c r="F149" s="237"/>
      <c r="G149" s="237"/>
      <c r="H149" s="263"/>
      <c r="I149" s="279"/>
      <c r="J149" s="237"/>
      <c r="K149" s="280"/>
      <c r="O149" s="60"/>
      <c r="P149" s="61"/>
      <c r="Q149" s="62"/>
      <c r="R149" s="61"/>
      <c r="S149" s="62"/>
      <c r="T149" s="61"/>
      <c r="U149" s="62"/>
      <c r="V149" s="61"/>
      <c r="W149" s="62"/>
      <c r="X149" s="61"/>
      <c r="Y149" s="62"/>
      <c r="Z149" s="61"/>
      <c r="AA149" s="62"/>
    </row>
    <row r="150" spans="1:27" ht="16.5" customHeight="1">
      <c r="A150" s="589"/>
      <c r="B150" s="237"/>
      <c r="C150" s="266"/>
      <c r="D150" s="266"/>
      <c r="E150" s="263"/>
      <c r="F150" s="432"/>
      <c r="G150" s="432"/>
      <c r="H150" s="263"/>
      <c r="I150" s="279"/>
      <c r="J150" s="237"/>
      <c r="K150" s="280"/>
      <c r="O150" s="60"/>
      <c r="P150" s="61"/>
      <c r="Q150" s="62"/>
      <c r="R150" s="61"/>
      <c r="S150" s="62"/>
      <c r="T150" s="61"/>
      <c r="U150" s="62"/>
      <c r="V150" s="61"/>
      <c r="W150" s="62"/>
      <c r="X150" s="61"/>
      <c r="Y150" s="62"/>
      <c r="Z150" s="61"/>
      <c r="AA150" s="62"/>
    </row>
    <row r="151" spans="1:27" ht="16.5" customHeight="1">
      <c r="A151" s="589"/>
      <c r="B151" s="237"/>
      <c r="C151" s="218"/>
      <c r="D151" s="218"/>
      <c r="E151" s="263"/>
      <c r="F151" s="237"/>
      <c r="G151" s="237"/>
      <c r="H151" s="263"/>
      <c r="I151" s="279"/>
      <c r="J151" s="237"/>
      <c r="K151" s="280"/>
      <c r="O151" s="60"/>
      <c r="P151" s="61"/>
      <c r="Q151" s="62"/>
      <c r="R151" s="61"/>
      <c r="S151" s="62"/>
      <c r="T151" s="61"/>
      <c r="U151" s="62"/>
      <c r="V151" s="61"/>
      <c r="W151" s="62"/>
      <c r="X151" s="61"/>
      <c r="Y151" s="62"/>
      <c r="Z151" s="61"/>
      <c r="AA151" s="62"/>
    </row>
    <row r="152" spans="1:27" ht="16.5" customHeight="1">
      <c r="A152" s="589"/>
      <c r="B152" s="237"/>
      <c r="C152" s="218"/>
      <c r="D152" s="218"/>
      <c r="E152" s="263"/>
      <c r="F152" s="237"/>
      <c r="G152" s="237"/>
      <c r="H152" s="263"/>
      <c r="I152" s="279"/>
      <c r="J152" s="237"/>
      <c r="K152" s="280"/>
      <c r="O152" s="60"/>
      <c r="P152" s="61"/>
      <c r="Q152" s="62"/>
      <c r="R152" s="61"/>
      <c r="S152" s="62"/>
      <c r="T152" s="61"/>
      <c r="U152" s="62"/>
      <c r="V152" s="61"/>
      <c r="W152" s="62"/>
      <c r="X152" s="61"/>
      <c r="Y152" s="62"/>
      <c r="Z152" s="61"/>
      <c r="AA152" s="62"/>
    </row>
    <row r="153" spans="1:27" ht="16.5" customHeight="1">
      <c r="A153" s="589"/>
      <c r="B153" s="237"/>
      <c r="C153" s="218"/>
      <c r="D153" s="218"/>
      <c r="E153" s="263"/>
      <c r="F153" s="237"/>
      <c r="G153" s="237"/>
      <c r="H153" s="263"/>
      <c r="I153" s="279"/>
      <c r="J153" s="237"/>
      <c r="K153" s="280"/>
      <c r="O153" s="60"/>
      <c r="P153" s="61"/>
      <c r="Q153" s="62"/>
      <c r="R153" s="61"/>
      <c r="S153" s="62"/>
      <c r="T153" s="61"/>
      <c r="U153" s="62"/>
      <c r="V153" s="61"/>
      <c r="W153" s="62"/>
      <c r="X153" s="61"/>
      <c r="Y153" s="62"/>
      <c r="Z153" s="61"/>
      <c r="AA153" s="62"/>
    </row>
    <row r="154" spans="1:27" ht="16.5" customHeight="1">
      <c r="A154" s="589"/>
      <c r="B154" s="237"/>
      <c r="C154" s="218"/>
      <c r="D154" s="218"/>
      <c r="E154" s="263"/>
      <c r="F154" s="237"/>
      <c r="G154" s="237"/>
      <c r="H154" s="263"/>
      <c r="I154" s="279"/>
      <c r="J154" s="237"/>
      <c r="K154" s="280"/>
      <c r="O154" s="60"/>
      <c r="P154" s="61"/>
      <c r="Q154" s="62"/>
      <c r="R154" s="61"/>
      <c r="S154" s="62"/>
      <c r="T154" s="61"/>
      <c r="U154" s="62"/>
      <c r="V154" s="61"/>
      <c r="W154" s="62"/>
      <c r="X154" s="61"/>
      <c r="Y154" s="62"/>
      <c r="Z154" s="61"/>
      <c r="AA154" s="62"/>
    </row>
    <row r="155" spans="1:27" ht="16.5" customHeight="1">
      <c r="A155" s="589"/>
      <c r="B155" s="237"/>
      <c r="C155" s="432"/>
      <c r="D155" s="237"/>
      <c r="E155" s="263"/>
      <c r="F155" s="237"/>
      <c r="G155" s="237"/>
      <c r="H155" s="263"/>
      <c r="I155" s="279"/>
      <c r="J155" s="237"/>
      <c r="K155" s="280"/>
      <c r="O155" s="60"/>
      <c r="P155" s="61"/>
      <c r="Q155" s="62"/>
      <c r="R155" s="61"/>
      <c r="S155" s="62"/>
      <c r="T155" s="61"/>
      <c r="U155" s="62"/>
      <c r="V155" s="61"/>
      <c r="W155" s="62"/>
      <c r="X155" s="61"/>
      <c r="Y155" s="62"/>
      <c r="Z155" s="61"/>
      <c r="AA155" s="62"/>
    </row>
    <row r="156" spans="1:27" ht="16.5" customHeight="1">
      <c r="A156" s="589"/>
      <c r="B156" s="237"/>
      <c r="C156" s="432"/>
      <c r="D156" s="237"/>
      <c r="E156" s="263"/>
      <c r="F156" s="237"/>
      <c r="G156" s="237"/>
      <c r="H156" s="263"/>
      <c r="I156" s="279"/>
      <c r="J156" s="237"/>
      <c r="K156" s="280"/>
      <c r="O156" s="60"/>
      <c r="P156" s="61"/>
      <c r="Q156" s="62"/>
      <c r="R156" s="61"/>
      <c r="S156" s="62"/>
      <c r="T156" s="61"/>
      <c r="U156" s="62"/>
      <c r="V156" s="61"/>
      <c r="W156" s="62"/>
      <c r="X156" s="61"/>
      <c r="Y156" s="62"/>
      <c r="Z156" s="61"/>
      <c r="AA156" s="62"/>
    </row>
    <row r="157" spans="1:27" ht="16.5" customHeight="1">
      <c r="A157" s="589"/>
      <c r="B157" s="237"/>
      <c r="C157" s="432"/>
      <c r="D157" s="237"/>
      <c r="E157" s="263"/>
      <c r="F157" s="237"/>
      <c r="G157" s="237"/>
      <c r="H157" s="263"/>
      <c r="I157" s="279"/>
      <c r="J157" s="237"/>
      <c r="K157" s="280"/>
      <c r="O157" s="60"/>
      <c r="P157" s="61"/>
      <c r="Q157" s="62"/>
      <c r="R157" s="61"/>
      <c r="S157" s="62"/>
      <c r="T157" s="61"/>
      <c r="U157" s="62"/>
      <c r="V157" s="61"/>
      <c r="W157" s="62"/>
      <c r="X157" s="61"/>
      <c r="Y157" s="62"/>
      <c r="Z157" s="61"/>
      <c r="AA157" s="62"/>
    </row>
    <row r="158" spans="1:27" ht="16.5" customHeight="1">
      <c r="A158" s="589"/>
      <c r="B158" s="237"/>
      <c r="C158" s="432"/>
      <c r="D158" s="237"/>
      <c r="E158" s="263"/>
      <c r="F158" s="237"/>
      <c r="G158" s="237"/>
      <c r="H158" s="263"/>
      <c r="I158" s="279"/>
      <c r="J158" s="237"/>
      <c r="K158" s="280"/>
      <c r="O158" s="60"/>
      <c r="P158" s="61"/>
      <c r="Q158" s="62"/>
      <c r="R158" s="61"/>
      <c r="S158" s="62"/>
      <c r="T158" s="61"/>
      <c r="U158" s="62"/>
      <c r="V158" s="61"/>
      <c r="W158" s="62"/>
      <c r="X158" s="61"/>
      <c r="Y158" s="62"/>
      <c r="Z158" s="61"/>
      <c r="AA158" s="62"/>
    </row>
    <row r="159" spans="1:27" ht="16.5" customHeight="1">
      <c r="A159" s="589"/>
      <c r="B159" s="237"/>
      <c r="C159" s="266"/>
      <c r="D159" s="266"/>
      <c r="E159" s="263"/>
      <c r="F159" s="432"/>
      <c r="G159" s="432"/>
      <c r="H159" s="263"/>
      <c r="I159" s="279"/>
      <c r="J159" s="237"/>
      <c r="K159" s="280"/>
      <c r="O159" s="60"/>
      <c r="P159" s="61"/>
      <c r="Q159" s="62"/>
      <c r="R159" s="61"/>
      <c r="S159" s="62"/>
      <c r="T159" s="61"/>
      <c r="U159" s="62"/>
      <c r="V159" s="61"/>
      <c r="W159" s="62"/>
      <c r="X159" s="61"/>
      <c r="Y159" s="62"/>
      <c r="Z159" s="61"/>
      <c r="AA159" s="62"/>
    </row>
    <row r="160" spans="1:27" ht="16.5" customHeight="1">
      <c r="A160" s="589"/>
      <c r="B160" s="237"/>
      <c r="C160" s="432"/>
      <c r="D160" s="237"/>
      <c r="E160" s="263"/>
      <c r="F160" s="237"/>
      <c r="G160" s="237"/>
      <c r="H160" s="263"/>
      <c r="I160" s="279"/>
      <c r="J160" s="237"/>
      <c r="K160" s="280"/>
      <c r="O160" s="60"/>
      <c r="P160" s="61"/>
      <c r="Q160" s="62"/>
      <c r="R160" s="61"/>
      <c r="S160" s="62"/>
      <c r="T160" s="61"/>
      <c r="U160" s="62"/>
      <c r="V160" s="61"/>
      <c r="W160" s="62"/>
      <c r="X160" s="61"/>
      <c r="Y160" s="62"/>
      <c r="Z160" s="61"/>
      <c r="AA160" s="62"/>
    </row>
    <row r="161" spans="1:27" ht="16.5" customHeight="1">
      <c r="A161" s="589"/>
      <c r="B161" s="237"/>
      <c r="C161" s="267"/>
      <c r="D161" s="237"/>
      <c r="E161" s="263"/>
      <c r="F161" s="237"/>
      <c r="G161" s="237"/>
      <c r="H161" s="263"/>
      <c r="I161" s="279"/>
      <c r="J161" s="237"/>
      <c r="K161" s="280"/>
      <c r="O161" s="60"/>
      <c r="P161" s="61"/>
      <c r="Q161" s="62"/>
      <c r="R161" s="61"/>
      <c r="S161" s="62"/>
      <c r="T161" s="61"/>
      <c r="U161" s="62"/>
      <c r="V161" s="61"/>
      <c r="W161" s="62"/>
      <c r="X161" s="61"/>
      <c r="Y161" s="62"/>
      <c r="Z161" s="61"/>
      <c r="AA161" s="62"/>
    </row>
    <row r="162" spans="1:27" ht="16.5" customHeight="1">
      <c r="A162" s="589"/>
      <c r="B162" s="237"/>
      <c r="C162" s="267"/>
      <c r="D162" s="237"/>
      <c r="E162" s="263"/>
      <c r="F162" s="237"/>
      <c r="G162" s="237"/>
      <c r="H162" s="263"/>
      <c r="I162" s="279"/>
      <c r="J162" s="237"/>
      <c r="K162" s="280"/>
      <c r="O162" s="60"/>
      <c r="P162" s="61"/>
      <c r="Q162" s="62"/>
      <c r="R162" s="61"/>
      <c r="S162" s="62"/>
      <c r="T162" s="61"/>
      <c r="U162" s="62"/>
      <c r="V162" s="61"/>
      <c r="W162" s="62"/>
      <c r="X162" s="61"/>
      <c r="Y162" s="62"/>
      <c r="Z162" s="61"/>
      <c r="AA162" s="62"/>
    </row>
    <row r="163" spans="1:27" ht="16.5" customHeight="1">
      <c r="A163" s="589"/>
      <c r="B163" s="237"/>
      <c r="C163" s="266"/>
      <c r="D163" s="266"/>
      <c r="E163" s="263"/>
      <c r="F163" s="432"/>
      <c r="G163" s="432"/>
      <c r="H163" s="263"/>
      <c r="I163" s="279"/>
      <c r="J163" s="237"/>
      <c r="K163" s="280"/>
      <c r="O163" s="60"/>
      <c r="P163" s="61"/>
      <c r="Q163" s="62"/>
      <c r="R163" s="61"/>
      <c r="S163" s="62"/>
      <c r="T163" s="61"/>
      <c r="U163" s="62"/>
      <c r="V163" s="61"/>
      <c r="W163" s="62"/>
      <c r="X163" s="61"/>
      <c r="Y163" s="62"/>
      <c r="Z163" s="61"/>
      <c r="AA163" s="62"/>
    </row>
    <row r="164" spans="1:27" ht="16.5" customHeight="1">
      <c r="A164" s="589"/>
      <c r="B164" s="237"/>
      <c r="C164" s="218"/>
      <c r="D164" s="218"/>
      <c r="E164" s="263"/>
      <c r="F164" s="237"/>
      <c r="G164" s="237"/>
      <c r="H164" s="263"/>
      <c r="I164" s="279"/>
      <c r="J164" s="237"/>
      <c r="K164" s="280"/>
      <c r="O164" s="60"/>
      <c r="P164" s="61"/>
      <c r="Q164" s="62"/>
      <c r="R164" s="61"/>
      <c r="S164" s="62"/>
      <c r="T164" s="61"/>
      <c r="U164" s="62"/>
      <c r="V164" s="61"/>
      <c r="W164" s="62"/>
      <c r="X164" s="61"/>
      <c r="Y164" s="62"/>
      <c r="Z164" s="61"/>
      <c r="AA164" s="62"/>
    </row>
    <row r="165" spans="1:27" ht="16.5" customHeight="1">
      <c r="A165" s="589"/>
      <c r="B165" s="237"/>
      <c r="C165" s="434"/>
      <c r="D165" s="218"/>
      <c r="E165" s="263"/>
      <c r="F165" s="237"/>
      <c r="G165" s="237"/>
      <c r="H165" s="263"/>
      <c r="I165" s="279"/>
      <c r="J165" s="237"/>
      <c r="K165" s="280"/>
      <c r="O165" s="60"/>
      <c r="P165" s="61"/>
      <c r="Q165" s="62"/>
      <c r="R165" s="61"/>
      <c r="S165" s="62"/>
      <c r="T165" s="61"/>
      <c r="U165" s="62"/>
      <c r="V165" s="61"/>
      <c r="W165" s="62"/>
      <c r="X165" s="61"/>
      <c r="Y165" s="62"/>
      <c r="Z165" s="61"/>
      <c r="AA165" s="62"/>
    </row>
    <row r="166" spans="1:27" ht="16.5" customHeight="1">
      <c r="A166" s="589"/>
      <c r="B166" s="237"/>
      <c r="C166" s="432"/>
      <c r="D166" s="237"/>
      <c r="E166" s="263"/>
      <c r="F166" s="237"/>
      <c r="G166" s="237"/>
      <c r="H166" s="263"/>
      <c r="I166" s="279"/>
      <c r="J166" s="237"/>
      <c r="K166" s="280"/>
      <c r="O166" s="60"/>
      <c r="P166" s="61"/>
      <c r="Q166" s="62"/>
      <c r="R166" s="61"/>
      <c r="S166" s="62"/>
      <c r="T166" s="61"/>
      <c r="U166" s="62"/>
      <c r="V166" s="61"/>
      <c r="W166" s="62"/>
      <c r="X166" s="61"/>
      <c r="Y166" s="62"/>
      <c r="Z166" s="61"/>
      <c r="AA166" s="62"/>
    </row>
    <row r="167" spans="1:27" ht="16.5" customHeight="1">
      <c r="A167" s="589"/>
      <c r="B167" s="237"/>
      <c r="C167" s="266"/>
      <c r="D167" s="266"/>
      <c r="E167" s="263"/>
      <c r="F167" s="432"/>
      <c r="G167" s="237"/>
      <c r="H167" s="263"/>
      <c r="I167" s="279"/>
      <c r="J167" s="237"/>
      <c r="K167" s="280"/>
      <c r="O167" s="60"/>
      <c r="P167" s="61"/>
      <c r="Q167" s="62"/>
      <c r="R167" s="61"/>
      <c r="S167" s="62"/>
      <c r="T167" s="61"/>
      <c r="U167" s="62"/>
      <c r="V167" s="61"/>
      <c r="W167" s="62"/>
      <c r="X167" s="61"/>
      <c r="Y167" s="62"/>
      <c r="Z167" s="61"/>
      <c r="AA167" s="62"/>
    </row>
    <row r="168" spans="1:27" ht="16.5" customHeight="1">
      <c r="A168" s="589"/>
      <c r="B168" s="237"/>
      <c r="C168" s="432"/>
      <c r="D168" s="237"/>
      <c r="E168" s="263"/>
      <c r="F168" s="237"/>
      <c r="G168" s="237"/>
      <c r="H168" s="263"/>
      <c r="I168" s="279"/>
      <c r="J168" s="237"/>
      <c r="K168" s="280"/>
      <c r="O168" s="60"/>
      <c r="P168" s="61"/>
      <c r="Q168" s="62"/>
      <c r="R168" s="61"/>
      <c r="S168" s="62"/>
      <c r="T168" s="61"/>
      <c r="U168" s="62"/>
      <c r="V168" s="61"/>
      <c r="W168" s="62"/>
      <c r="X168" s="61"/>
      <c r="Y168" s="62"/>
      <c r="Z168" s="61"/>
      <c r="AA168" s="62"/>
    </row>
    <row r="169" spans="1:27" ht="16.5" customHeight="1">
      <c r="A169" s="589"/>
      <c r="B169" s="237"/>
      <c r="C169" s="432"/>
      <c r="D169" s="237"/>
      <c r="E169" s="263"/>
      <c r="F169" s="237"/>
      <c r="G169" s="237"/>
      <c r="H169" s="263"/>
      <c r="I169" s="279"/>
      <c r="J169" s="237"/>
      <c r="K169" s="280"/>
      <c r="O169" s="60"/>
      <c r="P169" s="61"/>
      <c r="Q169" s="62"/>
      <c r="R169" s="61"/>
      <c r="S169" s="62"/>
      <c r="T169" s="61"/>
      <c r="U169" s="62"/>
      <c r="V169" s="61"/>
      <c r="W169" s="62"/>
      <c r="X169" s="61"/>
      <c r="Y169" s="62"/>
      <c r="Z169" s="61"/>
      <c r="AA169" s="62"/>
    </row>
    <row r="170" spans="1:27" ht="16.5" customHeight="1">
      <c r="A170" s="589"/>
      <c r="B170" s="237"/>
      <c r="C170" s="432"/>
      <c r="D170" s="237"/>
      <c r="E170" s="263"/>
      <c r="F170" s="237"/>
      <c r="G170" s="237"/>
      <c r="H170" s="263"/>
      <c r="I170" s="279"/>
      <c r="J170" s="237"/>
      <c r="K170" s="280"/>
      <c r="O170" s="60"/>
      <c r="P170" s="61"/>
      <c r="Q170" s="62"/>
      <c r="R170" s="61"/>
      <c r="S170" s="62"/>
      <c r="T170" s="61"/>
      <c r="U170" s="62"/>
      <c r="V170" s="61"/>
      <c r="W170" s="62"/>
      <c r="X170" s="61"/>
      <c r="Y170" s="62"/>
      <c r="Z170" s="61"/>
      <c r="AA170" s="62"/>
    </row>
    <row r="171" spans="1:27" ht="16.5" customHeight="1">
      <c r="A171" s="589"/>
      <c r="B171" s="237"/>
      <c r="C171" s="266"/>
      <c r="D171" s="266"/>
      <c r="E171" s="263"/>
      <c r="F171" s="432"/>
      <c r="G171" s="237"/>
      <c r="H171" s="263"/>
      <c r="I171" s="279"/>
      <c r="J171" s="237"/>
      <c r="K171" s="280"/>
      <c r="O171" s="60"/>
      <c r="P171" s="61"/>
      <c r="Q171" s="62"/>
      <c r="R171" s="61"/>
      <c r="S171" s="62"/>
      <c r="T171" s="61"/>
      <c r="U171" s="62"/>
      <c r="V171" s="61"/>
      <c r="W171" s="62"/>
      <c r="X171" s="61"/>
      <c r="Y171" s="62"/>
      <c r="Z171" s="61"/>
      <c r="AA171" s="62"/>
    </row>
    <row r="172" spans="1:27" ht="16.5" customHeight="1">
      <c r="A172" s="589"/>
      <c r="B172" s="237"/>
      <c r="C172" s="432"/>
      <c r="D172" s="237"/>
      <c r="E172" s="263"/>
      <c r="F172" s="237"/>
      <c r="G172" s="237"/>
      <c r="H172" s="263"/>
      <c r="I172" s="279"/>
      <c r="J172" s="237"/>
      <c r="K172" s="280"/>
      <c r="O172" s="60"/>
      <c r="P172" s="61"/>
      <c r="Q172" s="62"/>
      <c r="R172" s="61"/>
      <c r="S172" s="62"/>
      <c r="T172" s="61"/>
      <c r="U172" s="62"/>
      <c r="V172" s="61"/>
      <c r="W172" s="62"/>
      <c r="X172" s="61"/>
      <c r="Y172" s="62"/>
      <c r="Z172" s="61"/>
      <c r="AA172" s="62"/>
    </row>
    <row r="173" spans="1:27" ht="16.5" customHeight="1">
      <c r="A173" s="589"/>
      <c r="B173" s="237"/>
      <c r="C173" s="218"/>
      <c r="D173" s="218"/>
      <c r="E173" s="263"/>
      <c r="F173" s="237"/>
      <c r="G173" s="237"/>
      <c r="H173" s="263"/>
      <c r="I173" s="279"/>
      <c r="J173" s="237"/>
      <c r="K173" s="280"/>
      <c r="O173" s="60"/>
      <c r="P173" s="61"/>
      <c r="Q173" s="62"/>
      <c r="R173" s="61"/>
      <c r="S173" s="62"/>
      <c r="T173" s="61"/>
      <c r="U173" s="62"/>
      <c r="V173" s="61"/>
      <c r="W173" s="62"/>
      <c r="X173" s="61"/>
      <c r="Y173" s="62"/>
      <c r="Z173" s="61"/>
      <c r="AA173" s="62"/>
    </row>
    <row r="174" spans="1:27" ht="16.5" customHeight="1">
      <c r="A174" s="589"/>
      <c r="B174" s="237"/>
      <c r="C174" s="218"/>
      <c r="D174" s="218"/>
      <c r="E174" s="263"/>
      <c r="F174" s="237"/>
      <c r="G174" s="237"/>
      <c r="H174" s="263"/>
      <c r="I174" s="279"/>
      <c r="J174" s="237"/>
      <c r="K174" s="280"/>
      <c r="O174" s="60"/>
      <c r="P174" s="61"/>
      <c r="Q174" s="62"/>
      <c r="R174" s="61"/>
      <c r="S174" s="62"/>
      <c r="T174" s="61"/>
      <c r="U174" s="62"/>
      <c r="V174" s="61"/>
      <c r="W174" s="62"/>
      <c r="X174" s="61"/>
      <c r="Y174" s="62"/>
      <c r="Z174" s="61"/>
      <c r="AA174" s="62"/>
    </row>
    <row r="175" spans="1:27" ht="16.5" customHeight="1">
      <c r="A175" s="589"/>
      <c r="B175" s="237"/>
      <c r="C175" s="432"/>
      <c r="D175" s="237"/>
      <c r="E175" s="263"/>
      <c r="F175" s="237"/>
      <c r="G175" s="237"/>
      <c r="H175" s="263"/>
      <c r="I175" s="279"/>
      <c r="J175" s="237"/>
      <c r="K175" s="280"/>
      <c r="O175" s="60"/>
      <c r="P175" s="61"/>
      <c r="Q175" s="62"/>
      <c r="R175" s="61"/>
      <c r="S175" s="62"/>
      <c r="T175" s="61"/>
      <c r="U175" s="62"/>
      <c r="V175" s="61"/>
      <c r="W175" s="62"/>
      <c r="X175" s="61"/>
      <c r="Y175" s="62"/>
      <c r="Z175" s="61"/>
      <c r="AA175" s="62"/>
    </row>
    <row r="176" spans="1:27" ht="16.5" customHeight="1">
      <c r="A176" s="592"/>
      <c r="B176" s="237"/>
      <c r="C176" s="266"/>
      <c r="D176" s="266"/>
      <c r="E176" s="263"/>
      <c r="F176" s="432"/>
      <c r="G176" s="237"/>
      <c r="H176" s="263"/>
      <c r="I176" s="279"/>
      <c r="J176" s="237"/>
      <c r="K176" s="280"/>
      <c r="O176" s="60"/>
      <c r="P176" s="61"/>
      <c r="Q176" s="62"/>
      <c r="R176" s="61"/>
      <c r="S176" s="62"/>
      <c r="T176" s="61"/>
      <c r="U176" s="62"/>
      <c r="V176" s="61"/>
      <c r="W176" s="62"/>
      <c r="X176" s="61"/>
      <c r="Y176" s="62"/>
      <c r="Z176" s="61"/>
      <c r="AA176" s="62"/>
    </row>
    <row r="177" spans="1:27" ht="16.5" customHeight="1" thickBot="1">
      <c r="A177" s="614" t="s">
        <v>269</v>
      </c>
      <c r="B177" s="597"/>
      <c r="C177" s="268">
        <f>예산!G130</f>
        <v>1177010574</v>
      </c>
      <c r="D177" s="428"/>
      <c r="E177" s="429">
        <f>SUM(E176,E167,E163,E159,E150,E148,E142,E126,E124,E115)</f>
        <v>0</v>
      </c>
      <c r="F177" s="430"/>
      <c r="G177" s="431"/>
      <c r="H177" s="273">
        <f>SUM(H77:H176)</f>
        <v>921669297</v>
      </c>
      <c r="I177" s="709"/>
      <c r="J177" s="710"/>
      <c r="K177" s="274">
        <f t="shared" ref="K177:K178" si="2">H177/C177</f>
        <v>0.78305948762020217</v>
      </c>
      <c r="O177" s="60"/>
      <c r="P177" s="61"/>
      <c r="Q177" s="62"/>
      <c r="R177" s="61"/>
      <c r="S177" s="62"/>
      <c r="T177" s="61"/>
      <c r="U177" s="62"/>
      <c r="V177" s="61"/>
      <c r="W177" s="62"/>
      <c r="X177" s="61"/>
      <c r="Y177" s="62"/>
      <c r="Z177" s="61"/>
      <c r="AA177" s="62"/>
    </row>
    <row r="178" spans="1:27" ht="16.5" customHeight="1" thickBot="1">
      <c r="A178" s="111" t="s">
        <v>270</v>
      </c>
      <c r="B178" s="112"/>
      <c r="C178" s="113">
        <f>SUM(C177,C76,C56,C39,C26)</f>
        <v>2797983630</v>
      </c>
      <c r="D178" s="112"/>
      <c r="E178" s="114"/>
      <c r="F178" s="112"/>
      <c r="G178" s="112"/>
      <c r="H178" s="115">
        <f>SUM(H177,H76,H56,H39,H26)</f>
        <v>1407427556</v>
      </c>
      <c r="I178" s="116"/>
      <c r="J178" s="112"/>
      <c r="K178" s="117">
        <f t="shared" si="2"/>
        <v>0.50301493579503176</v>
      </c>
      <c r="O178" s="60"/>
      <c r="P178" s="61"/>
      <c r="Q178" s="62"/>
      <c r="R178" s="61"/>
      <c r="S178" s="62"/>
      <c r="T178" s="61"/>
      <c r="U178" s="62"/>
      <c r="V178" s="61"/>
      <c r="W178" s="62"/>
      <c r="X178" s="61"/>
      <c r="Y178" s="62"/>
      <c r="Z178" s="61"/>
      <c r="AA178" s="62"/>
    </row>
    <row r="179" spans="1:27" ht="16.5" customHeight="1">
      <c r="C179" s="118"/>
      <c r="E179" s="61"/>
      <c r="H179" s="61"/>
      <c r="I179" s="60"/>
      <c r="K179" s="62"/>
      <c r="O179" s="60"/>
      <c r="P179" s="61"/>
      <c r="Q179" s="62"/>
      <c r="R179" s="61"/>
      <c r="S179" s="62"/>
      <c r="T179" s="61"/>
      <c r="U179" s="62"/>
      <c r="V179" s="61"/>
      <c r="W179" s="62"/>
      <c r="X179" s="61"/>
      <c r="Y179" s="62"/>
      <c r="Z179" s="61"/>
      <c r="AA179" s="62"/>
    </row>
    <row r="180" spans="1:27" ht="16.5" customHeight="1">
      <c r="C180" s="118"/>
      <c r="E180" s="61"/>
      <c r="H180" s="61"/>
      <c r="I180" s="60"/>
      <c r="K180" s="62"/>
      <c r="O180" s="60"/>
      <c r="P180" s="61"/>
      <c r="Q180" s="62"/>
      <c r="R180" s="61"/>
      <c r="S180" s="62"/>
      <c r="T180" s="61"/>
      <c r="U180" s="62"/>
      <c r="V180" s="61"/>
      <c r="W180" s="62"/>
      <c r="X180" s="61"/>
      <c r="Y180" s="62"/>
      <c r="Z180" s="61"/>
      <c r="AA180" s="62"/>
    </row>
    <row r="181" spans="1:27" ht="16.5" customHeight="1">
      <c r="C181" s="118"/>
      <c r="E181" s="61"/>
      <c r="H181" s="61"/>
      <c r="I181" s="60"/>
      <c r="K181" s="62"/>
      <c r="O181" s="60"/>
      <c r="P181" s="61"/>
      <c r="Q181" s="62"/>
      <c r="R181" s="61"/>
      <c r="S181" s="62"/>
      <c r="T181" s="61"/>
      <c r="U181" s="62"/>
      <c r="V181" s="61"/>
      <c r="W181" s="62"/>
      <c r="X181" s="61"/>
      <c r="Y181" s="62"/>
      <c r="Z181" s="61"/>
      <c r="AA181" s="62"/>
    </row>
    <row r="182" spans="1:27" ht="16.5" customHeight="1">
      <c r="C182" s="118"/>
      <c r="E182" s="61"/>
      <c r="H182" s="61"/>
      <c r="I182" s="60"/>
      <c r="K182" s="62"/>
      <c r="O182" s="60"/>
      <c r="P182" s="61"/>
      <c r="Q182" s="62"/>
      <c r="R182" s="61"/>
      <c r="S182" s="62"/>
      <c r="T182" s="61"/>
      <c r="U182" s="62"/>
      <c r="V182" s="61"/>
      <c r="W182" s="62"/>
      <c r="X182" s="61"/>
      <c r="Y182" s="62"/>
      <c r="Z182" s="61"/>
      <c r="AA182" s="62"/>
    </row>
    <row r="183" spans="1:27" ht="16.5" customHeight="1">
      <c r="C183" s="118"/>
      <c r="E183" s="61"/>
      <c r="H183" s="61"/>
      <c r="I183" s="60"/>
      <c r="K183" s="62"/>
      <c r="O183" s="60"/>
      <c r="P183" s="61"/>
      <c r="Q183" s="62"/>
      <c r="R183" s="61"/>
      <c r="S183" s="62"/>
      <c r="T183" s="61"/>
      <c r="U183" s="62"/>
      <c r="V183" s="61"/>
      <c r="W183" s="62"/>
      <c r="X183" s="61"/>
      <c r="Y183" s="62"/>
      <c r="Z183" s="61"/>
      <c r="AA183" s="62"/>
    </row>
    <row r="184" spans="1:27" ht="16.5" customHeight="1">
      <c r="C184" s="118"/>
      <c r="E184" s="61"/>
      <c r="H184" s="61"/>
      <c r="I184" s="60"/>
      <c r="K184" s="62"/>
      <c r="O184" s="60"/>
      <c r="P184" s="61"/>
      <c r="Q184" s="62"/>
      <c r="R184" s="61"/>
      <c r="S184" s="62"/>
      <c r="T184" s="61"/>
      <c r="U184" s="62"/>
      <c r="V184" s="61"/>
      <c r="W184" s="62"/>
      <c r="X184" s="61"/>
      <c r="Y184" s="62"/>
      <c r="Z184" s="61"/>
      <c r="AA184" s="62"/>
    </row>
    <row r="185" spans="1:27" ht="16.5" customHeight="1">
      <c r="C185" s="118"/>
      <c r="E185" s="61"/>
      <c r="H185" s="61"/>
      <c r="I185" s="60"/>
      <c r="K185" s="62"/>
      <c r="O185" s="60"/>
      <c r="P185" s="61"/>
      <c r="Q185" s="62"/>
      <c r="R185" s="61"/>
      <c r="S185" s="62"/>
      <c r="T185" s="61"/>
      <c r="U185" s="62"/>
      <c r="V185" s="61"/>
      <c r="W185" s="62"/>
      <c r="X185" s="61"/>
      <c r="Y185" s="62"/>
      <c r="Z185" s="61"/>
      <c r="AA185" s="62"/>
    </row>
    <row r="186" spans="1:27" ht="16.5" customHeight="1">
      <c r="C186" s="118"/>
      <c r="E186" s="61"/>
      <c r="H186" s="61"/>
      <c r="I186" s="60"/>
      <c r="K186" s="62"/>
      <c r="O186" s="60"/>
      <c r="P186" s="61"/>
      <c r="Q186" s="62"/>
      <c r="R186" s="61"/>
      <c r="S186" s="62"/>
      <c r="T186" s="61"/>
      <c r="U186" s="62"/>
      <c r="V186" s="61"/>
      <c r="W186" s="62"/>
      <c r="X186" s="61"/>
      <c r="Y186" s="62"/>
      <c r="Z186" s="61"/>
      <c r="AA186" s="62"/>
    </row>
    <row r="187" spans="1:27" ht="16.5" customHeight="1">
      <c r="C187" s="118"/>
      <c r="E187" s="61"/>
      <c r="H187" s="61"/>
      <c r="I187" s="60"/>
      <c r="K187" s="62"/>
      <c r="O187" s="60"/>
      <c r="P187" s="61"/>
      <c r="Q187" s="62"/>
      <c r="R187" s="61"/>
      <c r="S187" s="62"/>
      <c r="T187" s="61"/>
      <c r="U187" s="62"/>
      <c r="V187" s="61"/>
      <c r="W187" s="62"/>
      <c r="X187" s="61"/>
      <c r="Y187" s="62"/>
      <c r="Z187" s="61"/>
      <c r="AA187" s="62"/>
    </row>
    <row r="188" spans="1:27" ht="16.5" customHeight="1">
      <c r="C188" s="118"/>
      <c r="E188" s="61"/>
      <c r="H188" s="61"/>
      <c r="I188" s="60"/>
      <c r="K188" s="62"/>
      <c r="O188" s="60"/>
      <c r="P188" s="61"/>
      <c r="Q188" s="62"/>
      <c r="R188" s="61"/>
      <c r="S188" s="62"/>
      <c r="T188" s="61"/>
      <c r="U188" s="62"/>
      <c r="V188" s="61"/>
      <c r="W188" s="62"/>
      <c r="X188" s="61"/>
      <c r="Y188" s="62"/>
      <c r="Z188" s="61"/>
      <c r="AA188" s="62"/>
    </row>
    <row r="189" spans="1:27" ht="16.5" customHeight="1">
      <c r="C189" s="118"/>
      <c r="E189" s="61"/>
      <c r="H189" s="61"/>
      <c r="I189" s="60"/>
      <c r="K189" s="62"/>
      <c r="O189" s="60"/>
      <c r="P189" s="61"/>
      <c r="Q189" s="62"/>
      <c r="R189" s="61"/>
      <c r="S189" s="62"/>
      <c r="T189" s="61"/>
      <c r="U189" s="62"/>
      <c r="V189" s="61"/>
      <c r="W189" s="62"/>
      <c r="X189" s="61"/>
      <c r="Y189" s="62"/>
      <c r="Z189" s="61"/>
      <c r="AA189" s="62"/>
    </row>
    <row r="190" spans="1:27" ht="16.5" customHeight="1">
      <c r="C190" s="118"/>
      <c r="E190" s="61"/>
      <c r="H190" s="61"/>
      <c r="I190" s="60"/>
      <c r="K190" s="62"/>
      <c r="O190" s="60"/>
      <c r="P190" s="61"/>
      <c r="Q190" s="62"/>
      <c r="R190" s="61"/>
      <c r="S190" s="62"/>
      <c r="T190" s="61"/>
      <c r="U190" s="62"/>
      <c r="V190" s="61"/>
      <c r="W190" s="62"/>
      <c r="X190" s="61"/>
      <c r="Y190" s="62"/>
      <c r="Z190" s="61"/>
      <c r="AA190" s="62"/>
    </row>
    <row r="191" spans="1:27" ht="16.5" customHeight="1">
      <c r="C191" s="118"/>
      <c r="E191" s="61"/>
      <c r="H191" s="61"/>
      <c r="I191" s="60"/>
      <c r="K191" s="62"/>
      <c r="O191" s="60"/>
      <c r="P191" s="61"/>
      <c r="Q191" s="62"/>
      <c r="R191" s="61"/>
      <c r="S191" s="62"/>
      <c r="T191" s="61"/>
      <c r="U191" s="62"/>
      <c r="V191" s="61"/>
      <c r="W191" s="62"/>
      <c r="X191" s="61"/>
      <c r="Y191" s="62"/>
      <c r="Z191" s="61"/>
      <c r="AA191" s="62"/>
    </row>
    <row r="192" spans="1:27" ht="16.5" customHeight="1">
      <c r="C192" s="118"/>
      <c r="E192" s="61"/>
      <c r="H192" s="61"/>
      <c r="I192" s="60"/>
      <c r="K192" s="62"/>
      <c r="O192" s="60"/>
      <c r="P192" s="61"/>
      <c r="Q192" s="62"/>
      <c r="R192" s="61"/>
      <c r="S192" s="62"/>
      <c r="T192" s="61"/>
      <c r="U192" s="62"/>
      <c r="V192" s="61"/>
      <c r="W192" s="62"/>
      <c r="X192" s="61"/>
      <c r="Y192" s="62"/>
      <c r="Z192" s="61"/>
      <c r="AA192" s="62"/>
    </row>
    <row r="193" spans="3:27" ht="16.5" customHeight="1">
      <c r="C193" s="118"/>
      <c r="E193" s="61"/>
      <c r="H193" s="61"/>
      <c r="I193" s="60"/>
      <c r="K193" s="62"/>
      <c r="O193" s="60"/>
      <c r="P193" s="61"/>
      <c r="Q193" s="62"/>
      <c r="R193" s="61"/>
      <c r="S193" s="62"/>
      <c r="T193" s="61"/>
      <c r="U193" s="62"/>
      <c r="V193" s="61"/>
      <c r="W193" s="62"/>
      <c r="X193" s="61"/>
      <c r="Y193" s="62"/>
      <c r="Z193" s="61"/>
      <c r="AA193" s="62"/>
    </row>
    <row r="194" spans="3:27" ht="16.5" customHeight="1">
      <c r="C194" s="118"/>
      <c r="E194" s="61"/>
      <c r="H194" s="61"/>
      <c r="I194" s="60"/>
      <c r="K194" s="62"/>
      <c r="O194" s="60"/>
      <c r="P194" s="61"/>
      <c r="Q194" s="62"/>
      <c r="R194" s="61"/>
      <c r="S194" s="62"/>
      <c r="T194" s="61"/>
      <c r="U194" s="62"/>
      <c r="V194" s="61"/>
      <c r="W194" s="62"/>
      <c r="X194" s="61"/>
      <c r="Y194" s="62"/>
      <c r="Z194" s="61"/>
      <c r="AA194" s="62"/>
    </row>
    <row r="195" spans="3:27" ht="16.5" customHeight="1">
      <c r="C195" s="118"/>
      <c r="E195" s="61"/>
      <c r="H195" s="61"/>
      <c r="I195" s="60"/>
      <c r="K195" s="62"/>
      <c r="O195" s="60"/>
      <c r="P195" s="61"/>
      <c r="Q195" s="62"/>
      <c r="R195" s="61"/>
      <c r="S195" s="62"/>
      <c r="T195" s="61"/>
      <c r="U195" s="62"/>
      <c r="V195" s="61"/>
      <c r="W195" s="62"/>
      <c r="X195" s="61"/>
      <c r="Y195" s="62"/>
      <c r="Z195" s="61"/>
      <c r="AA195" s="62"/>
    </row>
    <row r="196" spans="3:27" ht="16.5" customHeight="1">
      <c r="C196" s="118"/>
      <c r="E196" s="61"/>
      <c r="H196" s="61"/>
      <c r="I196" s="60"/>
      <c r="K196" s="62"/>
      <c r="O196" s="60"/>
      <c r="P196" s="61"/>
      <c r="Q196" s="62"/>
      <c r="R196" s="61"/>
      <c r="S196" s="62"/>
      <c r="T196" s="61"/>
      <c r="U196" s="62"/>
      <c r="V196" s="61"/>
      <c r="W196" s="62"/>
      <c r="X196" s="61"/>
      <c r="Y196" s="62"/>
      <c r="Z196" s="61"/>
      <c r="AA196" s="62"/>
    </row>
    <row r="197" spans="3:27" ht="16.5" customHeight="1">
      <c r="C197" s="118"/>
      <c r="E197" s="61"/>
      <c r="H197" s="61"/>
      <c r="I197" s="60"/>
      <c r="K197" s="62"/>
      <c r="O197" s="60"/>
      <c r="P197" s="61"/>
      <c r="Q197" s="62"/>
      <c r="R197" s="61"/>
      <c r="S197" s="62"/>
      <c r="T197" s="61"/>
      <c r="U197" s="62"/>
      <c r="V197" s="61"/>
      <c r="W197" s="62"/>
      <c r="X197" s="61"/>
      <c r="Y197" s="62"/>
      <c r="Z197" s="61"/>
      <c r="AA197" s="62"/>
    </row>
    <row r="198" spans="3:27" ht="16.5" customHeight="1">
      <c r="C198" s="118"/>
      <c r="E198" s="61"/>
      <c r="H198" s="61"/>
      <c r="I198" s="60"/>
      <c r="K198" s="62"/>
      <c r="O198" s="60"/>
      <c r="P198" s="61"/>
      <c r="Q198" s="62"/>
      <c r="R198" s="61"/>
      <c r="S198" s="62"/>
      <c r="T198" s="61"/>
      <c r="U198" s="62"/>
      <c r="V198" s="61"/>
      <c r="W198" s="62"/>
      <c r="X198" s="61"/>
      <c r="Y198" s="62"/>
      <c r="Z198" s="61"/>
      <c r="AA198" s="62"/>
    </row>
    <row r="199" spans="3:27" ht="16.5" customHeight="1">
      <c r="C199" s="118"/>
      <c r="E199" s="61"/>
      <c r="H199" s="61"/>
      <c r="I199" s="60"/>
      <c r="K199" s="62"/>
      <c r="O199" s="60"/>
      <c r="P199" s="61"/>
      <c r="Q199" s="62"/>
      <c r="R199" s="61"/>
      <c r="S199" s="62"/>
      <c r="T199" s="61"/>
      <c r="U199" s="62"/>
      <c r="V199" s="61"/>
      <c r="W199" s="62"/>
      <c r="X199" s="61"/>
      <c r="Y199" s="62"/>
      <c r="Z199" s="61"/>
      <c r="AA199" s="62"/>
    </row>
    <row r="200" spans="3:27" ht="16.5" customHeight="1">
      <c r="C200" s="118"/>
      <c r="E200" s="61"/>
      <c r="H200" s="61"/>
      <c r="I200" s="60"/>
      <c r="K200" s="62"/>
      <c r="O200" s="60"/>
      <c r="P200" s="61"/>
      <c r="Q200" s="62"/>
      <c r="R200" s="61"/>
      <c r="S200" s="62"/>
      <c r="T200" s="61"/>
      <c r="U200" s="62"/>
      <c r="V200" s="61"/>
      <c r="W200" s="62"/>
      <c r="X200" s="61"/>
      <c r="Y200" s="62"/>
      <c r="Z200" s="61"/>
      <c r="AA200" s="62"/>
    </row>
    <row r="201" spans="3:27" ht="16.5" customHeight="1">
      <c r="C201" s="118"/>
      <c r="E201" s="61"/>
      <c r="H201" s="61"/>
      <c r="I201" s="60"/>
      <c r="K201" s="62"/>
      <c r="O201" s="60"/>
      <c r="P201" s="61"/>
      <c r="Q201" s="62"/>
      <c r="R201" s="61"/>
      <c r="S201" s="62"/>
      <c r="T201" s="61"/>
      <c r="U201" s="62"/>
      <c r="V201" s="61"/>
      <c r="W201" s="62"/>
      <c r="X201" s="61"/>
      <c r="Y201" s="62"/>
      <c r="Z201" s="61"/>
      <c r="AA201" s="62"/>
    </row>
    <row r="202" spans="3:27" ht="16.5" customHeight="1">
      <c r="C202" s="118"/>
      <c r="E202" s="61"/>
      <c r="H202" s="61"/>
      <c r="I202" s="60"/>
      <c r="K202" s="62"/>
      <c r="O202" s="60"/>
      <c r="P202" s="61"/>
      <c r="Q202" s="62"/>
      <c r="R202" s="61"/>
      <c r="S202" s="62"/>
      <c r="T202" s="61"/>
      <c r="U202" s="62"/>
      <c r="V202" s="61"/>
      <c r="W202" s="62"/>
      <c r="X202" s="61"/>
      <c r="Y202" s="62"/>
      <c r="Z202" s="61"/>
      <c r="AA202" s="62"/>
    </row>
    <row r="203" spans="3:27" ht="16.5" customHeight="1">
      <c r="C203" s="118"/>
      <c r="E203" s="61"/>
      <c r="H203" s="61"/>
      <c r="I203" s="60"/>
      <c r="K203" s="62"/>
      <c r="O203" s="60"/>
      <c r="P203" s="61"/>
      <c r="Q203" s="62"/>
      <c r="R203" s="61"/>
      <c r="S203" s="62"/>
      <c r="T203" s="61"/>
      <c r="U203" s="62"/>
      <c r="V203" s="61"/>
      <c r="W203" s="62"/>
      <c r="X203" s="61"/>
      <c r="Y203" s="62"/>
      <c r="Z203" s="61"/>
      <c r="AA203" s="62"/>
    </row>
    <row r="204" spans="3:27" ht="16.5" customHeight="1">
      <c r="C204" s="118"/>
      <c r="E204" s="61"/>
      <c r="H204" s="61"/>
      <c r="I204" s="60"/>
      <c r="K204" s="62"/>
      <c r="O204" s="60"/>
      <c r="P204" s="61"/>
      <c r="Q204" s="62"/>
      <c r="R204" s="61"/>
      <c r="S204" s="62"/>
      <c r="T204" s="61"/>
      <c r="U204" s="62"/>
      <c r="V204" s="61"/>
      <c r="W204" s="62"/>
      <c r="X204" s="61"/>
      <c r="Y204" s="62"/>
      <c r="Z204" s="61"/>
      <c r="AA204" s="62"/>
    </row>
    <row r="205" spans="3:27" ht="16.5" customHeight="1">
      <c r="C205" s="118"/>
      <c r="E205" s="61"/>
      <c r="H205" s="61"/>
      <c r="I205" s="60"/>
      <c r="K205" s="62"/>
      <c r="O205" s="60"/>
      <c r="P205" s="61"/>
      <c r="Q205" s="62"/>
      <c r="R205" s="61"/>
      <c r="S205" s="62"/>
      <c r="T205" s="61"/>
      <c r="U205" s="62"/>
      <c r="V205" s="61"/>
      <c r="W205" s="62"/>
      <c r="X205" s="61"/>
      <c r="Y205" s="62"/>
      <c r="Z205" s="61"/>
      <c r="AA205" s="62"/>
    </row>
    <row r="206" spans="3:27" ht="16.5" customHeight="1">
      <c r="C206" s="118"/>
      <c r="E206" s="61"/>
      <c r="H206" s="61"/>
      <c r="I206" s="60"/>
      <c r="K206" s="62"/>
      <c r="O206" s="60"/>
      <c r="P206" s="61"/>
      <c r="Q206" s="62"/>
      <c r="R206" s="61"/>
      <c r="S206" s="62"/>
      <c r="T206" s="61"/>
      <c r="U206" s="62"/>
      <c r="V206" s="61"/>
      <c r="W206" s="62"/>
      <c r="X206" s="61"/>
      <c r="Y206" s="62"/>
      <c r="Z206" s="61"/>
      <c r="AA206" s="62"/>
    </row>
    <row r="207" spans="3:27" ht="16.5" customHeight="1">
      <c r="C207" s="118"/>
      <c r="E207" s="61"/>
      <c r="H207" s="61"/>
      <c r="I207" s="60"/>
      <c r="K207" s="62"/>
      <c r="O207" s="60"/>
      <c r="P207" s="61"/>
      <c r="Q207" s="62"/>
      <c r="R207" s="61"/>
      <c r="S207" s="62"/>
      <c r="T207" s="61"/>
      <c r="U207" s="62"/>
      <c r="V207" s="61"/>
      <c r="W207" s="62"/>
      <c r="X207" s="61"/>
      <c r="Y207" s="62"/>
      <c r="Z207" s="61"/>
      <c r="AA207" s="62"/>
    </row>
    <row r="208" spans="3:27" ht="16.5" customHeight="1">
      <c r="C208" s="118"/>
      <c r="E208" s="61"/>
      <c r="H208" s="61"/>
      <c r="I208" s="60"/>
      <c r="K208" s="62"/>
      <c r="O208" s="60"/>
      <c r="P208" s="61"/>
      <c r="Q208" s="62"/>
      <c r="R208" s="61"/>
      <c r="S208" s="62"/>
      <c r="T208" s="61"/>
      <c r="U208" s="62"/>
      <c r="V208" s="61"/>
      <c r="W208" s="62"/>
      <c r="X208" s="61"/>
      <c r="Y208" s="62"/>
      <c r="Z208" s="61"/>
      <c r="AA208" s="62"/>
    </row>
    <row r="209" spans="3:27" ht="16.5" customHeight="1">
      <c r="C209" s="118"/>
      <c r="E209" s="61"/>
      <c r="H209" s="61"/>
      <c r="I209" s="60"/>
      <c r="K209" s="62"/>
      <c r="O209" s="60"/>
      <c r="P209" s="61"/>
      <c r="Q209" s="62"/>
      <c r="R209" s="61"/>
      <c r="S209" s="62"/>
      <c r="T209" s="61"/>
      <c r="U209" s="62"/>
      <c r="V209" s="61"/>
      <c r="W209" s="62"/>
      <c r="X209" s="61"/>
      <c r="Y209" s="62"/>
      <c r="Z209" s="61"/>
      <c r="AA209" s="62"/>
    </row>
    <row r="210" spans="3:27" ht="16.5" customHeight="1">
      <c r="C210" s="118"/>
      <c r="E210" s="61"/>
      <c r="H210" s="61"/>
      <c r="I210" s="60"/>
      <c r="K210" s="62"/>
      <c r="O210" s="60"/>
      <c r="P210" s="61"/>
      <c r="Q210" s="62"/>
      <c r="R210" s="61"/>
      <c r="S210" s="62"/>
      <c r="T210" s="61"/>
      <c r="U210" s="62"/>
      <c r="V210" s="61"/>
      <c r="W210" s="62"/>
      <c r="X210" s="61"/>
      <c r="Y210" s="62"/>
      <c r="Z210" s="61"/>
      <c r="AA210" s="62"/>
    </row>
    <row r="211" spans="3:27" ht="16.5" customHeight="1">
      <c r="C211" s="118"/>
      <c r="E211" s="61"/>
      <c r="H211" s="61"/>
      <c r="I211" s="60"/>
      <c r="K211" s="62"/>
      <c r="O211" s="60"/>
      <c r="P211" s="61"/>
      <c r="Q211" s="62"/>
      <c r="R211" s="61"/>
      <c r="S211" s="62"/>
      <c r="T211" s="61"/>
      <c r="U211" s="62"/>
      <c r="V211" s="61"/>
      <c r="W211" s="62"/>
      <c r="X211" s="61"/>
      <c r="Y211" s="62"/>
      <c r="Z211" s="61"/>
      <c r="AA211" s="62"/>
    </row>
    <row r="212" spans="3:27" ht="16.5" customHeight="1">
      <c r="C212" s="118"/>
      <c r="E212" s="61"/>
      <c r="H212" s="61"/>
      <c r="I212" s="60"/>
      <c r="K212" s="62"/>
      <c r="O212" s="60"/>
      <c r="P212" s="61"/>
      <c r="Q212" s="62"/>
      <c r="R212" s="61"/>
      <c r="S212" s="62"/>
      <c r="T212" s="61"/>
      <c r="U212" s="62"/>
      <c r="V212" s="61"/>
      <c r="W212" s="62"/>
      <c r="X212" s="61"/>
      <c r="Y212" s="62"/>
      <c r="Z212" s="61"/>
      <c r="AA212" s="62"/>
    </row>
    <row r="213" spans="3:27" ht="16.5" customHeight="1">
      <c r="C213" s="118"/>
      <c r="E213" s="61"/>
      <c r="H213" s="61"/>
      <c r="I213" s="60"/>
      <c r="K213" s="62"/>
      <c r="O213" s="60"/>
      <c r="P213" s="61"/>
      <c r="Q213" s="62"/>
      <c r="R213" s="61"/>
      <c r="S213" s="62"/>
      <c r="T213" s="61"/>
      <c r="U213" s="62"/>
      <c r="V213" s="61"/>
      <c r="W213" s="62"/>
      <c r="X213" s="61"/>
      <c r="Y213" s="62"/>
      <c r="Z213" s="61"/>
      <c r="AA213" s="62"/>
    </row>
    <row r="214" spans="3:27" ht="16.5" customHeight="1">
      <c r="C214" s="118"/>
      <c r="E214" s="61"/>
      <c r="H214" s="61"/>
      <c r="I214" s="60"/>
      <c r="K214" s="62"/>
      <c r="O214" s="60"/>
      <c r="P214" s="61"/>
      <c r="Q214" s="62"/>
      <c r="R214" s="61"/>
      <c r="S214" s="62"/>
      <c r="T214" s="61"/>
      <c r="U214" s="62"/>
      <c r="V214" s="61"/>
      <c r="W214" s="62"/>
      <c r="X214" s="61"/>
      <c r="Y214" s="62"/>
      <c r="Z214" s="61"/>
      <c r="AA214" s="62"/>
    </row>
    <row r="215" spans="3:27" ht="16.5" customHeight="1">
      <c r="C215" s="118"/>
      <c r="E215" s="61"/>
      <c r="H215" s="61"/>
      <c r="I215" s="60"/>
      <c r="K215" s="62"/>
      <c r="O215" s="60"/>
      <c r="P215" s="61"/>
      <c r="Q215" s="62"/>
      <c r="R215" s="61"/>
      <c r="S215" s="62"/>
      <c r="T215" s="61"/>
      <c r="U215" s="62"/>
      <c r="V215" s="61"/>
      <c r="W215" s="62"/>
      <c r="X215" s="61"/>
      <c r="Y215" s="62"/>
      <c r="Z215" s="61"/>
      <c r="AA215" s="62"/>
    </row>
    <row r="216" spans="3:27" ht="16.5" customHeight="1">
      <c r="C216" s="118"/>
      <c r="E216" s="61"/>
      <c r="H216" s="61"/>
      <c r="I216" s="60"/>
      <c r="K216" s="62"/>
      <c r="O216" s="60"/>
      <c r="P216" s="61"/>
      <c r="Q216" s="62"/>
      <c r="R216" s="61"/>
      <c r="S216" s="62"/>
      <c r="T216" s="61"/>
      <c r="U216" s="62"/>
      <c r="V216" s="61"/>
      <c r="W216" s="62"/>
      <c r="X216" s="61"/>
      <c r="Y216" s="62"/>
      <c r="Z216" s="61"/>
      <c r="AA216" s="62"/>
    </row>
    <row r="217" spans="3:27" ht="16.5" customHeight="1">
      <c r="C217" s="118"/>
      <c r="E217" s="61"/>
      <c r="H217" s="61"/>
      <c r="I217" s="60"/>
      <c r="K217" s="62"/>
      <c r="O217" s="60"/>
      <c r="P217" s="61"/>
      <c r="Q217" s="62"/>
      <c r="R217" s="61"/>
      <c r="S217" s="62"/>
      <c r="T217" s="61"/>
      <c r="U217" s="62"/>
      <c r="V217" s="61"/>
      <c r="W217" s="62"/>
      <c r="X217" s="61"/>
      <c r="Y217" s="62"/>
      <c r="Z217" s="61"/>
      <c r="AA217" s="62"/>
    </row>
    <row r="218" spans="3:27" ht="16.5" customHeight="1">
      <c r="C218" s="118"/>
      <c r="E218" s="61"/>
      <c r="H218" s="61"/>
      <c r="I218" s="60"/>
      <c r="K218" s="62"/>
      <c r="O218" s="60"/>
      <c r="P218" s="61"/>
      <c r="Q218" s="62"/>
      <c r="R218" s="61"/>
      <c r="S218" s="62"/>
      <c r="T218" s="61"/>
      <c r="U218" s="62"/>
      <c r="V218" s="61"/>
      <c r="W218" s="62"/>
      <c r="X218" s="61"/>
      <c r="Y218" s="62"/>
      <c r="Z218" s="61"/>
      <c r="AA218" s="62"/>
    </row>
    <row r="219" spans="3:27" ht="16.5" customHeight="1">
      <c r="C219" s="118"/>
      <c r="E219" s="61"/>
      <c r="H219" s="61"/>
      <c r="I219" s="60"/>
      <c r="K219" s="62"/>
      <c r="O219" s="60"/>
      <c r="P219" s="61"/>
      <c r="Q219" s="62"/>
      <c r="R219" s="61"/>
      <c r="S219" s="62"/>
      <c r="T219" s="61"/>
      <c r="U219" s="62"/>
      <c r="V219" s="61"/>
      <c r="W219" s="62"/>
      <c r="X219" s="61"/>
      <c r="Y219" s="62"/>
      <c r="Z219" s="61"/>
      <c r="AA219" s="62"/>
    </row>
    <row r="220" spans="3:27" ht="16.5" customHeight="1">
      <c r="C220" s="118"/>
      <c r="E220" s="61"/>
      <c r="H220" s="61"/>
      <c r="I220" s="60"/>
      <c r="K220" s="62"/>
      <c r="O220" s="60"/>
      <c r="P220" s="61"/>
      <c r="Q220" s="62"/>
      <c r="R220" s="61"/>
      <c r="S220" s="62"/>
      <c r="T220" s="61"/>
      <c r="U220" s="62"/>
      <c r="V220" s="61"/>
      <c r="W220" s="62"/>
      <c r="X220" s="61"/>
      <c r="Y220" s="62"/>
      <c r="Z220" s="61"/>
      <c r="AA220" s="62"/>
    </row>
    <row r="221" spans="3:27" ht="16.5" customHeight="1">
      <c r="C221" s="118"/>
      <c r="E221" s="61"/>
      <c r="H221" s="61"/>
      <c r="I221" s="60"/>
      <c r="K221" s="62"/>
      <c r="O221" s="60"/>
      <c r="P221" s="61"/>
      <c r="Q221" s="62"/>
      <c r="R221" s="61"/>
      <c r="S221" s="62"/>
      <c r="T221" s="61"/>
      <c r="U221" s="62"/>
      <c r="V221" s="61"/>
      <c r="W221" s="62"/>
      <c r="X221" s="61"/>
      <c r="Y221" s="62"/>
      <c r="Z221" s="61"/>
      <c r="AA221" s="62"/>
    </row>
    <row r="222" spans="3:27" ht="16.5" customHeight="1">
      <c r="C222" s="118"/>
      <c r="E222" s="61"/>
      <c r="H222" s="61"/>
      <c r="I222" s="60"/>
      <c r="K222" s="62"/>
      <c r="O222" s="60"/>
      <c r="P222" s="61"/>
      <c r="Q222" s="62"/>
      <c r="R222" s="61"/>
      <c r="S222" s="62"/>
      <c r="T222" s="61"/>
      <c r="U222" s="62"/>
      <c r="V222" s="61"/>
      <c r="W222" s="62"/>
      <c r="X222" s="61"/>
      <c r="Y222" s="62"/>
      <c r="Z222" s="61"/>
      <c r="AA222" s="62"/>
    </row>
    <row r="223" spans="3:27" ht="16.5" customHeight="1">
      <c r="C223" s="118"/>
      <c r="E223" s="61"/>
      <c r="H223" s="61"/>
      <c r="I223" s="60"/>
      <c r="K223" s="62"/>
      <c r="O223" s="60"/>
      <c r="P223" s="61"/>
      <c r="Q223" s="62"/>
      <c r="R223" s="61"/>
      <c r="S223" s="62"/>
      <c r="T223" s="61"/>
      <c r="U223" s="62"/>
      <c r="V223" s="61"/>
      <c r="W223" s="62"/>
      <c r="X223" s="61"/>
      <c r="Y223" s="62"/>
      <c r="Z223" s="61"/>
      <c r="AA223" s="62"/>
    </row>
    <row r="224" spans="3:27" ht="16.5" customHeight="1">
      <c r="C224" s="118"/>
      <c r="E224" s="61"/>
      <c r="H224" s="61"/>
      <c r="I224" s="60"/>
      <c r="K224" s="62"/>
      <c r="O224" s="60"/>
      <c r="P224" s="61"/>
      <c r="Q224" s="62"/>
      <c r="R224" s="61"/>
      <c r="S224" s="62"/>
      <c r="T224" s="61"/>
      <c r="U224" s="62"/>
      <c r="V224" s="61"/>
      <c r="W224" s="62"/>
      <c r="X224" s="61"/>
      <c r="Y224" s="62"/>
      <c r="Z224" s="61"/>
      <c r="AA224" s="62"/>
    </row>
    <row r="225" spans="3:27" ht="16.5" customHeight="1">
      <c r="C225" s="118"/>
      <c r="E225" s="61"/>
      <c r="H225" s="61"/>
      <c r="I225" s="60"/>
      <c r="K225" s="62"/>
      <c r="O225" s="60"/>
      <c r="P225" s="61"/>
      <c r="Q225" s="62"/>
      <c r="R225" s="61"/>
      <c r="S225" s="62"/>
      <c r="T225" s="61"/>
      <c r="U225" s="62"/>
      <c r="V225" s="61"/>
      <c r="W225" s="62"/>
      <c r="X225" s="61"/>
      <c r="Y225" s="62"/>
      <c r="Z225" s="61"/>
      <c r="AA225" s="62"/>
    </row>
    <row r="226" spans="3:27" ht="16.5" customHeight="1">
      <c r="C226" s="118"/>
      <c r="E226" s="61"/>
      <c r="H226" s="61"/>
      <c r="I226" s="60"/>
      <c r="K226" s="62"/>
      <c r="O226" s="60"/>
      <c r="P226" s="61"/>
      <c r="Q226" s="62"/>
      <c r="R226" s="61"/>
      <c r="S226" s="62"/>
      <c r="T226" s="61"/>
      <c r="U226" s="62"/>
      <c r="V226" s="61"/>
      <c r="W226" s="62"/>
      <c r="X226" s="61"/>
      <c r="Y226" s="62"/>
      <c r="Z226" s="61"/>
      <c r="AA226" s="62"/>
    </row>
    <row r="227" spans="3:27" ht="16.5" customHeight="1">
      <c r="C227" s="118"/>
      <c r="E227" s="61"/>
      <c r="H227" s="61"/>
      <c r="I227" s="60"/>
      <c r="K227" s="62"/>
      <c r="O227" s="60"/>
      <c r="P227" s="61"/>
      <c r="Q227" s="62"/>
      <c r="R227" s="61"/>
      <c r="S227" s="62"/>
      <c r="T227" s="61"/>
      <c r="U227" s="62"/>
      <c r="V227" s="61"/>
      <c r="W227" s="62"/>
      <c r="X227" s="61"/>
      <c r="Y227" s="62"/>
      <c r="Z227" s="61"/>
      <c r="AA227" s="62"/>
    </row>
    <row r="228" spans="3:27" ht="16.5" customHeight="1">
      <c r="C228" s="118"/>
      <c r="E228" s="61"/>
      <c r="H228" s="61"/>
      <c r="I228" s="60"/>
      <c r="K228" s="62"/>
      <c r="O228" s="60"/>
      <c r="P228" s="61"/>
      <c r="Q228" s="62"/>
      <c r="R228" s="61"/>
      <c r="S228" s="62"/>
      <c r="T228" s="61"/>
      <c r="U228" s="62"/>
      <c r="V228" s="61"/>
      <c r="W228" s="62"/>
      <c r="X228" s="61"/>
      <c r="Y228" s="62"/>
      <c r="Z228" s="61"/>
      <c r="AA228" s="62"/>
    </row>
    <row r="229" spans="3:27" ht="16.5" customHeight="1">
      <c r="C229" s="118"/>
      <c r="E229" s="61"/>
      <c r="H229" s="61"/>
      <c r="I229" s="60"/>
      <c r="K229" s="62"/>
      <c r="O229" s="60"/>
      <c r="P229" s="61"/>
      <c r="Q229" s="62"/>
      <c r="R229" s="61"/>
      <c r="S229" s="62"/>
      <c r="T229" s="61"/>
      <c r="U229" s="62"/>
      <c r="V229" s="61"/>
      <c r="W229" s="62"/>
      <c r="X229" s="61"/>
      <c r="Y229" s="62"/>
      <c r="Z229" s="61"/>
      <c r="AA229" s="62"/>
    </row>
    <row r="230" spans="3:27" ht="16.5" customHeight="1">
      <c r="C230" s="118"/>
      <c r="E230" s="61"/>
      <c r="H230" s="61"/>
      <c r="I230" s="60"/>
      <c r="K230" s="62"/>
      <c r="O230" s="60"/>
      <c r="P230" s="61"/>
      <c r="Q230" s="62"/>
      <c r="R230" s="61"/>
      <c r="S230" s="62"/>
      <c r="T230" s="61"/>
      <c r="U230" s="62"/>
      <c r="V230" s="61"/>
      <c r="W230" s="62"/>
      <c r="X230" s="61"/>
      <c r="Y230" s="62"/>
      <c r="Z230" s="61"/>
      <c r="AA230" s="62"/>
    </row>
    <row r="231" spans="3:27" ht="16.5" customHeight="1">
      <c r="C231" s="118"/>
      <c r="E231" s="61"/>
      <c r="H231" s="61"/>
      <c r="I231" s="60"/>
      <c r="K231" s="62"/>
      <c r="O231" s="60"/>
      <c r="P231" s="61"/>
      <c r="Q231" s="62"/>
      <c r="R231" s="61"/>
      <c r="S231" s="62"/>
      <c r="T231" s="61"/>
      <c r="U231" s="62"/>
      <c r="V231" s="61"/>
      <c r="W231" s="62"/>
      <c r="X231" s="61"/>
      <c r="Y231" s="62"/>
      <c r="Z231" s="61"/>
      <c r="AA231" s="62"/>
    </row>
    <row r="232" spans="3:27" ht="16.5" customHeight="1">
      <c r="C232" s="118"/>
      <c r="E232" s="61"/>
      <c r="H232" s="61"/>
      <c r="I232" s="60"/>
      <c r="K232" s="62"/>
      <c r="O232" s="60"/>
      <c r="P232" s="61"/>
      <c r="Q232" s="62"/>
      <c r="R232" s="61"/>
      <c r="S232" s="62"/>
      <c r="T232" s="61"/>
      <c r="U232" s="62"/>
      <c r="V232" s="61"/>
      <c r="W232" s="62"/>
      <c r="X232" s="61"/>
      <c r="Y232" s="62"/>
      <c r="Z232" s="61"/>
      <c r="AA232" s="62"/>
    </row>
    <row r="233" spans="3:27" ht="16.5" customHeight="1">
      <c r="C233" s="118"/>
      <c r="E233" s="61"/>
      <c r="H233" s="61"/>
      <c r="I233" s="60"/>
      <c r="K233" s="62"/>
      <c r="O233" s="60"/>
      <c r="P233" s="61"/>
      <c r="Q233" s="62"/>
      <c r="R233" s="61"/>
      <c r="S233" s="62"/>
      <c r="T233" s="61"/>
      <c r="U233" s="62"/>
      <c r="V233" s="61"/>
      <c r="W233" s="62"/>
      <c r="X233" s="61"/>
      <c r="Y233" s="62"/>
      <c r="Z233" s="61"/>
      <c r="AA233" s="62"/>
    </row>
    <row r="234" spans="3:27" ht="16.5" customHeight="1">
      <c r="C234" s="118"/>
      <c r="E234" s="61"/>
      <c r="H234" s="61"/>
      <c r="I234" s="60"/>
      <c r="K234" s="62"/>
      <c r="O234" s="60"/>
      <c r="P234" s="61"/>
      <c r="Q234" s="62"/>
      <c r="R234" s="61"/>
      <c r="S234" s="62"/>
      <c r="T234" s="61"/>
      <c r="U234" s="62"/>
      <c r="V234" s="61"/>
      <c r="W234" s="62"/>
      <c r="X234" s="61"/>
      <c r="Y234" s="62"/>
      <c r="Z234" s="61"/>
      <c r="AA234" s="62"/>
    </row>
    <row r="235" spans="3:27" ht="16.5" customHeight="1">
      <c r="C235" s="118"/>
      <c r="E235" s="61"/>
      <c r="H235" s="61"/>
      <c r="I235" s="60"/>
      <c r="K235" s="62"/>
      <c r="O235" s="60"/>
      <c r="P235" s="61"/>
      <c r="Q235" s="62"/>
      <c r="R235" s="61"/>
      <c r="S235" s="62"/>
      <c r="T235" s="61"/>
      <c r="U235" s="62"/>
      <c r="V235" s="61"/>
      <c r="W235" s="62"/>
      <c r="X235" s="61"/>
      <c r="Y235" s="62"/>
      <c r="Z235" s="61"/>
      <c r="AA235" s="62"/>
    </row>
    <row r="236" spans="3:27" ht="16.5" customHeight="1">
      <c r="C236" s="118"/>
      <c r="E236" s="61"/>
      <c r="H236" s="61"/>
      <c r="I236" s="60"/>
      <c r="K236" s="62"/>
      <c r="O236" s="60"/>
      <c r="P236" s="61"/>
      <c r="Q236" s="62"/>
      <c r="R236" s="61"/>
      <c r="S236" s="62"/>
      <c r="T236" s="61"/>
      <c r="U236" s="62"/>
      <c r="V236" s="61"/>
      <c r="W236" s="62"/>
      <c r="X236" s="61"/>
      <c r="Y236" s="62"/>
      <c r="Z236" s="61"/>
      <c r="AA236" s="62"/>
    </row>
    <row r="237" spans="3:27" ht="16.5" customHeight="1">
      <c r="C237" s="118"/>
      <c r="E237" s="61"/>
      <c r="H237" s="61"/>
      <c r="I237" s="60"/>
      <c r="K237" s="62"/>
      <c r="O237" s="60"/>
      <c r="P237" s="61"/>
      <c r="Q237" s="62"/>
      <c r="R237" s="61"/>
      <c r="S237" s="62"/>
      <c r="T237" s="61"/>
      <c r="U237" s="62"/>
      <c r="V237" s="61"/>
      <c r="W237" s="62"/>
      <c r="X237" s="61"/>
      <c r="Y237" s="62"/>
      <c r="Z237" s="61"/>
      <c r="AA237" s="62"/>
    </row>
    <row r="238" spans="3:27" ht="16.5" customHeight="1">
      <c r="C238" s="118"/>
      <c r="E238" s="61"/>
      <c r="H238" s="61"/>
      <c r="I238" s="60"/>
      <c r="K238" s="62"/>
      <c r="O238" s="60"/>
      <c r="P238" s="61"/>
      <c r="Q238" s="62"/>
      <c r="R238" s="61"/>
      <c r="S238" s="62"/>
      <c r="T238" s="61"/>
      <c r="U238" s="62"/>
      <c r="V238" s="61"/>
      <c r="W238" s="62"/>
      <c r="X238" s="61"/>
      <c r="Y238" s="62"/>
      <c r="Z238" s="61"/>
      <c r="AA238" s="62"/>
    </row>
    <row r="239" spans="3:27" ht="16.5" customHeight="1">
      <c r="C239" s="118"/>
      <c r="E239" s="61"/>
      <c r="H239" s="61"/>
      <c r="I239" s="60"/>
      <c r="K239" s="62"/>
      <c r="O239" s="60"/>
      <c r="P239" s="61"/>
      <c r="Q239" s="62"/>
      <c r="R239" s="61"/>
      <c r="S239" s="62"/>
      <c r="T239" s="61"/>
      <c r="U239" s="62"/>
      <c r="V239" s="61"/>
      <c r="W239" s="62"/>
      <c r="X239" s="61"/>
      <c r="Y239" s="62"/>
      <c r="Z239" s="61"/>
      <c r="AA239" s="62"/>
    </row>
    <row r="240" spans="3:27" ht="16.5" customHeight="1">
      <c r="C240" s="118"/>
      <c r="E240" s="61"/>
      <c r="H240" s="61"/>
      <c r="I240" s="60"/>
      <c r="K240" s="62"/>
      <c r="O240" s="60"/>
      <c r="P240" s="61"/>
      <c r="Q240" s="62"/>
      <c r="R240" s="61"/>
      <c r="S240" s="62"/>
      <c r="T240" s="61"/>
      <c r="U240" s="62"/>
      <c r="V240" s="61"/>
      <c r="W240" s="62"/>
      <c r="X240" s="61"/>
      <c r="Y240" s="62"/>
      <c r="Z240" s="61"/>
      <c r="AA240" s="62"/>
    </row>
    <row r="241" spans="3:27" ht="16.5" customHeight="1">
      <c r="C241" s="118"/>
      <c r="E241" s="61"/>
      <c r="H241" s="61"/>
      <c r="I241" s="60"/>
      <c r="K241" s="62"/>
      <c r="O241" s="60"/>
      <c r="P241" s="61"/>
      <c r="Q241" s="62"/>
      <c r="R241" s="61"/>
      <c r="S241" s="62"/>
      <c r="T241" s="61"/>
      <c r="U241" s="62"/>
      <c r="V241" s="61"/>
      <c r="W241" s="62"/>
      <c r="X241" s="61"/>
      <c r="Y241" s="62"/>
      <c r="Z241" s="61"/>
      <c r="AA241" s="62"/>
    </row>
    <row r="242" spans="3:27" ht="16.5" customHeight="1">
      <c r="C242" s="118"/>
      <c r="E242" s="61"/>
      <c r="H242" s="61"/>
      <c r="I242" s="60"/>
      <c r="K242" s="62"/>
      <c r="O242" s="60"/>
      <c r="P242" s="61"/>
      <c r="Q242" s="62"/>
      <c r="R242" s="61"/>
      <c r="S242" s="62"/>
      <c r="T242" s="61"/>
      <c r="U242" s="62"/>
      <c r="V242" s="61"/>
      <c r="W242" s="62"/>
      <c r="X242" s="61"/>
      <c r="Y242" s="62"/>
      <c r="Z242" s="61"/>
      <c r="AA242" s="62"/>
    </row>
    <row r="243" spans="3:27" ht="16.5" customHeight="1">
      <c r="C243" s="118"/>
      <c r="E243" s="61"/>
      <c r="H243" s="61"/>
      <c r="I243" s="60"/>
      <c r="K243" s="62"/>
      <c r="O243" s="60"/>
      <c r="P243" s="61"/>
      <c r="Q243" s="62"/>
      <c r="R243" s="61"/>
      <c r="S243" s="62"/>
      <c r="T243" s="61"/>
      <c r="U243" s="62"/>
      <c r="V243" s="61"/>
      <c r="W243" s="62"/>
      <c r="X243" s="61"/>
      <c r="Y243" s="62"/>
      <c r="Z243" s="61"/>
      <c r="AA243" s="62"/>
    </row>
    <row r="244" spans="3:27" ht="16.5" customHeight="1">
      <c r="C244" s="118"/>
      <c r="E244" s="61"/>
      <c r="H244" s="61"/>
      <c r="I244" s="60"/>
      <c r="K244" s="62"/>
      <c r="O244" s="60"/>
      <c r="P244" s="61"/>
      <c r="Q244" s="62"/>
      <c r="R244" s="61"/>
      <c r="S244" s="62"/>
      <c r="T244" s="61"/>
      <c r="U244" s="62"/>
      <c r="V244" s="61"/>
      <c r="W244" s="62"/>
      <c r="X244" s="61"/>
      <c r="Y244" s="62"/>
      <c r="Z244" s="61"/>
      <c r="AA244" s="62"/>
    </row>
    <row r="245" spans="3:27" ht="16.5" customHeight="1">
      <c r="C245" s="118"/>
      <c r="E245" s="61"/>
      <c r="H245" s="61"/>
      <c r="I245" s="60"/>
      <c r="K245" s="62"/>
      <c r="O245" s="60"/>
      <c r="P245" s="61"/>
      <c r="Q245" s="62"/>
      <c r="R245" s="61"/>
      <c r="S245" s="62"/>
      <c r="T245" s="61"/>
      <c r="U245" s="62"/>
      <c r="V245" s="61"/>
      <c r="W245" s="62"/>
      <c r="X245" s="61"/>
      <c r="Y245" s="62"/>
      <c r="Z245" s="61"/>
      <c r="AA245" s="62"/>
    </row>
    <row r="246" spans="3:27" ht="16.5" customHeight="1">
      <c r="C246" s="118"/>
      <c r="E246" s="61"/>
      <c r="H246" s="61"/>
      <c r="I246" s="60"/>
      <c r="K246" s="62"/>
      <c r="O246" s="60"/>
      <c r="P246" s="61"/>
      <c r="Q246" s="62"/>
      <c r="R246" s="61"/>
      <c r="S246" s="62"/>
      <c r="T246" s="61"/>
      <c r="U246" s="62"/>
      <c r="V246" s="61"/>
      <c r="W246" s="62"/>
      <c r="X246" s="61"/>
      <c r="Y246" s="62"/>
      <c r="Z246" s="61"/>
      <c r="AA246" s="62"/>
    </row>
    <row r="247" spans="3:27" ht="16.5" customHeight="1">
      <c r="C247" s="118"/>
      <c r="E247" s="61"/>
      <c r="H247" s="61"/>
      <c r="I247" s="60"/>
      <c r="K247" s="62"/>
      <c r="O247" s="60"/>
      <c r="P247" s="61"/>
      <c r="Q247" s="62"/>
      <c r="R247" s="61"/>
      <c r="S247" s="62"/>
      <c r="T247" s="61"/>
      <c r="U247" s="62"/>
      <c r="V247" s="61"/>
      <c r="W247" s="62"/>
      <c r="X247" s="61"/>
      <c r="Y247" s="62"/>
      <c r="Z247" s="61"/>
      <c r="AA247" s="62"/>
    </row>
    <row r="248" spans="3:27" ht="16.5" customHeight="1">
      <c r="C248" s="118"/>
      <c r="E248" s="61"/>
      <c r="H248" s="61"/>
      <c r="I248" s="60"/>
      <c r="K248" s="62"/>
      <c r="O248" s="60"/>
      <c r="P248" s="61"/>
      <c r="Q248" s="62"/>
      <c r="R248" s="61"/>
      <c r="S248" s="62"/>
      <c r="T248" s="61"/>
      <c r="U248" s="62"/>
      <c r="V248" s="61"/>
      <c r="W248" s="62"/>
      <c r="X248" s="61"/>
      <c r="Y248" s="62"/>
      <c r="Z248" s="61"/>
      <c r="AA248" s="62"/>
    </row>
    <row r="249" spans="3:27" ht="16.5" customHeight="1">
      <c r="C249" s="118"/>
      <c r="E249" s="61"/>
      <c r="H249" s="61"/>
      <c r="I249" s="60"/>
      <c r="K249" s="62"/>
      <c r="O249" s="60"/>
      <c r="P249" s="61"/>
      <c r="Q249" s="62"/>
      <c r="R249" s="61"/>
      <c r="S249" s="62"/>
      <c r="T249" s="61"/>
      <c r="U249" s="62"/>
      <c r="V249" s="61"/>
      <c r="W249" s="62"/>
      <c r="X249" s="61"/>
      <c r="Y249" s="62"/>
      <c r="Z249" s="61"/>
      <c r="AA249" s="62"/>
    </row>
    <row r="250" spans="3:27" ht="16.5" customHeight="1">
      <c r="C250" s="118"/>
      <c r="E250" s="61"/>
      <c r="H250" s="61"/>
      <c r="I250" s="60"/>
      <c r="K250" s="62"/>
      <c r="O250" s="60"/>
      <c r="P250" s="61"/>
      <c r="Q250" s="62"/>
      <c r="R250" s="61"/>
      <c r="S250" s="62"/>
      <c r="T250" s="61"/>
      <c r="U250" s="62"/>
      <c r="V250" s="61"/>
      <c r="W250" s="62"/>
      <c r="X250" s="61"/>
      <c r="Y250" s="62"/>
      <c r="Z250" s="61"/>
      <c r="AA250" s="62"/>
    </row>
    <row r="251" spans="3:27" ht="16.5" customHeight="1">
      <c r="C251" s="118"/>
      <c r="E251" s="61"/>
      <c r="H251" s="61"/>
      <c r="I251" s="60"/>
      <c r="K251" s="62"/>
      <c r="O251" s="60"/>
      <c r="P251" s="61"/>
      <c r="Q251" s="62"/>
      <c r="R251" s="61"/>
      <c r="S251" s="62"/>
      <c r="T251" s="61"/>
      <c r="U251" s="62"/>
      <c r="V251" s="61"/>
      <c r="W251" s="62"/>
      <c r="X251" s="61"/>
      <c r="Y251" s="62"/>
      <c r="Z251" s="61"/>
      <c r="AA251" s="62"/>
    </row>
    <row r="252" spans="3:27" ht="16.5" customHeight="1">
      <c r="C252" s="118"/>
      <c r="E252" s="61"/>
      <c r="H252" s="61"/>
      <c r="I252" s="60"/>
      <c r="K252" s="62"/>
      <c r="O252" s="60"/>
      <c r="P252" s="61"/>
      <c r="Q252" s="62"/>
      <c r="R252" s="61"/>
      <c r="S252" s="62"/>
      <c r="T252" s="61"/>
      <c r="U252" s="62"/>
      <c r="V252" s="61"/>
      <c r="W252" s="62"/>
      <c r="X252" s="61"/>
      <c r="Y252" s="62"/>
      <c r="Z252" s="61"/>
      <c r="AA252" s="62"/>
    </row>
    <row r="253" spans="3:27" ht="16.5" customHeight="1">
      <c r="C253" s="118"/>
      <c r="E253" s="61"/>
      <c r="H253" s="61"/>
      <c r="I253" s="60"/>
      <c r="K253" s="62"/>
      <c r="O253" s="60"/>
      <c r="P253" s="61"/>
      <c r="Q253" s="62"/>
      <c r="R253" s="61"/>
      <c r="S253" s="62"/>
      <c r="T253" s="61"/>
      <c r="U253" s="62"/>
      <c r="V253" s="61"/>
      <c r="W253" s="62"/>
      <c r="X253" s="61"/>
      <c r="Y253" s="62"/>
      <c r="Z253" s="61"/>
      <c r="AA253" s="62"/>
    </row>
    <row r="254" spans="3:27" ht="16.5" customHeight="1">
      <c r="C254" s="118"/>
      <c r="E254" s="61"/>
      <c r="H254" s="61"/>
      <c r="I254" s="60"/>
      <c r="K254" s="62"/>
      <c r="O254" s="60"/>
      <c r="P254" s="61"/>
      <c r="Q254" s="62"/>
      <c r="R254" s="61"/>
      <c r="S254" s="62"/>
      <c r="T254" s="61"/>
      <c r="U254" s="62"/>
      <c r="V254" s="61"/>
      <c r="W254" s="62"/>
      <c r="X254" s="61"/>
      <c r="Y254" s="62"/>
      <c r="Z254" s="61"/>
      <c r="AA254" s="62"/>
    </row>
    <row r="255" spans="3:27" ht="16.5" customHeight="1">
      <c r="C255" s="118"/>
      <c r="E255" s="61"/>
      <c r="H255" s="61"/>
      <c r="I255" s="60"/>
      <c r="K255" s="62"/>
      <c r="O255" s="60"/>
      <c r="P255" s="61"/>
      <c r="Q255" s="62"/>
      <c r="R255" s="61"/>
      <c r="S255" s="62"/>
      <c r="T255" s="61"/>
      <c r="U255" s="62"/>
      <c r="V255" s="61"/>
      <c r="W255" s="62"/>
      <c r="X255" s="61"/>
      <c r="Y255" s="62"/>
      <c r="Z255" s="61"/>
      <c r="AA255" s="62"/>
    </row>
    <row r="256" spans="3:27" ht="16.5" customHeight="1">
      <c r="C256" s="118"/>
      <c r="E256" s="61"/>
      <c r="H256" s="61"/>
      <c r="I256" s="60"/>
      <c r="K256" s="62"/>
      <c r="O256" s="60"/>
      <c r="P256" s="61"/>
      <c r="Q256" s="62"/>
      <c r="R256" s="61"/>
      <c r="S256" s="62"/>
      <c r="T256" s="61"/>
      <c r="U256" s="62"/>
      <c r="V256" s="61"/>
      <c r="W256" s="62"/>
      <c r="X256" s="61"/>
      <c r="Y256" s="62"/>
      <c r="Z256" s="61"/>
      <c r="AA256" s="62"/>
    </row>
    <row r="257" spans="3:27" ht="16.5" customHeight="1">
      <c r="C257" s="118"/>
      <c r="E257" s="61"/>
      <c r="H257" s="61"/>
      <c r="I257" s="60"/>
      <c r="K257" s="62"/>
      <c r="O257" s="60"/>
      <c r="P257" s="61"/>
      <c r="Q257" s="62"/>
      <c r="R257" s="61"/>
      <c r="S257" s="62"/>
      <c r="T257" s="61"/>
      <c r="U257" s="62"/>
      <c r="V257" s="61"/>
      <c r="W257" s="62"/>
      <c r="X257" s="61"/>
      <c r="Y257" s="62"/>
      <c r="Z257" s="61"/>
      <c r="AA257" s="62"/>
    </row>
    <row r="258" spans="3:27" ht="16.5" customHeight="1">
      <c r="C258" s="118"/>
      <c r="E258" s="61"/>
      <c r="H258" s="61"/>
      <c r="I258" s="60"/>
      <c r="K258" s="62"/>
      <c r="O258" s="60"/>
      <c r="P258" s="61"/>
      <c r="Q258" s="62"/>
      <c r="R258" s="61"/>
      <c r="S258" s="62"/>
      <c r="T258" s="61"/>
      <c r="U258" s="62"/>
      <c r="V258" s="61"/>
      <c r="W258" s="62"/>
      <c r="X258" s="61"/>
      <c r="Y258" s="62"/>
      <c r="Z258" s="61"/>
      <c r="AA258" s="62"/>
    </row>
    <row r="259" spans="3:27" ht="16.5" customHeight="1">
      <c r="C259" s="118"/>
      <c r="E259" s="61"/>
      <c r="H259" s="61"/>
      <c r="I259" s="60"/>
      <c r="K259" s="62"/>
      <c r="O259" s="60"/>
      <c r="P259" s="61"/>
      <c r="Q259" s="62"/>
      <c r="R259" s="61"/>
      <c r="S259" s="62"/>
      <c r="T259" s="61"/>
      <c r="U259" s="62"/>
      <c r="V259" s="61"/>
      <c r="W259" s="62"/>
      <c r="X259" s="61"/>
      <c r="Y259" s="62"/>
      <c r="Z259" s="61"/>
      <c r="AA259" s="62"/>
    </row>
    <row r="260" spans="3:27" ht="16.5" customHeight="1">
      <c r="C260" s="118"/>
      <c r="E260" s="61"/>
      <c r="H260" s="61"/>
      <c r="I260" s="60"/>
      <c r="K260" s="62"/>
      <c r="O260" s="60"/>
      <c r="P260" s="61"/>
      <c r="Q260" s="62"/>
      <c r="R260" s="61"/>
      <c r="S260" s="62"/>
      <c r="T260" s="61"/>
      <c r="U260" s="62"/>
      <c r="V260" s="61"/>
      <c r="W260" s="62"/>
      <c r="X260" s="61"/>
      <c r="Y260" s="62"/>
      <c r="Z260" s="61"/>
      <c r="AA260" s="62"/>
    </row>
    <row r="261" spans="3:27" ht="16.5" customHeight="1">
      <c r="C261" s="118"/>
      <c r="E261" s="61"/>
      <c r="H261" s="61"/>
      <c r="I261" s="60"/>
      <c r="K261" s="62"/>
      <c r="O261" s="60"/>
      <c r="P261" s="61"/>
      <c r="Q261" s="62"/>
      <c r="R261" s="61"/>
      <c r="S261" s="62"/>
      <c r="T261" s="61"/>
      <c r="U261" s="62"/>
      <c r="V261" s="61"/>
      <c r="W261" s="62"/>
      <c r="X261" s="61"/>
      <c r="Y261" s="62"/>
      <c r="Z261" s="61"/>
      <c r="AA261" s="62"/>
    </row>
    <row r="262" spans="3:27" ht="16.5" customHeight="1">
      <c r="C262" s="118"/>
      <c r="E262" s="61"/>
      <c r="H262" s="61"/>
      <c r="I262" s="60"/>
      <c r="K262" s="62"/>
      <c r="O262" s="60"/>
      <c r="P262" s="61"/>
      <c r="Q262" s="62"/>
      <c r="R262" s="61"/>
      <c r="S262" s="62"/>
      <c r="T262" s="61"/>
      <c r="U262" s="62"/>
      <c r="V262" s="61"/>
      <c r="W262" s="62"/>
      <c r="X262" s="61"/>
      <c r="Y262" s="62"/>
      <c r="Z262" s="61"/>
      <c r="AA262" s="62"/>
    </row>
    <row r="263" spans="3:27" ht="16.5" customHeight="1">
      <c r="C263" s="118"/>
      <c r="E263" s="61"/>
      <c r="H263" s="61"/>
      <c r="I263" s="60"/>
      <c r="K263" s="62"/>
      <c r="O263" s="60"/>
      <c r="P263" s="61"/>
      <c r="Q263" s="62"/>
      <c r="R263" s="61"/>
      <c r="S263" s="62"/>
      <c r="T263" s="61"/>
      <c r="U263" s="62"/>
      <c r="V263" s="61"/>
      <c r="W263" s="62"/>
      <c r="X263" s="61"/>
      <c r="Y263" s="62"/>
      <c r="Z263" s="61"/>
      <c r="AA263" s="62"/>
    </row>
    <row r="264" spans="3:27" ht="16.5" customHeight="1">
      <c r="C264" s="118"/>
      <c r="E264" s="61"/>
      <c r="H264" s="61"/>
      <c r="I264" s="60"/>
      <c r="K264" s="62"/>
      <c r="O264" s="60"/>
      <c r="P264" s="61"/>
      <c r="Q264" s="62"/>
      <c r="R264" s="61"/>
      <c r="S264" s="62"/>
      <c r="T264" s="61"/>
      <c r="U264" s="62"/>
      <c r="V264" s="61"/>
      <c r="W264" s="62"/>
      <c r="X264" s="61"/>
      <c r="Y264" s="62"/>
      <c r="Z264" s="61"/>
      <c r="AA264" s="62"/>
    </row>
    <row r="265" spans="3:27" ht="16.5" customHeight="1">
      <c r="C265" s="118"/>
      <c r="E265" s="61"/>
      <c r="H265" s="61"/>
      <c r="I265" s="60"/>
      <c r="K265" s="62"/>
      <c r="O265" s="60"/>
      <c r="P265" s="61"/>
      <c r="Q265" s="62"/>
      <c r="R265" s="61"/>
      <c r="S265" s="62"/>
      <c r="T265" s="61"/>
      <c r="U265" s="62"/>
      <c r="V265" s="61"/>
      <c r="W265" s="62"/>
      <c r="X265" s="61"/>
      <c r="Y265" s="62"/>
      <c r="Z265" s="61"/>
      <c r="AA265" s="62"/>
    </row>
    <row r="266" spans="3:27" ht="16.5" customHeight="1">
      <c r="C266" s="118"/>
      <c r="E266" s="61"/>
      <c r="H266" s="61"/>
      <c r="I266" s="60"/>
      <c r="K266" s="62"/>
      <c r="O266" s="60"/>
      <c r="P266" s="61"/>
      <c r="Q266" s="62"/>
      <c r="R266" s="61"/>
      <c r="S266" s="62"/>
      <c r="T266" s="61"/>
      <c r="U266" s="62"/>
      <c r="V266" s="61"/>
      <c r="W266" s="62"/>
      <c r="X266" s="61"/>
      <c r="Y266" s="62"/>
      <c r="Z266" s="61"/>
      <c r="AA266" s="62"/>
    </row>
    <row r="267" spans="3:27" ht="16.5" customHeight="1">
      <c r="C267" s="118"/>
      <c r="E267" s="61"/>
      <c r="H267" s="61"/>
      <c r="I267" s="60"/>
      <c r="K267" s="62"/>
      <c r="O267" s="60"/>
      <c r="P267" s="61"/>
      <c r="Q267" s="62"/>
      <c r="R267" s="61"/>
      <c r="S267" s="62"/>
      <c r="T267" s="61"/>
      <c r="U267" s="62"/>
      <c r="V267" s="61"/>
      <c r="W267" s="62"/>
      <c r="X267" s="61"/>
      <c r="Y267" s="62"/>
      <c r="Z267" s="61"/>
      <c r="AA267" s="62"/>
    </row>
    <row r="268" spans="3:27" ht="16.5" customHeight="1">
      <c r="C268" s="118"/>
      <c r="E268" s="61"/>
      <c r="H268" s="61"/>
      <c r="I268" s="60"/>
      <c r="K268" s="62"/>
      <c r="O268" s="60"/>
      <c r="P268" s="61"/>
      <c r="Q268" s="62"/>
      <c r="R268" s="61"/>
      <c r="S268" s="62"/>
      <c r="T268" s="61"/>
      <c r="U268" s="62"/>
      <c r="V268" s="61"/>
      <c r="W268" s="62"/>
      <c r="X268" s="61"/>
      <c r="Y268" s="62"/>
      <c r="Z268" s="61"/>
      <c r="AA268" s="62"/>
    </row>
    <row r="269" spans="3:27" ht="16.5" customHeight="1">
      <c r="C269" s="118"/>
      <c r="E269" s="61"/>
      <c r="H269" s="61"/>
      <c r="I269" s="60"/>
      <c r="K269" s="62"/>
      <c r="O269" s="60"/>
      <c r="P269" s="61"/>
      <c r="Q269" s="62"/>
      <c r="R269" s="61"/>
      <c r="S269" s="62"/>
      <c r="T269" s="61"/>
      <c r="U269" s="62"/>
      <c r="V269" s="61"/>
      <c r="W269" s="62"/>
      <c r="X269" s="61"/>
      <c r="Y269" s="62"/>
      <c r="Z269" s="61"/>
      <c r="AA269" s="62"/>
    </row>
    <row r="270" spans="3:27" ht="16.5" customHeight="1">
      <c r="C270" s="118"/>
      <c r="E270" s="61"/>
      <c r="H270" s="61"/>
      <c r="I270" s="60"/>
      <c r="K270" s="62"/>
      <c r="O270" s="60"/>
      <c r="P270" s="61"/>
      <c r="Q270" s="62"/>
      <c r="R270" s="61"/>
      <c r="S270" s="62"/>
      <c r="T270" s="61"/>
      <c r="U270" s="62"/>
      <c r="V270" s="61"/>
      <c r="W270" s="62"/>
      <c r="X270" s="61"/>
      <c r="Y270" s="62"/>
      <c r="Z270" s="61"/>
      <c r="AA270" s="62"/>
    </row>
    <row r="271" spans="3:27" ht="16.5" customHeight="1">
      <c r="C271" s="118"/>
      <c r="E271" s="61"/>
      <c r="H271" s="61"/>
      <c r="I271" s="60"/>
      <c r="K271" s="62"/>
      <c r="O271" s="60"/>
      <c r="P271" s="61"/>
      <c r="Q271" s="62"/>
      <c r="R271" s="61"/>
      <c r="S271" s="62"/>
      <c r="T271" s="61"/>
      <c r="U271" s="62"/>
      <c r="V271" s="61"/>
      <c r="W271" s="62"/>
      <c r="X271" s="61"/>
      <c r="Y271" s="62"/>
      <c r="Z271" s="61"/>
      <c r="AA271" s="62"/>
    </row>
    <row r="272" spans="3:27" ht="16.5" customHeight="1">
      <c r="C272" s="118"/>
      <c r="E272" s="61"/>
      <c r="H272" s="61"/>
      <c r="I272" s="60"/>
      <c r="K272" s="62"/>
      <c r="O272" s="60"/>
      <c r="P272" s="61"/>
      <c r="Q272" s="62"/>
      <c r="R272" s="61"/>
      <c r="S272" s="62"/>
      <c r="T272" s="61"/>
      <c r="U272" s="62"/>
      <c r="V272" s="61"/>
      <c r="W272" s="62"/>
      <c r="X272" s="61"/>
      <c r="Y272" s="62"/>
      <c r="Z272" s="61"/>
      <c r="AA272" s="62"/>
    </row>
    <row r="273" spans="3:27" ht="16.5" customHeight="1">
      <c r="C273" s="118"/>
      <c r="E273" s="61"/>
      <c r="H273" s="61"/>
      <c r="I273" s="60"/>
      <c r="K273" s="62"/>
      <c r="O273" s="60"/>
      <c r="P273" s="61"/>
      <c r="Q273" s="62"/>
      <c r="R273" s="61"/>
      <c r="S273" s="62"/>
      <c r="T273" s="61"/>
      <c r="U273" s="62"/>
      <c r="V273" s="61"/>
      <c r="W273" s="62"/>
      <c r="X273" s="61"/>
      <c r="Y273" s="62"/>
      <c r="Z273" s="61"/>
      <c r="AA273" s="62"/>
    </row>
    <row r="274" spans="3:27" ht="16.5" customHeight="1">
      <c r="C274" s="118"/>
      <c r="E274" s="61"/>
      <c r="H274" s="61"/>
      <c r="I274" s="60"/>
      <c r="K274" s="62"/>
      <c r="O274" s="60"/>
      <c r="P274" s="61"/>
      <c r="Q274" s="62"/>
      <c r="R274" s="61"/>
      <c r="S274" s="62"/>
      <c r="T274" s="61"/>
      <c r="U274" s="62"/>
      <c r="V274" s="61"/>
      <c r="W274" s="62"/>
      <c r="X274" s="61"/>
      <c r="Y274" s="62"/>
      <c r="Z274" s="61"/>
      <c r="AA274" s="62"/>
    </row>
    <row r="275" spans="3:27" ht="16.5" customHeight="1">
      <c r="C275" s="118"/>
      <c r="E275" s="61"/>
      <c r="H275" s="61"/>
      <c r="I275" s="60"/>
      <c r="K275" s="62"/>
      <c r="O275" s="60"/>
      <c r="P275" s="61"/>
      <c r="Q275" s="62"/>
      <c r="R275" s="61"/>
      <c r="S275" s="62"/>
      <c r="T275" s="61"/>
      <c r="U275" s="62"/>
      <c r="V275" s="61"/>
      <c r="W275" s="62"/>
      <c r="X275" s="61"/>
      <c r="Y275" s="62"/>
      <c r="Z275" s="61"/>
      <c r="AA275" s="62"/>
    </row>
    <row r="276" spans="3:27" ht="16.5" customHeight="1">
      <c r="C276" s="118"/>
      <c r="E276" s="61"/>
      <c r="H276" s="61"/>
      <c r="I276" s="60"/>
      <c r="K276" s="62"/>
      <c r="O276" s="60"/>
      <c r="P276" s="61"/>
      <c r="Q276" s="62"/>
      <c r="R276" s="61"/>
      <c r="S276" s="62"/>
      <c r="T276" s="61"/>
      <c r="U276" s="62"/>
      <c r="V276" s="61"/>
      <c r="W276" s="62"/>
      <c r="X276" s="61"/>
      <c r="Y276" s="62"/>
      <c r="Z276" s="61"/>
      <c r="AA276" s="62"/>
    </row>
    <row r="277" spans="3:27" ht="16.5" customHeight="1">
      <c r="C277" s="118"/>
      <c r="E277" s="61"/>
      <c r="H277" s="61"/>
      <c r="I277" s="60"/>
      <c r="K277" s="62"/>
      <c r="O277" s="60"/>
      <c r="P277" s="61"/>
      <c r="Q277" s="62"/>
      <c r="R277" s="61"/>
      <c r="S277" s="62"/>
      <c r="T277" s="61"/>
      <c r="U277" s="62"/>
      <c r="V277" s="61"/>
      <c r="W277" s="62"/>
      <c r="X277" s="61"/>
      <c r="Y277" s="62"/>
      <c r="Z277" s="61"/>
      <c r="AA277" s="62"/>
    </row>
    <row r="278" spans="3:27" ht="16.5" customHeight="1">
      <c r="C278" s="118"/>
      <c r="E278" s="61"/>
      <c r="H278" s="61"/>
      <c r="I278" s="60"/>
      <c r="K278" s="62"/>
      <c r="O278" s="60"/>
      <c r="P278" s="61"/>
      <c r="Q278" s="62"/>
      <c r="R278" s="61"/>
      <c r="S278" s="62"/>
      <c r="T278" s="61"/>
      <c r="U278" s="62"/>
      <c r="V278" s="61"/>
      <c r="W278" s="62"/>
      <c r="X278" s="61"/>
      <c r="Y278" s="62"/>
      <c r="Z278" s="61"/>
      <c r="AA278" s="62"/>
    </row>
    <row r="279" spans="3:27" ht="16.5" customHeight="1">
      <c r="C279" s="118"/>
      <c r="E279" s="61"/>
      <c r="H279" s="61"/>
      <c r="I279" s="60"/>
      <c r="K279" s="62"/>
      <c r="O279" s="60"/>
      <c r="P279" s="61"/>
      <c r="Q279" s="62"/>
      <c r="R279" s="61"/>
      <c r="S279" s="62"/>
      <c r="T279" s="61"/>
      <c r="U279" s="62"/>
      <c r="V279" s="61"/>
      <c r="W279" s="62"/>
      <c r="X279" s="61"/>
      <c r="Y279" s="62"/>
      <c r="Z279" s="61"/>
      <c r="AA279" s="62"/>
    </row>
    <row r="280" spans="3:27" ht="16.5" customHeight="1">
      <c r="C280" s="118"/>
      <c r="E280" s="61"/>
      <c r="H280" s="61"/>
      <c r="I280" s="60"/>
      <c r="K280" s="62"/>
      <c r="O280" s="60"/>
      <c r="P280" s="61"/>
      <c r="Q280" s="62"/>
      <c r="R280" s="61"/>
      <c r="S280" s="62"/>
      <c r="T280" s="61"/>
      <c r="U280" s="62"/>
      <c r="V280" s="61"/>
      <c r="W280" s="62"/>
      <c r="X280" s="61"/>
      <c r="Y280" s="62"/>
      <c r="Z280" s="61"/>
      <c r="AA280" s="62"/>
    </row>
    <row r="281" spans="3:27" ht="16.5" customHeight="1">
      <c r="C281" s="118"/>
      <c r="E281" s="61"/>
      <c r="H281" s="61"/>
      <c r="I281" s="60"/>
      <c r="K281" s="62"/>
      <c r="O281" s="60"/>
      <c r="P281" s="61"/>
      <c r="Q281" s="62"/>
      <c r="R281" s="61"/>
      <c r="S281" s="62"/>
      <c r="T281" s="61"/>
      <c r="U281" s="62"/>
      <c r="V281" s="61"/>
      <c r="W281" s="62"/>
      <c r="X281" s="61"/>
      <c r="Y281" s="62"/>
      <c r="Z281" s="61"/>
      <c r="AA281" s="62"/>
    </row>
    <row r="282" spans="3:27" ht="16.5" customHeight="1">
      <c r="C282" s="118"/>
      <c r="E282" s="61"/>
      <c r="H282" s="61"/>
      <c r="I282" s="60"/>
      <c r="K282" s="62"/>
      <c r="O282" s="60"/>
      <c r="P282" s="61"/>
      <c r="Q282" s="62"/>
      <c r="R282" s="61"/>
      <c r="S282" s="62"/>
      <c r="T282" s="61"/>
      <c r="U282" s="62"/>
      <c r="V282" s="61"/>
      <c r="W282" s="62"/>
      <c r="X282" s="61"/>
      <c r="Y282" s="62"/>
      <c r="Z282" s="61"/>
      <c r="AA282" s="62"/>
    </row>
    <row r="283" spans="3:27" ht="16.5" customHeight="1">
      <c r="C283" s="118"/>
      <c r="E283" s="61"/>
      <c r="H283" s="61"/>
      <c r="I283" s="60"/>
      <c r="K283" s="62"/>
      <c r="O283" s="60"/>
      <c r="P283" s="61"/>
      <c r="Q283" s="62"/>
      <c r="R283" s="61"/>
      <c r="S283" s="62"/>
      <c r="T283" s="61"/>
      <c r="U283" s="62"/>
      <c r="V283" s="61"/>
      <c r="W283" s="62"/>
      <c r="X283" s="61"/>
      <c r="Y283" s="62"/>
      <c r="Z283" s="61"/>
      <c r="AA283" s="62"/>
    </row>
    <row r="284" spans="3:27" ht="16.5" customHeight="1">
      <c r="C284" s="118"/>
      <c r="E284" s="61"/>
      <c r="H284" s="61"/>
      <c r="I284" s="60"/>
      <c r="K284" s="62"/>
      <c r="O284" s="60"/>
      <c r="P284" s="61"/>
      <c r="Q284" s="62"/>
      <c r="R284" s="61"/>
      <c r="S284" s="62"/>
      <c r="T284" s="61"/>
      <c r="U284" s="62"/>
      <c r="V284" s="61"/>
      <c r="W284" s="62"/>
      <c r="X284" s="61"/>
      <c r="Y284" s="62"/>
      <c r="Z284" s="61"/>
      <c r="AA284" s="62"/>
    </row>
    <row r="285" spans="3:27" ht="16.5" customHeight="1">
      <c r="C285" s="118"/>
      <c r="E285" s="61"/>
      <c r="H285" s="61"/>
      <c r="I285" s="60"/>
      <c r="K285" s="62"/>
      <c r="O285" s="60"/>
      <c r="P285" s="61"/>
      <c r="Q285" s="62"/>
      <c r="R285" s="61"/>
      <c r="S285" s="62"/>
      <c r="T285" s="61"/>
      <c r="U285" s="62"/>
      <c r="V285" s="61"/>
      <c r="W285" s="62"/>
      <c r="X285" s="61"/>
      <c r="Y285" s="62"/>
      <c r="Z285" s="61"/>
      <c r="AA285" s="62"/>
    </row>
    <row r="286" spans="3:27" ht="16.5" customHeight="1">
      <c r="C286" s="118"/>
      <c r="E286" s="61"/>
      <c r="H286" s="61"/>
      <c r="I286" s="60"/>
      <c r="K286" s="62"/>
      <c r="O286" s="60"/>
      <c r="P286" s="61"/>
      <c r="Q286" s="62"/>
      <c r="R286" s="61"/>
      <c r="S286" s="62"/>
      <c r="T286" s="61"/>
      <c r="U286" s="62"/>
      <c r="V286" s="61"/>
      <c r="W286" s="62"/>
      <c r="X286" s="61"/>
      <c r="Y286" s="62"/>
      <c r="Z286" s="61"/>
      <c r="AA286" s="62"/>
    </row>
    <row r="287" spans="3:27" ht="16.5" customHeight="1">
      <c r="C287" s="118"/>
      <c r="E287" s="61"/>
      <c r="H287" s="61"/>
      <c r="I287" s="60"/>
      <c r="K287" s="62"/>
      <c r="O287" s="60"/>
      <c r="P287" s="61"/>
      <c r="Q287" s="62"/>
      <c r="R287" s="61"/>
      <c r="S287" s="62"/>
      <c r="T287" s="61"/>
      <c r="U287" s="62"/>
      <c r="V287" s="61"/>
      <c r="W287" s="62"/>
      <c r="X287" s="61"/>
      <c r="Y287" s="62"/>
      <c r="Z287" s="61"/>
      <c r="AA287" s="62"/>
    </row>
    <row r="288" spans="3:27" ht="16.5" customHeight="1">
      <c r="C288" s="118"/>
      <c r="E288" s="61"/>
      <c r="H288" s="61"/>
      <c r="I288" s="60"/>
      <c r="K288" s="62"/>
      <c r="O288" s="60"/>
      <c r="P288" s="61"/>
      <c r="Q288" s="62"/>
      <c r="R288" s="61"/>
      <c r="S288" s="62"/>
      <c r="T288" s="61"/>
      <c r="U288" s="62"/>
      <c r="V288" s="61"/>
      <c r="W288" s="62"/>
      <c r="X288" s="61"/>
      <c r="Y288" s="62"/>
      <c r="Z288" s="61"/>
      <c r="AA288" s="62"/>
    </row>
    <row r="289" spans="3:27" ht="16.5" customHeight="1">
      <c r="C289" s="118"/>
      <c r="E289" s="61"/>
      <c r="H289" s="61"/>
      <c r="I289" s="60"/>
      <c r="K289" s="62"/>
      <c r="O289" s="60"/>
      <c r="P289" s="61"/>
      <c r="Q289" s="62"/>
      <c r="R289" s="61"/>
      <c r="S289" s="62"/>
      <c r="T289" s="61"/>
      <c r="U289" s="62"/>
      <c r="V289" s="61"/>
      <c r="W289" s="62"/>
      <c r="X289" s="61"/>
      <c r="Y289" s="62"/>
      <c r="Z289" s="61"/>
      <c r="AA289" s="62"/>
    </row>
    <row r="290" spans="3:27" ht="16.5" customHeight="1">
      <c r="C290" s="118"/>
      <c r="E290" s="61"/>
      <c r="H290" s="61"/>
      <c r="I290" s="60"/>
      <c r="K290" s="62"/>
      <c r="O290" s="60"/>
      <c r="P290" s="61"/>
      <c r="Q290" s="62"/>
      <c r="R290" s="61"/>
      <c r="S290" s="62"/>
      <c r="T290" s="61"/>
      <c r="U290" s="62"/>
      <c r="V290" s="61"/>
      <c r="W290" s="62"/>
      <c r="X290" s="61"/>
      <c r="Y290" s="62"/>
      <c r="Z290" s="61"/>
      <c r="AA290" s="62"/>
    </row>
    <row r="291" spans="3:27" ht="16.5" customHeight="1">
      <c r="C291" s="118"/>
      <c r="E291" s="61"/>
      <c r="H291" s="61"/>
      <c r="I291" s="60"/>
      <c r="K291" s="62"/>
      <c r="O291" s="60"/>
      <c r="P291" s="61"/>
      <c r="Q291" s="62"/>
      <c r="R291" s="61"/>
      <c r="S291" s="62"/>
      <c r="T291" s="61"/>
      <c r="U291" s="62"/>
      <c r="V291" s="61"/>
      <c r="W291" s="62"/>
      <c r="X291" s="61"/>
      <c r="Y291" s="62"/>
      <c r="Z291" s="61"/>
      <c r="AA291" s="62"/>
    </row>
    <row r="292" spans="3:27" ht="16.5" customHeight="1">
      <c r="C292" s="118"/>
      <c r="E292" s="61"/>
      <c r="H292" s="61"/>
      <c r="I292" s="60"/>
      <c r="K292" s="62"/>
      <c r="O292" s="60"/>
      <c r="P292" s="61"/>
      <c r="Q292" s="62"/>
      <c r="R292" s="61"/>
      <c r="S292" s="62"/>
      <c r="T292" s="61"/>
      <c r="U292" s="62"/>
      <c r="V292" s="61"/>
      <c r="W292" s="62"/>
      <c r="X292" s="61"/>
      <c r="Y292" s="62"/>
      <c r="Z292" s="61"/>
      <c r="AA292" s="62"/>
    </row>
    <row r="293" spans="3:27" ht="16.5" customHeight="1">
      <c r="C293" s="118"/>
      <c r="E293" s="61"/>
      <c r="H293" s="61"/>
      <c r="I293" s="60"/>
      <c r="K293" s="62"/>
      <c r="O293" s="60"/>
      <c r="P293" s="61"/>
      <c r="Q293" s="62"/>
      <c r="R293" s="61"/>
      <c r="S293" s="62"/>
      <c r="T293" s="61"/>
      <c r="U293" s="62"/>
      <c r="V293" s="61"/>
      <c r="W293" s="62"/>
      <c r="X293" s="61"/>
      <c r="Y293" s="62"/>
      <c r="Z293" s="61"/>
      <c r="AA293" s="62"/>
    </row>
    <row r="294" spans="3:27" ht="16.5" customHeight="1">
      <c r="C294" s="118"/>
      <c r="E294" s="61"/>
      <c r="H294" s="61"/>
      <c r="I294" s="60"/>
      <c r="K294" s="62"/>
      <c r="O294" s="60"/>
      <c r="P294" s="61"/>
      <c r="Q294" s="62"/>
      <c r="R294" s="61"/>
      <c r="S294" s="62"/>
      <c r="T294" s="61"/>
      <c r="U294" s="62"/>
      <c r="V294" s="61"/>
      <c r="W294" s="62"/>
      <c r="X294" s="61"/>
      <c r="Y294" s="62"/>
      <c r="Z294" s="61"/>
      <c r="AA294" s="62"/>
    </row>
    <row r="295" spans="3:27" ht="16.5" customHeight="1">
      <c r="C295" s="118"/>
      <c r="E295" s="61"/>
      <c r="H295" s="61"/>
      <c r="I295" s="60"/>
      <c r="K295" s="62"/>
      <c r="O295" s="60"/>
      <c r="P295" s="61"/>
      <c r="Q295" s="62"/>
      <c r="R295" s="61"/>
      <c r="S295" s="62"/>
      <c r="T295" s="61"/>
      <c r="U295" s="62"/>
      <c r="V295" s="61"/>
      <c r="W295" s="62"/>
      <c r="X295" s="61"/>
      <c r="Y295" s="62"/>
      <c r="Z295" s="61"/>
      <c r="AA295" s="62"/>
    </row>
    <row r="296" spans="3:27" ht="16.5" customHeight="1">
      <c r="C296" s="118"/>
      <c r="E296" s="61"/>
      <c r="H296" s="61"/>
      <c r="I296" s="60"/>
      <c r="K296" s="62"/>
      <c r="O296" s="60"/>
      <c r="P296" s="61"/>
      <c r="Q296" s="62"/>
      <c r="R296" s="61"/>
      <c r="S296" s="62"/>
      <c r="T296" s="61"/>
      <c r="U296" s="62"/>
      <c r="V296" s="61"/>
      <c r="W296" s="62"/>
      <c r="X296" s="61"/>
      <c r="Y296" s="62"/>
      <c r="Z296" s="61"/>
      <c r="AA296" s="62"/>
    </row>
    <row r="297" spans="3:27" ht="16.5" customHeight="1">
      <c r="C297" s="118"/>
      <c r="E297" s="61"/>
      <c r="H297" s="61"/>
      <c r="I297" s="60"/>
      <c r="K297" s="62"/>
      <c r="O297" s="60"/>
      <c r="P297" s="61"/>
      <c r="Q297" s="62"/>
      <c r="R297" s="61"/>
      <c r="S297" s="62"/>
      <c r="T297" s="61"/>
      <c r="U297" s="62"/>
      <c r="V297" s="61"/>
      <c r="W297" s="62"/>
      <c r="X297" s="61"/>
      <c r="Y297" s="62"/>
      <c r="Z297" s="61"/>
      <c r="AA297" s="62"/>
    </row>
    <row r="298" spans="3:27" ht="16.5" customHeight="1">
      <c r="C298" s="118"/>
      <c r="E298" s="61"/>
      <c r="H298" s="61"/>
      <c r="I298" s="60"/>
      <c r="K298" s="62"/>
      <c r="O298" s="60"/>
      <c r="P298" s="61"/>
      <c r="Q298" s="62"/>
      <c r="R298" s="61"/>
      <c r="S298" s="62"/>
      <c r="T298" s="61"/>
      <c r="U298" s="62"/>
      <c r="V298" s="61"/>
      <c r="W298" s="62"/>
      <c r="X298" s="61"/>
      <c r="Y298" s="62"/>
      <c r="Z298" s="61"/>
      <c r="AA298" s="62"/>
    </row>
    <row r="299" spans="3:27" ht="16.5" customHeight="1">
      <c r="C299" s="118"/>
      <c r="E299" s="61"/>
      <c r="H299" s="61"/>
      <c r="I299" s="60"/>
      <c r="K299" s="62"/>
      <c r="O299" s="60"/>
      <c r="P299" s="61"/>
      <c r="Q299" s="62"/>
      <c r="R299" s="61"/>
      <c r="S299" s="62"/>
      <c r="T299" s="61"/>
      <c r="U299" s="62"/>
      <c r="V299" s="61"/>
      <c r="W299" s="62"/>
      <c r="X299" s="61"/>
      <c r="Y299" s="62"/>
      <c r="Z299" s="61"/>
      <c r="AA299" s="62"/>
    </row>
    <row r="300" spans="3:27" ht="16.5" customHeight="1">
      <c r="C300" s="118"/>
      <c r="E300" s="61"/>
      <c r="H300" s="61"/>
      <c r="I300" s="60"/>
      <c r="K300" s="62"/>
      <c r="O300" s="60"/>
      <c r="P300" s="61"/>
      <c r="Q300" s="62"/>
      <c r="R300" s="61"/>
      <c r="S300" s="62"/>
      <c r="T300" s="61"/>
      <c r="U300" s="62"/>
      <c r="V300" s="61"/>
      <c r="W300" s="62"/>
      <c r="X300" s="61"/>
      <c r="Y300" s="62"/>
      <c r="Z300" s="61"/>
      <c r="AA300" s="62"/>
    </row>
    <row r="301" spans="3:27" ht="16.5" customHeight="1">
      <c r="C301" s="118"/>
      <c r="E301" s="61"/>
      <c r="H301" s="61"/>
      <c r="I301" s="60"/>
      <c r="K301" s="62"/>
      <c r="O301" s="60"/>
      <c r="P301" s="61"/>
      <c r="Q301" s="62"/>
      <c r="R301" s="61"/>
      <c r="S301" s="62"/>
      <c r="T301" s="61"/>
      <c r="U301" s="62"/>
      <c r="V301" s="61"/>
      <c r="W301" s="62"/>
      <c r="X301" s="61"/>
      <c r="Y301" s="62"/>
      <c r="Z301" s="61"/>
      <c r="AA301" s="62"/>
    </row>
    <row r="302" spans="3:27" ht="16.5" customHeight="1">
      <c r="C302" s="118"/>
      <c r="E302" s="61"/>
      <c r="H302" s="61"/>
      <c r="I302" s="60"/>
      <c r="K302" s="62"/>
      <c r="O302" s="60"/>
      <c r="P302" s="61"/>
      <c r="Q302" s="62"/>
      <c r="R302" s="61"/>
      <c r="S302" s="62"/>
      <c r="T302" s="61"/>
      <c r="U302" s="62"/>
      <c r="V302" s="61"/>
      <c r="W302" s="62"/>
      <c r="X302" s="61"/>
      <c r="Y302" s="62"/>
      <c r="Z302" s="61"/>
      <c r="AA302" s="62"/>
    </row>
    <row r="303" spans="3:27" ht="16.5" customHeight="1">
      <c r="C303" s="118"/>
      <c r="E303" s="61"/>
      <c r="H303" s="61"/>
      <c r="I303" s="60"/>
      <c r="K303" s="62"/>
      <c r="O303" s="60"/>
      <c r="P303" s="61"/>
      <c r="Q303" s="62"/>
      <c r="R303" s="61"/>
      <c r="S303" s="62"/>
      <c r="T303" s="61"/>
      <c r="U303" s="62"/>
      <c r="V303" s="61"/>
      <c r="W303" s="62"/>
      <c r="X303" s="61"/>
      <c r="Y303" s="62"/>
      <c r="Z303" s="61"/>
      <c r="AA303" s="62"/>
    </row>
    <row r="304" spans="3:27" ht="16.5" customHeight="1">
      <c r="C304" s="118"/>
      <c r="E304" s="61"/>
      <c r="H304" s="61"/>
      <c r="I304" s="60"/>
      <c r="K304" s="62"/>
      <c r="O304" s="60"/>
      <c r="P304" s="61"/>
      <c r="Q304" s="62"/>
      <c r="R304" s="61"/>
      <c r="S304" s="62"/>
      <c r="T304" s="61"/>
      <c r="U304" s="62"/>
      <c r="V304" s="61"/>
      <c r="W304" s="62"/>
      <c r="X304" s="61"/>
      <c r="Y304" s="62"/>
      <c r="Z304" s="61"/>
      <c r="AA304" s="62"/>
    </row>
    <row r="305" spans="3:27" ht="16.5" customHeight="1">
      <c r="C305" s="118"/>
      <c r="E305" s="61"/>
      <c r="H305" s="61"/>
      <c r="I305" s="60"/>
      <c r="K305" s="62"/>
      <c r="O305" s="60"/>
      <c r="P305" s="61"/>
      <c r="Q305" s="62"/>
      <c r="R305" s="61"/>
      <c r="S305" s="62"/>
      <c r="T305" s="61"/>
      <c r="U305" s="62"/>
      <c r="V305" s="61"/>
      <c r="W305" s="62"/>
      <c r="X305" s="61"/>
      <c r="Y305" s="62"/>
      <c r="Z305" s="61"/>
      <c r="AA305" s="62"/>
    </row>
    <row r="306" spans="3:27" ht="16.5" customHeight="1">
      <c r="C306" s="118"/>
      <c r="E306" s="61"/>
      <c r="H306" s="61"/>
      <c r="I306" s="60"/>
      <c r="K306" s="62"/>
      <c r="O306" s="60"/>
      <c r="P306" s="61"/>
      <c r="Q306" s="62"/>
      <c r="R306" s="61"/>
      <c r="S306" s="62"/>
      <c r="T306" s="61"/>
      <c r="U306" s="62"/>
      <c r="V306" s="61"/>
      <c r="W306" s="62"/>
      <c r="X306" s="61"/>
      <c r="Y306" s="62"/>
      <c r="Z306" s="61"/>
      <c r="AA306" s="62"/>
    </row>
    <row r="307" spans="3:27" ht="16.5" customHeight="1">
      <c r="C307" s="118"/>
      <c r="E307" s="61"/>
      <c r="H307" s="61"/>
      <c r="I307" s="60"/>
      <c r="K307" s="62"/>
      <c r="O307" s="60"/>
      <c r="P307" s="61"/>
      <c r="Q307" s="62"/>
      <c r="R307" s="61"/>
      <c r="S307" s="62"/>
      <c r="T307" s="61"/>
      <c r="U307" s="62"/>
      <c r="V307" s="61"/>
      <c r="W307" s="62"/>
      <c r="X307" s="61"/>
      <c r="Y307" s="62"/>
      <c r="Z307" s="61"/>
      <c r="AA307" s="62"/>
    </row>
    <row r="308" spans="3:27" ht="16.5" customHeight="1">
      <c r="C308" s="118"/>
      <c r="E308" s="61"/>
      <c r="H308" s="61"/>
      <c r="I308" s="60"/>
      <c r="K308" s="62"/>
      <c r="O308" s="60"/>
      <c r="P308" s="61"/>
      <c r="Q308" s="62"/>
      <c r="R308" s="61"/>
      <c r="S308" s="62"/>
      <c r="T308" s="61"/>
      <c r="U308" s="62"/>
      <c r="V308" s="61"/>
      <c r="W308" s="62"/>
      <c r="X308" s="61"/>
      <c r="Y308" s="62"/>
      <c r="Z308" s="61"/>
      <c r="AA308" s="62"/>
    </row>
    <row r="309" spans="3:27" ht="16.5" customHeight="1">
      <c r="C309" s="118"/>
      <c r="E309" s="61"/>
      <c r="H309" s="61"/>
      <c r="I309" s="60"/>
      <c r="K309" s="62"/>
      <c r="O309" s="60"/>
      <c r="P309" s="61"/>
      <c r="Q309" s="62"/>
      <c r="R309" s="61"/>
      <c r="S309" s="62"/>
      <c r="T309" s="61"/>
      <c r="U309" s="62"/>
      <c r="V309" s="61"/>
      <c r="W309" s="62"/>
      <c r="X309" s="61"/>
      <c r="Y309" s="62"/>
      <c r="Z309" s="61"/>
      <c r="AA309" s="62"/>
    </row>
    <row r="310" spans="3:27" ht="16.5" customHeight="1">
      <c r="C310" s="118"/>
      <c r="E310" s="61"/>
      <c r="H310" s="61"/>
      <c r="I310" s="60"/>
      <c r="K310" s="62"/>
      <c r="O310" s="60"/>
      <c r="P310" s="61"/>
      <c r="Q310" s="62"/>
      <c r="R310" s="61"/>
      <c r="S310" s="62"/>
      <c r="T310" s="61"/>
      <c r="U310" s="62"/>
      <c r="V310" s="61"/>
      <c r="W310" s="62"/>
      <c r="X310" s="61"/>
      <c r="Y310" s="62"/>
      <c r="Z310" s="61"/>
      <c r="AA310" s="62"/>
    </row>
    <row r="311" spans="3:27" ht="16.5" customHeight="1">
      <c r="C311" s="118"/>
      <c r="E311" s="61"/>
      <c r="H311" s="61"/>
      <c r="I311" s="60"/>
      <c r="K311" s="62"/>
      <c r="O311" s="60"/>
      <c r="P311" s="61"/>
      <c r="Q311" s="62"/>
      <c r="R311" s="61"/>
      <c r="S311" s="62"/>
      <c r="T311" s="61"/>
      <c r="U311" s="62"/>
      <c r="V311" s="61"/>
      <c r="W311" s="62"/>
      <c r="X311" s="61"/>
      <c r="Y311" s="62"/>
      <c r="Z311" s="61"/>
      <c r="AA311" s="62"/>
    </row>
    <row r="312" spans="3:27" ht="16.5" customHeight="1">
      <c r="C312" s="118"/>
      <c r="E312" s="61"/>
      <c r="H312" s="61"/>
      <c r="I312" s="60"/>
      <c r="K312" s="62"/>
      <c r="O312" s="60"/>
      <c r="P312" s="61"/>
      <c r="Q312" s="62"/>
      <c r="R312" s="61"/>
      <c r="S312" s="62"/>
      <c r="T312" s="61"/>
      <c r="U312" s="62"/>
      <c r="V312" s="61"/>
      <c r="W312" s="62"/>
      <c r="X312" s="61"/>
      <c r="Y312" s="62"/>
      <c r="Z312" s="61"/>
      <c r="AA312" s="62"/>
    </row>
    <row r="313" spans="3:27" ht="16.5" customHeight="1">
      <c r="C313" s="118"/>
      <c r="E313" s="61"/>
      <c r="H313" s="61"/>
      <c r="I313" s="60"/>
      <c r="K313" s="62"/>
      <c r="O313" s="60"/>
      <c r="P313" s="61"/>
      <c r="Q313" s="62"/>
      <c r="R313" s="61"/>
      <c r="S313" s="62"/>
      <c r="T313" s="61"/>
      <c r="U313" s="62"/>
      <c r="V313" s="61"/>
      <c r="W313" s="62"/>
      <c r="X313" s="61"/>
      <c r="Y313" s="62"/>
      <c r="Z313" s="61"/>
      <c r="AA313" s="62"/>
    </row>
    <row r="314" spans="3:27" ht="16.5" customHeight="1">
      <c r="C314" s="118"/>
      <c r="E314" s="61"/>
      <c r="H314" s="61"/>
      <c r="I314" s="60"/>
      <c r="K314" s="62"/>
      <c r="O314" s="60"/>
      <c r="P314" s="61"/>
      <c r="Q314" s="62"/>
      <c r="R314" s="61"/>
      <c r="S314" s="62"/>
      <c r="T314" s="61"/>
      <c r="U314" s="62"/>
      <c r="V314" s="61"/>
      <c r="W314" s="62"/>
      <c r="X314" s="61"/>
      <c r="Y314" s="62"/>
      <c r="Z314" s="61"/>
      <c r="AA314" s="62"/>
    </row>
    <row r="315" spans="3:27" ht="16.5" customHeight="1">
      <c r="C315" s="118"/>
      <c r="E315" s="61"/>
      <c r="H315" s="61"/>
      <c r="I315" s="60"/>
      <c r="K315" s="62"/>
      <c r="O315" s="60"/>
      <c r="P315" s="61"/>
      <c r="Q315" s="62"/>
      <c r="R315" s="61"/>
      <c r="S315" s="62"/>
      <c r="T315" s="61"/>
      <c r="U315" s="62"/>
      <c r="V315" s="61"/>
      <c r="W315" s="62"/>
      <c r="X315" s="61"/>
      <c r="Y315" s="62"/>
      <c r="Z315" s="61"/>
      <c r="AA315" s="62"/>
    </row>
    <row r="316" spans="3:27" ht="16.5" customHeight="1">
      <c r="C316" s="118"/>
      <c r="E316" s="61"/>
      <c r="H316" s="61"/>
      <c r="I316" s="60"/>
      <c r="K316" s="62"/>
      <c r="O316" s="60"/>
      <c r="P316" s="61"/>
      <c r="Q316" s="62"/>
      <c r="R316" s="61"/>
      <c r="S316" s="62"/>
      <c r="T316" s="61"/>
      <c r="U316" s="62"/>
      <c r="V316" s="61"/>
      <c r="W316" s="62"/>
      <c r="X316" s="61"/>
      <c r="Y316" s="62"/>
      <c r="Z316" s="61"/>
      <c r="AA316" s="62"/>
    </row>
    <row r="317" spans="3:27" ht="16.5" customHeight="1">
      <c r="C317" s="118"/>
      <c r="E317" s="61"/>
      <c r="H317" s="61"/>
      <c r="I317" s="60"/>
      <c r="K317" s="62"/>
      <c r="O317" s="60"/>
      <c r="P317" s="61"/>
      <c r="Q317" s="62"/>
      <c r="R317" s="61"/>
      <c r="S317" s="62"/>
      <c r="T317" s="61"/>
      <c r="U317" s="62"/>
      <c r="V317" s="61"/>
      <c r="W317" s="62"/>
      <c r="X317" s="61"/>
      <c r="Y317" s="62"/>
      <c r="Z317" s="61"/>
      <c r="AA317" s="62"/>
    </row>
    <row r="318" spans="3:27" ht="16.5" customHeight="1">
      <c r="C318" s="118"/>
      <c r="E318" s="61"/>
      <c r="H318" s="61"/>
      <c r="I318" s="60"/>
      <c r="K318" s="62"/>
      <c r="O318" s="60"/>
      <c r="P318" s="61"/>
      <c r="Q318" s="62"/>
      <c r="R318" s="61"/>
      <c r="S318" s="62"/>
      <c r="T318" s="61"/>
      <c r="U318" s="62"/>
      <c r="V318" s="61"/>
      <c r="W318" s="62"/>
      <c r="X318" s="61"/>
      <c r="Y318" s="62"/>
      <c r="Z318" s="61"/>
      <c r="AA318" s="62"/>
    </row>
    <row r="319" spans="3:27" ht="16.5" customHeight="1">
      <c r="C319" s="118"/>
      <c r="E319" s="61"/>
      <c r="H319" s="61"/>
      <c r="I319" s="60"/>
      <c r="K319" s="62"/>
      <c r="O319" s="60"/>
      <c r="P319" s="61"/>
      <c r="Q319" s="62"/>
      <c r="R319" s="61"/>
      <c r="S319" s="62"/>
      <c r="T319" s="61"/>
      <c r="U319" s="62"/>
      <c r="V319" s="61"/>
      <c r="W319" s="62"/>
      <c r="X319" s="61"/>
      <c r="Y319" s="62"/>
      <c r="Z319" s="61"/>
      <c r="AA319" s="62"/>
    </row>
    <row r="320" spans="3:27" ht="16.5" customHeight="1">
      <c r="C320" s="118"/>
      <c r="E320" s="61"/>
      <c r="H320" s="61"/>
      <c r="I320" s="60"/>
      <c r="K320" s="62"/>
      <c r="O320" s="60"/>
      <c r="P320" s="61"/>
      <c r="Q320" s="62"/>
      <c r="R320" s="61"/>
      <c r="S320" s="62"/>
      <c r="T320" s="61"/>
      <c r="U320" s="62"/>
      <c r="V320" s="61"/>
      <c r="W320" s="62"/>
      <c r="X320" s="61"/>
      <c r="Y320" s="62"/>
      <c r="Z320" s="61"/>
      <c r="AA320" s="62"/>
    </row>
    <row r="321" spans="3:27" ht="16.5" customHeight="1">
      <c r="C321" s="118"/>
      <c r="E321" s="61"/>
      <c r="H321" s="61"/>
      <c r="I321" s="60"/>
      <c r="K321" s="62"/>
      <c r="O321" s="60"/>
      <c r="P321" s="61"/>
      <c r="Q321" s="62"/>
      <c r="R321" s="61"/>
      <c r="S321" s="62"/>
      <c r="T321" s="61"/>
      <c r="U321" s="62"/>
      <c r="V321" s="61"/>
      <c r="W321" s="62"/>
      <c r="X321" s="61"/>
      <c r="Y321" s="62"/>
      <c r="Z321" s="61"/>
      <c r="AA321" s="62"/>
    </row>
    <row r="322" spans="3:27" ht="16.5" customHeight="1">
      <c r="C322" s="118"/>
      <c r="E322" s="61"/>
      <c r="H322" s="61"/>
      <c r="I322" s="60"/>
      <c r="K322" s="62"/>
      <c r="O322" s="60"/>
      <c r="P322" s="61"/>
      <c r="Q322" s="62"/>
      <c r="R322" s="61"/>
      <c r="S322" s="62"/>
      <c r="T322" s="61"/>
      <c r="U322" s="62"/>
      <c r="V322" s="61"/>
      <c r="W322" s="62"/>
      <c r="X322" s="61"/>
      <c r="Y322" s="62"/>
      <c r="Z322" s="61"/>
      <c r="AA322" s="62"/>
    </row>
    <row r="323" spans="3:27" ht="16.5" customHeight="1">
      <c r="C323" s="118"/>
      <c r="E323" s="61"/>
      <c r="H323" s="61"/>
      <c r="I323" s="60"/>
      <c r="K323" s="62"/>
      <c r="O323" s="60"/>
      <c r="P323" s="61"/>
      <c r="Q323" s="62"/>
      <c r="R323" s="61"/>
      <c r="S323" s="62"/>
      <c r="T323" s="61"/>
      <c r="U323" s="62"/>
      <c r="V323" s="61"/>
      <c r="W323" s="62"/>
      <c r="X323" s="61"/>
      <c r="Y323" s="62"/>
      <c r="Z323" s="61"/>
      <c r="AA323" s="62"/>
    </row>
    <row r="324" spans="3:27" ht="16.5" customHeight="1">
      <c r="C324" s="118"/>
      <c r="E324" s="61"/>
      <c r="H324" s="61"/>
      <c r="I324" s="60"/>
      <c r="K324" s="62"/>
      <c r="O324" s="60"/>
      <c r="P324" s="61"/>
      <c r="Q324" s="62"/>
      <c r="R324" s="61"/>
      <c r="S324" s="62"/>
      <c r="T324" s="61"/>
      <c r="U324" s="62"/>
      <c r="V324" s="61"/>
      <c r="W324" s="62"/>
      <c r="X324" s="61"/>
      <c r="Y324" s="62"/>
      <c r="Z324" s="61"/>
      <c r="AA324" s="62"/>
    </row>
    <row r="325" spans="3:27" ht="16.5" customHeight="1">
      <c r="C325" s="118"/>
      <c r="E325" s="61"/>
      <c r="H325" s="61"/>
      <c r="I325" s="60"/>
      <c r="K325" s="62"/>
      <c r="O325" s="60"/>
      <c r="P325" s="61"/>
      <c r="Q325" s="62"/>
      <c r="R325" s="61"/>
      <c r="S325" s="62"/>
      <c r="T325" s="61"/>
      <c r="U325" s="62"/>
      <c r="V325" s="61"/>
      <c r="W325" s="62"/>
      <c r="X325" s="61"/>
      <c r="Y325" s="62"/>
      <c r="Z325" s="61"/>
      <c r="AA325" s="62"/>
    </row>
    <row r="326" spans="3:27" ht="16.5" customHeight="1">
      <c r="C326" s="118"/>
      <c r="E326" s="61"/>
      <c r="H326" s="61"/>
      <c r="I326" s="60"/>
      <c r="K326" s="62"/>
      <c r="O326" s="60"/>
      <c r="P326" s="61"/>
      <c r="Q326" s="62"/>
      <c r="R326" s="61"/>
      <c r="S326" s="62"/>
      <c r="T326" s="61"/>
      <c r="U326" s="62"/>
      <c r="V326" s="61"/>
      <c r="W326" s="62"/>
      <c r="X326" s="61"/>
      <c r="Y326" s="62"/>
      <c r="Z326" s="61"/>
      <c r="AA326" s="62"/>
    </row>
    <row r="327" spans="3:27" ht="16.5" customHeight="1">
      <c r="C327" s="118"/>
      <c r="E327" s="61"/>
      <c r="H327" s="61"/>
      <c r="I327" s="60"/>
      <c r="K327" s="62"/>
      <c r="O327" s="60"/>
      <c r="P327" s="61"/>
      <c r="Q327" s="62"/>
      <c r="R327" s="61"/>
      <c r="S327" s="62"/>
      <c r="T327" s="61"/>
      <c r="U327" s="62"/>
      <c r="V327" s="61"/>
      <c r="W327" s="62"/>
      <c r="X327" s="61"/>
      <c r="Y327" s="62"/>
      <c r="Z327" s="61"/>
      <c r="AA327" s="62"/>
    </row>
    <row r="328" spans="3:27" ht="16.5" customHeight="1">
      <c r="C328" s="118"/>
      <c r="E328" s="61"/>
      <c r="H328" s="61"/>
      <c r="I328" s="60"/>
      <c r="K328" s="62"/>
      <c r="O328" s="60"/>
      <c r="P328" s="61"/>
      <c r="Q328" s="62"/>
      <c r="R328" s="61"/>
      <c r="S328" s="62"/>
      <c r="T328" s="61"/>
      <c r="U328" s="62"/>
      <c r="V328" s="61"/>
      <c r="W328" s="62"/>
      <c r="X328" s="61"/>
      <c r="Y328" s="62"/>
      <c r="Z328" s="61"/>
      <c r="AA328" s="62"/>
    </row>
    <row r="329" spans="3:27" ht="16.5" customHeight="1">
      <c r="C329" s="118"/>
      <c r="E329" s="61"/>
      <c r="H329" s="61"/>
      <c r="I329" s="60"/>
      <c r="K329" s="62"/>
      <c r="O329" s="60"/>
      <c r="P329" s="61"/>
      <c r="Q329" s="62"/>
      <c r="R329" s="61"/>
      <c r="S329" s="62"/>
      <c r="T329" s="61"/>
      <c r="U329" s="62"/>
      <c r="V329" s="61"/>
      <c r="W329" s="62"/>
      <c r="X329" s="61"/>
      <c r="Y329" s="62"/>
      <c r="Z329" s="61"/>
      <c r="AA329" s="62"/>
    </row>
    <row r="330" spans="3:27" ht="16.5" customHeight="1">
      <c r="C330" s="118"/>
      <c r="E330" s="61"/>
      <c r="H330" s="61"/>
      <c r="I330" s="60"/>
      <c r="K330" s="62"/>
      <c r="O330" s="60"/>
      <c r="P330" s="61"/>
      <c r="Q330" s="62"/>
      <c r="R330" s="61"/>
      <c r="S330" s="62"/>
      <c r="T330" s="61"/>
      <c r="U330" s="62"/>
      <c r="V330" s="61"/>
      <c r="W330" s="62"/>
      <c r="X330" s="61"/>
      <c r="Y330" s="62"/>
      <c r="Z330" s="61"/>
      <c r="AA330" s="62"/>
    </row>
    <row r="331" spans="3:27" ht="16.5" customHeight="1">
      <c r="C331" s="118"/>
      <c r="E331" s="61"/>
      <c r="H331" s="61"/>
      <c r="I331" s="60"/>
      <c r="K331" s="62"/>
      <c r="O331" s="60"/>
      <c r="P331" s="61"/>
      <c r="Q331" s="62"/>
      <c r="R331" s="61"/>
      <c r="S331" s="62"/>
      <c r="T331" s="61"/>
      <c r="U331" s="62"/>
      <c r="V331" s="61"/>
      <c r="W331" s="62"/>
      <c r="X331" s="61"/>
      <c r="Y331" s="62"/>
      <c r="Z331" s="61"/>
      <c r="AA331" s="62"/>
    </row>
    <row r="332" spans="3:27" ht="16.5" customHeight="1">
      <c r="C332" s="118"/>
      <c r="E332" s="61"/>
      <c r="H332" s="61"/>
      <c r="I332" s="60"/>
      <c r="K332" s="62"/>
      <c r="O332" s="60"/>
      <c r="P332" s="61"/>
      <c r="Q332" s="62"/>
      <c r="R332" s="61"/>
      <c r="S332" s="62"/>
      <c r="T332" s="61"/>
      <c r="U332" s="62"/>
      <c r="V332" s="61"/>
      <c r="W332" s="62"/>
      <c r="X332" s="61"/>
      <c r="Y332" s="62"/>
      <c r="Z332" s="61"/>
      <c r="AA332" s="62"/>
    </row>
    <row r="333" spans="3:27" ht="16.5" customHeight="1">
      <c r="C333" s="118"/>
      <c r="E333" s="61"/>
      <c r="H333" s="61"/>
      <c r="I333" s="60"/>
      <c r="K333" s="62"/>
      <c r="O333" s="60"/>
      <c r="P333" s="61"/>
      <c r="Q333" s="62"/>
      <c r="R333" s="61"/>
      <c r="S333" s="62"/>
      <c r="T333" s="61"/>
      <c r="U333" s="62"/>
      <c r="V333" s="61"/>
      <c r="W333" s="62"/>
      <c r="X333" s="61"/>
      <c r="Y333" s="62"/>
      <c r="Z333" s="61"/>
      <c r="AA333" s="62"/>
    </row>
    <row r="334" spans="3:27" ht="16.5" customHeight="1">
      <c r="C334" s="118"/>
      <c r="E334" s="61"/>
      <c r="H334" s="61"/>
      <c r="I334" s="60"/>
      <c r="K334" s="62"/>
      <c r="O334" s="60"/>
      <c r="P334" s="61"/>
      <c r="Q334" s="62"/>
      <c r="R334" s="61"/>
      <c r="S334" s="62"/>
      <c r="T334" s="61"/>
      <c r="U334" s="62"/>
      <c r="V334" s="61"/>
      <c r="W334" s="62"/>
      <c r="X334" s="61"/>
      <c r="Y334" s="62"/>
      <c r="Z334" s="61"/>
      <c r="AA334" s="62"/>
    </row>
    <row r="335" spans="3:27" ht="16.5" customHeight="1">
      <c r="C335" s="118"/>
      <c r="E335" s="61"/>
      <c r="H335" s="61"/>
      <c r="I335" s="60"/>
      <c r="K335" s="62"/>
      <c r="O335" s="60"/>
      <c r="P335" s="61"/>
      <c r="Q335" s="62"/>
      <c r="R335" s="61"/>
      <c r="S335" s="62"/>
      <c r="T335" s="61"/>
      <c r="U335" s="62"/>
      <c r="V335" s="61"/>
      <c r="W335" s="62"/>
      <c r="X335" s="61"/>
      <c r="Y335" s="62"/>
      <c r="Z335" s="61"/>
      <c r="AA335" s="62"/>
    </row>
    <row r="336" spans="3:27" ht="16.5" customHeight="1">
      <c r="C336" s="118"/>
      <c r="E336" s="61"/>
      <c r="H336" s="61"/>
      <c r="I336" s="60"/>
      <c r="K336" s="62"/>
      <c r="O336" s="60"/>
      <c r="P336" s="61"/>
      <c r="Q336" s="62"/>
      <c r="R336" s="61"/>
      <c r="S336" s="62"/>
      <c r="T336" s="61"/>
      <c r="U336" s="62"/>
      <c r="V336" s="61"/>
      <c r="W336" s="62"/>
      <c r="X336" s="61"/>
      <c r="Y336" s="62"/>
      <c r="Z336" s="61"/>
      <c r="AA336" s="62"/>
    </row>
    <row r="337" spans="3:27" ht="16.5" customHeight="1">
      <c r="C337" s="118"/>
      <c r="E337" s="61"/>
      <c r="H337" s="61"/>
      <c r="I337" s="60"/>
      <c r="K337" s="62"/>
      <c r="O337" s="60"/>
      <c r="P337" s="61"/>
      <c r="Q337" s="62"/>
      <c r="R337" s="61"/>
      <c r="S337" s="62"/>
      <c r="T337" s="61"/>
      <c r="U337" s="62"/>
      <c r="V337" s="61"/>
      <c r="W337" s="62"/>
      <c r="X337" s="61"/>
      <c r="Y337" s="62"/>
      <c r="Z337" s="61"/>
      <c r="AA337" s="62"/>
    </row>
    <row r="338" spans="3:27" ht="16.5" customHeight="1">
      <c r="C338" s="118"/>
      <c r="E338" s="61"/>
      <c r="H338" s="61"/>
      <c r="I338" s="60"/>
      <c r="K338" s="62"/>
      <c r="O338" s="60"/>
      <c r="P338" s="61"/>
      <c r="Q338" s="62"/>
      <c r="R338" s="61"/>
      <c r="S338" s="62"/>
      <c r="T338" s="61"/>
      <c r="U338" s="62"/>
      <c r="V338" s="61"/>
      <c r="W338" s="62"/>
      <c r="X338" s="61"/>
      <c r="Y338" s="62"/>
      <c r="Z338" s="61"/>
      <c r="AA338" s="62"/>
    </row>
    <row r="339" spans="3:27" ht="16.5" customHeight="1">
      <c r="C339" s="118"/>
      <c r="E339" s="61"/>
      <c r="H339" s="61"/>
      <c r="I339" s="60"/>
      <c r="K339" s="62"/>
      <c r="O339" s="60"/>
      <c r="P339" s="61"/>
      <c r="Q339" s="62"/>
      <c r="R339" s="61"/>
      <c r="S339" s="62"/>
      <c r="T339" s="61"/>
      <c r="U339" s="62"/>
      <c r="V339" s="61"/>
      <c r="W339" s="62"/>
      <c r="X339" s="61"/>
      <c r="Y339" s="62"/>
      <c r="Z339" s="61"/>
      <c r="AA339" s="62"/>
    </row>
    <row r="340" spans="3:27" ht="16.5" customHeight="1">
      <c r="C340" s="118"/>
      <c r="E340" s="61"/>
      <c r="H340" s="61"/>
      <c r="I340" s="60"/>
      <c r="K340" s="62"/>
      <c r="O340" s="60"/>
      <c r="P340" s="61"/>
      <c r="Q340" s="62"/>
      <c r="R340" s="61"/>
      <c r="S340" s="62"/>
      <c r="T340" s="61"/>
      <c r="U340" s="62"/>
      <c r="V340" s="61"/>
      <c r="W340" s="62"/>
      <c r="X340" s="61"/>
      <c r="Y340" s="62"/>
      <c r="Z340" s="61"/>
      <c r="AA340" s="62"/>
    </row>
    <row r="341" spans="3:27" ht="16.5" customHeight="1">
      <c r="C341" s="118"/>
      <c r="E341" s="61"/>
      <c r="H341" s="61"/>
      <c r="I341" s="60"/>
      <c r="K341" s="62"/>
      <c r="O341" s="60"/>
      <c r="P341" s="61"/>
      <c r="Q341" s="62"/>
      <c r="R341" s="61"/>
      <c r="S341" s="62"/>
      <c r="T341" s="61"/>
      <c r="U341" s="62"/>
      <c r="V341" s="61"/>
      <c r="W341" s="62"/>
      <c r="X341" s="61"/>
      <c r="Y341" s="62"/>
      <c r="Z341" s="61"/>
      <c r="AA341" s="62"/>
    </row>
    <row r="342" spans="3:27" ht="16.5" customHeight="1">
      <c r="C342" s="118"/>
      <c r="E342" s="61"/>
      <c r="H342" s="61"/>
      <c r="I342" s="60"/>
      <c r="K342" s="62"/>
      <c r="O342" s="60"/>
      <c r="P342" s="61"/>
      <c r="Q342" s="62"/>
      <c r="R342" s="61"/>
      <c r="S342" s="62"/>
      <c r="T342" s="61"/>
      <c r="U342" s="62"/>
      <c r="V342" s="61"/>
      <c r="W342" s="62"/>
      <c r="X342" s="61"/>
      <c r="Y342" s="62"/>
      <c r="Z342" s="61"/>
      <c r="AA342" s="62"/>
    </row>
    <row r="343" spans="3:27" ht="16.5" customHeight="1">
      <c r="C343" s="118"/>
      <c r="E343" s="61"/>
      <c r="H343" s="61"/>
      <c r="I343" s="60"/>
      <c r="K343" s="62"/>
      <c r="O343" s="60"/>
      <c r="P343" s="61"/>
      <c r="Q343" s="62"/>
      <c r="R343" s="61"/>
      <c r="S343" s="62"/>
      <c r="T343" s="61"/>
      <c r="U343" s="62"/>
      <c r="V343" s="61"/>
      <c r="W343" s="62"/>
      <c r="X343" s="61"/>
      <c r="Y343" s="62"/>
      <c r="Z343" s="61"/>
      <c r="AA343" s="62"/>
    </row>
    <row r="344" spans="3:27" ht="16.5" customHeight="1">
      <c r="C344" s="118"/>
      <c r="E344" s="61"/>
      <c r="H344" s="61"/>
      <c r="I344" s="60"/>
      <c r="K344" s="62"/>
      <c r="O344" s="60"/>
      <c r="P344" s="61"/>
      <c r="Q344" s="62"/>
      <c r="R344" s="61"/>
      <c r="S344" s="62"/>
      <c r="T344" s="61"/>
      <c r="U344" s="62"/>
      <c r="V344" s="61"/>
      <c r="W344" s="62"/>
      <c r="X344" s="61"/>
      <c r="Y344" s="62"/>
      <c r="Z344" s="61"/>
      <c r="AA344" s="62"/>
    </row>
    <row r="345" spans="3:27" ht="16.5" customHeight="1">
      <c r="C345" s="118"/>
      <c r="E345" s="61"/>
      <c r="H345" s="61"/>
      <c r="I345" s="60"/>
      <c r="K345" s="62"/>
      <c r="O345" s="60"/>
      <c r="P345" s="61"/>
      <c r="Q345" s="62"/>
      <c r="R345" s="61"/>
      <c r="S345" s="62"/>
      <c r="T345" s="61"/>
      <c r="U345" s="62"/>
      <c r="V345" s="61"/>
      <c r="W345" s="62"/>
      <c r="X345" s="61"/>
      <c r="Y345" s="62"/>
      <c r="Z345" s="61"/>
      <c r="AA345" s="62"/>
    </row>
    <row r="346" spans="3:27" ht="16.5" customHeight="1">
      <c r="C346" s="118"/>
      <c r="E346" s="61"/>
      <c r="H346" s="61"/>
      <c r="I346" s="60"/>
      <c r="K346" s="62"/>
      <c r="O346" s="60"/>
      <c r="P346" s="61"/>
      <c r="Q346" s="62"/>
      <c r="R346" s="61"/>
      <c r="S346" s="62"/>
      <c r="T346" s="61"/>
      <c r="U346" s="62"/>
      <c r="V346" s="61"/>
      <c r="W346" s="62"/>
      <c r="X346" s="61"/>
      <c r="Y346" s="62"/>
      <c r="Z346" s="61"/>
      <c r="AA346" s="62"/>
    </row>
    <row r="347" spans="3:27" ht="16.5" customHeight="1">
      <c r="C347" s="118"/>
      <c r="E347" s="61"/>
      <c r="H347" s="61"/>
      <c r="I347" s="60"/>
      <c r="K347" s="62"/>
      <c r="O347" s="60"/>
      <c r="P347" s="61"/>
      <c r="Q347" s="62"/>
      <c r="R347" s="61"/>
      <c r="S347" s="62"/>
      <c r="T347" s="61"/>
      <c r="U347" s="62"/>
      <c r="V347" s="61"/>
      <c r="W347" s="62"/>
      <c r="X347" s="61"/>
      <c r="Y347" s="62"/>
      <c r="Z347" s="61"/>
      <c r="AA347" s="62"/>
    </row>
    <row r="348" spans="3:27" ht="16.5" customHeight="1">
      <c r="C348" s="118"/>
      <c r="E348" s="61"/>
      <c r="H348" s="61"/>
      <c r="I348" s="60"/>
      <c r="K348" s="62"/>
      <c r="O348" s="60"/>
      <c r="P348" s="61"/>
      <c r="Q348" s="62"/>
      <c r="R348" s="61"/>
      <c r="S348" s="62"/>
      <c r="T348" s="61"/>
      <c r="U348" s="62"/>
      <c r="V348" s="61"/>
      <c r="W348" s="62"/>
      <c r="X348" s="61"/>
      <c r="Y348" s="62"/>
      <c r="Z348" s="61"/>
      <c r="AA348" s="62"/>
    </row>
    <row r="349" spans="3:27" ht="16.5" customHeight="1">
      <c r="C349" s="118"/>
      <c r="E349" s="61"/>
      <c r="H349" s="61"/>
      <c r="I349" s="60"/>
      <c r="K349" s="62"/>
      <c r="O349" s="60"/>
      <c r="P349" s="61"/>
      <c r="Q349" s="62"/>
      <c r="R349" s="61"/>
      <c r="S349" s="62"/>
      <c r="T349" s="61"/>
      <c r="U349" s="62"/>
      <c r="V349" s="61"/>
      <c r="W349" s="62"/>
      <c r="X349" s="61"/>
      <c r="Y349" s="62"/>
      <c r="Z349" s="61"/>
      <c r="AA349" s="62"/>
    </row>
    <row r="350" spans="3:27" ht="16.5" customHeight="1">
      <c r="C350" s="118"/>
      <c r="E350" s="61"/>
      <c r="H350" s="61"/>
      <c r="I350" s="60"/>
      <c r="K350" s="62"/>
      <c r="O350" s="60"/>
      <c r="P350" s="61"/>
      <c r="Q350" s="62"/>
      <c r="R350" s="61"/>
      <c r="S350" s="62"/>
      <c r="T350" s="61"/>
      <c r="U350" s="62"/>
      <c r="V350" s="61"/>
      <c r="W350" s="62"/>
      <c r="X350" s="61"/>
      <c r="Y350" s="62"/>
      <c r="Z350" s="61"/>
      <c r="AA350" s="62"/>
    </row>
    <row r="351" spans="3:27" ht="16.5" customHeight="1">
      <c r="C351" s="118"/>
      <c r="E351" s="61"/>
      <c r="H351" s="61"/>
      <c r="I351" s="60"/>
      <c r="K351" s="62"/>
      <c r="O351" s="60"/>
      <c r="P351" s="61"/>
      <c r="Q351" s="62"/>
      <c r="R351" s="61"/>
      <c r="S351" s="62"/>
      <c r="T351" s="61"/>
      <c r="U351" s="62"/>
      <c r="V351" s="61"/>
      <c r="W351" s="62"/>
      <c r="X351" s="61"/>
      <c r="Y351" s="62"/>
      <c r="Z351" s="61"/>
      <c r="AA351" s="62"/>
    </row>
    <row r="352" spans="3:27" ht="16.5" customHeight="1">
      <c r="C352" s="118"/>
      <c r="E352" s="61"/>
      <c r="H352" s="61"/>
      <c r="I352" s="60"/>
      <c r="K352" s="62"/>
      <c r="O352" s="60"/>
      <c r="P352" s="61"/>
      <c r="Q352" s="62"/>
      <c r="R352" s="61"/>
      <c r="S352" s="62"/>
      <c r="T352" s="61"/>
      <c r="U352" s="62"/>
      <c r="V352" s="61"/>
      <c r="W352" s="62"/>
      <c r="X352" s="61"/>
      <c r="Y352" s="62"/>
      <c r="Z352" s="61"/>
      <c r="AA352" s="62"/>
    </row>
    <row r="353" spans="3:27" ht="16.5" customHeight="1">
      <c r="C353" s="118"/>
      <c r="E353" s="61"/>
      <c r="H353" s="61"/>
      <c r="I353" s="60"/>
      <c r="K353" s="62"/>
      <c r="O353" s="60"/>
      <c r="P353" s="61"/>
      <c r="Q353" s="62"/>
      <c r="R353" s="61"/>
      <c r="S353" s="62"/>
      <c r="T353" s="61"/>
      <c r="U353" s="62"/>
      <c r="V353" s="61"/>
      <c r="W353" s="62"/>
      <c r="X353" s="61"/>
      <c r="Y353" s="62"/>
      <c r="Z353" s="61"/>
      <c r="AA353" s="62"/>
    </row>
    <row r="354" spans="3:27" ht="16.5" customHeight="1">
      <c r="C354" s="118"/>
      <c r="E354" s="61"/>
      <c r="H354" s="61"/>
      <c r="I354" s="60"/>
      <c r="K354" s="62"/>
      <c r="O354" s="60"/>
      <c r="P354" s="61"/>
      <c r="Q354" s="62"/>
      <c r="R354" s="61"/>
      <c r="S354" s="62"/>
      <c r="T354" s="61"/>
      <c r="U354" s="62"/>
      <c r="V354" s="61"/>
      <c r="W354" s="62"/>
      <c r="X354" s="61"/>
      <c r="Y354" s="62"/>
      <c r="Z354" s="61"/>
      <c r="AA354" s="62"/>
    </row>
    <row r="355" spans="3:27" ht="16.5" customHeight="1">
      <c r="C355" s="118"/>
      <c r="E355" s="61"/>
      <c r="H355" s="61"/>
      <c r="I355" s="60"/>
      <c r="K355" s="62"/>
      <c r="O355" s="60"/>
      <c r="P355" s="61"/>
      <c r="Q355" s="62"/>
      <c r="R355" s="61"/>
      <c r="S355" s="62"/>
      <c r="T355" s="61"/>
      <c r="U355" s="62"/>
      <c r="V355" s="61"/>
      <c r="W355" s="62"/>
      <c r="X355" s="61"/>
      <c r="Y355" s="62"/>
      <c r="Z355" s="61"/>
      <c r="AA355" s="62"/>
    </row>
    <row r="356" spans="3:27" ht="16.5" customHeight="1">
      <c r="C356" s="118"/>
      <c r="E356" s="61"/>
      <c r="H356" s="61"/>
      <c r="I356" s="60"/>
      <c r="K356" s="62"/>
      <c r="O356" s="60"/>
      <c r="P356" s="61"/>
      <c r="Q356" s="62"/>
      <c r="R356" s="61"/>
      <c r="S356" s="62"/>
      <c r="T356" s="61"/>
      <c r="U356" s="62"/>
      <c r="V356" s="61"/>
      <c r="W356" s="62"/>
      <c r="X356" s="61"/>
      <c r="Y356" s="62"/>
      <c r="Z356" s="61"/>
      <c r="AA356" s="62"/>
    </row>
    <row r="357" spans="3:27" ht="16.5" customHeight="1">
      <c r="C357" s="118"/>
      <c r="E357" s="61"/>
      <c r="H357" s="61"/>
      <c r="I357" s="60"/>
      <c r="K357" s="62"/>
      <c r="O357" s="60"/>
      <c r="P357" s="61"/>
      <c r="Q357" s="62"/>
      <c r="R357" s="61"/>
      <c r="S357" s="62"/>
      <c r="T357" s="61"/>
      <c r="U357" s="62"/>
      <c r="V357" s="61"/>
      <c r="W357" s="62"/>
      <c r="X357" s="61"/>
      <c r="Y357" s="62"/>
      <c r="Z357" s="61"/>
      <c r="AA357" s="62"/>
    </row>
    <row r="358" spans="3:27" ht="16.5" customHeight="1">
      <c r="C358" s="118"/>
      <c r="E358" s="61"/>
      <c r="H358" s="61"/>
      <c r="I358" s="60"/>
      <c r="K358" s="62"/>
      <c r="O358" s="60"/>
      <c r="P358" s="61"/>
      <c r="Q358" s="62"/>
      <c r="R358" s="61"/>
      <c r="S358" s="62"/>
      <c r="T358" s="61"/>
      <c r="U358" s="62"/>
      <c r="V358" s="61"/>
      <c r="W358" s="62"/>
      <c r="X358" s="61"/>
      <c r="Y358" s="62"/>
      <c r="Z358" s="61"/>
      <c r="AA358" s="62"/>
    </row>
    <row r="359" spans="3:27" ht="16.5" customHeight="1">
      <c r="C359" s="118"/>
      <c r="E359" s="61"/>
      <c r="H359" s="61"/>
      <c r="I359" s="60"/>
      <c r="K359" s="62"/>
      <c r="O359" s="60"/>
      <c r="P359" s="61"/>
      <c r="Q359" s="62"/>
      <c r="R359" s="61"/>
      <c r="S359" s="62"/>
      <c r="T359" s="61"/>
      <c r="U359" s="62"/>
      <c r="V359" s="61"/>
      <c r="W359" s="62"/>
      <c r="X359" s="61"/>
      <c r="Y359" s="62"/>
      <c r="Z359" s="61"/>
      <c r="AA359" s="62"/>
    </row>
    <row r="360" spans="3:27" ht="16.5" customHeight="1">
      <c r="C360" s="118"/>
      <c r="E360" s="61"/>
      <c r="H360" s="61"/>
      <c r="I360" s="60"/>
      <c r="K360" s="62"/>
      <c r="O360" s="60"/>
      <c r="P360" s="61"/>
      <c r="Q360" s="62"/>
      <c r="R360" s="61"/>
      <c r="S360" s="62"/>
      <c r="T360" s="61"/>
      <c r="U360" s="62"/>
      <c r="V360" s="61"/>
      <c r="W360" s="62"/>
      <c r="X360" s="61"/>
      <c r="Y360" s="62"/>
      <c r="Z360" s="61"/>
      <c r="AA360" s="62"/>
    </row>
    <row r="361" spans="3:27" ht="16.5" customHeight="1">
      <c r="C361" s="118"/>
      <c r="E361" s="61"/>
      <c r="H361" s="61"/>
      <c r="I361" s="60"/>
      <c r="K361" s="62"/>
      <c r="O361" s="60"/>
      <c r="P361" s="61"/>
      <c r="Q361" s="62"/>
      <c r="R361" s="61"/>
      <c r="S361" s="62"/>
      <c r="T361" s="61"/>
      <c r="U361" s="62"/>
      <c r="V361" s="61"/>
      <c r="W361" s="62"/>
      <c r="X361" s="61"/>
      <c r="Y361" s="62"/>
      <c r="Z361" s="61"/>
      <c r="AA361" s="62"/>
    </row>
    <row r="362" spans="3:27" ht="16.5" customHeight="1">
      <c r="C362" s="118"/>
      <c r="E362" s="61"/>
      <c r="H362" s="61"/>
      <c r="I362" s="60"/>
      <c r="K362" s="62"/>
      <c r="O362" s="60"/>
      <c r="P362" s="61"/>
      <c r="Q362" s="62"/>
      <c r="R362" s="61"/>
      <c r="S362" s="62"/>
      <c r="T362" s="61"/>
      <c r="U362" s="62"/>
      <c r="V362" s="61"/>
      <c r="W362" s="62"/>
      <c r="X362" s="61"/>
      <c r="Y362" s="62"/>
      <c r="Z362" s="61"/>
      <c r="AA362" s="62"/>
    </row>
    <row r="363" spans="3:27" ht="16.5" customHeight="1">
      <c r="C363" s="118"/>
      <c r="E363" s="61"/>
      <c r="H363" s="61"/>
      <c r="I363" s="60"/>
      <c r="K363" s="62"/>
      <c r="O363" s="60"/>
      <c r="P363" s="61"/>
      <c r="Q363" s="62"/>
      <c r="R363" s="61"/>
      <c r="S363" s="62"/>
      <c r="T363" s="61"/>
      <c r="U363" s="62"/>
      <c r="V363" s="61"/>
      <c r="W363" s="62"/>
      <c r="X363" s="61"/>
      <c r="Y363" s="62"/>
      <c r="Z363" s="61"/>
      <c r="AA363" s="62"/>
    </row>
    <row r="364" spans="3:27" ht="16.5" customHeight="1">
      <c r="C364" s="118"/>
      <c r="E364" s="61"/>
      <c r="H364" s="61"/>
      <c r="I364" s="60"/>
      <c r="K364" s="62"/>
      <c r="O364" s="60"/>
      <c r="P364" s="61"/>
      <c r="Q364" s="62"/>
      <c r="R364" s="61"/>
      <c r="S364" s="62"/>
      <c r="T364" s="61"/>
      <c r="U364" s="62"/>
      <c r="V364" s="61"/>
      <c r="W364" s="62"/>
      <c r="X364" s="61"/>
      <c r="Y364" s="62"/>
      <c r="Z364" s="61"/>
      <c r="AA364" s="62"/>
    </row>
    <row r="365" spans="3:27" ht="16.5" customHeight="1">
      <c r="C365" s="118"/>
      <c r="E365" s="61"/>
      <c r="H365" s="61"/>
      <c r="I365" s="60"/>
      <c r="K365" s="62"/>
      <c r="O365" s="60"/>
      <c r="P365" s="61"/>
      <c r="Q365" s="62"/>
      <c r="R365" s="61"/>
      <c r="S365" s="62"/>
      <c r="T365" s="61"/>
      <c r="U365" s="62"/>
      <c r="V365" s="61"/>
      <c r="W365" s="62"/>
      <c r="X365" s="61"/>
      <c r="Y365" s="62"/>
      <c r="Z365" s="61"/>
      <c r="AA365" s="62"/>
    </row>
    <row r="366" spans="3:27" ht="16.5" customHeight="1">
      <c r="C366" s="118"/>
      <c r="E366" s="61"/>
      <c r="H366" s="61"/>
      <c r="I366" s="60"/>
      <c r="K366" s="62"/>
      <c r="O366" s="60"/>
      <c r="P366" s="61"/>
      <c r="Q366" s="62"/>
      <c r="R366" s="61"/>
      <c r="S366" s="62"/>
      <c r="T366" s="61"/>
      <c r="U366" s="62"/>
      <c r="V366" s="61"/>
      <c r="W366" s="62"/>
      <c r="X366" s="61"/>
      <c r="Y366" s="62"/>
      <c r="Z366" s="61"/>
      <c r="AA366" s="62"/>
    </row>
    <row r="367" spans="3:27" ht="16.5" customHeight="1">
      <c r="C367" s="118"/>
      <c r="E367" s="61"/>
      <c r="H367" s="61"/>
      <c r="I367" s="60"/>
      <c r="K367" s="62"/>
      <c r="O367" s="60"/>
      <c r="P367" s="61"/>
      <c r="Q367" s="62"/>
      <c r="R367" s="61"/>
      <c r="S367" s="62"/>
      <c r="T367" s="61"/>
      <c r="U367" s="62"/>
      <c r="V367" s="61"/>
      <c r="W367" s="62"/>
      <c r="X367" s="61"/>
      <c r="Y367" s="62"/>
      <c r="Z367" s="61"/>
      <c r="AA367" s="62"/>
    </row>
    <row r="368" spans="3:27" ht="16.5" customHeight="1">
      <c r="C368" s="118"/>
      <c r="E368" s="61"/>
      <c r="H368" s="61"/>
      <c r="I368" s="60"/>
      <c r="K368" s="62"/>
      <c r="O368" s="60"/>
      <c r="P368" s="61"/>
      <c r="Q368" s="62"/>
      <c r="R368" s="61"/>
      <c r="S368" s="62"/>
      <c r="T368" s="61"/>
      <c r="U368" s="62"/>
      <c r="V368" s="61"/>
      <c r="W368" s="62"/>
      <c r="X368" s="61"/>
      <c r="Y368" s="62"/>
      <c r="Z368" s="61"/>
      <c r="AA368" s="62"/>
    </row>
    <row r="369" spans="3:27" ht="16.5" customHeight="1">
      <c r="C369" s="118"/>
      <c r="E369" s="61"/>
      <c r="H369" s="61"/>
      <c r="I369" s="60"/>
      <c r="K369" s="62"/>
      <c r="O369" s="60"/>
      <c r="P369" s="61"/>
      <c r="Q369" s="62"/>
      <c r="R369" s="61"/>
      <c r="S369" s="62"/>
      <c r="T369" s="61"/>
      <c r="U369" s="62"/>
      <c r="V369" s="61"/>
      <c r="W369" s="62"/>
      <c r="X369" s="61"/>
      <c r="Y369" s="62"/>
      <c r="Z369" s="61"/>
      <c r="AA369" s="62"/>
    </row>
    <row r="370" spans="3:27" ht="16.5" customHeight="1">
      <c r="C370" s="118"/>
      <c r="E370" s="61"/>
      <c r="H370" s="61"/>
      <c r="I370" s="60"/>
      <c r="K370" s="62"/>
      <c r="O370" s="60"/>
      <c r="P370" s="61"/>
      <c r="Q370" s="62"/>
      <c r="R370" s="61"/>
      <c r="S370" s="62"/>
      <c r="T370" s="61"/>
      <c r="U370" s="62"/>
      <c r="V370" s="61"/>
      <c r="W370" s="62"/>
      <c r="X370" s="61"/>
      <c r="Y370" s="62"/>
      <c r="Z370" s="61"/>
      <c r="AA370" s="62"/>
    </row>
    <row r="371" spans="3:27" ht="16.5" customHeight="1">
      <c r="C371" s="118"/>
      <c r="E371" s="61"/>
      <c r="H371" s="61"/>
      <c r="I371" s="60"/>
      <c r="K371" s="62"/>
      <c r="O371" s="60"/>
      <c r="P371" s="61"/>
      <c r="Q371" s="62"/>
      <c r="R371" s="61"/>
      <c r="S371" s="62"/>
      <c r="T371" s="61"/>
      <c r="U371" s="62"/>
      <c r="V371" s="61"/>
      <c r="W371" s="62"/>
      <c r="X371" s="61"/>
      <c r="Y371" s="62"/>
      <c r="Z371" s="61"/>
      <c r="AA371" s="62"/>
    </row>
    <row r="372" spans="3:27" ht="16.5" customHeight="1">
      <c r="C372" s="118"/>
      <c r="E372" s="61"/>
      <c r="H372" s="61"/>
      <c r="I372" s="60"/>
      <c r="K372" s="62"/>
      <c r="O372" s="60"/>
      <c r="P372" s="61"/>
      <c r="Q372" s="62"/>
      <c r="R372" s="61"/>
      <c r="S372" s="62"/>
      <c r="T372" s="61"/>
      <c r="U372" s="62"/>
      <c r="V372" s="61"/>
      <c r="W372" s="62"/>
      <c r="X372" s="61"/>
      <c r="Y372" s="62"/>
      <c r="Z372" s="61"/>
      <c r="AA372" s="62"/>
    </row>
    <row r="373" spans="3:27" ht="16.5" customHeight="1">
      <c r="C373" s="118"/>
      <c r="E373" s="61"/>
      <c r="H373" s="61"/>
      <c r="I373" s="60"/>
      <c r="K373" s="62"/>
      <c r="O373" s="60"/>
      <c r="P373" s="61"/>
      <c r="Q373" s="62"/>
      <c r="R373" s="61"/>
      <c r="S373" s="62"/>
      <c r="T373" s="61"/>
      <c r="U373" s="62"/>
      <c r="V373" s="61"/>
      <c r="W373" s="62"/>
      <c r="X373" s="61"/>
      <c r="Y373" s="62"/>
      <c r="Z373" s="61"/>
      <c r="AA373" s="62"/>
    </row>
    <row r="374" spans="3:27" ht="16.5" customHeight="1">
      <c r="C374" s="118"/>
      <c r="E374" s="61"/>
      <c r="H374" s="61"/>
      <c r="I374" s="60"/>
      <c r="K374" s="62"/>
      <c r="O374" s="60"/>
      <c r="P374" s="61"/>
      <c r="Q374" s="62"/>
      <c r="R374" s="61"/>
      <c r="S374" s="62"/>
      <c r="T374" s="61"/>
      <c r="U374" s="62"/>
      <c r="V374" s="61"/>
      <c r="W374" s="62"/>
      <c r="X374" s="61"/>
      <c r="Y374" s="62"/>
      <c r="Z374" s="61"/>
      <c r="AA374" s="62"/>
    </row>
    <row r="375" spans="3:27" ht="16.5" customHeight="1">
      <c r="C375" s="118"/>
      <c r="E375" s="61"/>
      <c r="H375" s="61"/>
      <c r="I375" s="60"/>
      <c r="K375" s="62"/>
      <c r="O375" s="60"/>
      <c r="P375" s="61"/>
      <c r="Q375" s="62"/>
      <c r="R375" s="61"/>
      <c r="S375" s="62"/>
      <c r="T375" s="61"/>
      <c r="U375" s="62"/>
      <c r="V375" s="61"/>
      <c r="W375" s="62"/>
      <c r="X375" s="61"/>
      <c r="Y375" s="62"/>
      <c r="Z375" s="61"/>
      <c r="AA375" s="62"/>
    </row>
    <row r="376" spans="3:27" ht="16.5" customHeight="1">
      <c r="C376" s="118"/>
      <c r="E376" s="61"/>
      <c r="H376" s="61"/>
      <c r="I376" s="60"/>
      <c r="K376" s="62"/>
      <c r="O376" s="60"/>
      <c r="P376" s="61"/>
      <c r="Q376" s="62"/>
      <c r="R376" s="61"/>
      <c r="S376" s="62"/>
      <c r="T376" s="61"/>
      <c r="U376" s="62"/>
      <c r="V376" s="61"/>
      <c r="W376" s="62"/>
      <c r="X376" s="61"/>
      <c r="Y376" s="62"/>
      <c r="Z376" s="61"/>
      <c r="AA376" s="62"/>
    </row>
    <row r="377" spans="3:27" ht="16.5" customHeight="1">
      <c r="C377" s="118"/>
      <c r="E377" s="61"/>
      <c r="H377" s="61"/>
      <c r="I377" s="60"/>
      <c r="K377" s="62"/>
      <c r="O377" s="60"/>
      <c r="P377" s="61"/>
      <c r="Q377" s="62"/>
      <c r="R377" s="61"/>
      <c r="S377" s="62"/>
      <c r="T377" s="61"/>
      <c r="U377" s="62"/>
      <c r="V377" s="61"/>
      <c r="W377" s="62"/>
      <c r="X377" s="61"/>
      <c r="Y377" s="62"/>
      <c r="Z377" s="61"/>
      <c r="AA377" s="62"/>
    </row>
    <row r="378" spans="3:27" ht="16.5" customHeight="1">
      <c r="C378" s="118"/>
      <c r="E378" s="61"/>
      <c r="H378" s="61"/>
      <c r="I378" s="60"/>
      <c r="K378" s="62"/>
      <c r="O378" s="60"/>
      <c r="P378" s="61"/>
      <c r="Q378" s="62"/>
      <c r="R378" s="61"/>
      <c r="S378" s="62"/>
      <c r="T378" s="61"/>
      <c r="U378" s="62"/>
      <c r="V378" s="61"/>
      <c r="W378" s="62"/>
      <c r="X378" s="61"/>
      <c r="Y378" s="62"/>
      <c r="Z378" s="61"/>
      <c r="AA378" s="62"/>
    </row>
    <row r="379" spans="3:27" ht="16.5" customHeight="1">
      <c r="C379" s="118"/>
      <c r="E379" s="61"/>
      <c r="H379" s="61"/>
      <c r="I379" s="60"/>
      <c r="K379" s="62"/>
      <c r="O379" s="60"/>
      <c r="P379" s="61"/>
      <c r="Q379" s="62"/>
      <c r="R379" s="61"/>
      <c r="S379" s="62"/>
      <c r="T379" s="61"/>
      <c r="U379" s="62"/>
      <c r="V379" s="61"/>
      <c r="W379" s="62"/>
      <c r="X379" s="61"/>
      <c r="Y379" s="62"/>
      <c r="Z379" s="61"/>
      <c r="AA379" s="62"/>
    </row>
    <row r="380" spans="3:27" ht="16.5" customHeight="1">
      <c r="C380" s="118"/>
      <c r="E380" s="61"/>
      <c r="H380" s="61"/>
      <c r="I380" s="60"/>
      <c r="K380" s="62"/>
      <c r="O380" s="60"/>
      <c r="P380" s="61"/>
      <c r="Q380" s="62"/>
      <c r="R380" s="61"/>
      <c r="S380" s="62"/>
      <c r="T380" s="61"/>
      <c r="U380" s="62"/>
      <c r="V380" s="61"/>
      <c r="W380" s="62"/>
      <c r="X380" s="61"/>
      <c r="Y380" s="62"/>
      <c r="Z380" s="61"/>
      <c r="AA380" s="62"/>
    </row>
    <row r="381" spans="3:27" ht="16.5" customHeight="1">
      <c r="C381" s="118"/>
      <c r="E381" s="61"/>
      <c r="H381" s="61"/>
      <c r="I381" s="60"/>
      <c r="K381" s="62"/>
      <c r="O381" s="60"/>
      <c r="P381" s="61"/>
      <c r="Q381" s="62"/>
      <c r="R381" s="61"/>
      <c r="S381" s="62"/>
      <c r="T381" s="61"/>
      <c r="U381" s="62"/>
      <c r="V381" s="61"/>
      <c r="W381" s="62"/>
      <c r="X381" s="61"/>
      <c r="Y381" s="62"/>
      <c r="Z381" s="61"/>
      <c r="AA381" s="62"/>
    </row>
    <row r="382" spans="3:27" ht="16.5" customHeight="1">
      <c r="C382" s="118"/>
      <c r="E382" s="61"/>
      <c r="H382" s="61"/>
      <c r="I382" s="60"/>
      <c r="K382" s="62"/>
      <c r="O382" s="60"/>
      <c r="P382" s="61"/>
      <c r="Q382" s="62"/>
      <c r="R382" s="61"/>
      <c r="S382" s="62"/>
      <c r="T382" s="61"/>
      <c r="U382" s="62"/>
      <c r="V382" s="61"/>
      <c r="W382" s="62"/>
      <c r="X382" s="61"/>
      <c r="Y382" s="62"/>
      <c r="Z382" s="61"/>
      <c r="AA382" s="62"/>
    </row>
    <row r="383" spans="3:27" ht="16.5" customHeight="1">
      <c r="C383" s="118"/>
      <c r="E383" s="61"/>
      <c r="H383" s="61"/>
      <c r="I383" s="60"/>
      <c r="K383" s="62"/>
      <c r="O383" s="60"/>
      <c r="P383" s="61"/>
      <c r="Q383" s="62"/>
      <c r="R383" s="61"/>
      <c r="S383" s="62"/>
      <c r="T383" s="61"/>
      <c r="U383" s="62"/>
      <c r="V383" s="61"/>
      <c r="W383" s="62"/>
      <c r="X383" s="61"/>
      <c r="Y383" s="62"/>
      <c r="Z383" s="61"/>
      <c r="AA383" s="62"/>
    </row>
    <row r="384" spans="3:27" ht="16.5" customHeight="1">
      <c r="C384" s="118"/>
      <c r="E384" s="61"/>
      <c r="H384" s="61"/>
      <c r="I384" s="60"/>
      <c r="K384" s="62"/>
      <c r="O384" s="60"/>
      <c r="P384" s="61"/>
      <c r="Q384" s="62"/>
      <c r="R384" s="61"/>
      <c r="S384" s="62"/>
      <c r="T384" s="61"/>
      <c r="U384" s="62"/>
      <c r="V384" s="61"/>
      <c r="W384" s="62"/>
      <c r="X384" s="61"/>
      <c r="Y384" s="62"/>
      <c r="Z384" s="61"/>
      <c r="AA384" s="62"/>
    </row>
    <row r="385" spans="3:27" ht="16.5" customHeight="1">
      <c r="C385" s="118"/>
      <c r="E385" s="61"/>
      <c r="H385" s="61"/>
      <c r="I385" s="60"/>
      <c r="K385" s="62"/>
      <c r="O385" s="60"/>
      <c r="P385" s="61"/>
      <c r="Q385" s="62"/>
      <c r="R385" s="61"/>
      <c r="S385" s="62"/>
      <c r="T385" s="61"/>
      <c r="U385" s="62"/>
      <c r="V385" s="61"/>
      <c r="W385" s="62"/>
      <c r="X385" s="61"/>
      <c r="Y385" s="62"/>
      <c r="Z385" s="61"/>
      <c r="AA385" s="62"/>
    </row>
    <row r="386" spans="3:27" ht="16.5" customHeight="1">
      <c r="C386" s="118"/>
      <c r="E386" s="61"/>
      <c r="H386" s="61"/>
      <c r="I386" s="60"/>
      <c r="K386" s="62"/>
      <c r="O386" s="60"/>
      <c r="P386" s="61"/>
      <c r="Q386" s="62"/>
      <c r="R386" s="61"/>
      <c r="S386" s="62"/>
      <c r="T386" s="61"/>
      <c r="U386" s="62"/>
      <c r="V386" s="61"/>
      <c r="W386" s="62"/>
      <c r="X386" s="61"/>
      <c r="Y386" s="62"/>
      <c r="Z386" s="61"/>
      <c r="AA386" s="62"/>
    </row>
    <row r="387" spans="3:27" ht="16.5" customHeight="1">
      <c r="C387" s="118"/>
      <c r="E387" s="61"/>
      <c r="H387" s="61"/>
      <c r="I387" s="60"/>
      <c r="K387" s="62"/>
      <c r="O387" s="60"/>
      <c r="P387" s="61"/>
      <c r="Q387" s="62"/>
      <c r="R387" s="61"/>
      <c r="S387" s="62"/>
      <c r="T387" s="61"/>
      <c r="U387" s="62"/>
      <c r="V387" s="61"/>
      <c r="W387" s="62"/>
      <c r="X387" s="61"/>
      <c r="Y387" s="62"/>
      <c r="Z387" s="61"/>
      <c r="AA387" s="62"/>
    </row>
    <row r="388" spans="3:27" ht="16.5" customHeight="1">
      <c r="C388" s="118"/>
      <c r="E388" s="61"/>
      <c r="H388" s="61"/>
      <c r="I388" s="60"/>
      <c r="K388" s="62"/>
      <c r="O388" s="60"/>
      <c r="P388" s="61"/>
      <c r="Q388" s="62"/>
      <c r="R388" s="61"/>
      <c r="S388" s="62"/>
      <c r="T388" s="61"/>
      <c r="U388" s="62"/>
      <c r="V388" s="61"/>
      <c r="W388" s="62"/>
      <c r="X388" s="61"/>
      <c r="Y388" s="62"/>
      <c r="Z388" s="61"/>
      <c r="AA388" s="62"/>
    </row>
    <row r="389" spans="3:27" ht="16.5" customHeight="1">
      <c r="C389" s="118"/>
      <c r="E389" s="61"/>
      <c r="H389" s="61"/>
      <c r="I389" s="60"/>
      <c r="K389" s="62"/>
      <c r="O389" s="60"/>
      <c r="P389" s="61"/>
      <c r="Q389" s="62"/>
      <c r="R389" s="61"/>
      <c r="S389" s="62"/>
      <c r="T389" s="61"/>
      <c r="U389" s="62"/>
      <c r="V389" s="61"/>
      <c r="W389" s="62"/>
      <c r="X389" s="61"/>
      <c r="Y389" s="62"/>
      <c r="Z389" s="61"/>
      <c r="AA389" s="62"/>
    </row>
    <row r="390" spans="3:27" ht="16.5" customHeight="1">
      <c r="C390" s="118"/>
      <c r="E390" s="61"/>
      <c r="H390" s="61"/>
      <c r="I390" s="60"/>
      <c r="K390" s="62"/>
      <c r="O390" s="60"/>
      <c r="P390" s="61"/>
      <c r="Q390" s="62"/>
      <c r="R390" s="61"/>
      <c r="S390" s="62"/>
      <c r="T390" s="61"/>
      <c r="U390" s="62"/>
      <c r="V390" s="61"/>
      <c r="W390" s="62"/>
      <c r="X390" s="61"/>
      <c r="Y390" s="62"/>
      <c r="Z390" s="61"/>
      <c r="AA390" s="62"/>
    </row>
    <row r="391" spans="3:27" ht="16.5" customHeight="1">
      <c r="C391" s="118"/>
      <c r="E391" s="61"/>
      <c r="H391" s="61"/>
      <c r="I391" s="60"/>
      <c r="K391" s="62"/>
      <c r="O391" s="60"/>
      <c r="P391" s="61"/>
      <c r="Q391" s="62"/>
      <c r="R391" s="61"/>
      <c r="S391" s="62"/>
      <c r="T391" s="61"/>
      <c r="U391" s="62"/>
      <c r="V391" s="61"/>
      <c r="W391" s="62"/>
      <c r="X391" s="61"/>
      <c r="Y391" s="62"/>
      <c r="Z391" s="61"/>
      <c r="AA391" s="62"/>
    </row>
    <row r="392" spans="3:27" ht="16.5" customHeight="1">
      <c r="C392" s="118"/>
      <c r="E392" s="61"/>
      <c r="H392" s="61"/>
      <c r="I392" s="60"/>
      <c r="K392" s="62"/>
      <c r="O392" s="60"/>
      <c r="P392" s="61"/>
      <c r="Q392" s="62"/>
      <c r="R392" s="61"/>
      <c r="S392" s="62"/>
      <c r="T392" s="61"/>
      <c r="U392" s="62"/>
      <c r="V392" s="61"/>
      <c r="W392" s="62"/>
      <c r="X392" s="61"/>
      <c r="Y392" s="62"/>
      <c r="Z392" s="61"/>
      <c r="AA392" s="62"/>
    </row>
    <row r="393" spans="3:27" ht="16.5" customHeight="1">
      <c r="C393" s="118"/>
      <c r="E393" s="61"/>
      <c r="H393" s="61"/>
      <c r="I393" s="60"/>
      <c r="K393" s="62"/>
      <c r="O393" s="60"/>
      <c r="P393" s="61"/>
      <c r="Q393" s="62"/>
      <c r="R393" s="61"/>
      <c r="S393" s="62"/>
      <c r="T393" s="61"/>
      <c r="U393" s="62"/>
      <c r="V393" s="61"/>
      <c r="W393" s="62"/>
      <c r="X393" s="61"/>
      <c r="Y393" s="62"/>
      <c r="Z393" s="61"/>
      <c r="AA393" s="62"/>
    </row>
    <row r="394" spans="3:27" ht="16.5" customHeight="1">
      <c r="C394" s="118"/>
      <c r="E394" s="61"/>
      <c r="H394" s="61"/>
      <c r="I394" s="60"/>
      <c r="K394" s="62"/>
      <c r="O394" s="60"/>
      <c r="P394" s="61"/>
      <c r="Q394" s="62"/>
      <c r="R394" s="61"/>
      <c r="S394" s="62"/>
      <c r="T394" s="61"/>
      <c r="U394" s="62"/>
      <c r="V394" s="61"/>
      <c r="W394" s="62"/>
      <c r="X394" s="61"/>
      <c r="Y394" s="62"/>
      <c r="Z394" s="61"/>
      <c r="AA394" s="62"/>
    </row>
    <row r="395" spans="3:27" ht="16.5" customHeight="1">
      <c r="C395" s="118"/>
      <c r="E395" s="61"/>
      <c r="H395" s="61"/>
      <c r="I395" s="60"/>
      <c r="K395" s="62"/>
      <c r="O395" s="60"/>
      <c r="P395" s="61"/>
      <c r="Q395" s="62"/>
      <c r="R395" s="61"/>
      <c r="S395" s="62"/>
      <c r="T395" s="61"/>
      <c r="U395" s="62"/>
      <c r="V395" s="61"/>
      <c r="W395" s="62"/>
      <c r="X395" s="61"/>
      <c r="Y395" s="62"/>
      <c r="Z395" s="61"/>
      <c r="AA395" s="62"/>
    </row>
    <row r="396" spans="3:27" ht="16.5" customHeight="1">
      <c r="C396" s="118"/>
      <c r="E396" s="61"/>
      <c r="H396" s="61"/>
      <c r="I396" s="60"/>
      <c r="K396" s="62"/>
      <c r="O396" s="60"/>
      <c r="P396" s="61"/>
      <c r="Q396" s="62"/>
      <c r="R396" s="61"/>
      <c r="S396" s="62"/>
      <c r="T396" s="61"/>
      <c r="U396" s="62"/>
      <c r="V396" s="61"/>
      <c r="W396" s="62"/>
      <c r="X396" s="61"/>
      <c r="Y396" s="62"/>
      <c r="Z396" s="61"/>
      <c r="AA396" s="62"/>
    </row>
    <row r="397" spans="3:27" ht="16.5" customHeight="1">
      <c r="C397" s="118"/>
      <c r="E397" s="61"/>
      <c r="H397" s="61"/>
      <c r="I397" s="60"/>
      <c r="K397" s="62"/>
      <c r="O397" s="60"/>
      <c r="P397" s="61"/>
      <c r="Q397" s="62"/>
      <c r="R397" s="61"/>
      <c r="S397" s="62"/>
      <c r="T397" s="61"/>
      <c r="U397" s="62"/>
      <c r="V397" s="61"/>
      <c r="W397" s="62"/>
      <c r="X397" s="61"/>
      <c r="Y397" s="62"/>
      <c r="Z397" s="61"/>
      <c r="AA397" s="62"/>
    </row>
    <row r="398" spans="3:27" ht="16.5" customHeight="1">
      <c r="C398" s="118"/>
      <c r="E398" s="61"/>
      <c r="H398" s="61"/>
      <c r="I398" s="60"/>
      <c r="K398" s="62"/>
      <c r="O398" s="60"/>
      <c r="P398" s="61"/>
      <c r="Q398" s="62"/>
      <c r="R398" s="61"/>
      <c r="S398" s="62"/>
      <c r="T398" s="61"/>
      <c r="U398" s="62"/>
      <c r="V398" s="61"/>
      <c r="W398" s="62"/>
      <c r="X398" s="61"/>
      <c r="Y398" s="62"/>
      <c r="Z398" s="61"/>
      <c r="AA398" s="62"/>
    </row>
    <row r="399" spans="3:27" ht="16.5" customHeight="1">
      <c r="C399" s="118"/>
      <c r="E399" s="61"/>
      <c r="H399" s="61"/>
      <c r="I399" s="60"/>
      <c r="K399" s="62"/>
      <c r="O399" s="60"/>
      <c r="P399" s="61"/>
      <c r="Q399" s="62"/>
      <c r="R399" s="61"/>
      <c r="S399" s="62"/>
      <c r="T399" s="61"/>
      <c r="U399" s="62"/>
      <c r="V399" s="61"/>
      <c r="W399" s="62"/>
      <c r="X399" s="61"/>
      <c r="Y399" s="62"/>
      <c r="Z399" s="61"/>
      <c r="AA399" s="62"/>
    </row>
    <row r="400" spans="3:27" ht="16.5" customHeight="1">
      <c r="C400" s="118"/>
      <c r="E400" s="61"/>
      <c r="H400" s="61"/>
      <c r="I400" s="60"/>
      <c r="K400" s="62"/>
      <c r="O400" s="60"/>
      <c r="P400" s="61"/>
      <c r="Q400" s="62"/>
      <c r="R400" s="61"/>
      <c r="S400" s="62"/>
      <c r="T400" s="61"/>
      <c r="U400" s="62"/>
      <c r="V400" s="61"/>
      <c r="W400" s="62"/>
      <c r="X400" s="61"/>
      <c r="Y400" s="62"/>
      <c r="Z400" s="61"/>
      <c r="AA400" s="62"/>
    </row>
    <row r="401" spans="3:27" ht="16.5" customHeight="1">
      <c r="C401" s="118"/>
      <c r="E401" s="61"/>
      <c r="H401" s="61"/>
      <c r="I401" s="60"/>
      <c r="K401" s="62"/>
      <c r="O401" s="60"/>
      <c r="P401" s="61"/>
      <c r="Q401" s="62"/>
      <c r="R401" s="61"/>
      <c r="S401" s="62"/>
      <c r="T401" s="61"/>
      <c r="U401" s="62"/>
      <c r="V401" s="61"/>
      <c r="W401" s="62"/>
      <c r="X401" s="61"/>
      <c r="Y401" s="62"/>
      <c r="Z401" s="61"/>
      <c r="AA401" s="62"/>
    </row>
    <row r="402" spans="3:27" ht="16.5" customHeight="1">
      <c r="C402" s="118"/>
      <c r="E402" s="61"/>
      <c r="H402" s="61"/>
      <c r="I402" s="60"/>
      <c r="K402" s="62"/>
      <c r="O402" s="60"/>
      <c r="P402" s="61"/>
      <c r="Q402" s="62"/>
      <c r="R402" s="61"/>
      <c r="S402" s="62"/>
      <c r="T402" s="61"/>
      <c r="U402" s="62"/>
      <c r="V402" s="61"/>
      <c r="W402" s="62"/>
      <c r="X402" s="61"/>
      <c r="Y402" s="62"/>
      <c r="Z402" s="61"/>
      <c r="AA402" s="62"/>
    </row>
    <row r="403" spans="3:27" ht="16.5" customHeight="1">
      <c r="C403" s="118"/>
      <c r="E403" s="61"/>
      <c r="H403" s="61"/>
      <c r="I403" s="60"/>
      <c r="K403" s="62"/>
      <c r="O403" s="60"/>
      <c r="P403" s="61"/>
      <c r="Q403" s="62"/>
      <c r="R403" s="61"/>
      <c r="S403" s="62"/>
      <c r="T403" s="61"/>
      <c r="U403" s="62"/>
      <c r="V403" s="61"/>
      <c r="W403" s="62"/>
      <c r="X403" s="61"/>
      <c r="Y403" s="62"/>
      <c r="Z403" s="61"/>
      <c r="AA403" s="62"/>
    </row>
    <row r="404" spans="3:27" ht="16.5" customHeight="1">
      <c r="C404" s="118"/>
      <c r="E404" s="61"/>
      <c r="H404" s="61"/>
      <c r="I404" s="60"/>
      <c r="K404" s="62"/>
      <c r="O404" s="60"/>
      <c r="P404" s="61"/>
      <c r="Q404" s="62"/>
      <c r="R404" s="61"/>
      <c r="S404" s="62"/>
      <c r="T404" s="61"/>
      <c r="U404" s="62"/>
      <c r="V404" s="61"/>
      <c r="W404" s="62"/>
      <c r="X404" s="61"/>
      <c r="Y404" s="62"/>
      <c r="Z404" s="61"/>
      <c r="AA404" s="62"/>
    </row>
    <row r="405" spans="3:27" ht="16.5" customHeight="1">
      <c r="C405" s="118"/>
      <c r="E405" s="61"/>
      <c r="H405" s="61"/>
      <c r="I405" s="60"/>
      <c r="K405" s="62"/>
      <c r="O405" s="60"/>
      <c r="P405" s="61"/>
      <c r="Q405" s="62"/>
      <c r="R405" s="61"/>
      <c r="S405" s="62"/>
      <c r="T405" s="61"/>
      <c r="U405" s="62"/>
      <c r="V405" s="61"/>
      <c r="W405" s="62"/>
      <c r="X405" s="61"/>
      <c r="Y405" s="62"/>
      <c r="Z405" s="61"/>
      <c r="AA405" s="62"/>
    </row>
    <row r="406" spans="3:27" ht="16.5" customHeight="1">
      <c r="C406" s="118"/>
      <c r="E406" s="61"/>
      <c r="H406" s="61"/>
      <c r="I406" s="60"/>
      <c r="K406" s="62"/>
      <c r="O406" s="60"/>
      <c r="P406" s="61"/>
      <c r="Q406" s="62"/>
      <c r="R406" s="61"/>
      <c r="S406" s="62"/>
      <c r="T406" s="61"/>
      <c r="U406" s="62"/>
      <c r="V406" s="61"/>
      <c r="W406" s="62"/>
      <c r="X406" s="61"/>
      <c r="Y406" s="62"/>
      <c r="Z406" s="61"/>
      <c r="AA406" s="62"/>
    </row>
    <row r="407" spans="3:27" ht="16.5" customHeight="1">
      <c r="C407" s="118"/>
      <c r="E407" s="61"/>
      <c r="H407" s="61"/>
      <c r="I407" s="60"/>
      <c r="K407" s="62"/>
      <c r="O407" s="60"/>
      <c r="P407" s="61"/>
      <c r="Q407" s="62"/>
      <c r="R407" s="61"/>
      <c r="S407" s="62"/>
      <c r="T407" s="61"/>
      <c r="U407" s="62"/>
      <c r="V407" s="61"/>
      <c r="W407" s="62"/>
      <c r="X407" s="61"/>
      <c r="Y407" s="62"/>
      <c r="Z407" s="61"/>
      <c r="AA407" s="62"/>
    </row>
    <row r="408" spans="3:27" ht="16.5" customHeight="1">
      <c r="C408" s="118"/>
      <c r="E408" s="61"/>
      <c r="H408" s="61"/>
      <c r="I408" s="60"/>
      <c r="K408" s="62"/>
      <c r="O408" s="60"/>
      <c r="P408" s="61"/>
      <c r="Q408" s="62"/>
      <c r="R408" s="61"/>
      <c r="S408" s="62"/>
      <c r="T408" s="61"/>
      <c r="U408" s="62"/>
      <c r="V408" s="61"/>
      <c r="W408" s="62"/>
      <c r="X408" s="61"/>
      <c r="Y408" s="62"/>
      <c r="Z408" s="61"/>
      <c r="AA408" s="62"/>
    </row>
    <row r="409" spans="3:27" ht="16.5" customHeight="1">
      <c r="C409" s="118"/>
      <c r="E409" s="61"/>
      <c r="H409" s="61"/>
      <c r="I409" s="60"/>
      <c r="K409" s="62"/>
      <c r="O409" s="60"/>
      <c r="P409" s="61"/>
      <c r="Q409" s="62"/>
      <c r="R409" s="61"/>
      <c r="S409" s="62"/>
      <c r="T409" s="61"/>
      <c r="U409" s="62"/>
      <c r="V409" s="61"/>
      <c r="W409" s="62"/>
      <c r="X409" s="61"/>
      <c r="Y409" s="62"/>
      <c r="Z409" s="61"/>
      <c r="AA409" s="62"/>
    </row>
    <row r="410" spans="3:27" ht="16.5" customHeight="1">
      <c r="C410" s="118"/>
      <c r="E410" s="61"/>
      <c r="H410" s="61"/>
      <c r="I410" s="60"/>
      <c r="K410" s="62"/>
      <c r="O410" s="60"/>
      <c r="P410" s="61"/>
      <c r="Q410" s="62"/>
      <c r="R410" s="61"/>
      <c r="S410" s="62"/>
      <c r="T410" s="61"/>
      <c r="U410" s="62"/>
      <c r="V410" s="61"/>
      <c r="W410" s="62"/>
      <c r="X410" s="61"/>
      <c r="Y410" s="62"/>
      <c r="Z410" s="61"/>
      <c r="AA410" s="62"/>
    </row>
    <row r="411" spans="3:27" ht="16.5" customHeight="1">
      <c r="C411" s="118"/>
      <c r="E411" s="61"/>
      <c r="H411" s="61"/>
      <c r="I411" s="60"/>
      <c r="K411" s="62"/>
      <c r="O411" s="60"/>
      <c r="P411" s="61"/>
      <c r="Q411" s="62"/>
      <c r="R411" s="61"/>
      <c r="S411" s="62"/>
      <c r="T411" s="61"/>
      <c r="U411" s="62"/>
      <c r="V411" s="61"/>
      <c r="W411" s="62"/>
      <c r="X411" s="61"/>
      <c r="Y411" s="62"/>
      <c r="Z411" s="61"/>
      <c r="AA411" s="62"/>
    </row>
    <row r="412" spans="3:27" ht="16.5" customHeight="1">
      <c r="C412" s="118"/>
      <c r="E412" s="61"/>
      <c r="H412" s="61"/>
      <c r="I412" s="60"/>
      <c r="K412" s="62"/>
      <c r="O412" s="60"/>
      <c r="P412" s="61"/>
      <c r="Q412" s="62"/>
      <c r="R412" s="61"/>
      <c r="S412" s="62"/>
      <c r="T412" s="61"/>
      <c r="U412" s="62"/>
      <c r="V412" s="61"/>
      <c r="W412" s="62"/>
      <c r="X412" s="61"/>
      <c r="Y412" s="62"/>
      <c r="Z412" s="61"/>
      <c r="AA412" s="62"/>
    </row>
    <row r="413" spans="3:27" ht="16.5" customHeight="1">
      <c r="C413" s="118"/>
      <c r="E413" s="61"/>
      <c r="H413" s="61"/>
      <c r="I413" s="60"/>
      <c r="K413" s="62"/>
      <c r="O413" s="60"/>
      <c r="P413" s="61"/>
      <c r="Q413" s="62"/>
      <c r="R413" s="61"/>
      <c r="S413" s="62"/>
      <c r="T413" s="61"/>
      <c r="U413" s="62"/>
      <c r="V413" s="61"/>
      <c r="W413" s="62"/>
      <c r="X413" s="61"/>
      <c r="Y413" s="62"/>
      <c r="Z413" s="61"/>
      <c r="AA413" s="62"/>
    </row>
    <row r="414" spans="3:27" ht="16.5" customHeight="1">
      <c r="C414" s="118"/>
      <c r="E414" s="61"/>
      <c r="H414" s="61"/>
      <c r="I414" s="60"/>
      <c r="K414" s="62"/>
      <c r="O414" s="60"/>
      <c r="P414" s="61"/>
      <c r="Q414" s="62"/>
      <c r="R414" s="61"/>
      <c r="S414" s="62"/>
      <c r="T414" s="61"/>
      <c r="U414" s="62"/>
      <c r="V414" s="61"/>
      <c r="W414" s="62"/>
      <c r="X414" s="61"/>
      <c r="Y414" s="62"/>
      <c r="Z414" s="61"/>
      <c r="AA414" s="62"/>
    </row>
    <row r="415" spans="3:27" ht="16.5" customHeight="1">
      <c r="C415" s="118"/>
      <c r="E415" s="61"/>
      <c r="H415" s="61"/>
      <c r="I415" s="60"/>
      <c r="K415" s="62"/>
      <c r="O415" s="60"/>
      <c r="P415" s="61"/>
      <c r="Q415" s="62"/>
      <c r="R415" s="61"/>
      <c r="S415" s="62"/>
      <c r="T415" s="61"/>
      <c r="U415" s="62"/>
      <c r="V415" s="61"/>
      <c r="W415" s="62"/>
      <c r="X415" s="61"/>
      <c r="Y415" s="62"/>
      <c r="Z415" s="61"/>
      <c r="AA415" s="62"/>
    </row>
    <row r="416" spans="3:27" ht="16.5" customHeight="1">
      <c r="C416" s="118"/>
      <c r="E416" s="61"/>
      <c r="H416" s="61"/>
      <c r="I416" s="60"/>
      <c r="K416" s="62"/>
      <c r="O416" s="60"/>
      <c r="P416" s="61"/>
      <c r="Q416" s="62"/>
      <c r="R416" s="61"/>
      <c r="S416" s="62"/>
      <c r="T416" s="61"/>
      <c r="U416" s="62"/>
      <c r="V416" s="61"/>
      <c r="W416" s="62"/>
      <c r="X416" s="61"/>
      <c r="Y416" s="62"/>
      <c r="Z416" s="61"/>
      <c r="AA416" s="62"/>
    </row>
    <row r="417" spans="3:27" ht="16.5" customHeight="1">
      <c r="C417" s="118"/>
      <c r="E417" s="61"/>
      <c r="H417" s="61"/>
      <c r="I417" s="60"/>
      <c r="K417" s="62"/>
      <c r="O417" s="60"/>
      <c r="P417" s="61"/>
      <c r="Q417" s="62"/>
      <c r="R417" s="61"/>
      <c r="S417" s="62"/>
      <c r="T417" s="61"/>
      <c r="U417" s="62"/>
      <c r="V417" s="61"/>
      <c r="W417" s="62"/>
      <c r="X417" s="61"/>
      <c r="Y417" s="62"/>
      <c r="Z417" s="61"/>
      <c r="AA417" s="62"/>
    </row>
    <row r="418" spans="3:27" ht="16.5" customHeight="1">
      <c r="C418" s="118"/>
      <c r="E418" s="61"/>
      <c r="H418" s="61"/>
      <c r="I418" s="60"/>
      <c r="K418" s="62"/>
      <c r="O418" s="60"/>
      <c r="P418" s="61"/>
      <c r="Q418" s="62"/>
      <c r="R418" s="61"/>
      <c r="S418" s="62"/>
      <c r="T418" s="61"/>
      <c r="U418" s="62"/>
      <c r="V418" s="61"/>
      <c r="W418" s="62"/>
      <c r="X418" s="61"/>
      <c r="Y418" s="62"/>
      <c r="Z418" s="61"/>
      <c r="AA418" s="62"/>
    </row>
    <row r="419" spans="3:27" ht="16.5" customHeight="1">
      <c r="C419" s="118"/>
      <c r="E419" s="61"/>
      <c r="H419" s="61"/>
      <c r="I419" s="60"/>
      <c r="K419" s="62"/>
      <c r="O419" s="60"/>
      <c r="P419" s="61"/>
      <c r="Q419" s="62"/>
      <c r="R419" s="61"/>
      <c r="S419" s="62"/>
      <c r="T419" s="61"/>
      <c r="U419" s="62"/>
      <c r="V419" s="61"/>
      <c r="W419" s="62"/>
      <c r="X419" s="61"/>
      <c r="Y419" s="62"/>
      <c r="Z419" s="61"/>
      <c r="AA419" s="62"/>
    </row>
    <row r="420" spans="3:27" ht="16.5" customHeight="1">
      <c r="C420" s="118"/>
      <c r="E420" s="61"/>
      <c r="H420" s="61"/>
      <c r="I420" s="60"/>
      <c r="K420" s="62"/>
      <c r="O420" s="60"/>
      <c r="P420" s="61"/>
      <c r="Q420" s="62"/>
      <c r="R420" s="61"/>
      <c r="S420" s="62"/>
      <c r="T420" s="61"/>
      <c r="U420" s="62"/>
      <c r="V420" s="61"/>
      <c r="W420" s="62"/>
      <c r="X420" s="61"/>
      <c r="Y420" s="62"/>
      <c r="Z420" s="61"/>
      <c r="AA420" s="62"/>
    </row>
    <row r="421" spans="3:27" ht="16.5" customHeight="1">
      <c r="C421" s="118"/>
      <c r="E421" s="61"/>
      <c r="H421" s="61"/>
      <c r="I421" s="60"/>
      <c r="K421" s="62"/>
      <c r="O421" s="60"/>
      <c r="P421" s="61"/>
      <c r="Q421" s="62"/>
      <c r="R421" s="61"/>
      <c r="S421" s="62"/>
      <c r="T421" s="61"/>
      <c r="U421" s="62"/>
      <c r="V421" s="61"/>
      <c r="W421" s="62"/>
      <c r="X421" s="61"/>
      <c r="Y421" s="62"/>
      <c r="Z421" s="61"/>
      <c r="AA421" s="62"/>
    </row>
    <row r="422" spans="3:27" ht="16.5" customHeight="1">
      <c r="C422" s="118"/>
      <c r="E422" s="61"/>
      <c r="H422" s="61"/>
      <c r="I422" s="60"/>
      <c r="K422" s="62"/>
      <c r="O422" s="60"/>
      <c r="P422" s="61"/>
      <c r="Q422" s="62"/>
      <c r="R422" s="61"/>
      <c r="S422" s="62"/>
      <c r="T422" s="61"/>
      <c r="U422" s="62"/>
      <c r="V422" s="61"/>
      <c r="W422" s="62"/>
      <c r="X422" s="61"/>
      <c r="Y422" s="62"/>
      <c r="Z422" s="61"/>
      <c r="AA422" s="62"/>
    </row>
    <row r="423" spans="3:27" ht="16.5" customHeight="1">
      <c r="C423" s="118"/>
      <c r="E423" s="61"/>
      <c r="H423" s="61"/>
      <c r="I423" s="60"/>
      <c r="K423" s="62"/>
      <c r="O423" s="60"/>
      <c r="P423" s="61"/>
      <c r="Q423" s="62"/>
      <c r="R423" s="61"/>
      <c r="S423" s="62"/>
      <c r="T423" s="61"/>
      <c r="U423" s="62"/>
      <c r="V423" s="61"/>
      <c r="W423" s="62"/>
      <c r="X423" s="61"/>
      <c r="Y423" s="62"/>
      <c r="Z423" s="61"/>
      <c r="AA423" s="62"/>
    </row>
    <row r="424" spans="3:27" ht="16.5" customHeight="1">
      <c r="C424" s="118"/>
      <c r="E424" s="61"/>
      <c r="H424" s="61"/>
      <c r="I424" s="60"/>
      <c r="K424" s="62"/>
      <c r="O424" s="60"/>
      <c r="P424" s="61"/>
      <c r="Q424" s="62"/>
      <c r="R424" s="61"/>
      <c r="S424" s="62"/>
      <c r="T424" s="61"/>
      <c r="U424" s="62"/>
      <c r="V424" s="61"/>
      <c r="W424" s="62"/>
      <c r="X424" s="61"/>
      <c r="Y424" s="62"/>
      <c r="Z424" s="61"/>
      <c r="AA424" s="62"/>
    </row>
    <row r="425" spans="3:27" ht="16.5" customHeight="1">
      <c r="C425" s="118"/>
      <c r="E425" s="61"/>
      <c r="H425" s="61"/>
      <c r="I425" s="60"/>
      <c r="K425" s="62"/>
      <c r="O425" s="60"/>
      <c r="P425" s="61"/>
      <c r="Q425" s="62"/>
      <c r="R425" s="61"/>
      <c r="S425" s="62"/>
      <c r="T425" s="61"/>
      <c r="U425" s="62"/>
      <c r="V425" s="61"/>
      <c r="W425" s="62"/>
      <c r="X425" s="61"/>
      <c r="Y425" s="62"/>
      <c r="Z425" s="61"/>
      <c r="AA425" s="62"/>
    </row>
    <row r="426" spans="3:27" ht="16.5" customHeight="1">
      <c r="C426" s="118"/>
      <c r="E426" s="61"/>
      <c r="H426" s="61"/>
      <c r="I426" s="60"/>
      <c r="K426" s="62"/>
      <c r="O426" s="60"/>
      <c r="P426" s="61"/>
      <c r="Q426" s="62"/>
      <c r="R426" s="61"/>
      <c r="S426" s="62"/>
      <c r="T426" s="61"/>
      <c r="U426" s="62"/>
      <c r="V426" s="61"/>
      <c r="W426" s="62"/>
      <c r="X426" s="61"/>
      <c r="Y426" s="62"/>
      <c r="Z426" s="61"/>
      <c r="AA426" s="62"/>
    </row>
    <row r="427" spans="3:27" ht="16.5" customHeight="1">
      <c r="C427" s="118"/>
      <c r="E427" s="61"/>
      <c r="H427" s="61"/>
      <c r="I427" s="60"/>
      <c r="K427" s="62"/>
      <c r="O427" s="60"/>
      <c r="P427" s="61"/>
      <c r="Q427" s="62"/>
      <c r="R427" s="61"/>
      <c r="S427" s="62"/>
      <c r="T427" s="61"/>
      <c r="U427" s="62"/>
      <c r="V427" s="61"/>
      <c r="W427" s="62"/>
      <c r="X427" s="61"/>
      <c r="Y427" s="62"/>
      <c r="Z427" s="61"/>
      <c r="AA427" s="62"/>
    </row>
    <row r="428" spans="3:27" ht="16.5" customHeight="1">
      <c r="C428" s="118"/>
      <c r="E428" s="61"/>
      <c r="H428" s="61"/>
      <c r="I428" s="60"/>
      <c r="K428" s="62"/>
      <c r="O428" s="60"/>
      <c r="P428" s="61"/>
      <c r="Q428" s="62"/>
      <c r="R428" s="61"/>
      <c r="S428" s="62"/>
      <c r="T428" s="61"/>
      <c r="U428" s="62"/>
      <c r="V428" s="61"/>
      <c r="W428" s="62"/>
      <c r="X428" s="61"/>
      <c r="Y428" s="62"/>
      <c r="Z428" s="61"/>
      <c r="AA428" s="62"/>
    </row>
    <row r="429" spans="3:27" ht="16.5" customHeight="1">
      <c r="C429" s="118"/>
      <c r="E429" s="61"/>
      <c r="H429" s="61"/>
      <c r="I429" s="60"/>
      <c r="K429" s="62"/>
      <c r="O429" s="60"/>
      <c r="P429" s="61"/>
      <c r="Q429" s="62"/>
      <c r="R429" s="61"/>
      <c r="S429" s="62"/>
      <c r="T429" s="61"/>
      <c r="U429" s="62"/>
      <c r="V429" s="61"/>
      <c r="W429" s="62"/>
      <c r="X429" s="61"/>
      <c r="Y429" s="62"/>
      <c r="Z429" s="61"/>
      <c r="AA429" s="62"/>
    </row>
    <row r="430" spans="3:27" ht="16.5" customHeight="1">
      <c r="C430" s="118"/>
      <c r="E430" s="61"/>
      <c r="H430" s="61"/>
      <c r="I430" s="60"/>
      <c r="K430" s="62"/>
      <c r="O430" s="60"/>
      <c r="P430" s="61"/>
      <c r="Q430" s="62"/>
      <c r="R430" s="61"/>
      <c r="S430" s="62"/>
      <c r="T430" s="61"/>
      <c r="U430" s="62"/>
      <c r="V430" s="61"/>
      <c r="W430" s="62"/>
      <c r="X430" s="61"/>
      <c r="Y430" s="62"/>
      <c r="Z430" s="61"/>
      <c r="AA430" s="62"/>
    </row>
    <row r="431" spans="3:27" ht="16.5" customHeight="1">
      <c r="C431" s="118"/>
      <c r="E431" s="61"/>
      <c r="H431" s="61"/>
      <c r="I431" s="60"/>
      <c r="K431" s="62"/>
      <c r="O431" s="60"/>
      <c r="P431" s="61"/>
      <c r="Q431" s="62"/>
      <c r="R431" s="61"/>
      <c r="S431" s="62"/>
      <c r="T431" s="61"/>
      <c r="U431" s="62"/>
      <c r="V431" s="61"/>
      <c r="W431" s="62"/>
      <c r="X431" s="61"/>
      <c r="Y431" s="62"/>
      <c r="Z431" s="61"/>
      <c r="AA431" s="62"/>
    </row>
    <row r="432" spans="3:27" ht="16.5" customHeight="1">
      <c r="C432" s="118"/>
      <c r="E432" s="61"/>
      <c r="H432" s="61"/>
      <c r="I432" s="60"/>
      <c r="K432" s="62"/>
      <c r="O432" s="60"/>
      <c r="P432" s="61"/>
      <c r="Q432" s="62"/>
      <c r="R432" s="61"/>
      <c r="S432" s="62"/>
      <c r="T432" s="61"/>
      <c r="U432" s="62"/>
      <c r="V432" s="61"/>
      <c r="W432" s="62"/>
      <c r="X432" s="61"/>
      <c r="Y432" s="62"/>
      <c r="Z432" s="61"/>
      <c r="AA432" s="62"/>
    </row>
    <row r="433" spans="3:27" ht="16.5" customHeight="1">
      <c r="C433" s="118"/>
      <c r="E433" s="61"/>
      <c r="H433" s="61"/>
      <c r="I433" s="60"/>
      <c r="K433" s="62"/>
      <c r="O433" s="60"/>
      <c r="P433" s="61"/>
      <c r="Q433" s="62"/>
      <c r="R433" s="61"/>
      <c r="S433" s="62"/>
      <c r="T433" s="61"/>
      <c r="U433" s="62"/>
      <c r="V433" s="61"/>
      <c r="W433" s="62"/>
      <c r="X433" s="61"/>
      <c r="Y433" s="62"/>
      <c r="Z433" s="61"/>
      <c r="AA433" s="62"/>
    </row>
    <row r="434" spans="3:27" ht="16.5" customHeight="1">
      <c r="C434" s="118"/>
      <c r="E434" s="61"/>
      <c r="H434" s="61"/>
      <c r="I434" s="60"/>
      <c r="K434" s="62"/>
      <c r="O434" s="60"/>
      <c r="P434" s="61"/>
      <c r="Q434" s="62"/>
      <c r="R434" s="61"/>
      <c r="S434" s="62"/>
      <c r="T434" s="61"/>
      <c r="U434" s="62"/>
      <c r="V434" s="61"/>
      <c r="W434" s="62"/>
      <c r="X434" s="61"/>
      <c r="Y434" s="62"/>
      <c r="Z434" s="61"/>
      <c r="AA434" s="62"/>
    </row>
    <row r="435" spans="3:27" ht="16.5" customHeight="1">
      <c r="C435" s="118"/>
      <c r="E435" s="61"/>
      <c r="H435" s="61"/>
      <c r="I435" s="60"/>
      <c r="K435" s="62"/>
      <c r="O435" s="60"/>
      <c r="P435" s="61"/>
      <c r="Q435" s="62"/>
      <c r="R435" s="61"/>
      <c r="S435" s="62"/>
      <c r="T435" s="61"/>
      <c r="U435" s="62"/>
      <c r="V435" s="61"/>
      <c r="W435" s="62"/>
      <c r="X435" s="61"/>
      <c r="Y435" s="62"/>
      <c r="Z435" s="61"/>
      <c r="AA435" s="62"/>
    </row>
    <row r="436" spans="3:27" ht="16.5" customHeight="1">
      <c r="C436" s="118"/>
      <c r="E436" s="61"/>
      <c r="H436" s="61"/>
      <c r="I436" s="60"/>
      <c r="K436" s="62"/>
      <c r="O436" s="60"/>
      <c r="P436" s="61"/>
      <c r="Q436" s="62"/>
      <c r="R436" s="61"/>
      <c r="S436" s="62"/>
      <c r="T436" s="61"/>
      <c r="U436" s="62"/>
      <c r="V436" s="61"/>
      <c r="W436" s="62"/>
      <c r="X436" s="61"/>
      <c r="Y436" s="62"/>
      <c r="Z436" s="61"/>
      <c r="AA436" s="62"/>
    </row>
    <row r="437" spans="3:27" ht="16.5" customHeight="1">
      <c r="C437" s="118"/>
      <c r="E437" s="61"/>
      <c r="H437" s="61"/>
      <c r="I437" s="60"/>
      <c r="K437" s="62"/>
      <c r="O437" s="60"/>
      <c r="P437" s="61"/>
      <c r="Q437" s="62"/>
      <c r="R437" s="61"/>
      <c r="S437" s="62"/>
      <c r="T437" s="61"/>
      <c r="U437" s="62"/>
      <c r="V437" s="61"/>
      <c r="W437" s="62"/>
      <c r="X437" s="61"/>
      <c r="Y437" s="62"/>
      <c r="Z437" s="61"/>
      <c r="AA437" s="62"/>
    </row>
    <row r="438" spans="3:27" ht="16.5" customHeight="1">
      <c r="C438" s="118"/>
      <c r="E438" s="61"/>
      <c r="H438" s="61"/>
      <c r="I438" s="60"/>
      <c r="K438" s="62"/>
      <c r="O438" s="60"/>
      <c r="P438" s="61"/>
      <c r="Q438" s="62"/>
      <c r="R438" s="61"/>
      <c r="S438" s="62"/>
      <c r="T438" s="61"/>
      <c r="U438" s="62"/>
      <c r="V438" s="61"/>
      <c r="W438" s="62"/>
      <c r="X438" s="61"/>
      <c r="Y438" s="62"/>
      <c r="Z438" s="61"/>
      <c r="AA438" s="62"/>
    </row>
    <row r="439" spans="3:27" ht="16.5" customHeight="1">
      <c r="C439" s="118"/>
      <c r="E439" s="61"/>
      <c r="H439" s="61"/>
      <c r="I439" s="60"/>
      <c r="K439" s="62"/>
      <c r="O439" s="60"/>
      <c r="P439" s="61"/>
      <c r="Q439" s="62"/>
      <c r="R439" s="61"/>
      <c r="S439" s="62"/>
      <c r="T439" s="61"/>
      <c r="U439" s="62"/>
      <c r="V439" s="61"/>
      <c r="W439" s="62"/>
      <c r="X439" s="61"/>
      <c r="Y439" s="62"/>
      <c r="Z439" s="61"/>
      <c r="AA439" s="62"/>
    </row>
    <row r="440" spans="3:27" ht="16.5" customHeight="1">
      <c r="C440" s="118"/>
      <c r="E440" s="61"/>
      <c r="H440" s="61"/>
      <c r="I440" s="60"/>
      <c r="K440" s="62"/>
      <c r="O440" s="60"/>
      <c r="P440" s="61"/>
      <c r="Q440" s="62"/>
      <c r="R440" s="61"/>
      <c r="S440" s="62"/>
      <c r="T440" s="61"/>
      <c r="U440" s="62"/>
      <c r="V440" s="61"/>
      <c r="W440" s="62"/>
      <c r="X440" s="61"/>
      <c r="Y440" s="62"/>
      <c r="Z440" s="61"/>
      <c r="AA440" s="62"/>
    </row>
    <row r="441" spans="3:27" ht="16.5" customHeight="1">
      <c r="C441" s="118"/>
      <c r="E441" s="61"/>
      <c r="H441" s="61"/>
      <c r="I441" s="60"/>
      <c r="K441" s="62"/>
      <c r="O441" s="60"/>
      <c r="P441" s="61"/>
      <c r="Q441" s="62"/>
      <c r="R441" s="61"/>
      <c r="S441" s="62"/>
      <c r="T441" s="61"/>
      <c r="U441" s="62"/>
      <c r="V441" s="61"/>
      <c r="W441" s="62"/>
      <c r="X441" s="61"/>
      <c r="Y441" s="62"/>
      <c r="Z441" s="61"/>
      <c r="AA441" s="62"/>
    </row>
    <row r="442" spans="3:27" ht="16.5" customHeight="1">
      <c r="C442" s="118"/>
      <c r="E442" s="61"/>
      <c r="H442" s="61"/>
      <c r="I442" s="60"/>
      <c r="K442" s="62"/>
      <c r="O442" s="60"/>
      <c r="P442" s="61"/>
      <c r="Q442" s="62"/>
      <c r="R442" s="61"/>
      <c r="S442" s="62"/>
      <c r="T442" s="61"/>
      <c r="U442" s="62"/>
      <c r="V442" s="61"/>
      <c r="W442" s="62"/>
      <c r="X442" s="61"/>
      <c r="Y442" s="62"/>
      <c r="Z442" s="61"/>
      <c r="AA442" s="62"/>
    </row>
    <row r="443" spans="3:27" ht="16.5" customHeight="1">
      <c r="C443" s="118"/>
      <c r="E443" s="61"/>
      <c r="H443" s="61"/>
      <c r="I443" s="60"/>
      <c r="K443" s="62"/>
      <c r="O443" s="60"/>
      <c r="P443" s="61"/>
      <c r="Q443" s="62"/>
      <c r="R443" s="61"/>
      <c r="S443" s="62"/>
      <c r="T443" s="61"/>
      <c r="U443" s="62"/>
      <c r="V443" s="61"/>
      <c r="W443" s="62"/>
      <c r="X443" s="61"/>
      <c r="Y443" s="62"/>
      <c r="Z443" s="61"/>
      <c r="AA443" s="62"/>
    </row>
    <row r="444" spans="3:27" ht="16.5" customHeight="1">
      <c r="C444" s="118"/>
      <c r="E444" s="61"/>
      <c r="H444" s="61"/>
      <c r="I444" s="60"/>
      <c r="K444" s="62"/>
      <c r="O444" s="60"/>
      <c r="P444" s="61"/>
      <c r="Q444" s="62"/>
      <c r="R444" s="61"/>
      <c r="S444" s="62"/>
      <c r="T444" s="61"/>
      <c r="U444" s="62"/>
      <c r="V444" s="61"/>
      <c r="W444" s="62"/>
      <c r="X444" s="61"/>
      <c r="Y444" s="62"/>
      <c r="Z444" s="61"/>
      <c r="AA444" s="62"/>
    </row>
    <row r="445" spans="3:27" ht="16.5" customHeight="1">
      <c r="C445" s="118"/>
      <c r="E445" s="61"/>
      <c r="H445" s="61"/>
      <c r="I445" s="60"/>
      <c r="K445" s="62"/>
      <c r="O445" s="60"/>
      <c r="P445" s="61"/>
      <c r="Q445" s="62"/>
      <c r="R445" s="61"/>
      <c r="S445" s="62"/>
      <c r="T445" s="61"/>
      <c r="U445" s="62"/>
      <c r="V445" s="61"/>
      <c r="W445" s="62"/>
      <c r="X445" s="61"/>
      <c r="Y445" s="62"/>
      <c r="Z445" s="61"/>
      <c r="AA445" s="62"/>
    </row>
    <row r="446" spans="3:27" ht="16.5" customHeight="1">
      <c r="C446" s="118"/>
      <c r="E446" s="61"/>
      <c r="H446" s="61"/>
      <c r="I446" s="60"/>
      <c r="K446" s="62"/>
      <c r="O446" s="60"/>
      <c r="P446" s="61"/>
      <c r="Q446" s="62"/>
      <c r="R446" s="61"/>
      <c r="S446" s="62"/>
      <c r="T446" s="61"/>
      <c r="U446" s="62"/>
      <c r="V446" s="61"/>
      <c r="W446" s="62"/>
      <c r="X446" s="61"/>
      <c r="Y446" s="62"/>
      <c r="Z446" s="61"/>
      <c r="AA446" s="62"/>
    </row>
    <row r="447" spans="3:27" ht="16.5" customHeight="1">
      <c r="C447" s="118"/>
      <c r="E447" s="61"/>
      <c r="H447" s="61"/>
      <c r="I447" s="60"/>
      <c r="K447" s="62"/>
      <c r="O447" s="60"/>
      <c r="P447" s="61"/>
      <c r="Q447" s="62"/>
      <c r="R447" s="61"/>
      <c r="S447" s="62"/>
      <c r="T447" s="61"/>
      <c r="U447" s="62"/>
      <c r="V447" s="61"/>
      <c r="W447" s="62"/>
      <c r="X447" s="61"/>
      <c r="Y447" s="62"/>
      <c r="Z447" s="61"/>
      <c r="AA447" s="62"/>
    </row>
    <row r="448" spans="3:27" ht="16.5" customHeight="1">
      <c r="C448" s="118"/>
      <c r="E448" s="61"/>
      <c r="H448" s="61"/>
      <c r="I448" s="60"/>
      <c r="K448" s="62"/>
      <c r="O448" s="60"/>
      <c r="P448" s="61"/>
      <c r="Q448" s="62"/>
      <c r="R448" s="61"/>
      <c r="S448" s="62"/>
      <c r="T448" s="61"/>
      <c r="U448" s="62"/>
      <c r="V448" s="61"/>
      <c r="W448" s="62"/>
      <c r="X448" s="61"/>
      <c r="Y448" s="62"/>
      <c r="Z448" s="61"/>
      <c r="AA448" s="62"/>
    </row>
    <row r="449" spans="3:27" ht="16.5" customHeight="1">
      <c r="C449" s="118"/>
      <c r="E449" s="61"/>
      <c r="H449" s="61"/>
      <c r="I449" s="60"/>
      <c r="K449" s="62"/>
      <c r="O449" s="60"/>
      <c r="P449" s="61"/>
      <c r="Q449" s="62"/>
      <c r="R449" s="61"/>
      <c r="S449" s="62"/>
      <c r="T449" s="61"/>
      <c r="U449" s="62"/>
      <c r="V449" s="61"/>
      <c r="W449" s="62"/>
      <c r="X449" s="61"/>
      <c r="Y449" s="62"/>
      <c r="Z449" s="61"/>
      <c r="AA449" s="62"/>
    </row>
    <row r="450" spans="3:27" ht="16.5" customHeight="1">
      <c r="C450" s="118"/>
      <c r="E450" s="61"/>
      <c r="H450" s="61"/>
      <c r="I450" s="60"/>
      <c r="K450" s="62"/>
      <c r="O450" s="60"/>
      <c r="P450" s="61"/>
      <c r="Q450" s="62"/>
      <c r="R450" s="61"/>
      <c r="S450" s="62"/>
      <c r="T450" s="61"/>
      <c r="U450" s="62"/>
      <c r="V450" s="61"/>
      <c r="W450" s="62"/>
      <c r="X450" s="61"/>
      <c r="Y450" s="62"/>
      <c r="Z450" s="61"/>
      <c r="AA450" s="62"/>
    </row>
    <row r="451" spans="3:27" ht="16.5" customHeight="1">
      <c r="C451" s="118"/>
      <c r="E451" s="61"/>
      <c r="H451" s="61"/>
      <c r="I451" s="60"/>
      <c r="K451" s="62"/>
      <c r="O451" s="60"/>
      <c r="P451" s="61"/>
      <c r="Q451" s="62"/>
      <c r="R451" s="61"/>
      <c r="S451" s="62"/>
      <c r="T451" s="61"/>
      <c r="U451" s="62"/>
      <c r="V451" s="61"/>
      <c r="W451" s="62"/>
      <c r="X451" s="61"/>
      <c r="Y451" s="62"/>
      <c r="Z451" s="61"/>
      <c r="AA451" s="62"/>
    </row>
    <row r="452" spans="3:27" ht="16.5" customHeight="1">
      <c r="C452" s="118"/>
      <c r="E452" s="61"/>
      <c r="H452" s="61"/>
      <c r="I452" s="60"/>
      <c r="K452" s="62"/>
      <c r="O452" s="60"/>
      <c r="P452" s="61"/>
      <c r="Q452" s="62"/>
      <c r="R452" s="61"/>
      <c r="S452" s="62"/>
      <c r="T452" s="61"/>
      <c r="U452" s="62"/>
      <c r="V452" s="61"/>
      <c r="W452" s="62"/>
      <c r="X452" s="61"/>
      <c r="Y452" s="62"/>
      <c r="Z452" s="61"/>
      <c r="AA452" s="62"/>
    </row>
    <row r="453" spans="3:27" ht="16.5" customHeight="1">
      <c r="C453" s="118"/>
      <c r="E453" s="61"/>
      <c r="H453" s="61"/>
      <c r="I453" s="60"/>
      <c r="K453" s="62"/>
      <c r="O453" s="60"/>
      <c r="P453" s="61"/>
      <c r="Q453" s="62"/>
      <c r="R453" s="61"/>
      <c r="S453" s="62"/>
      <c r="T453" s="61"/>
      <c r="U453" s="62"/>
      <c r="V453" s="61"/>
      <c r="W453" s="62"/>
      <c r="X453" s="61"/>
      <c r="Y453" s="62"/>
      <c r="Z453" s="61"/>
      <c r="AA453" s="62"/>
    </row>
    <row r="454" spans="3:27" ht="16.5" customHeight="1">
      <c r="C454" s="118"/>
      <c r="E454" s="61"/>
      <c r="H454" s="61"/>
      <c r="I454" s="60"/>
      <c r="K454" s="62"/>
      <c r="O454" s="60"/>
      <c r="P454" s="61"/>
      <c r="Q454" s="62"/>
      <c r="R454" s="61"/>
      <c r="S454" s="62"/>
      <c r="T454" s="61"/>
      <c r="U454" s="62"/>
      <c r="V454" s="61"/>
      <c r="W454" s="62"/>
      <c r="X454" s="61"/>
      <c r="Y454" s="62"/>
      <c r="Z454" s="61"/>
      <c r="AA454" s="62"/>
    </row>
    <row r="455" spans="3:27" ht="16.5" customHeight="1">
      <c r="C455" s="118"/>
      <c r="E455" s="61"/>
      <c r="H455" s="61"/>
      <c r="I455" s="60"/>
      <c r="K455" s="62"/>
      <c r="O455" s="60"/>
      <c r="P455" s="61"/>
      <c r="Q455" s="62"/>
      <c r="R455" s="61"/>
      <c r="S455" s="62"/>
      <c r="T455" s="61"/>
      <c r="U455" s="62"/>
      <c r="V455" s="61"/>
      <c r="W455" s="62"/>
      <c r="X455" s="61"/>
      <c r="Y455" s="62"/>
      <c r="Z455" s="61"/>
      <c r="AA455" s="62"/>
    </row>
    <row r="456" spans="3:27" ht="16.5" customHeight="1">
      <c r="C456" s="118"/>
      <c r="E456" s="61"/>
      <c r="H456" s="61"/>
      <c r="I456" s="60"/>
      <c r="K456" s="62"/>
      <c r="O456" s="60"/>
      <c r="P456" s="61"/>
      <c r="Q456" s="62"/>
      <c r="R456" s="61"/>
      <c r="S456" s="62"/>
      <c r="T456" s="61"/>
      <c r="U456" s="62"/>
      <c r="V456" s="61"/>
      <c r="W456" s="62"/>
      <c r="X456" s="61"/>
      <c r="Y456" s="62"/>
      <c r="Z456" s="61"/>
      <c r="AA456" s="62"/>
    </row>
    <row r="457" spans="3:27" ht="16.5" customHeight="1">
      <c r="C457" s="118"/>
      <c r="E457" s="61"/>
      <c r="H457" s="61"/>
      <c r="I457" s="60"/>
      <c r="K457" s="62"/>
      <c r="O457" s="60"/>
      <c r="P457" s="61"/>
      <c r="Q457" s="62"/>
      <c r="R457" s="61"/>
      <c r="S457" s="62"/>
      <c r="T457" s="61"/>
      <c r="U457" s="62"/>
      <c r="V457" s="61"/>
      <c r="W457" s="62"/>
      <c r="X457" s="61"/>
      <c r="Y457" s="62"/>
      <c r="Z457" s="61"/>
      <c r="AA457" s="62"/>
    </row>
    <row r="458" spans="3:27" ht="16.5" customHeight="1">
      <c r="C458" s="118"/>
      <c r="E458" s="61"/>
      <c r="H458" s="61"/>
      <c r="I458" s="60"/>
      <c r="K458" s="62"/>
      <c r="O458" s="60"/>
      <c r="P458" s="61"/>
      <c r="Q458" s="62"/>
      <c r="R458" s="61"/>
      <c r="S458" s="62"/>
      <c r="T458" s="61"/>
      <c r="U458" s="62"/>
      <c r="V458" s="61"/>
      <c r="W458" s="62"/>
      <c r="X458" s="61"/>
      <c r="Y458" s="62"/>
      <c r="Z458" s="61"/>
      <c r="AA458" s="62"/>
    </row>
    <row r="459" spans="3:27" ht="16.5" customHeight="1">
      <c r="C459" s="118"/>
      <c r="E459" s="61"/>
      <c r="H459" s="61"/>
      <c r="I459" s="60"/>
      <c r="K459" s="62"/>
      <c r="O459" s="60"/>
      <c r="P459" s="61"/>
      <c r="Q459" s="62"/>
      <c r="R459" s="61"/>
      <c r="S459" s="62"/>
      <c r="T459" s="61"/>
      <c r="U459" s="62"/>
      <c r="V459" s="61"/>
      <c r="W459" s="62"/>
      <c r="X459" s="61"/>
      <c r="Y459" s="62"/>
      <c r="Z459" s="61"/>
      <c r="AA459" s="62"/>
    </row>
    <row r="460" spans="3:27" ht="16.5" customHeight="1">
      <c r="C460" s="118"/>
      <c r="E460" s="61"/>
      <c r="H460" s="61"/>
      <c r="I460" s="60"/>
      <c r="K460" s="62"/>
      <c r="O460" s="60"/>
      <c r="P460" s="61"/>
      <c r="Q460" s="62"/>
      <c r="R460" s="61"/>
      <c r="S460" s="62"/>
      <c r="T460" s="61"/>
      <c r="U460" s="62"/>
      <c r="V460" s="61"/>
      <c r="W460" s="62"/>
      <c r="X460" s="61"/>
      <c r="Y460" s="62"/>
      <c r="Z460" s="61"/>
      <c r="AA460" s="62"/>
    </row>
    <row r="461" spans="3:27" ht="16.5" customHeight="1">
      <c r="C461" s="118"/>
      <c r="E461" s="61"/>
      <c r="H461" s="61"/>
      <c r="I461" s="60"/>
      <c r="K461" s="62"/>
      <c r="O461" s="60"/>
      <c r="P461" s="61"/>
      <c r="Q461" s="62"/>
      <c r="R461" s="61"/>
      <c r="S461" s="62"/>
      <c r="T461" s="61"/>
      <c r="U461" s="62"/>
      <c r="V461" s="61"/>
      <c r="W461" s="62"/>
      <c r="X461" s="61"/>
      <c r="Y461" s="62"/>
      <c r="Z461" s="61"/>
      <c r="AA461" s="62"/>
    </row>
    <row r="462" spans="3:27" ht="16.5" customHeight="1">
      <c r="C462" s="118"/>
      <c r="E462" s="61"/>
      <c r="H462" s="61"/>
      <c r="I462" s="60"/>
      <c r="K462" s="62"/>
      <c r="O462" s="60"/>
      <c r="P462" s="61"/>
      <c r="Q462" s="62"/>
      <c r="R462" s="61"/>
      <c r="S462" s="62"/>
      <c r="T462" s="61"/>
      <c r="U462" s="62"/>
      <c r="V462" s="61"/>
      <c r="W462" s="62"/>
      <c r="X462" s="61"/>
      <c r="Y462" s="62"/>
      <c r="Z462" s="61"/>
      <c r="AA462" s="62"/>
    </row>
    <row r="463" spans="3:27" ht="16.5" customHeight="1">
      <c r="C463" s="118"/>
      <c r="E463" s="61"/>
      <c r="H463" s="61"/>
      <c r="I463" s="60"/>
      <c r="K463" s="62"/>
      <c r="O463" s="60"/>
      <c r="P463" s="61"/>
      <c r="Q463" s="62"/>
      <c r="R463" s="61"/>
      <c r="S463" s="62"/>
      <c r="T463" s="61"/>
      <c r="U463" s="62"/>
      <c r="V463" s="61"/>
      <c r="W463" s="62"/>
      <c r="X463" s="61"/>
      <c r="Y463" s="62"/>
      <c r="Z463" s="61"/>
      <c r="AA463" s="62"/>
    </row>
    <row r="464" spans="3:27" ht="16.5" customHeight="1">
      <c r="C464" s="118"/>
      <c r="E464" s="61"/>
      <c r="H464" s="61"/>
      <c r="I464" s="60"/>
      <c r="K464" s="62"/>
      <c r="O464" s="60"/>
      <c r="P464" s="61"/>
      <c r="Q464" s="62"/>
      <c r="R464" s="61"/>
      <c r="S464" s="62"/>
      <c r="T464" s="61"/>
      <c r="U464" s="62"/>
      <c r="V464" s="61"/>
      <c r="W464" s="62"/>
      <c r="X464" s="61"/>
      <c r="Y464" s="62"/>
      <c r="Z464" s="61"/>
      <c r="AA464" s="62"/>
    </row>
    <row r="465" spans="3:27" ht="16.5" customHeight="1">
      <c r="C465" s="118"/>
      <c r="E465" s="61"/>
      <c r="H465" s="61"/>
      <c r="I465" s="60"/>
      <c r="K465" s="62"/>
      <c r="O465" s="60"/>
      <c r="P465" s="61"/>
      <c r="Q465" s="62"/>
      <c r="R465" s="61"/>
      <c r="S465" s="62"/>
      <c r="T465" s="61"/>
      <c r="U465" s="62"/>
      <c r="V465" s="61"/>
      <c r="W465" s="62"/>
      <c r="X465" s="61"/>
      <c r="Y465" s="62"/>
      <c r="Z465" s="61"/>
      <c r="AA465" s="62"/>
    </row>
    <row r="466" spans="3:27" ht="16.5" customHeight="1">
      <c r="C466" s="118"/>
      <c r="E466" s="61"/>
      <c r="H466" s="61"/>
      <c r="I466" s="60"/>
      <c r="K466" s="62"/>
      <c r="O466" s="60"/>
      <c r="P466" s="61"/>
      <c r="Q466" s="62"/>
      <c r="R466" s="61"/>
      <c r="S466" s="62"/>
      <c r="T466" s="61"/>
      <c r="U466" s="62"/>
      <c r="V466" s="61"/>
      <c r="W466" s="62"/>
      <c r="X466" s="61"/>
      <c r="Y466" s="62"/>
      <c r="Z466" s="61"/>
      <c r="AA466" s="62"/>
    </row>
    <row r="467" spans="3:27" ht="16.5" customHeight="1">
      <c r="C467" s="118"/>
      <c r="E467" s="61"/>
      <c r="H467" s="61"/>
      <c r="I467" s="60"/>
      <c r="K467" s="62"/>
      <c r="O467" s="60"/>
      <c r="P467" s="61"/>
      <c r="Q467" s="62"/>
      <c r="R467" s="61"/>
      <c r="S467" s="62"/>
      <c r="T467" s="61"/>
      <c r="U467" s="62"/>
      <c r="V467" s="61"/>
      <c r="W467" s="62"/>
      <c r="X467" s="61"/>
      <c r="Y467" s="62"/>
      <c r="Z467" s="61"/>
      <c r="AA467" s="62"/>
    </row>
    <row r="468" spans="3:27" ht="16.5" customHeight="1">
      <c r="C468" s="118"/>
      <c r="E468" s="61"/>
      <c r="H468" s="61"/>
      <c r="I468" s="60"/>
      <c r="K468" s="62"/>
      <c r="O468" s="60"/>
      <c r="P468" s="61"/>
      <c r="Q468" s="62"/>
      <c r="R468" s="61"/>
      <c r="S468" s="62"/>
      <c r="T468" s="61"/>
      <c r="U468" s="62"/>
      <c r="V468" s="61"/>
      <c r="W468" s="62"/>
      <c r="X468" s="61"/>
      <c r="Y468" s="62"/>
      <c r="Z468" s="61"/>
      <c r="AA468" s="62"/>
    </row>
    <row r="469" spans="3:27" ht="16.5" customHeight="1">
      <c r="C469" s="118"/>
      <c r="E469" s="61"/>
      <c r="H469" s="61"/>
      <c r="I469" s="60"/>
      <c r="K469" s="62"/>
      <c r="O469" s="60"/>
      <c r="P469" s="61"/>
      <c r="Q469" s="62"/>
      <c r="R469" s="61"/>
      <c r="S469" s="62"/>
      <c r="T469" s="61"/>
      <c r="U469" s="62"/>
      <c r="V469" s="61"/>
      <c r="W469" s="62"/>
      <c r="X469" s="61"/>
      <c r="Y469" s="62"/>
      <c r="Z469" s="61"/>
      <c r="AA469" s="62"/>
    </row>
    <row r="470" spans="3:27" ht="16.5" customHeight="1">
      <c r="C470" s="118"/>
      <c r="E470" s="61"/>
      <c r="H470" s="61"/>
      <c r="I470" s="60"/>
      <c r="K470" s="62"/>
      <c r="O470" s="60"/>
      <c r="P470" s="61"/>
      <c r="Q470" s="62"/>
      <c r="R470" s="61"/>
      <c r="S470" s="62"/>
      <c r="T470" s="61"/>
      <c r="U470" s="62"/>
      <c r="V470" s="61"/>
      <c r="W470" s="62"/>
      <c r="X470" s="61"/>
      <c r="Y470" s="62"/>
      <c r="Z470" s="61"/>
      <c r="AA470" s="62"/>
    </row>
    <row r="471" spans="3:27" ht="16.5" customHeight="1">
      <c r="C471" s="118"/>
      <c r="E471" s="61"/>
      <c r="H471" s="61"/>
      <c r="I471" s="60"/>
      <c r="K471" s="62"/>
      <c r="O471" s="60"/>
      <c r="P471" s="61"/>
      <c r="Q471" s="62"/>
      <c r="R471" s="61"/>
      <c r="S471" s="62"/>
      <c r="T471" s="61"/>
      <c r="U471" s="62"/>
      <c r="V471" s="61"/>
      <c r="W471" s="62"/>
      <c r="X471" s="61"/>
      <c r="Y471" s="62"/>
      <c r="Z471" s="61"/>
      <c r="AA471" s="62"/>
    </row>
    <row r="472" spans="3:27" ht="16.5" customHeight="1">
      <c r="C472" s="118"/>
      <c r="E472" s="61"/>
      <c r="H472" s="61"/>
      <c r="I472" s="60"/>
      <c r="K472" s="62"/>
      <c r="O472" s="60"/>
      <c r="P472" s="61"/>
      <c r="Q472" s="62"/>
      <c r="R472" s="61"/>
      <c r="S472" s="62"/>
      <c r="T472" s="61"/>
      <c r="U472" s="62"/>
      <c r="V472" s="61"/>
      <c r="W472" s="62"/>
      <c r="X472" s="61"/>
      <c r="Y472" s="62"/>
      <c r="Z472" s="61"/>
      <c r="AA472" s="62"/>
    </row>
    <row r="473" spans="3:27" ht="16.5" customHeight="1">
      <c r="C473" s="118"/>
      <c r="E473" s="61"/>
      <c r="H473" s="61"/>
      <c r="I473" s="60"/>
      <c r="K473" s="62"/>
      <c r="O473" s="60"/>
      <c r="P473" s="61"/>
      <c r="Q473" s="62"/>
      <c r="R473" s="61"/>
      <c r="S473" s="62"/>
      <c r="T473" s="61"/>
      <c r="U473" s="62"/>
      <c r="V473" s="61"/>
      <c r="W473" s="62"/>
      <c r="X473" s="61"/>
      <c r="Y473" s="62"/>
      <c r="Z473" s="61"/>
      <c r="AA473" s="62"/>
    </row>
    <row r="474" spans="3:27" ht="16.5" customHeight="1">
      <c r="C474" s="118"/>
      <c r="E474" s="61"/>
      <c r="H474" s="61"/>
      <c r="I474" s="60"/>
      <c r="K474" s="62"/>
      <c r="O474" s="60"/>
      <c r="P474" s="61"/>
      <c r="Q474" s="62"/>
      <c r="R474" s="61"/>
      <c r="S474" s="62"/>
      <c r="T474" s="61"/>
      <c r="U474" s="62"/>
      <c r="V474" s="61"/>
      <c r="W474" s="62"/>
      <c r="X474" s="61"/>
      <c r="Y474" s="62"/>
      <c r="Z474" s="61"/>
      <c r="AA474" s="62"/>
    </row>
    <row r="475" spans="3:27" ht="16.5" customHeight="1">
      <c r="C475" s="118"/>
      <c r="E475" s="61"/>
      <c r="H475" s="61"/>
      <c r="I475" s="60"/>
      <c r="K475" s="62"/>
      <c r="O475" s="60"/>
      <c r="P475" s="61"/>
      <c r="Q475" s="62"/>
      <c r="R475" s="61"/>
      <c r="S475" s="62"/>
      <c r="T475" s="61"/>
      <c r="U475" s="62"/>
      <c r="V475" s="61"/>
      <c r="W475" s="62"/>
      <c r="X475" s="61"/>
      <c r="Y475" s="62"/>
      <c r="Z475" s="61"/>
      <c r="AA475" s="62"/>
    </row>
    <row r="476" spans="3:27" ht="16.5" customHeight="1">
      <c r="C476" s="118"/>
      <c r="E476" s="61"/>
      <c r="H476" s="61"/>
      <c r="I476" s="60"/>
      <c r="K476" s="62"/>
      <c r="O476" s="60"/>
      <c r="P476" s="61"/>
      <c r="Q476" s="62"/>
      <c r="R476" s="61"/>
      <c r="S476" s="62"/>
      <c r="T476" s="61"/>
      <c r="U476" s="62"/>
      <c r="V476" s="61"/>
      <c r="W476" s="62"/>
      <c r="X476" s="61"/>
      <c r="Y476" s="62"/>
      <c r="Z476" s="61"/>
      <c r="AA476" s="62"/>
    </row>
    <row r="477" spans="3:27" ht="16.5" customHeight="1">
      <c r="C477" s="118"/>
      <c r="E477" s="61"/>
      <c r="H477" s="61"/>
      <c r="I477" s="60"/>
      <c r="K477" s="62"/>
      <c r="O477" s="60"/>
      <c r="P477" s="61"/>
      <c r="Q477" s="62"/>
      <c r="R477" s="61"/>
      <c r="S477" s="62"/>
      <c r="T477" s="61"/>
      <c r="U477" s="62"/>
      <c r="V477" s="61"/>
      <c r="W477" s="62"/>
      <c r="X477" s="61"/>
      <c r="Y477" s="62"/>
      <c r="Z477" s="61"/>
      <c r="AA477" s="62"/>
    </row>
    <row r="478" spans="3:27" ht="16.5" customHeight="1">
      <c r="C478" s="118"/>
      <c r="E478" s="61"/>
      <c r="H478" s="61"/>
      <c r="I478" s="60"/>
      <c r="K478" s="62"/>
      <c r="O478" s="60"/>
      <c r="P478" s="61"/>
      <c r="Q478" s="62"/>
      <c r="R478" s="61"/>
      <c r="S478" s="62"/>
      <c r="T478" s="61"/>
      <c r="U478" s="62"/>
      <c r="V478" s="61"/>
      <c r="W478" s="62"/>
      <c r="X478" s="61"/>
      <c r="Y478" s="62"/>
      <c r="Z478" s="61"/>
      <c r="AA478" s="62"/>
    </row>
    <row r="479" spans="3:27" ht="16.5" customHeight="1">
      <c r="C479" s="118"/>
      <c r="E479" s="61"/>
      <c r="H479" s="61"/>
      <c r="I479" s="60"/>
      <c r="K479" s="62"/>
      <c r="O479" s="60"/>
      <c r="P479" s="61"/>
      <c r="Q479" s="62"/>
      <c r="R479" s="61"/>
      <c r="S479" s="62"/>
      <c r="T479" s="61"/>
      <c r="U479" s="62"/>
      <c r="V479" s="61"/>
      <c r="W479" s="62"/>
      <c r="X479" s="61"/>
      <c r="Y479" s="62"/>
      <c r="Z479" s="61"/>
      <c r="AA479" s="62"/>
    </row>
    <row r="480" spans="3:27" ht="16.5" customHeight="1">
      <c r="C480" s="118"/>
      <c r="E480" s="61"/>
      <c r="H480" s="61"/>
      <c r="I480" s="60"/>
      <c r="K480" s="62"/>
      <c r="O480" s="60"/>
      <c r="P480" s="61"/>
      <c r="Q480" s="62"/>
      <c r="R480" s="61"/>
      <c r="S480" s="62"/>
      <c r="T480" s="61"/>
      <c r="U480" s="62"/>
      <c r="V480" s="61"/>
      <c r="W480" s="62"/>
      <c r="X480" s="61"/>
      <c r="Y480" s="62"/>
      <c r="Z480" s="61"/>
      <c r="AA480" s="62"/>
    </row>
    <row r="481" spans="3:27" ht="16.5" customHeight="1">
      <c r="C481" s="118"/>
      <c r="E481" s="61"/>
      <c r="H481" s="61"/>
      <c r="I481" s="60"/>
      <c r="K481" s="62"/>
      <c r="O481" s="60"/>
      <c r="P481" s="61"/>
      <c r="Q481" s="62"/>
      <c r="R481" s="61"/>
      <c r="S481" s="62"/>
      <c r="T481" s="61"/>
      <c r="U481" s="62"/>
      <c r="V481" s="61"/>
      <c r="W481" s="62"/>
      <c r="X481" s="61"/>
      <c r="Y481" s="62"/>
      <c r="Z481" s="61"/>
      <c r="AA481" s="62"/>
    </row>
    <row r="482" spans="3:27" ht="16.5" customHeight="1">
      <c r="C482" s="118"/>
      <c r="E482" s="61"/>
      <c r="H482" s="61"/>
      <c r="I482" s="60"/>
      <c r="K482" s="62"/>
      <c r="O482" s="60"/>
      <c r="P482" s="61"/>
      <c r="Q482" s="62"/>
      <c r="R482" s="61"/>
      <c r="S482" s="62"/>
      <c r="T482" s="61"/>
      <c r="U482" s="62"/>
      <c r="V482" s="61"/>
      <c r="W482" s="62"/>
      <c r="X482" s="61"/>
      <c r="Y482" s="62"/>
      <c r="Z482" s="61"/>
      <c r="AA482" s="62"/>
    </row>
    <row r="483" spans="3:27" ht="16.5" customHeight="1">
      <c r="C483" s="118"/>
      <c r="E483" s="61"/>
      <c r="H483" s="61"/>
      <c r="I483" s="60"/>
      <c r="K483" s="62"/>
      <c r="O483" s="60"/>
      <c r="P483" s="61"/>
      <c r="Q483" s="62"/>
      <c r="R483" s="61"/>
      <c r="S483" s="62"/>
      <c r="T483" s="61"/>
      <c r="U483" s="62"/>
      <c r="V483" s="61"/>
      <c r="W483" s="62"/>
      <c r="X483" s="61"/>
      <c r="Y483" s="62"/>
      <c r="Z483" s="61"/>
      <c r="AA483" s="62"/>
    </row>
    <row r="484" spans="3:27" ht="16.5" customHeight="1">
      <c r="C484" s="118"/>
      <c r="E484" s="61"/>
      <c r="H484" s="61"/>
      <c r="I484" s="60"/>
      <c r="K484" s="62"/>
      <c r="O484" s="60"/>
      <c r="P484" s="61"/>
      <c r="Q484" s="62"/>
      <c r="R484" s="61"/>
      <c r="S484" s="62"/>
      <c r="T484" s="61"/>
      <c r="U484" s="62"/>
      <c r="V484" s="61"/>
      <c r="W484" s="62"/>
      <c r="X484" s="61"/>
      <c r="Y484" s="62"/>
      <c r="Z484" s="61"/>
      <c r="AA484" s="62"/>
    </row>
    <row r="485" spans="3:27" ht="16.5" customHeight="1">
      <c r="C485" s="118"/>
      <c r="E485" s="61"/>
      <c r="H485" s="61"/>
      <c r="I485" s="60"/>
      <c r="K485" s="62"/>
      <c r="O485" s="60"/>
      <c r="P485" s="61"/>
      <c r="Q485" s="62"/>
      <c r="R485" s="61"/>
      <c r="S485" s="62"/>
      <c r="T485" s="61"/>
      <c r="U485" s="62"/>
      <c r="V485" s="61"/>
      <c r="W485" s="62"/>
      <c r="X485" s="61"/>
      <c r="Y485" s="62"/>
      <c r="Z485" s="61"/>
      <c r="AA485" s="62"/>
    </row>
    <row r="486" spans="3:27" ht="16.5" customHeight="1">
      <c r="C486" s="118"/>
      <c r="E486" s="61"/>
      <c r="H486" s="61"/>
      <c r="I486" s="60"/>
      <c r="K486" s="62"/>
      <c r="O486" s="60"/>
      <c r="P486" s="61"/>
      <c r="Q486" s="62"/>
      <c r="R486" s="61"/>
      <c r="S486" s="62"/>
      <c r="T486" s="61"/>
      <c r="U486" s="62"/>
      <c r="V486" s="61"/>
      <c r="W486" s="62"/>
      <c r="X486" s="61"/>
      <c r="Y486" s="62"/>
      <c r="Z486" s="61"/>
      <c r="AA486" s="62"/>
    </row>
    <row r="487" spans="3:27" ht="16.5" customHeight="1">
      <c r="C487" s="118"/>
      <c r="E487" s="61"/>
      <c r="H487" s="61"/>
      <c r="I487" s="60"/>
      <c r="K487" s="62"/>
      <c r="O487" s="60"/>
      <c r="P487" s="61"/>
      <c r="Q487" s="62"/>
      <c r="R487" s="61"/>
      <c r="S487" s="62"/>
      <c r="T487" s="61"/>
      <c r="U487" s="62"/>
      <c r="V487" s="61"/>
      <c r="W487" s="62"/>
      <c r="X487" s="61"/>
      <c r="Y487" s="62"/>
      <c r="Z487" s="61"/>
      <c r="AA487" s="62"/>
    </row>
    <row r="488" spans="3:27" ht="16.5" customHeight="1">
      <c r="C488" s="118"/>
      <c r="E488" s="61"/>
      <c r="H488" s="61"/>
      <c r="I488" s="60"/>
      <c r="K488" s="62"/>
      <c r="O488" s="60"/>
      <c r="P488" s="61"/>
      <c r="Q488" s="62"/>
      <c r="R488" s="61"/>
      <c r="S488" s="62"/>
      <c r="T488" s="61"/>
      <c r="U488" s="62"/>
      <c r="V488" s="61"/>
      <c r="W488" s="62"/>
      <c r="X488" s="61"/>
      <c r="Y488" s="62"/>
      <c r="Z488" s="61"/>
      <c r="AA488" s="62"/>
    </row>
    <row r="489" spans="3:27" ht="16.5" customHeight="1">
      <c r="C489" s="118"/>
      <c r="E489" s="61"/>
      <c r="H489" s="61"/>
      <c r="I489" s="60"/>
      <c r="K489" s="62"/>
      <c r="O489" s="60"/>
      <c r="P489" s="61"/>
      <c r="Q489" s="62"/>
      <c r="R489" s="61"/>
      <c r="S489" s="62"/>
      <c r="T489" s="61"/>
      <c r="U489" s="62"/>
      <c r="V489" s="61"/>
      <c r="W489" s="62"/>
      <c r="X489" s="61"/>
      <c r="Y489" s="62"/>
      <c r="Z489" s="61"/>
      <c r="AA489" s="62"/>
    </row>
    <row r="490" spans="3:27" ht="16.5" customHeight="1">
      <c r="C490" s="118"/>
      <c r="E490" s="61"/>
      <c r="H490" s="61"/>
      <c r="I490" s="60"/>
      <c r="K490" s="62"/>
      <c r="O490" s="60"/>
      <c r="P490" s="61"/>
      <c r="Q490" s="62"/>
      <c r="R490" s="61"/>
      <c r="S490" s="62"/>
      <c r="T490" s="61"/>
      <c r="U490" s="62"/>
      <c r="V490" s="61"/>
      <c r="W490" s="62"/>
      <c r="X490" s="61"/>
      <c r="Y490" s="62"/>
      <c r="Z490" s="61"/>
      <c r="AA490" s="62"/>
    </row>
    <row r="491" spans="3:27" ht="16.5" customHeight="1">
      <c r="C491" s="118"/>
      <c r="E491" s="61"/>
      <c r="H491" s="61"/>
      <c r="I491" s="60"/>
      <c r="K491" s="62"/>
      <c r="O491" s="60"/>
      <c r="P491" s="61"/>
      <c r="Q491" s="62"/>
      <c r="R491" s="61"/>
      <c r="S491" s="62"/>
      <c r="T491" s="61"/>
      <c r="U491" s="62"/>
      <c r="V491" s="61"/>
      <c r="W491" s="62"/>
      <c r="X491" s="61"/>
      <c r="Y491" s="62"/>
      <c r="Z491" s="61"/>
      <c r="AA491" s="62"/>
    </row>
    <row r="492" spans="3:27" ht="16.5" customHeight="1">
      <c r="C492" s="118"/>
      <c r="E492" s="61"/>
      <c r="H492" s="61"/>
      <c r="I492" s="60"/>
      <c r="K492" s="62"/>
      <c r="O492" s="60"/>
      <c r="P492" s="61"/>
      <c r="Q492" s="62"/>
      <c r="R492" s="61"/>
      <c r="S492" s="62"/>
      <c r="T492" s="61"/>
      <c r="U492" s="62"/>
      <c r="V492" s="61"/>
      <c r="W492" s="62"/>
      <c r="X492" s="61"/>
      <c r="Y492" s="62"/>
      <c r="Z492" s="61"/>
      <c r="AA492" s="62"/>
    </row>
    <row r="493" spans="3:27" ht="16.5" customHeight="1">
      <c r="C493" s="118"/>
      <c r="E493" s="61"/>
      <c r="H493" s="61"/>
      <c r="I493" s="60"/>
      <c r="K493" s="62"/>
      <c r="O493" s="60"/>
      <c r="P493" s="61"/>
      <c r="Q493" s="62"/>
      <c r="R493" s="61"/>
      <c r="S493" s="62"/>
      <c r="T493" s="61"/>
      <c r="U493" s="62"/>
      <c r="V493" s="61"/>
      <c r="W493" s="62"/>
      <c r="X493" s="61"/>
      <c r="Y493" s="62"/>
      <c r="Z493" s="61"/>
      <c r="AA493" s="62"/>
    </row>
    <row r="494" spans="3:27" ht="16.5" customHeight="1">
      <c r="C494" s="118"/>
      <c r="E494" s="61"/>
      <c r="H494" s="61"/>
      <c r="I494" s="60"/>
      <c r="K494" s="62"/>
      <c r="O494" s="60"/>
      <c r="P494" s="61"/>
      <c r="Q494" s="62"/>
      <c r="R494" s="61"/>
      <c r="S494" s="62"/>
      <c r="T494" s="61"/>
      <c r="U494" s="62"/>
      <c r="V494" s="61"/>
      <c r="W494" s="62"/>
      <c r="X494" s="61"/>
      <c r="Y494" s="62"/>
      <c r="Z494" s="61"/>
      <c r="AA494" s="62"/>
    </row>
    <row r="495" spans="3:27" ht="16.5" customHeight="1">
      <c r="C495" s="118"/>
      <c r="E495" s="61"/>
      <c r="H495" s="61"/>
      <c r="I495" s="60"/>
      <c r="K495" s="62"/>
      <c r="O495" s="60"/>
      <c r="P495" s="61"/>
      <c r="Q495" s="62"/>
      <c r="R495" s="61"/>
      <c r="S495" s="62"/>
      <c r="T495" s="61"/>
      <c r="U495" s="62"/>
      <c r="V495" s="61"/>
      <c r="W495" s="62"/>
      <c r="X495" s="61"/>
      <c r="Y495" s="62"/>
      <c r="Z495" s="61"/>
      <c r="AA495" s="62"/>
    </row>
    <row r="496" spans="3:27" ht="16.5" customHeight="1">
      <c r="C496" s="118"/>
      <c r="E496" s="61"/>
      <c r="H496" s="61"/>
      <c r="I496" s="60"/>
      <c r="K496" s="62"/>
      <c r="O496" s="60"/>
      <c r="P496" s="61"/>
      <c r="Q496" s="62"/>
      <c r="R496" s="61"/>
      <c r="S496" s="62"/>
      <c r="T496" s="61"/>
      <c r="U496" s="62"/>
      <c r="V496" s="61"/>
      <c r="W496" s="62"/>
      <c r="X496" s="61"/>
      <c r="Y496" s="62"/>
      <c r="Z496" s="61"/>
      <c r="AA496" s="62"/>
    </row>
    <row r="497" spans="3:27" ht="16.5" customHeight="1">
      <c r="C497" s="118"/>
      <c r="E497" s="61"/>
      <c r="H497" s="61"/>
      <c r="I497" s="60"/>
      <c r="K497" s="62"/>
      <c r="O497" s="60"/>
      <c r="P497" s="61"/>
      <c r="Q497" s="62"/>
      <c r="R497" s="61"/>
      <c r="S497" s="62"/>
      <c r="T497" s="61"/>
      <c r="U497" s="62"/>
      <c r="V497" s="61"/>
      <c r="W497" s="62"/>
      <c r="X497" s="61"/>
      <c r="Y497" s="62"/>
      <c r="Z497" s="61"/>
      <c r="AA497" s="62"/>
    </row>
    <row r="498" spans="3:27" ht="16.5" customHeight="1">
      <c r="C498" s="118"/>
      <c r="E498" s="61"/>
      <c r="H498" s="61"/>
      <c r="I498" s="60"/>
      <c r="K498" s="62"/>
      <c r="O498" s="60"/>
      <c r="P498" s="61"/>
      <c r="Q498" s="62"/>
      <c r="R498" s="61"/>
      <c r="S498" s="62"/>
      <c r="T498" s="61"/>
      <c r="U498" s="62"/>
      <c r="V498" s="61"/>
      <c r="W498" s="62"/>
      <c r="X498" s="61"/>
      <c r="Y498" s="62"/>
      <c r="Z498" s="61"/>
      <c r="AA498" s="62"/>
    </row>
    <row r="499" spans="3:27" ht="16.5" customHeight="1">
      <c r="C499" s="118"/>
      <c r="E499" s="61"/>
      <c r="H499" s="61"/>
      <c r="I499" s="60"/>
      <c r="K499" s="62"/>
      <c r="O499" s="60"/>
      <c r="P499" s="61"/>
      <c r="Q499" s="62"/>
      <c r="R499" s="61"/>
      <c r="S499" s="62"/>
      <c r="T499" s="61"/>
      <c r="U499" s="62"/>
      <c r="V499" s="61"/>
      <c r="W499" s="62"/>
      <c r="X499" s="61"/>
      <c r="Y499" s="62"/>
      <c r="Z499" s="61"/>
      <c r="AA499" s="62"/>
    </row>
    <row r="500" spans="3:27" ht="16.5" customHeight="1">
      <c r="C500" s="118"/>
      <c r="E500" s="61"/>
      <c r="H500" s="61"/>
      <c r="I500" s="60"/>
      <c r="K500" s="62"/>
      <c r="O500" s="60"/>
      <c r="P500" s="61"/>
      <c r="Q500" s="62"/>
      <c r="R500" s="61"/>
      <c r="S500" s="62"/>
      <c r="T500" s="61"/>
      <c r="U500" s="62"/>
      <c r="V500" s="61"/>
      <c r="W500" s="62"/>
      <c r="X500" s="61"/>
      <c r="Y500" s="62"/>
      <c r="Z500" s="61"/>
      <c r="AA500" s="62"/>
    </row>
    <row r="501" spans="3:27" ht="16.5" customHeight="1">
      <c r="C501" s="118"/>
      <c r="E501" s="61"/>
      <c r="H501" s="61"/>
      <c r="I501" s="60"/>
      <c r="K501" s="62"/>
      <c r="O501" s="60"/>
      <c r="P501" s="61"/>
      <c r="Q501" s="62"/>
      <c r="R501" s="61"/>
      <c r="S501" s="62"/>
      <c r="T501" s="61"/>
      <c r="U501" s="62"/>
      <c r="V501" s="61"/>
      <c r="W501" s="62"/>
      <c r="X501" s="61"/>
      <c r="Y501" s="62"/>
      <c r="Z501" s="61"/>
      <c r="AA501" s="62"/>
    </row>
    <row r="502" spans="3:27" ht="16.5" customHeight="1">
      <c r="C502" s="118"/>
      <c r="E502" s="61"/>
      <c r="H502" s="61"/>
      <c r="I502" s="60"/>
      <c r="K502" s="62"/>
      <c r="O502" s="60"/>
      <c r="P502" s="61"/>
      <c r="Q502" s="62"/>
      <c r="R502" s="61"/>
      <c r="S502" s="62"/>
      <c r="T502" s="61"/>
      <c r="U502" s="62"/>
      <c r="V502" s="61"/>
      <c r="W502" s="62"/>
      <c r="X502" s="61"/>
      <c r="Y502" s="62"/>
      <c r="Z502" s="61"/>
      <c r="AA502" s="62"/>
    </row>
    <row r="503" spans="3:27" ht="16.5" customHeight="1">
      <c r="C503" s="118"/>
      <c r="E503" s="61"/>
      <c r="H503" s="61"/>
      <c r="I503" s="60"/>
      <c r="K503" s="62"/>
      <c r="O503" s="60"/>
      <c r="P503" s="61"/>
      <c r="Q503" s="62"/>
      <c r="R503" s="61"/>
      <c r="S503" s="62"/>
      <c r="T503" s="61"/>
      <c r="U503" s="62"/>
      <c r="V503" s="61"/>
      <c r="W503" s="62"/>
      <c r="X503" s="61"/>
      <c r="Y503" s="62"/>
      <c r="Z503" s="61"/>
      <c r="AA503" s="62"/>
    </row>
    <row r="504" spans="3:27" ht="16.5" customHeight="1">
      <c r="C504" s="118"/>
      <c r="E504" s="61"/>
      <c r="H504" s="61"/>
      <c r="I504" s="60"/>
      <c r="K504" s="62"/>
      <c r="O504" s="60"/>
      <c r="P504" s="61"/>
      <c r="Q504" s="62"/>
      <c r="R504" s="61"/>
      <c r="S504" s="62"/>
      <c r="T504" s="61"/>
      <c r="U504" s="62"/>
      <c r="V504" s="61"/>
      <c r="W504" s="62"/>
      <c r="X504" s="61"/>
      <c r="Y504" s="62"/>
      <c r="Z504" s="61"/>
      <c r="AA504" s="62"/>
    </row>
    <row r="505" spans="3:27" ht="16.5" customHeight="1">
      <c r="C505" s="118"/>
      <c r="E505" s="61"/>
      <c r="H505" s="61"/>
      <c r="I505" s="60"/>
      <c r="K505" s="62"/>
      <c r="O505" s="60"/>
      <c r="P505" s="61"/>
      <c r="Q505" s="62"/>
      <c r="R505" s="61"/>
      <c r="S505" s="62"/>
      <c r="T505" s="61"/>
      <c r="U505" s="62"/>
      <c r="V505" s="61"/>
      <c r="W505" s="62"/>
      <c r="X505" s="61"/>
      <c r="Y505" s="62"/>
      <c r="Z505" s="61"/>
      <c r="AA505" s="62"/>
    </row>
    <row r="506" spans="3:27" ht="16.5" customHeight="1">
      <c r="C506" s="118"/>
      <c r="E506" s="61"/>
      <c r="H506" s="61"/>
      <c r="I506" s="60"/>
      <c r="K506" s="62"/>
      <c r="O506" s="60"/>
      <c r="P506" s="61"/>
      <c r="Q506" s="62"/>
      <c r="R506" s="61"/>
      <c r="S506" s="62"/>
      <c r="T506" s="61"/>
      <c r="U506" s="62"/>
      <c r="V506" s="61"/>
      <c r="W506" s="62"/>
      <c r="X506" s="61"/>
      <c r="Y506" s="62"/>
      <c r="Z506" s="61"/>
      <c r="AA506" s="62"/>
    </row>
    <row r="507" spans="3:27" ht="16.5" customHeight="1">
      <c r="C507" s="118"/>
      <c r="E507" s="61"/>
      <c r="H507" s="61"/>
      <c r="I507" s="60"/>
      <c r="K507" s="62"/>
      <c r="O507" s="60"/>
      <c r="P507" s="61"/>
      <c r="Q507" s="62"/>
      <c r="R507" s="61"/>
      <c r="S507" s="62"/>
      <c r="T507" s="61"/>
      <c r="U507" s="62"/>
      <c r="V507" s="61"/>
      <c r="W507" s="62"/>
      <c r="X507" s="61"/>
      <c r="Y507" s="62"/>
      <c r="Z507" s="61"/>
      <c r="AA507" s="62"/>
    </row>
    <row r="508" spans="3:27" ht="16.5" customHeight="1">
      <c r="C508" s="118"/>
      <c r="E508" s="61"/>
      <c r="H508" s="61"/>
      <c r="I508" s="60"/>
      <c r="K508" s="62"/>
      <c r="O508" s="60"/>
      <c r="P508" s="61"/>
      <c r="Q508" s="62"/>
      <c r="R508" s="61"/>
      <c r="S508" s="62"/>
      <c r="T508" s="61"/>
      <c r="U508" s="62"/>
      <c r="V508" s="61"/>
      <c r="W508" s="62"/>
      <c r="X508" s="61"/>
      <c r="Y508" s="62"/>
      <c r="Z508" s="61"/>
      <c r="AA508" s="62"/>
    </row>
    <row r="509" spans="3:27" ht="16.5" customHeight="1">
      <c r="C509" s="118"/>
      <c r="E509" s="61"/>
      <c r="H509" s="61"/>
      <c r="I509" s="60"/>
      <c r="K509" s="62"/>
      <c r="O509" s="60"/>
      <c r="P509" s="61"/>
      <c r="Q509" s="62"/>
      <c r="R509" s="61"/>
      <c r="S509" s="62"/>
      <c r="T509" s="61"/>
      <c r="U509" s="62"/>
      <c r="V509" s="61"/>
      <c r="W509" s="62"/>
      <c r="X509" s="61"/>
      <c r="Y509" s="62"/>
      <c r="Z509" s="61"/>
      <c r="AA509" s="62"/>
    </row>
    <row r="510" spans="3:27" ht="16.5" customHeight="1">
      <c r="C510" s="118"/>
      <c r="E510" s="61"/>
      <c r="H510" s="61"/>
      <c r="I510" s="60"/>
      <c r="K510" s="62"/>
      <c r="O510" s="60"/>
      <c r="P510" s="61"/>
      <c r="Q510" s="62"/>
      <c r="R510" s="61"/>
      <c r="S510" s="62"/>
      <c r="T510" s="61"/>
      <c r="U510" s="62"/>
      <c r="V510" s="61"/>
      <c r="W510" s="62"/>
      <c r="X510" s="61"/>
      <c r="Y510" s="62"/>
      <c r="Z510" s="61"/>
      <c r="AA510" s="62"/>
    </row>
    <row r="511" spans="3:27" ht="16.5" customHeight="1">
      <c r="C511" s="118"/>
      <c r="E511" s="61"/>
      <c r="H511" s="61"/>
      <c r="I511" s="60"/>
      <c r="K511" s="62"/>
      <c r="O511" s="60"/>
      <c r="P511" s="61"/>
      <c r="Q511" s="62"/>
      <c r="R511" s="61"/>
      <c r="S511" s="62"/>
      <c r="T511" s="61"/>
      <c r="U511" s="62"/>
      <c r="V511" s="61"/>
      <c r="W511" s="62"/>
      <c r="X511" s="61"/>
      <c r="Y511" s="62"/>
      <c r="Z511" s="61"/>
      <c r="AA511" s="62"/>
    </row>
    <row r="512" spans="3:27" ht="16.5" customHeight="1">
      <c r="C512" s="118"/>
      <c r="E512" s="61"/>
      <c r="H512" s="61"/>
      <c r="I512" s="60"/>
      <c r="K512" s="62"/>
      <c r="O512" s="60"/>
      <c r="P512" s="61"/>
      <c r="Q512" s="62"/>
      <c r="R512" s="61"/>
      <c r="S512" s="62"/>
      <c r="T512" s="61"/>
      <c r="U512" s="62"/>
      <c r="V512" s="61"/>
      <c r="W512" s="62"/>
      <c r="X512" s="61"/>
      <c r="Y512" s="62"/>
      <c r="Z512" s="61"/>
      <c r="AA512" s="62"/>
    </row>
    <row r="513" spans="3:27" ht="16.5" customHeight="1">
      <c r="C513" s="118"/>
      <c r="E513" s="61"/>
      <c r="H513" s="61"/>
      <c r="I513" s="60"/>
      <c r="K513" s="62"/>
      <c r="O513" s="60"/>
      <c r="P513" s="61"/>
      <c r="Q513" s="62"/>
      <c r="R513" s="61"/>
      <c r="S513" s="62"/>
      <c r="T513" s="61"/>
      <c r="U513" s="62"/>
      <c r="V513" s="61"/>
      <c r="W513" s="62"/>
      <c r="X513" s="61"/>
      <c r="Y513" s="62"/>
      <c r="Z513" s="61"/>
      <c r="AA513" s="62"/>
    </row>
    <row r="514" spans="3:27" ht="16.5" customHeight="1">
      <c r="C514" s="118"/>
      <c r="E514" s="61"/>
      <c r="H514" s="61"/>
      <c r="I514" s="60"/>
      <c r="K514" s="62"/>
      <c r="O514" s="60"/>
      <c r="P514" s="61"/>
      <c r="Q514" s="62"/>
      <c r="R514" s="61"/>
      <c r="S514" s="62"/>
      <c r="T514" s="61"/>
      <c r="U514" s="62"/>
      <c r="V514" s="61"/>
      <c r="W514" s="62"/>
      <c r="X514" s="61"/>
      <c r="Y514" s="62"/>
      <c r="Z514" s="61"/>
      <c r="AA514" s="62"/>
    </row>
    <row r="515" spans="3:27" ht="16.5" customHeight="1">
      <c r="C515" s="118"/>
      <c r="E515" s="61"/>
      <c r="H515" s="61"/>
      <c r="I515" s="60"/>
      <c r="K515" s="62"/>
      <c r="O515" s="60"/>
      <c r="P515" s="61"/>
      <c r="Q515" s="62"/>
      <c r="R515" s="61"/>
      <c r="S515" s="62"/>
      <c r="T515" s="61"/>
      <c r="U515" s="62"/>
      <c r="V515" s="61"/>
      <c r="W515" s="62"/>
      <c r="X515" s="61"/>
      <c r="Y515" s="62"/>
      <c r="Z515" s="61"/>
      <c r="AA515" s="62"/>
    </row>
    <row r="516" spans="3:27" ht="16.5" customHeight="1">
      <c r="C516" s="118"/>
      <c r="E516" s="61"/>
      <c r="H516" s="61"/>
      <c r="I516" s="60"/>
      <c r="K516" s="62"/>
      <c r="O516" s="60"/>
      <c r="P516" s="61"/>
      <c r="Q516" s="62"/>
      <c r="R516" s="61"/>
      <c r="S516" s="62"/>
      <c r="T516" s="61"/>
      <c r="U516" s="62"/>
      <c r="V516" s="61"/>
      <c r="W516" s="62"/>
      <c r="X516" s="61"/>
      <c r="Y516" s="62"/>
      <c r="Z516" s="61"/>
      <c r="AA516" s="62"/>
    </row>
    <row r="517" spans="3:27" ht="16.5" customHeight="1">
      <c r="C517" s="118"/>
      <c r="E517" s="61"/>
      <c r="H517" s="61"/>
      <c r="I517" s="60"/>
      <c r="K517" s="62"/>
      <c r="O517" s="60"/>
      <c r="P517" s="61"/>
      <c r="Q517" s="62"/>
      <c r="R517" s="61"/>
      <c r="S517" s="62"/>
      <c r="T517" s="61"/>
      <c r="U517" s="62"/>
      <c r="V517" s="61"/>
      <c r="W517" s="62"/>
      <c r="X517" s="61"/>
      <c r="Y517" s="62"/>
      <c r="Z517" s="61"/>
      <c r="AA517" s="62"/>
    </row>
    <row r="518" spans="3:27" ht="16.5" customHeight="1">
      <c r="C518" s="118"/>
      <c r="E518" s="61"/>
      <c r="H518" s="61"/>
      <c r="I518" s="60"/>
      <c r="K518" s="62"/>
      <c r="O518" s="60"/>
      <c r="P518" s="61"/>
      <c r="Q518" s="62"/>
      <c r="R518" s="61"/>
      <c r="S518" s="62"/>
      <c r="T518" s="61"/>
      <c r="U518" s="62"/>
      <c r="V518" s="61"/>
      <c r="W518" s="62"/>
      <c r="X518" s="61"/>
      <c r="Y518" s="62"/>
      <c r="Z518" s="61"/>
      <c r="AA518" s="62"/>
    </row>
    <row r="519" spans="3:27" ht="16.5" customHeight="1">
      <c r="C519" s="118"/>
      <c r="E519" s="61"/>
      <c r="H519" s="61"/>
      <c r="I519" s="60"/>
      <c r="K519" s="62"/>
      <c r="O519" s="60"/>
      <c r="P519" s="61"/>
      <c r="Q519" s="62"/>
      <c r="R519" s="61"/>
      <c r="S519" s="62"/>
      <c r="T519" s="61"/>
      <c r="U519" s="62"/>
      <c r="V519" s="61"/>
      <c r="W519" s="62"/>
      <c r="X519" s="61"/>
      <c r="Y519" s="62"/>
      <c r="Z519" s="61"/>
      <c r="AA519" s="62"/>
    </row>
    <row r="520" spans="3:27" ht="16.5" customHeight="1">
      <c r="C520" s="118"/>
      <c r="E520" s="61"/>
      <c r="H520" s="61"/>
      <c r="I520" s="60"/>
      <c r="K520" s="62"/>
      <c r="O520" s="60"/>
      <c r="P520" s="61"/>
      <c r="Q520" s="62"/>
      <c r="R520" s="61"/>
      <c r="S520" s="62"/>
      <c r="T520" s="61"/>
      <c r="U520" s="62"/>
      <c r="V520" s="61"/>
      <c r="W520" s="62"/>
      <c r="X520" s="61"/>
      <c r="Y520" s="62"/>
      <c r="Z520" s="61"/>
      <c r="AA520" s="62"/>
    </row>
    <row r="521" spans="3:27" ht="16.5" customHeight="1">
      <c r="C521" s="118"/>
      <c r="E521" s="61"/>
      <c r="H521" s="61"/>
      <c r="I521" s="60"/>
      <c r="K521" s="62"/>
      <c r="O521" s="60"/>
      <c r="P521" s="61"/>
      <c r="Q521" s="62"/>
      <c r="R521" s="61"/>
      <c r="S521" s="62"/>
      <c r="T521" s="61"/>
      <c r="U521" s="62"/>
      <c r="V521" s="61"/>
      <c r="W521" s="62"/>
      <c r="X521" s="61"/>
      <c r="Y521" s="62"/>
      <c r="Z521" s="61"/>
      <c r="AA521" s="62"/>
    </row>
    <row r="522" spans="3:27" ht="16.5" customHeight="1">
      <c r="C522" s="118"/>
      <c r="E522" s="61"/>
      <c r="H522" s="61"/>
      <c r="I522" s="60"/>
      <c r="K522" s="62"/>
      <c r="O522" s="60"/>
      <c r="P522" s="61"/>
      <c r="Q522" s="62"/>
      <c r="R522" s="61"/>
      <c r="S522" s="62"/>
      <c r="T522" s="61"/>
      <c r="U522" s="62"/>
      <c r="V522" s="61"/>
      <c r="W522" s="62"/>
      <c r="X522" s="61"/>
      <c r="Y522" s="62"/>
      <c r="Z522" s="61"/>
      <c r="AA522" s="62"/>
    </row>
    <row r="523" spans="3:27" ht="16.5" customHeight="1">
      <c r="C523" s="118"/>
      <c r="E523" s="61"/>
      <c r="H523" s="61"/>
      <c r="I523" s="60"/>
      <c r="K523" s="62"/>
      <c r="O523" s="60"/>
      <c r="P523" s="61"/>
      <c r="Q523" s="62"/>
      <c r="R523" s="61"/>
      <c r="S523" s="62"/>
      <c r="T523" s="61"/>
      <c r="U523" s="62"/>
      <c r="V523" s="61"/>
      <c r="W523" s="62"/>
      <c r="X523" s="61"/>
      <c r="Y523" s="62"/>
      <c r="Z523" s="61"/>
      <c r="AA523" s="62"/>
    </row>
    <row r="524" spans="3:27" ht="16.5" customHeight="1">
      <c r="C524" s="118"/>
      <c r="E524" s="61"/>
      <c r="H524" s="61"/>
      <c r="I524" s="60"/>
      <c r="K524" s="62"/>
      <c r="O524" s="60"/>
      <c r="P524" s="61"/>
      <c r="Q524" s="62"/>
      <c r="R524" s="61"/>
      <c r="S524" s="62"/>
      <c r="T524" s="61"/>
      <c r="U524" s="62"/>
      <c r="V524" s="61"/>
      <c r="W524" s="62"/>
      <c r="X524" s="61"/>
      <c r="Y524" s="62"/>
      <c r="Z524" s="61"/>
      <c r="AA524" s="62"/>
    </row>
    <row r="525" spans="3:27" ht="16.5" customHeight="1">
      <c r="C525" s="118"/>
      <c r="E525" s="61"/>
      <c r="H525" s="61"/>
      <c r="I525" s="60"/>
      <c r="K525" s="62"/>
      <c r="O525" s="60"/>
      <c r="P525" s="61"/>
      <c r="Q525" s="62"/>
      <c r="R525" s="61"/>
      <c r="S525" s="62"/>
      <c r="T525" s="61"/>
      <c r="U525" s="62"/>
      <c r="V525" s="61"/>
      <c r="W525" s="62"/>
      <c r="X525" s="61"/>
      <c r="Y525" s="62"/>
      <c r="Z525" s="61"/>
      <c r="AA525" s="62"/>
    </row>
    <row r="526" spans="3:27" ht="16.5" customHeight="1">
      <c r="C526" s="118"/>
      <c r="E526" s="61"/>
      <c r="H526" s="61"/>
      <c r="I526" s="60"/>
      <c r="K526" s="62"/>
      <c r="O526" s="60"/>
      <c r="P526" s="61"/>
      <c r="Q526" s="62"/>
      <c r="R526" s="61"/>
      <c r="S526" s="62"/>
      <c r="T526" s="61"/>
      <c r="U526" s="62"/>
      <c r="V526" s="61"/>
      <c r="W526" s="62"/>
      <c r="X526" s="61"/>
      <c r="Y526" s="62"/>
      <c r="Z526" s="61"/>
      <c r="AA526" s="62"/>
    </row>
    <row r="527" spans="3:27" ht="16.5" customHeight="1">
      <c r="C527" s="118"/>
      <c r="E527" s="61"/>
      <c r="H527" s="61"/>
      <c r="I527" s="60"/>
      <c r="K527" s="62"/>
      <c r="O527" s="60"/>
      <c r="P527" s="61"/>
      <c r="Q527" s="62"/>
      <c r="R527" s="61"/>
      <c r="S527" s="62"/>
      <c r="T527" s="61"/>
      <c r="U527" s="62"/>
      <c r="V527" s="61"/>
      <c r="W527" s="62"/>
      <c r="X527" s="61"/>
      <c r="Y527" s="62"/>
      <c r="Z527" s="61"/>
      <c r="AA527" s="62"/>
    </row>
    <row r="528" spans="3:27" ht="16.5" customHeight="1">
      <c r="C528" s="118"/>
      <c r="E528" s="61"/>
      <c r="H528" s="61"/>
      <c r="I528" s="60"/>
      <c r="K528" s="62"/>
      <c r="O528" s="60"/>
      <c r="P528" s="61"/>
      <c r="Q528" s="62"/>
      <c r="R528" s="61"/>
      <c r="S528" s="62"/>
      <c r="T528" s="61"/>
      <c r="U528" s="62"/>
      <c r="V528" s="61"/>
      <c r="W528" s="62"/>
      <c r="X528" s="61"/>
      <c r="Y528" s="62"/>
      <c r="Z528" s="61"/>
      <c r="AA528" s="62"/>
    </row>
    <row r="529" spans="3:27" ht="16.5" customHeight="1">
      <c r="C529" s="118"/>
      <c r="E529" s="61"/>
      <c r="H529" s="61"/>
      <c r="I529" s="60"/>
      <c r="K529" s="62"/>
      <c r="O529" s="60"/>
      <c r="P529" s="61"/>
      <c r="Q529" s="62"/>
      <c r="R529" s="61"/>
      <c r="S529" s="62"/>
      <c r="T529" s="61"/>
      <c r="U529" s="62"/>
      <c r="V529" s="61"/>
      <c r="W529" s="62"/>
      <c r="X529" s="61"/>
      <c r="Y529" s="62"/>
      <c r="Z529" s="61"/>
      <c r="AA529" s="62"/>
    </row>
    <row r="530" spans="3:27" ht="16.5" customHeight="1">
      <c r="C530" s="118"/>
      <c r="E530" s="61"/>
      <c r="H530" s="61"/>
      <c r="I530" s="60"/>
      <c r="K530" s="62"/>
      <c r="O530" s="60"/>
      <c r="P530" s="61"/>
      <c r="Q530" s="62"/>
      <c r="R530" s="61"/>
      <c r="S530" s="62"/>
      <c r="T530" s="61"/>
      <c r="U530" s="62"/>
      <c r="V530" s="61"/>
      <c r="W530" s="62"/>
      <c r="X530" s="61"/>
      <c r="Y530" s="62"/>
      <c r="Z530" s="61"/>
      <c r="AA530" s="62"/>
    </row>
    <row r="531" spans="3:27" ht="16.5" customHeight="1">
      <c r="C531" s="118"/>
      <c r="E531" s="61"/>
      <c r="H531" s="61"/>
      <c r="I531" s="60"/>
      <c r="K531" s="62"/>
      <c r="O531" s="60"/>
      <c r="P531" s="61"/>
      <c r="Q531" s="62"/>
      <c r="R531" s="61"/>
      <c r="S531" s="62"/>
      <c r="T531" s="61"/>
      <c r="U531" s="62"/>
      <c r="V531" s="61"/>
      <c r="W531" s="62"/>
      <c r="X531" s="61"/>
      <c r="Y531" s="62"/>
      <c r="Z531" s="61"/>
      <c r="AA531" s="62"/>
    </row>
    <row r="532" spans="3:27" ht="16.5" customHeight="1">
      <c r="C532" s="118"/>
      <c r="E532" s="61"/>
      <c r="H532" s="61"/>
      <c r="I532" s="60"/>
      <c r="K532" s="62"/>
      <c r="O532" s="60"/>
      <c r="P532" s="61"/>
      <c r="Q532" s="62"/>
      <c r="R532" s="61"/>
      <c r="S532" s="62"/>
      <c r="T532" s="61"/>
      <c r="U532" s="62"/>
      <c r="V532" s="61"/>
      <c r="W532" s="62"/>
      <c r="X532" s="61"/>
      <c r="Y532" s="62"/>
      <c r="Z532" s="61"/>
      <c r="AA532" s="62"/>
    </row>
    <row r="533" spans="3:27" ht="16.5" customHeight="1">
      <c r="C533" s="118"/>
      <c r="E533" s="61"/>
      <c r="H533" s="61"/>
      <c r="I533" s="60"/>
      <c r="K533" s="62"/>
      <c r="O533" s="60"/>
      <c r="P533" s="61"/>
      <c r="Q533" s="62"/>
      <c r="R533" s="61"/>
      <c r="S533" s="62"/>
      <c r="T533" s="61"/>
      <c r="U533" s="62"/>
      <c r="V533" s="61"/>
      <c r="W533" s="62"/>
      <c r="X533" s="61"/>
      <c r="Y533" s="62"/>
      <c r="Z533" s="61"/>
      <c r="AA533" s="62"/>
    </row>
    <row r="534" spans="3:27" ht="16.5" customHeight="1">
      <c r="C534" s="118"/>
      <c r="E534" s="61"/>
      <c r="H534" s="61"/>
      <c r="I534" s="60"/>
      <c r="K534" s="62"/>
      <c r="O534" s="60"/>
      <c r="P534" s="61"/>
      <c r="Q534" s="62"/>
      <c r="R534" s="61"/>
      <c r="S534" s="62"/>
      <c r="T534" s="61"/>
      <c r="U534" s="62"/>
      <c r="V534" s="61"/>
      <c r="W534" s="62"/>
      <c r="X534" s="61"/>
      <c r="Y534" s="62"/>
      <c r="Z534" s="61"/>
      <c r="AA534" s="62"/>
    </row>
    <row r="535" spans="3:27" ht="16.5" customHeight="1">
      <c r="C535" s="118"/>
      <c r="E535" s="61"/>
      <c r="H535" s="61"/>
      <c r="I535" s="60"/>
      <c r="K535" s="62"/>
      <c r="O535" s="60"/>
      <c r="P535" s="61"/>
      <c r="Q535" s="62"/>
      <c r="R535" s="61"/>
      <c r="S535" s="62"/>
      <c r="T535" s="61"/>
      <c r="U535" s="62"/>
      <c r="V535" s="61"/>
      <c r="W535" s="62"/>
      <c r="X535" s="61"/>
      <c r="Y535" s="62"/>
      <c r="Z535" s="61"/>
      <c r="AA535" s="62"/>
    </row>
    <row r="536" spans="3:27" ht="16.5" customHeight="1">
      <c r="C536" s="118"/>
      <c r="E536" s="61"/>
      <c r="H536" s="61"/>
      <c r="I536" s="60"/>
      <c r="K536" s="62"/>
      <c r="O536" s="60"/>
      <c r="P536" s="61"/>
      <c r="Q536" s="62"/>
      <c r="R536" s="61"/>
      <c r="S536" s="62"/>
      <c r="T536" s="61"/>
      <c r="U536" s="62"/>
      <c r="V536" s="61"/>
      <c r="W536" s="62"/>
      <c r="X536" s="61"/>
      <c r="Y536" s="62"/>
      <c r="Z536" s="61"/>
      <c r="AA536" s="62"/>
    </row>
    <row r="537" spans="3:27" ht="16.5" customHeight="1">
      <c r="C537" s="118"/>
      <c r="E537" s="61"/>
      <c r="H537" s="61"/>
      <c r="I537" s="60"/>
      <c r="K537" s="62"/>
      <c r="O537" s="60"/>
      <c r="P537" s="61"/>
      <c r="Q537" s="62"/>
      <c r="R537" s="61"/>
      <c r="S537" s="62"/>
      <c r="T537" s="61"/>
      <c r="U537" s="62"/>
      <c r="V537" s="61"/>
      <c r="W537" s="62"/>
      <c r="X537" s="61"/>
      <c r="Y537" s="62"/>
      <c r="Z537" s="61"/>
      <c r="AA537" s="62"/>
    </row>
    <row r="538" spans="3:27" ht="16.5" customHeight="1">
      <c r="C538" s="118"/>
      <c r="E538" s="61"/>
      <c r="H538" s="61"/>
      <c r="I538" s="60"/>
      <c r="K538" s="62"/>
      <c r="O538" s="60"/>
      <c r="P538" s="61"/>
      <c r="Q538" s="62"/>
      <c r="R538" s="61"/>
      <c r="S538" s="62"/>
      <c r="T538" s="61"/>
      <c r="U538" s="62"/>
      <c r="V538" s="61"/>
      <c r="W538" s="62"/>
      <c r="X538" s="61"/>
      <c r="Y538" s="62"/>
      <c r="Z538" s="61"/>
      <c r="AA538" s="62"/>
    </row>
    <row r="539" spans="3:27" ht="16.5" customHeight="1">
      <c r="C539" s="118"/>
      <c r="E539" s="61"/>
      <c r="H539" s="61"/>
      <c r="I539" s="60"/>
      <c r="K539" s="62"/>
      <c r="O539" s="60"/>
      <c r="P539" s="61"/>
      <c r="Q539" s="62"/>
      <c r="R539" s="61"/>
      <c r="S539" s="62"/>
      <c r="T539" s="61"/>
      <c r="U539" s="62"/>
      <c r="V539" s="61"/>
      <c r="W539" s="62"/>
      <c r="X539" s="61"/>
      <c r="Y539" s="62"/>
      <c r="Z539" s="61"/>
      <c r="AA539" s="62"/>
    </row>
    <row r="540" spans="3:27" ht="16.5" customHeight="1">
      <c r="C540" s="118"/>
      <c r="E540" s="61"/>
      <c r="H540" s="61"/>
      <c r="I540" s="60"/>
      <c r="K540" s="62"/>
      <c r="O540" s="60"/>
      <c r="P540" s="61"/>
      <c r="Q540" s="62"/>
      <c r="R540" s="61"/>
      <c r="S540" s="62"/>
      <c r="T540" s="61"/>
      <c r="U540" s="62"/>
      <c r="V540" s="61"/>
      <c r="W540" s="62"/>
      <c r="X540" s="61"/>
      <c r="Y540" s="62"/>
      <c r="Z540" s="61"/>
      <c r="AA540" s="62"/>
    </row>
    <row r="541" spans="3:27" ht="16.5" customHeight="1">
      <c r="C541" s="118"/>
      <c r="E541" s="61"/>
      <c r="H541" s="61"/>
      <c r="I541" s="60"/>
      <c r="K541" s="62"/>
      <c r="O541" s="60"/>
      <c r="P541" s="61"/>
      <c r="Q541" s="62"/>
      <c r="R541" s="61"/>
      <c r="S541" s="62"/>
      <c r="T541" s="61"/>
      <c r="U541" s="62"/>
      <c r="V541" s="61"/>
      <c r="W541" s="62"/>
      <c r="X541" s="61"/>
      <c r="Y541" s="62"/>
      <c r="Z541" s="61"/>
      <c r="AA541" s="62"/>
    </row>
    <row r="542" spans="3:27" ht="16.5" customHeight="1">
      <c r="C542" s="118"/>
      <c r="E542" s="61"/>
      <c r="H542" s="61"/>
      <c r="I542" s="60"/>
      <c r="K542" s="62"/>
      <c r="O542" s="60"/>
      <c r="P542" s="61"/>
      <c r="Q542" s="62"/>
      <c r="R542" s="61"/>
      <c r="S542" s="62"/>
      <c r="T542" s="61"/>
      <c r="U542" s="62"/>
      <c r="V542" s="61"/>
      <c r="W542" s="62"/>
      <c r="X542" s="61"/>
      <c r="Y542" s="62"/>
      <c r="Z542" s="61"/>
      <c r="AA542" s="62"/>
    </row>
    <row r="543" spans="3:27" ht="16.5" customHeight="1">
      <c r="C543" s="118"/>
      <c r="E543" s="61"/>
      <c r="H543" s="61"/>
      <c r="I543" s="60"/>
      <c r="K543" s="62"/>
      <c r="O543" s="60"/>
      <c r="P543" s="61"/>
      <c r="Q543" s="62"/>
      <c r="R543" s="61"/>
      <c r="S543" s="62"/>
      <c r="T543" s="61"/>
      <c r="U543" s="62"/>
      <c r="V543" s="61"/>
      <c r="W543" s="62"/>
      <c r="X543" s="61"/>
      <c r="Y543" s="62"/>
      <c r="Z543" s="61"/>
      <c r="AA543" s="62"/>
    </row>
    <row r="544" spans="3:27" ht="16.5" customHeight="1">
      <c r="C544" s="118"/>
      <c r="E544" s="61"/>
      <c r="H544" s="61"/>
      <c r="I544" s="60"/>
      <c r="K544" s="62"/>
      <c r="O544" s="60"/>
      <c r="P544" s="61"/>
      <c r="Q544" s="62"/>
      <c r="R544" s="61"/>
      <c r="S544" s="62"/>
      <c r="T544" s="61"/>
      <c r="U544" s="62"/>
      <c r="V544" s="61"/>
      <c r="W544" s="62"/>
      <c r="X544" s="61"/>
      <c r="Y544" s="62"/>
      <c r="Z544" s="61"/>
      <c r="AA544" s="62"/>
    </row>
    <row r="545" spans="3:27" ht="16.5" customHeight="1">
      <c r="C545" s="118"/>
      <c r="E545" s="61"/>
      <c r="H545" s="61"/>
      <c r="I545" s="60"/>
      <c r="K545" s="62"/>
      <c r="O545" s="60"/>
      <c r="P545" s="61"/>
      <c r="Q545" s="62"/>
      <c r="R545" s="61"/>
      <c r="S545" s="62"/>
      <c r="T545" s="61"/>
      <c r="U545" s="62"/>
      <c r="V545" s="61"/>
      <c r="W545" s="62"/>
      <c r="X545" s="61"/>
      <c r="Y545" s="62"/>
      <c r="Z545" s="61"/>
      <c r="AA545" s="62"/>
    </row>
    <row r="546" spans="3:27" ht="16.5" customHeight="1">
      <c r="C546" s="118"/>
      <c r="E546" s="61"/>
      <c r="H546" s="61"/>
      <c r="I546" s="60"/>
      <c r="K546" s="62"/>
      <c r="O546" s="60"/>
      <c r="P546" s="61"/>
      <c r="Q546" s="62"/>
      <c r="R546" s="61"/>
      <c r="S546" s="62"/>
      <c r="T546" s="61"/>
      <c r="U546" s="62"/>
      <c r="V546" s="61"/>
      <c r="W546" s="62"/>
      <c r="X546" s="61"/>
      <c r="Y546" s="62"/>
      <c r="Z546" s="61"/>
      <c r="AA546" s="62"/>
    </row>
    <row r="547" spans="3:27" ht="16.5" customHeight="1">
      <c r="C547" s="118"/>
      <c r="E547" s="61"/>
      <c r="H547" s="61"/>
      <c r="I547" s="60"/>
      <c r="K547" s="62"/>
      <c r="O547" s="60"/>
      <c r="P547" s="61"/>
      <c r="Q547" s="62"/>
      <c r="R547" s="61"/>
      <c r="S547" s="62"/>
      <c r="T547" s="61"/>
      <c r="U547" s="62"/>
      <c r="V547" s="61"/>
      <c r="W547" s="62"/>
      <c r="X547" s="61"/>
      <c r="Y547" s="62"/>
      <c r="Z547" s="61"/>
      <c r="AA547" s="62"/>
    </row>
    <row r="548" spans="3:27" ht="16.5" customHeight="1">
      <c r="C548" s="118"/>
      <c r="E548" s="61"/>
      <c r="H548" s="61"/>
      <c r="I548" s="60"/>
      <c r="K548" s="62"/>
      <c r="O548" s="60"/>
      <c r="P548" s="61"/>
      <c r="Q548" s="62"/>
      <c r="R548" s="61"/>
      <c r="S548" s="62"/>
      <c r="T548" s="61"/>
      <c r="U548" s="62"/>
      <c r="V548" s="61"/>
      <c r="W548" s="62"/>
      <c r="X548" s="61"/>
      <c r="Y548" s="62"/>
      <c r="Z548" s="61"/>
      <c r="AA548" s="62"/>
    </row>
    <row r="549" spans="3:27" ht="16.5" customHeight="1">
      <c r="C549" s="118"/>
      <c r="E549" s="61"/>
      <c r="H549" s="61"/>
      <c r="I549" s="60"/>
      <c r="K549" s="62"/>
      <c r="O549" s="60"/>
      <c r="P549" s="61"/>
      <c r="Q549" s="62"/>
      <c r="R549" s="61"/>
      <c r="S549" s="62"/>
      <c r="T549" s="61"/>
      <c r="U549" s="62"/>
      <c r="V549" s="61"/>
      <c r="W549" s="62"/>
      <c r="X549" s="61"/>
      <c r="Y549" s="62"/>
      <c r="Z549" s="61"/>
      <c r="AA549" s="62"/>
    </row>
    <row r="550" spans="3:27" ht="16.5" customHeight="1">
      <c r="C550" s="118"/>
      <c r="E550" s="61"/>
      <c r="H550" s="61"/>
      <c r="I550" s="60"/>
      <c r="K550" s="62"/>
      <c r="O550" s="60"/>
      <c r="P550" s="61"/>
      <c r="Q550" s="62"/>
      <c r="R550" s="61"/>
      <c r="S550" s="62"/>
      <c r="T550" s="61"/>
      <c r="U550" s="62"/>
      <c r="V550" s="61"/>
      <c r="W550" s="62"/>
      <c r="X550" s="61"/>
      <c r="Y550" s="62"/>
      <c r="Z550" s="61"/>
      <c r="AA550" s="62"/>
    </row>
    <row r="551" spans="3:27" ht="16.5" customHeight="1">
      <c r="C551" s="118"/>
      <c r="E551" s="61"/>
      <c r="H551" s="61"/>
      <c r="I551" s="60"/>
      <c r="K551" s="62"/>
      <c r="O551" s="60"/>
      <c r="P551" s="61"/>
      <c r="Q551" s="62"/>
      <c r="R551" s="61"/>
      <c r="S551" s="62"/>
      <c r="T551" s="61"/>
      <c r="U551" s="62"/>
      <c r="V551" s="61"/>
      <c r="W551" s="62"/>
      <c r="X551" s="61"/>
      <c r="Y551" s="62"/>
      <c r="Z551" s="61"/>
      <c r="AA551" s="62"/>
    </row>
    <row r="552" spans="3:27" ht="16.5" customHeight="1">
      <c r="C552" s="118"/>
      <c r="E552" s="61"/>
      <c r="H552" s="61"/>
      <c r="I552" s="60"/>
      <c r="K552" s="62"/>
      <c r="O552" s="60"/>
      <c r="P552" s="61"/>
      <c r="Q552" s="62"/>
      <c r="R552" s="61"/>
      <c r="S552" s="62"/>
      <c r="T552" s="61"/>
      <c r="U552" s="62"/>
      <c r="V552" s="61"/>
      <c r="W552" s="62"/>
      <c r="X552" s="61"/>
      <c r="Y552" s="62"/>
      <c r="Z552" s="61"/>
      <c r="AA552" s="62"/>
    </row>
    <row r="553" spans="3:27" ht="16.5" customHeight="1">
      <c r="C553" s="118"/>
      <c r="E553" s="61"/>
      <c r="H553" s="61"/>
      <c r="I553" s="60"/>
      <c r="K553" s="62"/>
      <c r="O553" s="60"/>
      <c r="P553" s="61"/>
      <c r="Q553" s="62"/>
      <c r="R553" s="61"/>
      <c r="S553" s="62"/>
      <c r="T553" s="61"/>
      <c r="U553" s="62"/>
      <c r="V553" s="61"/>
      <c r="W553" s="62"/>
      <c r="X553" s="61"/>
      <c r="Y553" s="62"/>
      <c r="Z553" s="61"/>
      <c r="AA553" s="62"/>
    </row>
    <row r="554" spans="3:27" ht="16.5" customHeight="1">
      <c r="C554" s="118"/>
      <c r="E554" s="61"/>
      <c r="H554" s="61"/>
      <c r="I554" s="60"/>
      <c r="K554" s="62"/>
      <c r="O554" s="60"/>
      <c r="P554" s="61"/>
      <c r="Q554" s="62"/>
      <c r="R554" s="61"/>
      <c r="S554" s="62"/>
      <c r="T554" s="61"/>
      <c r="U554" s="62"/>
      <c r="V554" s="61"/>
      <c r="W554" s="62"/>
      <c r="X554" s="61"/>
      <c r="Y554" s="62"/>
      <c r="Z554" s="61"/>
      <c r="AA554" s="62"/>
    </row>
    <row r="555" spans="3:27" ht="16.5" customHeight="1">
      <c r="C555" s="118"/>
      <c r="E555" s="61"/>
      <c r="H555" s="61"/>
      <c r="I555" s="60"/>
      <c r="K555" s="62"/>
      <c r="O555" s="60"/>
      <c r="P555" s="61"/>
      <c r="Q555" s="62"/>
      <c r="R555" s="61"/>
      <c r="S555" s="62"/>
      <c r="T555" s="61"/>
      <c r="U555" s="62"/>
      <c r="V555" s="61"/>
      <c r="W555" s="62"/>
      <c r="X555" s="61"/>
      <c r="Y555" s="62"/>
      <c r="Z555" s="61"/>
      <c r="AA555" s="62"/>
    </row>
    <row r="556" spans="3:27" ht="16.5" customHeight="1">
      <c r="C556" s="118"/>
      <c r="E556" s="61"/>
      <c r="H556" s="61"/>
      <c r="I556" s="60"/>
      <c r="K556" s="62"/>
      <c r="O556" s="60"/>
      <c r="P556" s="61"/>
      <c r="Q556" s="62"/>
      <c r="R556" s="61"/>
      <c r="S556" s="62"/>
      <c r="T556" s="61"/>
      <c r="U556" s="62"/>
      <c r="V556" s="61"/>
      <c r="W556" s="62"/>
      <c r="X556" s="61"/>
      <c r="Y556" s="62"/>
      <c r="Z556" s="61"/>
      <c r="AA556" s="62"/>
    </row>
    <row r="557" spans="3:27" ht="16.5" customHeight="1">
      <c r="C557" s="118"/>
      <c r="E557" s="61"/>
      <c r="H557" s="61"/>
      <c r="I557" s="60"/>
      <c r="K557" s="62"/>
      <c r="O557" s="60"/>
      <c r="P557" s="61"/>
      <c r="Q557" s="62"/>
      <c r="R557" s="61"/>
      <c r="S557" s="62"/>
      <c r="T557" s="61"/>
      <c r="U557" s="62"/>
      <c r="V557" s="61"/>
      <c r="W557" s="62"/>
      <c r="X557" s="61"/>
      <c r="Y557" s="62"/>
      <c r="Z557" s="61"/>
      <c r="AA557" s="62"/>
    </row>
    <row r="558" spans="3:27" ht="16.5" customHeight="1">
      <c r="C558" s="118"/>
      <c r="E558" s="61"/>
      <c r="H558" s="61"/>
      <c r="I558" s="60"/>
      <c r="K558" s="62"/>
      <c r="O558" s="60"/>
      <c r="P558" s="61"/>
      <c r="Q558" s="62"/>
      <c r="R558" s="61"/>
      <c r="S558" s="62"/>
      <c r="T558" s="61"/>
      <c r="U558" s="62"/>
      <c r="V558" s="61"/>
      <c r="W558" s="62"/>
      <c r="X558" s="61"/>
      <c r="Y558" s="62"/>
      <c r="Z558" s="61"/>
      <c r="AA558" s="62"/>
    </row>
    <row r="559" spans="3:27" ht="16.5" customHeight="1">
      <c r="C559" s="118"/>
      <c r="E559" s="61"/>
      <c r="H559" s="61"/>
      <c r="I559" s="60"/>
      <c r="K559" s="62"/>
      <c r="O559" s="60"/>
      <c r="P559" s="61"/>
      <c r="Q559" s="62"/>
      <c r="R559" s="61"/>
      <c r="S559" s="62"/>
      <c r="T559" s="61"/>
      <c r="U559" s="62"/>
      <c r="V559" s="61"/>
      <c r="W559" s="62"/>
      <c r="X559" s="61"/>
      <c r="Y559" s="62"/>
      <c r="Z559" s="61"/>
      <c r="AA559" s="62"/>
    </row>
    <row r="560" spans="3:27" ht="16.5" customHeight="1">
      <c r="C560" s="118"/>
      <c r="E560" s="61"/>
      <c r="H560" s="61"/>
      <c r="I560" s="60"/>
      <c r="K560" s="62"/>
      <c r="O560" s="60"/>
      <c r="P560" s="61"/>
      <c r="Q560" s="62"/>
      <c r="R560" s="61"/>
      <c r="S560" s="62"/>
      <c r="T560" s="61"/>
      <c r="U560" s="62"/>
      <c r="V560" s="61"/>
      <c r="W560" s="62"/>
      <c r="X560" s="61"/>
      <c r="Y560" s="62"/>
      <c r="Z560" s="61"/>
      <c r="AA560" s="62"/>
    </row>
    <row r="561" spans="3:27" ht="16.5" customHeight="1">
      <c r="C561" s="118"/>
      <c r="E561" s="61"/>
      <c r="H561" s="61"/>
      <c r="I561" s="60"/>
      <c r="K561" s="62"/>
      <c r="O561" s="60"/>
      <c r="P561" s="61"/>
      <c r="Q561" s="62"/>
      <c r="R561" s="61"/>
      <c r="S561" s="62"/>
      <c r="T561" s="61"/>
      <c r="U561" s="62"/>
      <c r="V561" s="61"/>
      <c r="W561" s="62"/>
      <c r="X561" s="61"/>
      <c r="Y561" s="62"/>
      <c r="Z561" s="61"/>
      <c r="AA561" s="62"/>
    </row>
    <row r="562" spans="3:27" ht="16.5" customHeight="1">
      <c r="C562" s="118"/>
      <c r="E562" s="61"/>
      <c r="H562" s="61"/>
      <c r="I562" s="60"/>
      <c r="K562" s="62"/>
      <c r="O562" s="60"/>
      <c r="P562" s="61"/>
      <c r="Q562" s="62"/>
      <c r="R562" s="61"/>
      <c r="S562" s="62"/>
      <c r="T562" s="61"/>
      <c r="U562" s="62"/>
      <c r="V562" s="61"/>
      <c r="W562" s="62"/>
      <c r="X562" s="61"/>
      <c r="Y562" s="62"/>
      <c r="Z562" s="61"/>
      <c r="AA562" s="62"/>
    </row>
    <row r="563" spans="3:27" ht="16.5" customHeight="1">
      <c r="C563" s="118"/>
      <c r="E563" s="61"/>
      <c r="H563" s="61"/>
      <c r="I563" s="60"/>
      <c r="K563" s="62"/>
      <c r="O563" s="60"/>
      <c r="P563" s="61"/>
      <c r="Q563" s="62"/>
      <c r="R563" s="61"/>
      <c r="S563" s="62"/>
      <c r="T563" s="61"/>
      <c r="U563" s="62"/>
      <c r="V563" s="61"/>
      <c r="W563" s="62"/>
      <c r="X563" s="61"/>
      <c r="Y563" s="62"/>
      <c r="Z563" s="61"/>
      <c r="AA563" s="62"/>
    </row>
    <row r="564" spans="3:27" ht="16.5" customHeight="1">
      <c r="C564" s="118"/>
      <c r="E564" s="61"/>
      <c r="H564" s="61"/>
      <c r="I564" s="60"/>
      <c r="K564" s="62"/>
      <c r="O564" s="60"/>
      <c r="P564" s="61"/>
      <c r="Q564" s="62"/>
      <c r="R564" s="61"/>
      <c r="S564" s="62"/>
      <c r="T564" s="61"/>
      <c r="U564" s="62"/>
      <c r="V564" s="61"/>
      <c r="W564" s="62"/>
      <c r="X564" s="61"/>
      <c r="Y564" s="62"/>
      <c r="Z564" s="61"/>
      <c r="AA564" s="62"/>
    </row>
    <row r="565" spans="3:27" ht="16.5" customHeight="1">
      <c r="C565" s="118"/>
      <c r="E565" s="61"/>
      <c r="H565" s="61"/>
      <c r="I565" s="60"/>
      <c r="K565" s="62"/>
      <c r="O565" s="60"/>
      <c r="P565" s="61"/>
      <c r="Q565" s="62"/>
      <c r="R565" s="61"/>
      <c r="S565" s="62"/>
      <c r="T565" s="61"/>
      <c r="U565" s="62"/>
      <c r="V565" s="61"/>
      <c r="W565" s="62"/>
      <c r="X565" s="61"/>
      <c r="Y565" s="62"/>
      <c r="Z565" s="61"/>
      <c r="AA565" s="62"/>
    </row>
    <row r="566" spans="3:27" ht="16.5" customHeight="1">
      <c r="C566" s="118"/>
      <c r="E566" s="61"/>
      <c r="H566" s="61"/>
      <c r="I566" s="60"/>
      <c r="K566" s="62"/>
      <c r="O566" s="60"/>
      <c r="P566" s="61"/>
      <c r="Q566" s="62"/>
      <c r="R566" s="61"/>
      <c r="S566" s="62"/>
      <c r="T566" s="61"/>
      <c r="U566" s="62"/>
      <c r="V566" s="61"/>
      <c r="W566" s="62"/>
      <c r="X566" s="61"/>
      <c r="Y566" s="62"/>
      <c r="Z566" s="61"/>
      <c r="AA566" s="62"/>
    </row>
    <row r="567" spans="3:27" ht="16.5" customHeight="1">
      <c r="C567" s="118"/>
      <c r="E567" s="61"/>
      <c r="H567" s="61"/>
      <c r="I567" s="60"/>
      <c r="K567" s="62"/>
      <c r="O567" s="60"/>
      <c r="P567" s="61"/>
      <c r="Q567" s="62"/>
      <c r="R567" s="61"/>
      <c r="S567" s="62"/>
      <c r="T567" s="61"/>
      <c r="U567" s="62"/>
      <c r="V567" s="61"/>
      <c r="W567" s="62"/>
      <c r="X567" s="61"/>
      <c r="Y567" s="62"/>
      <c r="Z567" s="61"/>
      <c r="AA567" s="62"/>
    </row>
    <row r="568" spans="3:27" ht="16.5" customHeight="1">
      <c r="C568" s="118"/>
      <c r="E568" s="61"/>
      <c r="H568" s="61"/>
      <c r="I568" s="60"/>
      <c r="K568" s="62"/>
      <c r="O568" s="60"/>
      <c r="P568" s="61"/>
      <c r="Q568" s="62"/>
      <c r="R568" s="61"/>
      <c r="S568" s="62"/>
      <c r="T568" s="61"/>
      <c r="U568" s="62"/>
      <c r="V568" s="61"/>
      <c r="W568" s="62"/>
      <c r="X568" s="61"/>
      <c r="Y568" s="62"/>
      <c r="Z568" s="61"/>
      <c r="AA568" s="62"/>
    </row>
    <row r="569" spans="3:27" ht="16.5" customHeight="1">
      <c r="C569" s="118"/>
      <c r="E569" s="61"/>
      <c r="H569" s="61"/>
      <c r="I569" s="60"/>
      <c r="K569" s="62"/>
      <c r="O569" s="60"/>
      <c r="P569" s="61"/>
      <c r="Q569" s="62"/>
      <c r="R569" s="61"/>
      <c r="S569" s="62"/>
      <c r="T569" s="61"/>
      <c r="U569" s="62"/>
      <c r="V569" s="61"/>
      <c r="W569" s="62"/>
      <c r="X569" s="61"/>
      <c r="Y569" s="62"/>
      <c r="Z569" s="61"/>
      <c r="AA569" s="62"/>
    </row>
    <row r="570" spans="3:27" ht="16.5" customHeight="1">
      <c r="C570" s="118"/>
      <c r="E570" s="61"/>
      <c r="H570" s="61"/>
      <c r="I570" s="60"/>
      <c r="K570" s="62"/>
      <c r="O570" s="60"/>
      <c r="P570" s="61"/>
      <c r="Q570" s="62"/>
      <c r="R570" s="61"/>
      <c r="S570" s="62"/>
      <c r="T570" s="61"/>
      <c r="U570" s="62"/>
      <c r="V570" s="61"/>
      <c r="W570" s="62"/>
      <c r="X570" s="61"/>
      <c r="Y570" s="62"/>
      <c r="Z570" s="61"/>
      <c r="AA570" s="62"/>
    </row>
    <row r="571" spans="3:27" ht="16.5" customHeight="1">
      <c r="C571" s="118"/>
      <c r="E571" s="61"/>
      <c r="H571" s="61"/>
      <c r="I571" s="60"/>
      <c r="K571" s="62"/>
      <c r="O571" s="60"/>
      <c r="P571" s="61"/>
      <c r="Q571" s="62"/>
      <c r="R571" s="61"/>
      <c r="S571" s="62"/>
      <c r="T571" s="61"/>
      <c r="U571" s="62"/>
      <c r="V571" s="61"/>
      <c r="W571" s="62"/>
      <c r="X571" s="61"/>
      <c r="Y571" s="62"/>
      <c r="Z571" s="61"/>
      <c r="AA571" s="62"/>
    </row>
    <row r="572" spans="3:27" ht="16.5" customHeight="1">
      <c r="C572" s="118"/>
      <c r="E572" s="61"/>
      <c r="H572" s="61"/>
      <c r="I572" s="60"/>
      <c r="K572" s="62"/>
      <c r="O572" s="60"/>
      <c r="P572" s="61"/>
      <c r="Q572" s="62"/>
      <c r="R572" s="61"/>
      <c r="S572" s="62"/>
      <c r="T572" s="61"/>
      <c r="U572" s="62"/>
      <c r="V572" s="61"/>
      <c r="W572" s="62"/>
      <c r="X572" s="61"/>
      <c r="Y572" s="62"/>
      <c r="Z572" s="61"/>
      <c r="AA572" s="62"/>
    </row>
    <row r="573" spans="3:27" ht="16.5" customHeight="1">
      <c r="C573" s="118"/>
      <c r="E573" s="61"/>
      <c r="H573" s="61"/>
      <c r="I573" s="60"/>
      <c r="K573" s="62"/>
      <c r="O573" s="60"/>
      <c r="P573" s="61"/>
      <c r="Q573" s="62"/>
      <c r="R573" s="61"/>
      <c r="S573" s="62"/>
      <c r="T573" s="61"/>
      <c r="U573" s="62"/>
      <c r="V573" s="61"/>
      <c r="W573" s="62"/>
      <c r="X573" s="61"/>
      <c r="Y573" s="62"/>
      <c r="Z573" s="61"/>
      <c r="AA573" s="62"/>
    </row>
    <row r="574" spans="3:27" ht="16.5" customHeight="1">
      <c r="C574" s="118"/>
      <c r="E574" s="61"/>
      <c r="H574" s="61"/>
      <c r="I574" s="60"/>
      <c r="K574" s="62"/>
      <c r="O574" s="60"/>
      <c r="P574" s="61"/>
      <c r="Q574" s="62"/>
      <c r="R574" s="61"/>
      <c r="S574" s="62"/>
      <c r="T574" s="61"/>
      <c r="U574" s="62"/>
      <c r="V574" s="61"/>
      <c r="W574" s="62"/>
      <c r="X574" s="61"/>
      <c r="Y574" s="62"/>
      <c r="Z574" s="61"/>
      <c r="AA574" s="62"/>
    </row>
    <row r="575" spans="3:27" ht="16.5" customHeight="1">
      <c r="C575" s="118"/>
      <c r="E575" s="61"/>
      <c r="H575" s="61"/>
      <c r="I575" s="60"/>
      <c r="K575" s="62"/>
      <c r="O575" s="60"/>
      <c r="P575" s="61"/>
      <c r="Q575" s="62"/>
      <c r="R575" s="61"/>
      <c r="S575" s="62"/>
      <c r="T575" s="61"/>
      <c r="U575" s="62"/>
      <c r="V575" s="61"/>
      <c r="W575" s="62"/>
      <c r="X575" s="61"/>
      <c r="Y575" s="62"/>
      <c r="Z575" s="61"/>
      <c r="AA575" s="62"/>
    </row>
    <row r="576" spans="3:27" ht="16.5" customHeight="1">
      <c r="C576" s="118"/>
      <c r="E576" s="61"/>
      <c r="H576" s="61"/>
      <c r="I576" s="60"/>
      <c r="K576" s="62"/>
      <c r="O576" s="60"/>
      <c r="P576" s="61"/>
      <c r="Q576" s="62"/>
      <c r="R576" s="61"/>
      <c r="S576" s="62"/>
      <c r="T576" s="61"/>
      <c r="U576" s="62"/>
      <c r="V576" s="61"/>
      <c r="W576" s="62"/>
      <c r="X576" s="61"/>
      <c r="Y576" s="62"/>
      <c r="Z576" s="61"/>
      <c r="AA576" s="62"/>
    </row>
    <row r="577" spans="3:27" ht="16.5" customHeight="1">
      <c r="C577" s="118"/>
      <c r="E577" s="61"/>
      <c r="H577" s="61"/>
      <c r="I577" s="60"/>
      <c r="K577" s="62"/>
      <c r="O577" s="60"/>
      <c r="P577" s="61"/>
      <c r="Q577" s="62"/>
      <c r="R577" s="61"/>
      <c r="S577" s="62"/>
      <c r="T577" s="61"/>
      <c r="U577" s="62"/>
      <c r="V577" s="61"/>
      <c r="W577" s="62"/>
      <c r="X577" s="61"/>
      <c r="Y577" s="62"/>
      <c r="Z577" s="61"/>
      <c r="AA577" s="62"/>
    </row>
    <row r="578" spans="3:27" ht="16.5" customHeight="1">
      <c r="C578" s="118"/>
      <c r="E578" s="61"/>
      <c r="H578" s="61"/>
      <c r="I578" s="60"/>
      <c r="K578" s="62"/>
      <c r="O578" s="60"/>
      <c r="P578" s="61"/>
      <c r="Q578" s="62"/>
      <c r="R578" s="61"/>
      <c r="S578" s="62"/>
      <c r="T578" s="61"/>
      <c r="U578" s="62"/>
      <c r="V578" s="61"/>
      <c r="W578" s="62"/>
      <c r="X578" s="61"/>
      <c r="Y578" s="62"/>
      <c r="Z578" s="61"/>
      <c r="AA578" s="62"/>
    </row>
    <row r="579" spans="3:27" ht="16.5" customHeight="1">
      <c r="C579" s="118"/>
      <c r="E579" s="61"/>
      <c r="H579" s="61"/>
      <c r="I579" s="60"/>
      <c r="K579" s="62"/>
      <c r="O579" s="60"/>
      <c r="P579" s="61"/>
      <c r="Q579" s="62"/>
      <c r="R579" s="61"/>
      <c r="S579" s="62"/>
      <c r="T579" s="61"/>
      <c r="U579" s="62"/>
      <c r="V579" s="61"/>
      <c r="W579" s="62"/>
      <c r="X579" s="61"/>
      <c r="Y579" s="62"/>
      <c r="Z579" s="61"/>
      <c r="AA579" s="62"/>
    </row>
    <row r="580" spans="3:27" ht="16.5" customHeight="1">
      <c r="C580" s="118"/>
      <c r="E580" s="61"/>
      <c r="H580" s="61"/>
      <c r="I580" s="60"/>
      <c r="K580" s="62"/>
      <c r="O580" s="60"/>
      <c r="P580" s="61"/>
      <c r="Q580" s="62"/>
      <c r="R580" s="61"/>
      <c r="S580" s="62"/>
      <c r="T580" s="61"/>
      <c r="U580" s="62"/>
      <c r="V580" s="61"/>
      <c r="W580" s="62"/>
      <c r="X580" s="61"/>
      <c r="Y580" s="62"/>
      <c r="Z580" s="61"/>
      <c r="AA580" s="62"/>
    </row>
    <row r="581" spans="3:27" ht="16.5" customHeight="1">
      <c r="C581" s="118"/>
      <c r="E581" s="61"/>
      <c r="H581" s="61"/>
      <c r="I581" s="60"/>
      <c r="K581" s="62"/>
      <c r="O581" s="60"/>
      <c r="P581" s="61"/>
      <c r="Q581" s="62"/>
      <c r="R581" s="61"/>
      <c r="S581" s="62"/>
      <c r="T581" s="61"/>
      <c r="U581" s="62"/>
      <c r="V581" s="61"/>
      <c r="W581" s="62"/>
      <c r="X581" s="61"/>
      <c r="Y581" s="62"/>
      <c r="Z581" s="61"/>
      <c r="AA581" s="62"/>
    </row>
    <row r="582" spans="3:27" ht="16.5" customHeight="1">
      <c r="C582" s="118"/>
      <c r="E582" s="61"/>
      <c r="H582" s="61"/>
      <c r="I582" s="60"/>
      <c r="K582" s="62"/>
      <c r="O582" s="60"/>
      <c r="P582" s="61"/>
      <c r="Q582" s="62"/>
      <c r="R582" s="61"/>
      <c r="S582" s="62"/>
      <c r="T582" s="61"/>
      <c r="U582" s="62"/>
      <c r="V582" s="61"/>
      <c r="W582" s="62"/>
      <c r="X582" s="61"/>
      <c r="Y582" s="62"/>
      <c r="Z582" s="61"/>
      <c r="AA582" s="62"/>
    </row>
    <row r="583" spans="3:27" ht="16.5" customHeight="1">
      <c r="C583" s="118"/>
      <c r="E583" s="61"/>
      <c r="H583" s="61"/>
      <c r="I583" s="60"/>
      <c r="K583" s="62"/>
      <c r="O583" s="60"/>
      <c r="P583" s="61"/>
      <c r="Q583" s="62"/>
      <c r="R583" s="61"/>
      <c r="S583" s="62"/>
      <c r="T583" s="61"/>
      <c r="U583" s="62"/>
      <c r="V583" s="61"/>
      <c r="W583" s="62"/>
      <c r="X583" s="61"/>
      <c r="Y583" s="62"/>
      <c r="Z583" s="61"/>
      <c r="AA583" s="62"/>
    </row>
    <row r="584" spans="3:27" ht="16.5" customHeight="1">
      <c r="C584" s="118"/>
      <c r="E584" s="61"/>
      <c r="H584" s="61"/>
      <c r="I584" s="60"/>
      <c r="K584" s="62"/>
      <c r="O584" s="60"/>
      <c r="P584" s="61"/>
      <c r="Q584" s="62"/>
      <c r="R584" s="61"/>
      <c r="S584" s="62"/>
      <c r="T584" s="61"/>
      <c r="U584" s="62"/>
      <c r="V584" s="61"/>
      <c r="W584" s="62"/>
      <c r="X584" s="61"/>
      <c r="Y584" s="62"/>
      <c r="Z584" s="61"/>
      <c r="AA584" s="62"/>
    </row>
    <row r="585" spans="3:27" ht="16.5" customHeight="1">
      <c r="C585" s="118"/>
      <c r="E585" s="61"/>
      <c r="H585" s="61"/>
      <c r="I585" s="60"/>
      <c r="K585" s="62"/>
      <c r="O585" s="60"/>
      <c r="P585" s="61"/>
      <c r="Q585" s="62"/>
      <c r="R585" s="61"/>
      <c r="S585" s="62"/>
      <c r="T585" s="61"/>
      <c r="U585" s="62"/>
      <c r="V585" s="61"/>
      <c r="W585" s="62"/>
      <c r="X585" s="61"/>
      <c r="Y585" s="62"/>
      <c r="Z585" s="61"/>
      <c r="AA585" s="62"/>
    </row>
    <row r="586" spans="3:27" ht="16.5" customHeight="1">
      <c r="C586" s="118"/>
      <c r="E586" s="61"/>
      <c r="H586" s="61"/>
      <c r="I586" s="60"/>
      <c r="K586" s="62"/>
      <c r="O586" s="60"/>
      <c r="P586" s="61"/>
      <c r="Q586" s="62"/>
      <c r="R586" s="61"/>
      <c r="S586" s="62"/>
      <c r="T586" s="61"/>
      <c r="U586" s="62"/>
      <c r="V586" s="61"/>
      <c r="W586" s="62"/>
      <c r="X586" s="61"/>
      <c r="Y586" s="62"/>
      <c r="Z586" s="61"/>
      <c r="AA586" s="62"/>
    </row>
    <row r="587" spans="3:27" ht="16.5" customHeight="1">
      <c r="C587" s="118"/>
      <c r="E587" s="61"/>
      <c r="H587" s="61"/>
      <c r="I587" s="60"/>
      <c r="K587" s="62"/>
      <c r="O587" s="60"/>
      <c r="P587" s="61"/>
      <c r="Q587" s="62"/>
      <c r="R587" s="61"/>
      <c r="S587" s="62"/>
      <c r="T587" s="61"/>
      <c r="U587" s="62"/>
      <c r="V587" s="61"/>
      <c r="W587" s="62"/>
      <c r="X587" s="61"/>
      <c r="Y587" s="62"/>
      <c r="Z587" s="61"/>
      <c r="AA587" s="62"/>
    </row>
    <row r="588" spans="3:27" ht="16.5" customHeight="1">
      <c r="C588" s="118"/>
      <c r="E588" s="61"/>
      <c r="H588" s="61"/>
      <c r="I588" s="60"/>
      <c r="K588" s="62"/>
      <c r="O588" s="60"/>
      <c r="P588" s="61"/>
      <c r="Q588" s="62"/>
      <c r="R588" s="61"/>
      <c r="S588" s="62"/>
      <c r="T588" s="61"/>
      <c r="U588" s="62"/>
      <c r="V588" s="61"/>
      <c r="W588" s="62"/>
      <c r="X588" s="61"/>
      <c r="Y588" s="62"/>
      <c r="Z588" s="61"/>
      <c r="AA588" s="62"/>
    </row>
    <row r="589" spans="3:27" ht="16.5" customHeight="1">
      <c r="C589" s="118"/>
      <c r="E589" s="61"/>
      <c r="H589" s="61"/>
      <c r="I589" s="60"/>
      <c r="K589" s="62"/>
      <c r="O589" s="60"/>
      <c r="P589" s="61"/>
      <c r="Q589" s="62"/>
      <c r="R589" s="61"/>
      <c r="S589" s="62"/>
      <c r="T589" s="61"/>
      <c r="U589" s="62"/>
      <c r="V589" s="61"/>
      <c r="W589" s="62"/>
      <c r="X589" s="61"/>
      <c r="Y589" s="62"/>
      <c r="Z589" s="61"/>
      <c r="AA589" s="62"/>
    </row>
    <row r="590" spans="3:27" ht="16.5" customHeight="1">
      <c r="C590" s="118"/>
      <c r="E590" s="61"/>
      <c r="H590" s="61"/>
      <c r="I590" s="60"/>
      <c r="K590" s="62"/>
      <c r="O590" s="60"/>
      <c r="P590" s="61"/>
      <c r="Q590" s="62"/>
      <c r="R590" s="61"/>
      <c r="S590" s="62"/>
      <c r="T590" s="61"/>
      <c r="U590" s="62"/>
      <c r="V590" s="61"/>
      <c r="W590" s="62"/>
      <c r="X590" s="61"/>
      <c r="Y590" s="62"/>
      <c r="Z590" s="61"/>
      <c r="AA590" s="62"/>
    </row>
    <row r="591" spans="3:27" ht="16.5" customHeight="1">
      <c r="C591" s="118"/>
      <c r="E591" s="61"/>
      <c r="H591" s="61"/>
      <c r="I591" s="60"/>
      <c r="K591" s="62"/>
      <c r="O591" s="60"/>
      <c r="P591" s="61"/>
      <c r="Q591" s="62"/>
      <c r="R591" s="61"/>
      <c r="S591" s="62"/>
      <c r="T591" s="61"/>
      <c r="U591" s="62"/>
      <c r="V591" s="61"/>
      <c r="W591" s="62"/>
      <c r="X591" s="61"/>
      <c r="Y591" s="62"/>
      <c r="Z591" s="61"/>
      <c r="AA591" s="62"/>
    </row>
    <row r="592" spans="3:27" ht="16.5" customHeight="1">
      <c r="C592" s="118"/>
      <c r="E592" s="61"/>
      <c r="H592" s="61"/>
      <c r="I592" s="60"/>
      <c r="K592" s="62"/>
      <c r="O592" s="60"/>
      <c r="P592" s="61"/>
      <c r="Q592" s="62"/>
      <c r="R592" s="61"/>
      <c r="S592" s="62"/>
      <c r="T592" s="61"/>
      <c r="U592" s="62"/>
      <c r="V592" s="61"/>
      <c r="W592" s="62"/>
      <c r="X592" s="61"/>
      <c r="Y592" s="62"/>
      <c r="Z592" s="61"/>
      <c r="AA592" s="62"/>
    </row>
    <row r="593" spans="3:27" ht="16.5" customHeight="1">
      <c r="C593" s="118"/>
      <c r="E593" s="61"/>
      <c r="H593" s="61"/>
      <c r="I593" s="60"/>
      <c r="K593" s="62"/>
      <c r="O593" s="60"/>
      <c r="P593" s="61"/>
      <c r="Q593" s="62"/>
      <c r="R593" s="61"/>
      <c r="S593" s="62"/>
      <c r="T593" s="61"/>
      <c r="U593" s="62"/>
      <c r="V593" s="61"/>
      <c r="W593" s="62"/>
      <c r="X593" s="61"/>
      <c r="Y593" s="62"/>
      <c r="Z593" s="61"/>
      <c r="AA593" s="62"/>
    </row>
    <row r="594" spans="3:27" ht="16.5" customHeight="1">
      <c r="C594" s="118"/>
      <c r="E594" s="61"/>
      <c r="H594" s="61"/>
      <c r="I594" s="60"/>
      <c r="K594" s="62"/>
      <c r="O594" s="60"/>
      <c r="P594" s="61"/>
      <c r="Q594" s="62"/>
      <c r="R594" s="61"/>
      <c r="S594" s="62"/>
      <c r="T594" s="61"/>
      <c r="U594" s="62"/>
      <c r="V594" s="61"/>
      <c r="W594" s="62"/>
      <c r="X594" s="61"/>
      <c r="Y594" s="62"/>
      <c r="Z594" s="61"/>
      <c r="AA594" s="62"/>
    </row>
    <row r="595" spans="3:27" ht="16.5" customHeight="1">
      <c r="C595" s="118"/>
      <c r="E595" s="61"/>
      <c r="H595" s="61"/>
      <c r="I595" s="60"/>
      <c r="K595" s="62"/>
      <c r="O595" s="60"/>
      <c r="P595" s="61"/>
      <c r="Q595" s="62"/>
      <c r="R595" s="61"/>
      <c r="S595" s="62"/>
      <c r="T595" s="61"/>
      <c r="U595" s="62"/>
      <c r="V595" s="61"/>
      <c r="W595" s="62"/>
      <c r="X595" s="61"/>
      <c r="Y595" s="62"/>
      <c r="Z595" s="61"/>
      <c r="AA595" s="62"/>
    </row>
    <row r="596" spans="3:27" ht="16.5" customHeight="1">
      <c r="C596" s="118"/>
      <c r="E596" s="61"/>
      <c r="H596" s="61"/>
      <c r="I596" s="60"/>
      <c r="K596" s="62"/>
      <c r="O596" s="60"/>
      <c r="P596" s="61"/>
      <c r="Q596" s="62"/>
      <c r="R596" s="61"/>
      <c r="S596" s="62"/>
      <c r="T596" s="61"/>
      <c r="U596" s="62"/>
      <c r="V596" s="61"/>
      <c r="W596" s="62"/>
      <c r="X596" s="61"/>
      <c r="Y596" s="62"/>
      <c r="Z596" s="61"/>
      <c r="AA596" s="62"/>
    </row>
    <row r="597" spans="3:27" ht="16.5" customHeight="1">
      <c r="C597" s="118"/>
      <c r="E597" s="61"/>
      <c r="H597" s="61"/>
      <c r="I597" s="60"/>
      <c r="K597" s="62"/>
      <c r="O597" s="60"/>
      <c r="P597" s="61"/>
      <c r="Q597" s="62"/>
      <c r="R597" s="61"/>
      <c r="S597" s="62"/>
      <c r="T597" s="61"/>
      <c r="U597" s="62"/>
      <c r="V597" s="61"/>
      <c r="W597" s="62"/>
      <c r="X597" s="61"/>
      <c r="Y597" s="62"/>
      <c r="Z597" s="61"/>
      <c r="AA597" s="62"/>
    </row>
    <row r="598" spans="3:27" ht="16.5" customHeight="1">
      <c r="C598" s="118"/>
      <c r="E598" s="61"/>
      <c r="H598" s="61"/>
      <c r="I598" s="60"/>
      <c r="K598" s="62"/>
      <c r="O598" s="60"/>
      <c r="P598" s="61"/>
      <c r="Q598" s="62"/>
      <c r="R598" s="61"/>
      <c r="S598" s="62"/>
      <c r="T598" s="61"/>
      <c r="U598" s="62"/>
      <c r="V598" s="61"/>
      <c r="W598" s="62"/>
      <c r="X598" s="61"/>
      <c r="Y598" s="62"/>
      <c r="Z598" s="61"/>
      <c r="AA598" s="62"/>
    </row>
    <row r="599" spans="3:27" ht="16.5" customHeight="1">
      <c r="C599" s="118"/>
      <c r="E599" s="61"/>
      <c r="H599" s="61"/>
      <c r="I599" s="60"/>
      <c r="K599" s="62"/>
      <c r="O599" s="60"/>
      <c r="P599" s="61"/>
      <c r="Q599" s="62"/>
      <c r="R599" s="61"/>
      <c r="S599" s="62"/>
      <c r="T599" s="61"/>
      <c r="U599" s="62"/>
      <c r="V599" s="61"/>
      <c r="W599" s="62"/>
      <c r="X599" s="61"/>
      <c r="Y599" s="62"/>
      <c r="Z599" s="61"/>
      <c r="AA599" s="62"/>
    </row>
    <row r="600" spans="3:27" ht="16.5" customHeight="1">
      <c r="C600" s="118"/>
      <c r="E600" s="61"/>
      <c r="H600" s="61"/>
      <c r="I600" s="60"/>
      <c r="K600" s="62"/>
      <c r="O600" s="60"/>
      <c r="P600" s="61"/>
      <c r="Q600" s="62"/>
      <c r="R600" s="61"/>
      <c r="S600" s="62"/>
      <c r="T600" s="61"/>
      <c r="U600" s="62"/>
      <c r="V600" s="61"/>
      <c r="W600" s="62"/>
      <c r="X600" s="61"/>
      <c r="Y600" s="62"/>
      <c r="Z600" s="61"/>
      <c r="AA600" s="62"/>
    </row>
    <row r="601" spans="3:27" ht="16.5" customHeight="1">
      <c r="C601" s="118"/>
      <c r="E601" s="61"/>
      <c r="H601" s="61"/>
      <c r="I601" s="60"/>
      <c r="K601" s="62"/>
      <c r="O601" s="60"/>
      <c r="P601" s="61"/>
      <c r="Q601" s="62"/>
      <c r="R601" s="61"/>
      <c r="S601" s="62"/>
      <c r="T601" s="61"/>
      <c r="U601" s="62"/>
      <c r="V601" s="61"/>
      <c r="W601" s="62"/>
      <c r="X601" s="61"/>
      <c r="Y601" s="62"/>
      <c r="Z601" s="61"/>
      <c r="AA601" s="62"/>
    </row>
    <row r="602" spans="3:27" ht="16.5" customHeight="1">
      <c r="C602" s="118"/>
      <c r="E602" s="61"/>
      <c r="H602" s="61"/>
      <c r="I602" s="60"/>
      <c r="K602" s="62"/>
      <c r="O602" s="60"/>
      <c r="P602" s="61"/>
      <c r="Q602" s="62"/>
      <c r="R602" s="61"/>
      <c r="S602" s="62"/>
      <c r="T602" s="61"/>
      <c r="U602" s="62"/>
      <c r="V602" s="61"/>
      <c r="W602" s="62"/>
      <c r="X602" s="61"/>
      <c r="Y602" s="62"/>
      <c r="Z602" s="61"/>
      <c r="AA602" s="62"/>
    </row>
    <row r="603" spans="3:27" ht="16.5" customHeight="1">
      <c r="C603" s="118"/>
      <c r="E603" s="61"/>
      <c r="H603" s="61"/>
      <c r="I603" s="60"/>
      <c r="K603" s="62"/>
      <c r="O603" s="60"/>
      <c r="P603" s="61"/>
      <c r="Q603" s="62"/>
      <c r="R603" s="61"/>
      <c r="S603" s="62"/>
      <c r="T603" s="61"/>
      <c r="U603" s="62"/>
      <c r="V603" s="61"/>
      <c r="W603" s="62"/>
      <c r="X603" s="61"/>
      <c r="Y603" s="62"/>
      <c r="Z603" s="61"/>
      <c r="AA603" s="62"/>
    </row>
    <row r="604" spans="3:27" ht="16.5" customHeight="1">
      <c r="C604" s="118"/>
      <c r="E604" s="61"/>
      <c r="H604" s="61"/>
      <c r="I604" s="60"/>
      <c r="K604" s="62"/>
      <c r="O604" s="60"/>
      <c r="P604" s="61"/>
      <c r="Q604" s="62"/>
      <c r="R604" s="61"/>
      <c r="S604" s="62"/>
      <c r="T604" s="61"/>
      <c r="U604" s="62"/>
      <c r="V604" s="61"/>
      <c r="W604" s="62"/>
      <c r="X604" s="61"/>
      <c r="Y604" s="62"/>
      <c r="Z604" s="61"/>
      <c r="AA604" s="62"/>
    </row>
    <row r="605" spans="3:27" ht="16.5" customHeight="1">
      <c r="C605" s="118"/>
      <c r="E605" s="61"/>
      <c r="H605" s="61"/>
      <c r="I605" s="60"/>
      <c r="K605" s="62"/>
      <c r="O605" s="60"/>
      <c r="P605" s="61"/>
      <c r="Q605" s="62"/>
      <c r="R605" s="61"/>
      <c r="S605" s="62"/>
      <c r="T605" s="61"/>
      <c r="U605" s="62"/>
      <c r="V605" s="61"/>
      <c r="W605" s="62"/>
      <c r="X605" s="61"/>
      <c r="Y605" s="62"/>
      <c r="Z605" s="61"/>
      <c r="AA605" s="62"/>
    </row>
    <row r="606" spans="3:27" ht="16.5" customHeight="1">
      <c r="C606" s="118"/>
      <c r="E606" s="61"/>
      <c r="H606" s="61"/>
      <c r="I606" s="60"/>
      <c r="K606" s="62"/>
      <c r="O606" s="60"/>
      <c r="P606" s="61"/>
      <c r="Q606" s="62"/>
      <c r="R606" s="61"/>
      <c r="S606" s="62"/>
      <c r="T606" s="61"/>
      <c r="U606" s="62"/>
      <c r="V606" s="61"/>
      <c r="W606" s="62"/>
      <c r="X606" s="61"/>
      <c r="Y606" s="62"/>
      <c r="Z606" s="61"/>
      <c r="AA606" s="62"/>
    </row>
    <row r="607" spans="3:27" ht="16.5" customHeight="1">
      <c r="C607" s="118"/>
      <c r="E607" s="61"/>
      <c r="H607" s="61"/>
      <c r="I607" s="60"/>
      <c r="K607" s="62"/>
      <c r="O607" s="60"/>
      <c r="P607" s="61"/>
      <c r="Q607" s="62"/>
      <c r="R607" s="61"/>
      <c r="S607" s="62"/>
      <c r="T607" s="61"/>
      <c r="U607" s="62"/>
      <c r="V607" s="61"/>
      <c r="W607" s="62"/>
      <c r="X607" s="61"/>
      <c r="Y607" s="62"/>
      <c r="Z607" s="61"/>
      <c r="AA607" s="62"/>
    </row>
    <row r="608" spans="3:27" ht="16.5" customHeight="1">
      <c r="C608" s="118"/>
      <c r="E608" s="61"/>
      <c r="H608" s="61"/>
      <c r="I608" s="60"/>
      <c r="K608" s="62"/>
      <c r="O608" s="60"/>
      <c r="P608" s="61"/>
      <c r="Q608" s="62"/>
      <c r="R608" s="61"/>
      <c r="S608" s="62"/>
      <c r="T608" s="61"/>
      <c r="U608" s="62"/>
      <c r="V608" s="61"/>
      <c r="W608" s="62"/>
      <c r="X608" s="61"/>
      <c r="Y608" s="62"/>
      <c r="Z608" s="61"/>
      <c r="AA608" s="62"/>
    </row>
    <row r="609" spans="3:27" ht="16.5" customHeight="1">
      <c r="C609" s="118"/>
      <c r="E609" s="61"/>
      <c r="H609" s="61"/>
      <c r="I609" s="60"/>
      <c r="K609" s="62"/>
      <c r="O609" s="60"/>
      <c r="P609" s="61"/>
      <c r="Q609" s="62"/>
      <c r="R609" s="61"/>
      <c r="S609" s="62"/>
      <c r="T609" s="61"/>
      <c r="U609" s="62"/>
      <c r="V609" s="61"/>
      <c r="W609" s="62"/>
      <c r="X609" s="61"/>
      <c r="Y609" s="62"/>
      <c r="Z609" s="61"/>
      <c r="AA609" s="62"/>
    </row>
    <row r="610" spans="3:27" ht="16.5" customHeight="1">
      <c r="C610" s="118"/>
      <c r="E610" s="61"/>
      <c r="H610" s="61"/>
      <c r="I610" s="60"/>
      <c r="K610" s="62"/>
      <c r="O610" s="60"/>
      <c r="P610" s="61"/>
      <c r="Q610" s="62"/>
      <c r="R610" s="61"/>
      <c r="S610" s="62"/>
      <c r="T610" s="61"/>
      <c r="U610" s="62"/>
      <c r="V610" s="61"/>
      <c r="W610" s="62"/>
      <c r="X610" s="61"/>
      <c r="Y610" s="62"/>
      <c r="Z610" s="61"/>
      <c r="AA610" s="62"/>
    </row>
    <row r="611" spans="3:27" ht="16.5" customHeight="1">
      <c r="C611" s="118"/>
      <c r="E611" s="61"/>
      <c r="H611" s="61"/>
      <c r="I611" s="60"/>
      <c r="K611" s="62"/>
      <c r="O611" s="60"/>
      <c r="P611" s="61"/>
      <c r="Q611" s="62"/>
      <c r="R611" s="61"/>
      <c r="S611" s="62"/>
      <c r="T611" s="61"/>
      <c r="U611" s="62"/>
      <c r="V611" s="61"/>
      <c r="W611" s="62"/>
      <c r="X611" s="61"/>
      <c r="Y611" s="62"/>
      <c r="Z611" s="61"/>
      <c r="AA611" s="62"/>
    </row>
    <row r="612" spans="3:27" ht="16.5" customHeight="1">
      <c r="C612" s="118"/>
      <c r="E612" s="61"/>
      <c r="H612" s="61"/>
      <c r="I612" s="60"/>
      <c r="K612" s="62"/>
      <c r="O612" s="60"/>
      <c r="P612" s="61"/>
      <c r="Q612" s="62"/>
      <c r="R612" s="61"/>
      <c r="S612" s="62"/>
      <c r="T612" s="61"/>
      <c r="U612" s="62"/>
      <c r="V612" s="61"/>
      <c r="W612" s="62"/>
      <c r="X612" s="61"/>
      <c r="Y612" s="62"/>
      <c r="Z612" s="61"/>
      <c r="AA612" s="62"/>
    </row>
    <row r="613" spans="3:27" ht="16.5" customHeight="1">
      <c r="C613" s="118"/>
      <c r="E613" s="61"/>
      <c r="H613" s="61"/>
      <c r="I613" s="60"/>
      <c r="K613" s="62"/>
      <c r="O613" s="60"/>
      <c r="P613" s="61"/>
      <c r="Q613" s="62"/>
      <c r="R613" s="61"/>
      <c r="S613" s="62"/>
      <c r="T613" s="61"/>
      <c r="U613" s="62"/>
      <c r="V613" s="61"/>
      <c r="W613" s="62"/>
      <c r="X613" s="61"/>
      <c r="Y613" s="62"/>
      <c r="Z613" s="61"/>
      <c r="AA613" s="62"/>
    </row>
    <row r="614" spans="3:27" ht="16.5" customHeight="1">
      <c r="C614" s="118"/>
      <c r="E614" s="61"/>
      <c r="H614" s="61"/>
      <c r="I614" s="60"/>
      <c r="K614" s="62"/>
      <c r="O614" s="60"/>
      <c r="P614" s="61"/>
      <c r="Q614" s="62"/>
      <c r="R614" s="61"/>
      <c r="S614" s="62"/>
      <c r="T614" s="61"/>
      <c r="U614" s="62"/>
      <c r="V614" s="61"/>
      <c r="W614" s="62"/>
      <c r="X614" s="61"/>
      <c r="Y614" s="62"/>
      <c r="Z614" s="61"/>
      <c r="AA614" s="62"/>
    </row>
    <row r="615" spans="3:27" ht="16.5" customHeight="1">
      <c r="C615" s="118"/>
      <c r="E615" s="61"/>
      <c r="H615" s="61"/>
      <c r="I615" s="60"/>
      <c r="K615" s="62"/>
      <c r="O615" s="60"/>
      <c r="P615" s="61"/>
      <c r="Q615" s="62"/>
      <c r="R615" s="61"/>
      <c r="S615" s="62"/>
      <c r="T615" s="61"/>
      <c r="U615" s="62"/>
      <c r="V615" s="61"/>
      <c r="W615" s="62"/>
      <c r="X615" s="61"/>
      <c r="Y615" s="62"/>
      <c r="Z615" s="61"/>
      <c r="AA615" s="62"/>
    </row>
    <row r="616" spans="3:27" ht="16.5" customHeight="1">
      <c r="C616" s="118"/>
      <c r="E616" s="61"/>
      <c r="H616" s="61"/>
      <c r="I616" s="60"/>
      <c r="K616" s="62"/>
      <c r="O616" s="60"/>
      <c r="P616" s="61"/>
      <c r="Q616" s="62"/>
      <c r="R616" s="61"/>
      <c r="S616" s="62"/>
      <c r="T616" s="61"/>
      <c r="U616" s="62"/>
      <c r="V616" s="61"/>
      <c r="W616" s="62"/>
      <c r="X616" s="61"/>
      <c r="Y616" s="62"/>
      <c r="Z616" s="61"/>
      <c r="AA616" s="62"/>
    </row>
    <row r="617" spans="3:27" ht="16.5" customHeight="1">
      <c r="C617" s="118"/>
      <c r="E617" s="61"/>
      <c r="H617" s="61"/>
      <c r="I617" s="60"/>
      <c r="K617" s="62"/>
      <c r="O617" s="60"/>
      <c r="P617" s="61"/>
      <c r="Q617" s="62"/>
      <c r="R617" s="61"/>
      <c r="S617" s="62"/>
      <c r="T617" s="61"/>
      <c r="U617" s="62"/>
      <c r="V617" s="61"/>
      <c r="W617" s="62"/>
      <c r="X617" s="61"/>
      <c r="Y617" s="62"/>
      <c r="Z617" s="61"/>
      <c r="AA617" s="62"/>
    </row>
    <row r="618" spans="3:27" ht="16.5" customHeight="1">
      <c r="C618" s="118"/>
      <c r="E618" s="61"/>
      <c r="H618" s="61"/>
      <c r="I618" s="60"/>
      <c r="K618" s="62"/>
      <c r="O618" s="60"/>
      <c r="P618" s="61"/>
      <c r="Q618" s="62"/>
      <c r="R618" s="61"/>
      <c r="S618" s="62"/>
      <c r="T618" s="61"/>
      <c r="U618" s="62"/>
      <c r="V618" s="61"/>
      <c r="W618" s="62"/>
      <c r="X618" s="61"/>
      <c r="Y618" s="62"/>
      <c r="Z618" s="61"/>
      <c r="AA618" s="62"/>
    </row>
    <row r="619" spans="3:27" ht="16.5" customHeight="1">
      <c r="C619" s="118"/>
      <c r="E619" s="61"/>
      <c r="H619" s="61"/>
      <c r="I619" s="60"/>
      <c r="K619" s="62"/>
      <c r="O619" s="60"/>
      <c r="P619" s="61"/>
      <c r="Q619" s="62"/>
      <c r="R619" s="61"/>
      <c r="S619" s="62"/>
      <c r="T619" s="61"/>
      <c r="U619" s="62"/>
      <c r="V619" s="61"/>
      <c r="W619" s="62"/>
      <c r="X619" s="61"/>
      <c r="Y619" s="62"/>
      <c r="Z619" s="61"/>
      <c r="AA619" s="62"/>
    </row>
    <row r="620" spans="3:27" ht="16.5" customHeight="1">
      <c r="C620" s="118"/>
      <c r="E620" s="61"/>
      <c r="H620" s="61"/>
      <c r="I620" s="60"/>
      <c r="K620" s="62"/>
      <c r="O620" s="60"/>
      <c r="P620" s="61"/>
      <c r="Q620" s="62"/>
      <c r="R620" s="61"/>
      <c r="S620" s="62"/>
      <c r="T620" s="61"/>
      <c r="U620" s="62"/>
      <c r="V620" s="61"/>
      <c r="W620" s="62"/>
      <c r="X620" s="61"/>
      <c r="Y620" s="62"/>
      <c r="Z620" s="61"/>
      <c r="AA620" s="62"/>
    </row>
    <row r="621" spans="3:27" ht="16.5" customHeight="1">
      <c r="C621" s="118"/>
      <c r="E621" s="61"/>
      <c r="H621" s="61"/>
      <c r="I621" s="60"/>
      <c r="K621" s="62"/>
      <c r="O621" s="60"/>
      <c r="P621" s="61"/>
      <c r="Q621" s="62"/>
      <c r="R621" s="61"/>
      <c r="S621" s="62"/>
      <c r="T621" s="61"/>
      <c r="U621" s="62"/>
      <c r="V621" s="61"/>
      <c r="W621" s="62"/>
      <c r="X621" s="61"/>
      <c r="Y621" s="62"/>
      <c r="Z621" s="61"/>
      <c r="AA621" s="62"/>
    </row>
    <row r="622" spans="3:27" ht="16.5" customHeight="1">
      <c r="C622" s="118"/>
      <c r="E622" s="61"/>
      <c r="H622" s="61"/>
      <c r="I622" s="60"/>
      <c r="K622" s="62"/>
      <c r="O622" s="60"/>
      <c r="P622" s="61"/>
      <c r="Q622" s="62"/>
      <c r="R622" s="61"/>
      <c r="S622" s="62"/>
      <c r="T622" s="61"/>
      <c r="U622" s="62"/>
      <c r="V622" s="61"/>
      <c r="W622" s="62"/>
      <c r="X622" s="61"/>
      <c r="Y622" s="62"/>
      <c r="Z622" s="61"/>
      <c r="AA622" s="62"/>
    </row>
    <row r="623" spans="3:27" ht="16.5" customHeight="1">
      <c r="C623" s="118"/>
      <c r="E623" s="61"/>
      <c r="H623" s="61"/>
      <c r="I623" s="60"/>
      <c r="K623" s="62"/>
      <c r="O623" s="60"/>
      <c r="P623" s="61"/>
      <c r="Q623" s="62"/>
      <c r="R623" s="61"/>
      <c r="S623" s="62"/>
      <c r="T623" s="61"/>
      <c r="U623" s="62"/>
      <c r="V623" s="61"/>
      <c r="W623" s="62"/>
      <c r="X623" s="61"/>
      <c r="Y623" s="62"/>
      <c r="Z623" s="61"/>
      <c r="AA623" s="62"/>
    </row>
    <row r="624" spans="3:27" ht="16.5" customHeight="1">
      <c r="C624" s="118"/>
      <c r="E624" s="61"/>
      <c r="H624" s="61"/>
      <c r="I624" s="60"/>
      <c r="K624" s="62"/>
      <c r="O624" s="60"/>
      <c r="P624" s="61"/>
      <c r="Q624" s="62"/>
      <c r="R624" s="61"/>
      <c r="S624" s="62"/>
      <c r="T624" s="61"/>
      <c r="U624" s="62"/>
      <c r="V624" s="61"/>
      <c r="W624" s="62"/>
      <c r="X624" s="61"/>
      <c r="Y624" s="62"/>
      <c r="Z624" s="61"/>
      <c r="AA624" s="62"/>
    </row>
    <row r="625" spans="3:27" ht="16.5" customHeight="1">
      <c r="C625" s="118"/>
      <c r="E625" s="61"/>
      <c r="H625" s="61"/>
      <c r="I625" s="60"/>
      <c r="K625" s="62"/>
      <c r="O625" s="60"/>
      <c r="P625" s="61"/>
      <c r="Q625" s="62"/>
      <c r="R625" s="61"/>
      <c r="S625" s="62"/>
      <c r="T625" s="61"/>
      <c r="U625" s="62"/>
      <c r="V625" s="61"/>
      <c r="W625" s="62"/>
      <c r="X625" s="61"/>
      <c r="Y625" s="62"/>
      <c r="Z625" s="61"/>
      <c r="AA625" s="62"/>
    </row>
    <row r="626" spans="3:27" ht="16.5" customHeight="1">
      <c r="C626" s="118"/>
      <c r="E626" s="61"/>
      <c r="H626" s="61"/>
      <c r="I626" s="60"/>
      <c r="K626" s="62"/>
      <c r="O626" s="60"/>
      <c r="P626" s="61"/>
      <c r="Q626" s="62"/>
      <c r="R626" s="61"/>
      <c r="S626" s="62"/>
      <c r="T626" s="61"/>
      <c r="U626" s="62"/>
      <c r="V626" s="61"/>
      <c r="W626" s="62"/>
      <c r="X626" s="61"/>
      <c r="Y626" s="62"/>
      <c r="Z626" s="61"/>
      <c r="AA626" s="62"/>
    </row>
    <row r="627" spans="3:27" ht="16.5" customHeight="1">
      <c r="C627" s="118"/>
      <c r="E627" s="61"/>
      <c r="H627" s="61"/>
      <c r="I627" s="60"/>
      <c r="K627" s="62"/>
      <c r="O627" s="60"/>
      <c r="P627" s="61"/>
      <c r="Q627" s="62"/>
      <c r="R627" s="61"/>
      <c r="S627" s="62"/>
      <c r="T627" s="61"/>
      <c r="U627" s="62"/>
      <c r="V627" s="61"/>
      <c r="W627" s="62"/>
      <c r="X627" s="61"/>
      <c r="Y627" s="62"/>
      <c r="Z627" s="61"/>
      <c r="AA627" s="62"/>
    </row>
    <row r="628" spans="3:27" ht="16.5" customHeight="1">
      <c r="C628" s="118"/>
      <c r="E628" s="61"/>
      <c r="H628" s="61"/>
      <c r="I628" s="60"/>
      <c r="K628" s="62"/>
      <c r="O628" s="60"/>
      <c r="P628" s="61"/>
      <c r="Q628" s="62"/>
      <c r="R628" s="61"/>
      <c r="S628" s="62"/>
      <c r="T628" s="61"/>
      <c r="U628" s="62"/>
      <c r="V628" s="61"/>
      <c r="W628" s="62"/>
      <c r="X628" s="61"/>
      <c r="Y628" s="62"/>
      <c r="Z628" s="61"/>
      <c r="AA628" s="62"/>
    </row>
    <row r="629" spans="3:27" ht="16.5" customHeight="1">
      <c r="C629" s="118"/>
      <c r="E629" s="61"/>
      <c r="H629" s="61"/>
      <c r="I629" s="60"/>
      <c r="K629" s="62"/>
      <c r="O629" s="60"/>
      <c r="P629" s="61"/>
      <c r="Q629" s="62"/>
      <c r="R629" s="61"/>
      <c r="S629" s="62"/>
      <c r="T629" s="61"/>
      <c r="U629" s="62"/>
      <c r="V629" s="61"/>
      <c r="W629" s="62"/>
      <c r="X629" s="61"/>
      <c r="Y629" s="62"/>
      <c r="Z629" s="61"/>
      <c r="AA629" s="62"/>
    </row>
    <row r="630" spans="3:27" ht="16.5" customHeight="1">
      <c r="C630" s="118"/>
      <c r="E630" s="61"/>
      <c r="H630" s="61"/>
      <c r="I630" s="60"/>
      <c r="K630" s="62"/>
      <c r="O630" s="60"/>
      <c r="P630" s="61"/>
      <c r="Q630" s="62"/>
      <c r="R630" s="61"/>
      <c r="S630" s="62"/>
      <c r="T630" s="61"/>
      <c r="U630" s="62"/>
      <c r="V630" s="61"/>
      <c r="W630" s="62"/>
      <c r="X630" s="61"/>
      <c r="Y630" s="62"/>
      <c r="Z630" s="61"/>
      <c r="AA630" s="62"/>
    </row>
    <row r="631" spans="3:27" ht="16.5" customHeight="1">
      <c r="C631" s="118"/>
      <c r="E631" s="61"/>
      <c r="H631" s="61"/>
      <c r="I631" s="60"/>
      <c r="K631" s="62"/>
      <c r="O631" s="60"/>
      <c r="P631" s="61"/>
      <c r="Q631" s="62"/>
      <c r="R631" s="61"/>
      <c r="S631" s="62"/>
      <c r="T631" s="61"/>
      <c r="U631" s="62"/>
      <c r="V631" s="61"/>
      <c r="W631" s="62"/>
      <c r="X631" s="61"/>
      <c r="Y631" s="62"/>
      <c r="Z631" s="61"/>
      <c r="AA631" s="62"/>
    </row>
    <row r="632" spans="3:27" ht="16.5" customHeight="1">
      <c r="C632" s="118"/>
      <c r="E632" s="61"/>
      <c r="H632" s="61"/>
      <c r="I632" s="60"/>
      <c r="K632" s="62"/>
      <c r="O632" s="60"/>
      <c r="P632" s="61"/>
      <c r="Q632" s="62"/>
      <c r="R632" s="61"/>
      <c r="S632" s="62"/>
      <c r="T632" s="61"/>
      <c r="U632" s="62"/>
      <c r="V632" s="61"/>
      <c r="W632" s="62"/>
      <c r="X632" s="61"/>
      <c r="Y632" s="62"/>
      <c r="Z632" s="61"/>
      <c r="AA632" s="62"/>
    </row>
    <row r="633" spans="3:27" ht="16.5" customHeight="1">
      <c r="C633" s="118"/>
      <c r="E633" s="61"/>
      <c r="H633" s="61"/>
      <c r="I633" s="60"/>
      <c r="K633" s="62"/>
      <c r="O633" s="60"/>
      <c r="P633" s="61"/>
      <c r="Q633" s="62"/>
      <c r="R633" s="61"/>
      <c r="S633" s="62"/>
      <c r="T633" s="61"/>
      <c r="U633" s="62"/>
      <c r="V633" s="61"/>
      <c r="W633" s="62"/>
      <c r="X633" s="61"/>
      <c r="Y633" s="62"/>
      <c r="Z633" s="61"/>
      <c r="AA633" s="62"/>
    </row>
    <row r="634" spans="3:27" ht="16.5" customHeight="1">
      <c r="C634" s="118"/>
      <c r="E634" s="61"/>
      <c r="H634" s="61"/>
      <c r="I634" s="60"/>
      <c r="K634" s="62"/>
      <c r="O634" s="60"/>
      <c r="P634" s="61"/>
      <c r="Q634" s="62"/>
      <c r="R634" s="61"/>
      <c r="S634" s="62"/>
      <c r="T634" s="61"/>
      <c r="U634" s="62"/>
      <c r="V634" s="61"/>
      <c r="W634" s="62"/>
      <c r="X634" s="61"/>
      <c r="Y634" s="62"/>
      <c r="Z634" s="61"/>
      <c r="AA634" s="62"/>
    </row>
    <row r="635" spans="3:27" ht="16.5" customHeight="1">
      <c r="C635" s="118"/>
      <c r="E635" s="61"/>
      <c r="H635" s="61"/>
      <c r="I635" s="60"/>
      <c r="K635" s="62"/>
      <c r="O635" s="60"/>
      <c r="P635" s="61"/>
      <c r="Q635" s="62"/>
      <c r="R635" s="61"/>
      <c r="S635" s="62"/>
      <c r="T635" s="61"/>
      <c r="U635" s="62"/>
      <c r="V635" s="61"/>
      <c r="W635" s="62"/>
      <c r="X635" s="61"/>
      <c r="Y635" s="62"/>
      <c r="Z635" s="61"/>
      <c r="AA635" s="62"/>
    </row>
    <row r="636" spans="3:27" ht="16.5" customHeight="1">
      <c r="C636" s="118"/>
      <c r="E636" s="61"/>
      <c r="H636" s="61"/>
      <c r="I636" s="60"/>
      <c r="K636" s="62"/>
      <c r="O636" s="60"/>
      <c r="P636" s="61"/>
      <c r="Q636" s="62"/>
      <c r="R636" s="61"/>
      <c r="S636" s="62"/>
      <c r="T636" s="61"/>
      <c r="U636" s="62"/>
      <c r="V636" s="61"/>
      <c r="W636" s="62"/>
      <c r="X636" s="61"/>
      <c r="Y636" s="62"/>
      <c r="Z636" s="61"/>
      <c r="AA636" s="62"/>
    </row>
    <row r="637" spans="3:27" ht="16.5" customHeight="1">
      <c r="C637" s="118"/>
      <c r="E637" s="61"/>
      <c r="H637" s="61"/>
      <c r="I637" s="60"/>
      <c r="K637" s="62"/>
      <c r="O637" s="60"/>
      <c r="P637" s="61"/>
      <c r="Q637" s="62"/>
      <c r="R637" s="61"/>
      <c r="S637" s="62"/>
      <c r="T637" s="61"/>
      <c r="U637" s="62"/>
      <c r="V637" s="61"/>
      <c r="W637" s="62"/>
      <c r="X637" s="61"/>
      <c r="Y637" s="62"/>
      <c r="Z637" s="61"/>
      <c r="AA637" s="62"/>
    </row>
    <row r="638" spans="3:27" ht="16.5" customHeight="1">
      <c r="C638" s="118"/>
      <c r="E638" s="61"/>
      <c r="H638" s="61"/>
      <c r="I638" s="60"/>
      <c r="K638" s="62"/>
      <c r="O638" s="60"/>
      <c r="P638" s="61"/>
      <c r="Q638" s="62"/>
      <c r="R638" s="61"/>
      <c r="S638" s="62"/>
      <c r="T638" s="61"/>
      <c r="U638" s="62"/>
      <c r="V638" s="61"/>
      <c r="W638" s="62"/>
      <c r="X638" s="61"/>
      <c r="Y638" s="62"/>
      <c r="Z638" s="61"/>
      <c r="AA638" s="62"/>
    </row>
    <row r="639" spans="3:27" ht="16.5" customHeight="1">
      <c r="C639" s="118"/>
      <c r="E639" s="61"/>
      <c r="H639" s="61"/>
      <c r="I639" s="60"/>
      <c r="K639" s="62"/>
      <c r="O639" s="60"/>
      <c r="P639" s="61"/>
      <c r="Q639" s="62"/>
      <c r="R639" s="61"/>
      <c r="S639" s="62"/>
      <c r="T639" s="61"/>
      <c r="U639" s="62"/>
      <c r="V639" s="61"/>
      <c r="W639" s="62"/>
      <c r="X639" s="61"/>
      <c r="Y639" s="62"/>
      <c r="Z639" s="61"/>
      <c r="AA639" s="62"/>
    </row>
    <row r="640" spans="3:27" ht="16.5" customHeight="1">
      <c r="C640" s="118"/>
      <c r="E640" s="61"/>
      <c r="H640" s="61"/>
      <c r="I640" s="60"/>
      <c r="K640" s="62"/>
      <c r="O640" s="60"/>
      <c r="P640" s="61"/>
      <c r="Q640" s="62"/>
      <c r="R640" s="61"/>
      <c r="S640" s="62"/>
      <c r="T640" s="61"/>
      <c r="U640" s="62"/>
      <c r="V640" s="61"/>
      <c r="W640" s="62"/>
      <c r="X640" s="61"/>
      <c r="Y640" s="62"/>
      <c r="Z640" s="61"/>
      <c r="AA640" s="62"/>
    </row>
    <row r="641" spans="3:27" ht="16.5" customHeight="1">
      <c r="C641" s="118"/>
      <c r="E641" s="61"/>
      <c r="H641" s="61"/>
      <c r="I641" s="60"/>
      <c r="K641" s="62"/>
      <c r="O641" s="60"/>
      <c r="P641" s="61"/>
      <c r="Q641" s="62"/>
      <c r="R641" s="61"/>
      <c r="S641" s="62"/>
      <c r="T641" s="61"/>
      <c r="U641" s="62"/>
      <c r="V641" s="61"/>
      <c r="W641" s="62"/>
      <c r="X641" s="61"/>
      <c r="Y641" s="62"/>
      <c r="Z641" s="61"/>
      <c r="AA641" s="62"/>
    </row>
    <row r="642" spans="3:27" ht="16.5" customHeight="1">
      <c r="C642" s="118"/>
      <c r="E642" s="61"/>
      <c r="H642" s="61"/>
      <c r="I642" s="60"/>
      <c r="K642" s="62"/>
      <c r="O642" s="60"/>
      <c r="P642" s="61"/>
      <c r="Q642" s="62"/>
      <c r="R642" s="61"/>
      <c r="S642" s="62"/>
      <c r="T642" s="61"/>
      <c r="U642" s="62"/>
      <c r="V642" s="61"/>
      <c r="W642" s="62"/>
      <c r="X642" s="61"/>
      <c r="Y642" s="62"/>
      <c r="Z642" s="61"/>
      <c r="AA642" s="62"/>
    </row>
    <row r="643" spans="3:27" ht="16.5" customHeight="1">
      <c r="C643" s="118"/>
      <c r="E643" s="61"/>
      <c r="H643" s="61"/>
      <c r="I643" s="60"/>
      <c r="K643" s="62"/>
      <c r="O643" s="60"/>
      <c r="P643" s="61"/>
      <c r="Q643" s="62"/>
      <c r="R643" s="61"/>
      <c r="S643" s="62"/>
      <c r="T643" s="61"/>
      <c r="U643" s="62"/>
      <c r="V643" s="61"/>
      <c r="W643" s="62"/>
      <c r="X643" s="61"/>
      <c r="Y643" s="62"/>
      <c r="Z643" s="61"/>
      <c r="AA643" s="62"/>
    </row>
    <row r="644" spans="3:27" ht="16.5" customHeight="1">
      <c r="C644" s="118"/>
      <c r="E644" s="61"/>
      <c r="H644" s="61"/>
      <c r="I644" s="60"/>
      <c r="K644" s="62"/>
      <c r="O644" s="60"/>
      <c r="P644" s="61"/>
      <c r="Q644" s="62"/>
      <c r="R644" s="61"/>
      <c r="S644" s="62"/>
      <c r="T644" s="61"/>
      <c r="U644" s="62"/>
      <c r="V644" s="61"/>
      <c r="W644" s="62"/>
      <c r="X644" s="61"/>
      <c r="Y644" s="62"/>
      <c r="Z644" s="61"/>
      <c r="AA644" s="62"/>
    </row>
    <row r="645" spans="3:27" ht="16.5" customHeight="1">
      <c r="C645" s="118"/>
      <c r="E645" s="61"/>
      <c r="H645" s="61"/>
      <c r="I645" s="60"/>
      <c r="K645" s="62"/>
      <c r="O645" s="60"/>
      <c r="P645" s="61"/>
      <c r="Q645" s="62"/>
      <c r="R645" s="61"/>
      <c r="S645" s="62"/>
      <c r="T645" s="61"/>
      <c r="U645" s="62"/>
      <c r="V645" s="61"/>
      <c r="W645" s="62"/>
      <c r="X645" s="61"/>
      <c r="Y645" s="62"/>
      <c r="Z645" s="61"/>
      <c r="AA645" s="62"/>
    </row>
    <row r="646" spans="3:27" ht="16.5" customHeight="1">
      <c r="C646" s="118"/>
      <c r="E646" s="61"/>
      <c r="H646" s="61"/>
      <c r="I646" s="60"/>
      <c r="K646" s="62"/>
      <c r="O646" s="60"/>
      <c r="P646" s="61"/>
      <c r="Q646" s="62"/>
      <c r="R646" s="61"/>
      <c r="S646" s="62"/>
      <c r="T646" s="61"/>
      <c r="U646" s="62"/>
      <c r="V646" s="61"/>
      <c r="W646" s="62"/>
      <c r="X646" s="61"/>
      <c r="Y646" s="62"/>
      <c r="Z646" s="61"/>
      <c r="AA646" s="62"/>
    </row>
    <row r="647" spans="3:27" ht="16.5" customHeight="1">
      <c r="C647" s="118"/>
      <c r="E647" s="61"/>
      <c r="H647" s="61"/>
      <c r="I647" s="60"/>
      <c r="K647" s="62"/>
      <c r="O647" s="60"/>
      <c r="P647" s="61"/>
      <c r="Q647" s="62"/>
      <c r="R647" s="61"/>
      <c r="S647" s="62"/>
      <c r="T647" s="61"/>
      <c r="U647" s="62"/>
      <c r="V647" s="61"/>
      <c r="W647" s="62"/>
      <c r="X647" s="61"/>
      <c r="Y647" s="62"/>
      <c r="Z647" s="61"/>
      <c r="AA647" s="62"/>
    </row>
    <row r="648" spans="3:27" ht="16.5" customHeight="1">
      <c r="C648" s="118"/>
      <c r="E648" s="61"/>
      <c r="H648" s="61"/>
      <c r="I648" s="60"/>
      <c r="K648" s="62"/>
      <c r="O648" s="60"/>
      <c r="P648" s="61"/>
      <c r="Q648" s="62"/>
      <c r="R648" s="61"/>
      <c r="S648" s="62"/>
      <c r="T648" s="61"/>
      <c r="U648" s="62"/>
      <c r="V648" s="61"/>
      <c r="W648" s="62"/>
      <c r="X648" s="61"/>
      <c r="Y648" s="62"/>
      <c r="Z648" s="61"/>
      <c r="AA648" s="62"/>
    </row>
    <row r="649" spans="3:27" ht="16.5" customHeight="1">
      <c r="C649" s="118"/>
      <c r="E649" s="61"/>
      <c r="H649" s="61"/>
      <c r="I649" s="60"/>
      <c r="K649" s="62"/>
      <c r="O649" s="60"/>
      <c r="P649" s="61"/>
      <c r="Q649" s="62"/>
      <c r="R649" s="61"/>
      <c r="S649" s="62"/>
      <c r="T649" s="61"/>
      <c r="U649" s="62"/>
      <c r="V649" s="61"/>
      <c r="W649" s="62"/>
      <c r="X649" s="61"/>
      <c r="Y649" s="62"/>
      <c r="Z649" s="61"/>
      <c r="AA649" s="62"/>
    </row>
    <row r="650" spans="3:27" ht="16.5" customHeight="1">
      <c r="C650" s="118"/>
      <c r="E650" s="61"/>
      <c r="H650" s="61"/>
      <c r="I650" s="60"/>
      <c r="K650" s="62"/>
      <c r="O650" s="60"/>
      <c r="P650" s="61"/>
      <c r="Q650" s="62"/>
      <c r="R650" s="61"/>
      <c r="S650" s="62"/>
      <c r="T650" s="61"/>
      <c r="U650" s="62"/>
      <c r="V650" s="61"/>
      <c r="W650" s="62"/>
      <c r="X650" s="61"/>
      <c r="Y650" s="62"/>
      <c r="Z650" s="61"/>
      <c r="AA650" s="62"/>
    </row>
    <row r="651" spans="3:27" ht="16.5" customHeight="1">
      <c r="C651" s="118"/>
      <c r="E651" s="61"/>
      <c r="H651" s="61"/>
      <c r="I651" s="60"/>
      <c r="K651" s="62"/>
      <c r="O651" s="60"/>
      <c r="P651" s="61"/>
      <c r="Q651" s="62"/>
      <c r="R651" s="61"/>
      <c r="S651" s="62"/>
      <c r="T651" s="61"/>
      <c r="U651" s="62"/>
      <c r="V651" s="61"/>
      <c r="W651" s="62"/>
      <c r="X651" s="61"/>
      <c r="Y651" s="62"/>
      <c r="Z651" s="61"/>
      <c r="AA651" s="62"/>
    </row>
    <row r="652" spans="3:27" ht="16.5" customHeight="1">
      <c r="C652" s="118"/>
      <c r="E652" s="61"/>
      <c r="H652" s="61"/>
      <c r="I652" s="60"/>
      <c r="K652" s="62"/>
      <c r="O652" s="60"/>
      <c r="P652" s="61"/>
      <c r="Q652" s="62"/>
      <c r="R652" s="61"/>
      <c r="S652" s="62"/>
      <c r="T652" s="61"/>
      <c r="U652" s="62"/>
      <c r="V652" s="61"/>
      <c r="W652" s="62"/>
      <c r="X652" s="61"/>
      <c r="Y652" s="62"/>
      <c r="Z652" s="61"/>
      <c r="AA652" s="62"/>
    </row>
    <row r="653" spans="3:27" ht="16.5" customHeight="1">
      <c r="C653" s="118"/>
      <c r="E653" s="61"/>
      <c r="H653" s="61"/>
      <c r="I653" s="60"/>
      <c r="K653" s="62"/>
      <c r="O653" s="60"/>
      <c r="P653" s="61"/>
      <c r="Q653" s="62"/>
      <c r="R653" s="61"/>
      <c r="S653" s="62"/>
      <c r="T653" s="61"/>
      <c r="U653" s="62"/>
      <c r="V653" s="61"/>
      <c r="W653" s="62"/>
      <c r="X653" s="61"/>
      <c r="Y653" s="62"/>
      <c r="Z653" s="61"/>
      <c r="AA653" s="62"/>
    </row>
    <row r="654" spans="3:27" ht="16.5" customHeight="1">
      <c r="C654" s="118"/>
      <c r="E654" s="61"/>
      <c r="H654" s="61"/>
      <c r="I654" s="60"/>
      <c r="K654" s="62"/>
      <c r="O654" s="60"/>
      <c r="P654" s="61"/>
      <c r="Q654" s="62"/>
      <c r="R654" s="61"/>
      <c r="S654" s="62"/>
      <c r="T654" s="61"/>
      <c r="U654" s="62"/>
      <c r="V654" s="61"/>
      <c r="W654" s="62"/>
      <c r="X654" s="61"/>
      <c r="Y654" s="62"/>
      <c r="Z654" s="61"/>
      <c r="AA654" s="62"/>
    </row>
    <row r="655" spans="3:27" ht="16.5" customHeight="1">
      <c r="C655" s="118"/>
      <c r="E655" s="61"/>
      <c r="H655" s="61"/>
      <c r="I655" s="60"/>
      <c r="K655" s="62"/>
      <c r="O655" s="60"/>
      <c r="P655" s="61"/>
      <c r="Q655" s="62"/>
      <c r="R655" s="61"/>
      <c r="S655" s="62"/>
      <c r="T655" s="61"/>
      <c r="U655" s="62"/>
      <c r="V655" s="61"/>
      <c r="W655" s="62"/>
      <c r="X655" s="61"/>
      <c r="Y655" s="62"/>
      <c r="Z655" s="61"/>
      <c r="AA655" s="62"/>
    </row>
    <row r="656" spans="3:27" ht="16.5" customHeight="1">
      <c r="C656" s="118"/>
      <c r="E656" s="61"/>
      <c r="H656" s="61"/>
      <c r="I656" s="60"/>
      <c r="K656" s="62"/>
      <c r="O656" s="60"/>
      <c r="P656" s="61"/>
      <c r="Q656" s="62"/>
      <c r="R656" s="61"/>
      <c r="S656" s="62"/>
      <c r="T656" s="61"/>
      <c r="U656" s="62"/>
      <c r="V656" s="61"/>
      <c r="W656" s="62"/>
      <c r="X656" s="61"/>
      <c r="Y656" s="62"/>
      <c r="Z656" s="61"/>
      <c r="AA656" s="62"/>
    </row>
    <row r="657" spans="3:27" ht="16.5" customHeight="1">
      <c r="C657" s="118"/>
      <c r="E657" s="61"/>
      <c r="H657" s="61"/>
      <c r="I657" s="60"/>
      <c r="K657" s="62"/>
      <c r="O657" s="60"/>
      <c r="P657" s="61"/>
      <c r="Q657" s="62"/>
      <c r="R657" s="61"/>
      <c r="S657" s="62"/>
      <c r="T657" s="61"/>
      <c r="U657" s="62"/>
      <c r="V657" s="61"/>
      <c r="W657" s="62"/>
      <c r="X657" s="61"/>
      <c r="Y657" s="62"/>
      <c r="Z657" s="61"/>
      <c r="AA657" s="62"/>
    </row>
    <row r="658" spans="3:27" ht="16.5" customHeight="1">
      <c r="C658" s="118"/>
      <c r="E658" s="61"/>
      <c r="H658" s="61"/>
      <c r="I658" s="60"/>
      <c r="K658" s="62"/>
      <c r="O658" s="60"/>
      <c r="P658" s="61"/>
      <c r="Q658" s="62"/>
      <c r="R658" s="61"/>
      <c r="S658" s="62"/>
      <c r="T658" s="61"/>
      <c r="U658" s="62"/>
      <c r="V658" s="61"/>
      <c r="W658" s="62"/>
      <c r="X658" s="61"/>
      <c r="Y658" s="62"/>
      <c r="Z658" s="61"/>
      <c r="AA658" s="62"/>
    </row>
    <row r="659" spans="3:27" ht="16.5" customHeight="1">
      <c r="C659" s="118"/>
      <c r="E659" s="61"/>
      <c r="H659" s="61"/>
      <c r="I659" s="60"/>
      <c r="K659" s="62"/>
      <c r="O659" s="60"/>
      <c r="P659" s="61"/>
      <c r="Q659" s="62"/>
      <c r="R659" s="61"/>
      <c r="S659" s="62"/>
      <c r="T659" s="61"/>
      <c r="U659" s="62"/>
      <c r="V659" s="61"/>
      <c r="W659" s="62"/>
      <c r="X659" s="61"/>
      <c r="Y659" s="62"/>
      <c r="Z659" s="61"/>
      <c r="AA659" s="62"/>
    </row>
    <row r="660" spans="3:27" ht="16.5" customHeight="1">
      <c r="C660" s="118"/>
      <c r="E660" s="61"/>
      <c r="H660" s="61"/>
      <c r="I660" s="60"/>
      <c r="K660" s="62"/>
      <c r="O660" s="60"/>
      <c r="P660" s="61"/>
      <c r="Q660" s="62"/>
      <c r="R660" s="61"/>
      <c r="S660" s="62"/>
      <c r="T660" s="61"/>
      <c r="U660" s="62"/>
      <c r="V660" s="61"/>
      <c r="W660" s="62"/>
      <c r="X660" s="61"/>
      <c r="Y660" s="62"/>
      <c r="Z660" s="61"/>
      <c r="AA660" s="62"/>
    </row>
    <row r="661" spans="3:27" ht="16.5" customHeight="1">
      <c r="C661" s="118"/>
      <c r="E661" s="61"/>
      <c r="H661" s="61"/>
      <c r="I661" s="60"/>
      <c r="K661" s="62"/>
      <c r="O661" s="60"/>
      <c r="P661" s="61"/>
      <c r="Q661" s="62"/>
      <c r="R661" s="61"/>
      <c r="S661" s="62"/>
      <c r="T661" s="61"/>
      <c r="U661" s="62"/>
      <c r="V661" s="61"/>
      <c r="W661" s="62"/>
      <c r="X661" s="61"/>
      <c r="Y661" s="62"/>
      <c r="Z661" s="61"/>
      <c r="AA661" s="62"/>
    </row>
    <row r="662" spans="3:27" ht="16.5" customHeight="1">
      <c r="C662" s="118"/>
      <c r="E662" s="61"/>
      <c r="H662" s="61"/>
      <c r="I662" s="60"/>
      <c r="K662" s="62"/>
      <c r="O662" s="60"/>
      <c r="P662" s="61"/>
      <c r="Q662" s="62"/>
      <c r="R662" s="61"/>
      <c r="S662" s="62"/>
      <c r="T662" s="61"/>
      <c r="U662" s="62"/>
      <c r="V662" s="61"/>
      <c r="W662" s="62"/>
      <c r="X662" s="61"/>
      <c r="Y662" s="62"/>
      <c r="Z662" s="61"/>
      <c r="AA662" s="62"/>
    </row>
    <row r="663" spans="3:27" ht="16.5" customHeight="1">
      <c r="C663" s="118"/>
      <c r="E663" s="61"/>
      <c r="H663" s="61"/>
      <c r="I663" s="60"/>
      <c r="K663" s="62"/>
      <c r="O663" s="60"/>
      <c r="P663" s="61"/>
      <c r="Q663" s="62"/>
      <c r="R663" s="61"/>
      <c r="S663" s="62"/>
      <c r="T663" s="61"/>
      <c r="U663" s="62"/>
      <c r="V663" s="61"/>
      <c r="W663" s="62"/>
      <c r="X663" s="61"/>
      <c r="Y663" s="62"/>
      <c r="Z663" s="61"/>
      <c r="AA663" s="62"/>
    </row>
    <row r="664" spans="3:27" ht="16.5" customHeight="1">
      <c r="C664" s="118"/>
      <c r="E664" s="61"/>
      <c r="H664" s="61"/>
      <c r="I664" s="60"/>
      <c r="K664" s="62"/>
      <c r="O664" s="60"/>
      <c r="P664" s="61"/>
      <c r="Q664" s="62"/>
      <c r="R664" s="61"/>
      <c r="S664" s="62"/>
      <c r="T664" s="61"/>
      <c r="U664" s="62"/>
      <c r="V664" s="61"/>
      <c r="W664" s="62"/>
      <c r="X664" s="61"/>
      <c r="Y664" s="62"/>
      <c r="Z664" s="61"/>
      <c r="AA664" s="62"/>
    </row>
    <row r="665" spans="3:27" ht="16.5" customHeight="1">
      <c r="C665" s="118"/>
      <c r="E665" s="61"/>
      <c r="H665" s="61"/>
      <c r="I665" s="60"/>
      <c r="K665" s="62"/>
      <c r="O665" s="60"/>
      <c r="P665" s="61"/>
      <c r="Q665" s="62"/>
      <c r="R665" s="61"/>
      <c r="S665" s="62"/>
      <c r="T665" s="61"/>
      <c r="U665" s="62"/>
      <c r="V665" s="61"/>
      <c r="W665" s="62"/>
      <c r="X665" s="61"/>
      <c r="Y665" s="62"/>
      <c r="Z665" s="61"/>
      <c r="AA665" s="62"/>
    </row>
    <row r="666" spans="3:27" ht="16.5" customHeight="1">
      <c r="C666" s="118"/>
      <c r="E666" s="61"/>
      <c r="H666" s="61"/>
      <c r="I666" s="60"/>
      <c r="K666" s="62"/>
      <c r="O666" s="60"/>
      <c r="P666" s="61"/>
      <c r="Q666" s="62"/>
      <c r="R666" s="61"/>
      <c r="S666" s="62"/>
      <c r="T666" s="61"/>
      <c r="U666" s="62"/>
      <c r="V666" s="61"/>
      <c r="W666" s="62"/>
      <c r="X666" s="61"/>
      <c r="Y666" s="62"/>
      <c r="Z666" s="61"/>
      <c r="AA666" s="62"/>
    </row>
    <row r="667" spans="3:27" ht="16.5" customHeight="1">
      <c r="C667" s="118"/>
      <c r="E667" s="61"/>
      <c r="H667" s="61"/>
      <c r="I667" s="60"/>
      <c r="K667" s="62"/>
      <c r="O667" s="60"/>
      <c r="P667" s="61"/>
      <c r="Q667" s="62"/>
      <c r="R667" s="61"/>
      <c r="S667" s="62"/>
      <c r="T667" s="61"/>
      <c r="U667" s="62"/>
      <c r="V667" s="61"/>
      <c r="W667" s="62"/>
      <c r="X667" s="61"/>
      <c r="Y667" s="62"/>
      <c r="Z667" s="61"/>
      <c r="AA667" s="62"/>
    </row>
    <row r="668" spans="3:27" ht="16.5" customHeight="1">
      <c r="C668" s="118"/>
      <c r="E668" s="61"/>
      <c r="H668" s="61"/>
      <c r="I668" s="60"/>
      <c r="K668" s="62"/>
      <c r="O668" s="60"/>
      <c r="P668" s="61"/>
      <c r="Q668" s="62"/>
      <c r="R668" s="61"/>
      <c r="S668" s="62"/>
      <c r="T668" s="61"/>
      <c r="U668" s="62"/>
      <c r="V668" s="61"/>
      <c r="W668" s="62"/>
      <c r="X668" s="61"/>
      <c r="Y668" s="62"/>
      <c r="Z668" s="61"/>
      <c r="AA668" s="62"/>
    </row>
    <row r="669" spans="3:27" ht="16.5" customHeight="1">
      <c r="C669" s="118"/>
      <c r="E669" s="61"/>
      <c r="H669" s="61"/>
      <c r="I669" s="60"/>
      <c r="K669" s="62"/>
      <c r="O669" s="60"/>
      <c r="P669" s="61"/>
      <c r="Q669" s="62"/>
      <c r="R669" s="61"/>
      <c r="S669" s="62"/>
      <c r="T669" s="61"/>
      <c r="U669" s="62"/>
      <c r="V669" s="61"/>
      <c r="W669" s="62"/>
      <c r="X669" s="61"/>
      <c r="Y669" s="62"/>
      <c r="Z669" s="61"/>
      <c r="AA669" s="62"/>
    </row>
    <row r="670" spans="3:27" ht="16.5" customHeight="1">
      <c r="C670" s="118"/>
      <c r="E670" s="61"/>
      <c r="H670" s="61"/>
      <c r="I670" s="60"/>
      <c r="K670" s="62"/>
      <c r="O670" s="60"/>
      <c r="P670" s="61"/>
      <c r="Q670" s="62"/>
      <c r="R670" s="61"/>
      <c r="S670" s="62"/>
      <c r="T670" s="61"/>
      <c r="U670" s="62"/>
      <c r="V670" s="61"/>
      <c r="W670" s="62"/>
      <c r="X670" s="61"/>
      <c r="Y670" s="62"/>
      <c r="Z670" s="61"/>
      <c r="AA670" s="62"/>
    </row>
    <row r="671" spans="3:27" ht="16.5" customHeight="1">
      <c r="C671" s="118"/>
      <c r="E671" s="61"/>
      <c r="H671" s="61"/>
      <c r="I671" s="60"/>
      <c r="K671" s="62"/>
      <c r="O671" s="60"/>
      <c r="P671" s="61"/>
      <c r="Q671" s="62"/>
      <c r="R671" s="61"/>
      <c r="S671" s="62"/>
      <c r="T671" s="61"/>
      <c r="U671" s="62"/>
      <c r="V671" s="61"/>
      <c r="W671" s="62"/>
      <c r="X671" s="61"/>
      <c r="Y671" s="62"/>
      <c r="Z671" s="61"/>
      <c r="AA671" s="62"/>
    </row>
    <row r="672" spans="3:27" ht="16.5" customHeight="1">
      <c r="C672" s="118"/>
      <c r="E672" s="61"/>
      <c r="H672" s="61"/>
      <c r="I672" s="60"/>
      <c r="K672" s="62"/>
      <c r="O672" s="60"/>
      <c r="P672" s="61"/>
      <c r="Q672" s="62"/>
      <c r="R672" s="61"/>
      <c r="S672" s="62"/>
      <c r="T672" s="61"/>
      <c r="U672" s="62"/>
      <c r="V672" s="61"/>
      <c r="W672" s="62"/>
      <c r="X672" s="61"/>
      <c r="Y672" s="62"/>
      <c r="Z672" s="61"/>
      <c r="AA672" s="62"/>
    </row>
    <row r="673" spans="3:27" ht="16.5" customHeight="1">
      <c r="C673" s="118"/>
      <c r="E673" s="61"/>
      <c r="H673" s="61"/>
      <c r="I673" s="60"/>
      <c r="K673" s="62"/>
      <c r="O673" s="60"/>
      <c r="P673" s="61"/>
      <c r="Q673" s="62"/>
      <c r="R673" s="61"/>
      <c r="S673" s="62"/>
      <c r="T673" s="61"/>
      <c r="U673" s="62"/>
      <c r="V673" s="61"/>
      <c r="W673" s="62"/>
      <c r="X673" s="61"/>
      <c r="Y673" s="62"/>
      <c r="Z673" s="61"/>
      <c r="AA673" s="62"/>
    </row>
    <row r="674" spans="3:27" ht="16.5" customHeight="1">
      <c r="C674" s="118"/>
      <c r="E674" s="61"/>
      <c r="H674" s="61"/>
      <c r="I674" s="60"/>
      <c r="K674" s="62"/>
      <c r="O674" s="60"/>
      <c r="P674" s="61"/>
      <c r="Q674" s="62"/>
      <c r="R674" s="61"/>
      <c r="S674" s="62"/>
      <c r="T674" s="61"/>
      <c r="U674" s="62"/>
      <c r="V674" s="61"/>
      <c r="W674" s="62"/>
      <c r="X674" s="61"/>
      <c r="Y674" s="62"/>
      <c r="Z674" s="61"/>
      <c r="AA674" s="62"/>
    </row>
    <row r="675" spans="3:27" ht="16.5" customHeight="1">
      <c r="C675" s="118"/>
      <c r="E675" s="61"/>
      <c r="H675" s="61"/>
      <c r="I675" s="60"/>
      <c r="K675" s="62"/>
      <c r="O675" s="60"/>
      <c r="P675" s="61"/>
      <c r="Q675" s="62"/>
      <c r="R675" s="61"/>
      <c r="S675" s="62"/>
      <c r="T675" s="61"/>
      <c r="U675" s="62"/>
      <c r="V675" s="61"/>
      <c r="W675" s="62"/>
      <c r="X675" s="61"/>
      <c r="Y675" s="62"/>
      <c r="Z675" s="61"/>
      <c r="AA675" s="62"/>
    </row>
    <row r="676" spans="3:27" ht="16.5" customHeight="1">
      <c r="C676" s="118"/>
      <c r="E676" s="61"/>
      <c r="H676" s="61"/>
      <c r="I676" s="60"/>
      <c r="K676" s="62"/>
      <c r="O676" s="60"/>
      <c r="P676" s="61"/>
      <c r="Q676" s="62"/>
      <c r="R676" s="61"/>
      <c r="S676" s="62"/>
      <c r="T676" s="61"/>
      <c r="U676" s="62"/>
      <c r="V676" s="61"/>
      <c r="W676" s="62"/>
      <c r="X676" s="61"/>
      <c r="Y676" s="62"/>
      <c r="Z676" s="61"/>
      <c r="AA676" s="62"/>
    </row>
    <row r="677" spans="3:27" ht="16.5" customHeight="1">
      <c r="C677" s="118"/>
      <c r="E677" s="61"/>
      <c r="H677" s="61"/>
      <c r="I677" s="60"/>
      <c r="K677" s="62"/>
      <c r="O677" s="60"/>
      <c r="P677" s="61"/>
      <c r="Q677" s="62"/>
      <c r="R677" s="61"/>
      <c r="S677" s="62"/>
      <c r="T677" s="61"/>
      <c r="U677" s="62"/>
      <c r="V677" s="61"/>
      <c r="W677" s="62"/>
      <c r="X677" s="61"/>
      <c r="Y677" s="62"/>
      <c r="Z677" s="61"/>
      <c r="AA677" s="62"/>
    </row>
    <row r="678" spans="3:27" ht="16.5" customHeight="1">
      <c r="C678" s="118"/>
      <c r="E678" s="61"/>
      <c r="H678" s="61"/>
      <c r="I678" s="60"/>
      <c r="K678" s="62"/>
      <c r="O678" s="60"/>
      <c r="P678" s="61"/>
      <c r="Q678" s="62"/>
      <c r="R678" s="61"/>
      <c r="S678" s="62"/>
      <c r="T678" s="61"/>
      <c r="U678" s="62"/>
      <c r="V678" s="61"/>
      <c r="W678" s="62"/>
      <c r="X678" s="61"/>
      <c r="Y678" s="62"/>
      <c r="Z678" s="61"/>
      <c r="AA678" s="62"/>
    </row>
    <row r="679" spans="3:27" ht="16.5" customHeight="1">
      <c r="C679" s="118"/>
      <c r="E679" s="61"/>
      <c r="H679" s="61"/>
      <c r="I679" s="60"/>
      <c r="K679" s="62"/>
      <c r="O679" s="60"/>
      <c r="P679" s="61"/>
      <c r="Q679" s="62"/>
      <c r="R679" s="61"/>
      <c r="S679" s="62"/>
      <c r="T679" s="61"/>
      <c r="U679" s="62"/>
      <c r="V679" s="61"/>
      <c r="W679" s="62"/>
      <c r="X679" s="61"/>
      <c r="Y679" s="62"/>
      <c r="Z679" s="61"/>
      <c r="AA679" s="62"/>
    </row>
    <row r="680" spans="3:27" ht="16.5" customHeight="1">
      <c r="C680" s="118"/>
      <c r="E680" s="61"/>
      <c r="H680" s="61"/>
      <c r="I680" s="60"/>
      <c r="K680" s="62"/>
      <c r="O680" s="60"/>
      <c r="P680" s="61"/>
      <c r="Q680" s="62"/>
      <c r="R680" s="61"/>
      <c r="S680" s="62"/>
      <c r="T680" s="61"/>
      <c r="U680" s="62"/>
      <c r="V680" s="61"/>
      <c r="W680" s="62"/>
      <c r="X680" s="61"/>
      <c r="Y680" s="62"/>
      <c r="Z680" s="61"/>
      <c r="AA680" s="62"/>
    </row>
    <row r="681" spans="3:27" ht="16.5" customHeight="1">
      <c r="C681" s="118"/>
      <c r="E681" s="61"/>
      <c r="H681" s="61"/>
      <c r="I681" s="60"/>
      <c r="K681" s="62"/>
      <c r="O681" s="60"/>
      <c r="P681" s="61"/>
      <c r="Q681" s="62"/>
      <c r="R681" s="61"/>
      <c r="S681" s="62"/>
      <c r="T681" s="61"/>
      <c r="U681" s="62"/>
      <c r="V681" s="61"/>
      <c r="W681" s="62"/>
      <c r="X681" s="61"/>
      <c r="Y681" s="62"/>
      <c r="Z681" s="61"/>
      <c r="AA681" s="62"/>
    </row>
    <row r="682" spans="3:27" ht="16.5" customHeight="1">
      <c r="C682" s="118"/>
      <c r="E682" s="61"/>
      <c r="H682" s="61"/>
      <c r="I682" s="60"/>
      <c r="K682" s="62"/>
      <c r="O682" s="60"/>
      <c r="P682" s="61"/>
      <c r="Q682" s="62"/>
      <c r="R682" s="61"/>
      <c r="S682" s="62"/>
      <c r="T682" s="61"/>
      <c r="U682" s="62"/>
      <c r="V682" s="61"/>
      <c r="W682" s="62"/>
      <c r="X682" s="61"/>
      <c r="Y682" s="62"/>
      <c r="Z682" s="61"/>
      <c r="AA682" s="62"/>
    </row>
    <row r="683" spans="3:27" ht="16.5" customHeight="1">
      <c r="C683" s="118"/>
      <c r="E683" s="61"/>
      <c r="H683" s="61"/>
      <c r="I683" s="60"/>
      <c r="K683" s="62"/>
      <c r="O683" s="60"/>
      <c r="P683" s="61"/>
      <c r="Q683" s="62"/>
      <c r="R683" s="61"/>
      <c r="S683" s="62"/>
      <c r="T683" s="61"/>
      <c r="U683" s="62"/>
      <c r="V683" s="61"/>
      <c r="W683" s="62"/>
      <c r="X683" s="61"/>
      <c r="Y683" s="62"/>
      <c r="Z683" s="61"/>
      <c r="AA683" s="62"/>
    </row>
    <row r="684" spans="3:27" ht="16.5" customHeight="1">
      <c r="C684" s="118"/>
      <c r="E684" s="61"/>
      <c r="H684" s="61"/>
      <c r="I684" s="60"/>
      <c r="K684" s="62"/>
      <c r="O684" s="60"/>
      <c r="P684" s="61"/>
      <c r="Q684" s="62"/>
      <c r="R684" s="61"/>
      <c r="S684" s="62"/>
      <c r="T684" s="61"/>
      <c r="U684" s="62"/>
      <c r="V684" s="61"/>
      <c r="W684" s="62"/>
      <c r="X684" s="61"/>
      <c r="Y684" s="62"/>
      <c r="Z684" s="61"/>
      <c r="AA684" s="62"/>
    </row>
    <row r="685" spans="3:27" ht="16.5" customHeight="1">
      <c r="C685" s="118"/>
      <c r="E685" s="61"/>
      <c r="H685" s="61"/>
      <c r="I685" s="60"/>
      <c r="K685" s="62"/>
      <c r="O685" s="60"/>
      <c r="P685" s="61"/>
      <c r="Q685" s="62"/>
      <c r="R685" s="61"/>
      <c r="S685" s="62"/>
      <c r="T685" s="61"/>
      <c r="U685" s="62"/>
      <c r="V685" s="61"/>
      <c r="W685" s="62"/>
      <c r="X685" s="61"/>
      <c r="Y685" s="62"/>
      <c r="Z685" s="61"/>
      <c r="AA685" s="62"/>
    </row>
    <row r="686" spans="3:27" ht="16.5" customHeight="1">
      <c r="C686" s="118"/>
      <c r="E686" s="61"/>
      <c r="H686" s="61"/>
      <c r="I686" s="60"/>
      <c r="K686" s="62"/>
      <c r="O686" s="60"/>
      <c r="P686" s="61"/>
      <c r="Q686" s="62"/>
      <c r="R686" s="61"/>
      <c r="S686" s="62"/>
      <c r="T686" s="61"/>
      <c r="U686" s="62"/>
      <c r="V686" s="61"/>
      <c r="W686" s="62"/>
      <c r="X686" s="61"/>
      <c r="Y686" s="62"/>
      <c r="Z686" s="61"/>
      <c r="AA686" s="62"/>
    </row>
    <row r="687" spans="3:27" ht="16.5" customHeight="1">
      <c r="C687" s="118"/>
      <c r="E687" s="61"/>
      <c r="H687" s="61"/>
      <c r="I687" s="60"/>
      <c r="K687" s="62"/>
      <c r="O687" s="60"/>
      <c r="P687" s="61"/>
      <c r="Q687" s="62"/>
      <c r="R687" s="61"/>
      <c r="S687" s="62"/>
      <c r="T687" s="61"/>
      <c r="U687" s="62"/>
      <c r="V687" s="61"/>
      <c r="W687" s="62"/>
      <c r="X687" s="61"/>
      <c r="Y687" s="62"/>
      <c r="Z687" s="61"/>
      <c r="AA687" s="62"/>
    </row>
    <row r="688" spans="3:27" ht="16.5" customHeight="1">
      <c r="C688" s="118"/>
      <c r="E688" s="61"/>
      <c r="H688" s="61"/>
      <c r="I688" s="60"/>
      <c r="K688" s="62"/>
      <c r="O688" s="60"/>
      <c r="P688" s="61"/>
      <c r="Q688" s="62"/>
      <c r="R688" s="61"/>
      <c r="S688" s="62"/>
      <c r="T688" s="61"/>
      <c r="U688" s="62"/>
      <c r="V688" s="61"/>
      <c r="W688" s="62"/>
      <c r="X688" s="61"/>
      <c r="Y688" s="62"/>
      <c r="Z688" s="61"/>
      <c r="AA688" s="62"/>
    </row>
    <row r="689" spans="3:27" ht="16.5" customHeight="1">
      <c r="C689" s="118"/>
      <c r="E689" s="61"/>
      <c r="H689" s="61"/>
      <c r="I689" s="60"/>
      <c r="K689" s="62"/>
      <c r="O689" s="60"/>
      <c r="P689" s="61"/>
      <c r="Q689" s="62"/>
      <c r="R689" s="61"/>
      <c r="S689" s="62"/>
      <c r="T689" s="61"/>
      <c r="U689" s="62"/>
      <c r="V689" s="61"/>
      <c r="W689" s="62"/>
      <c r="X689" s="61"/>
      <c r="Y689" s="62"/>
      <c r="Z689" s="61"/>
      <c r="AA689" s="62"/>
    </row>
    <row r="690" spans="3:27" ht="16.5" customHeight="1">
      <c r="C690" s="118"/>
      <c r="E690" s="61"/>
      <c r="H690" s="61"/>
      <c r="I690" s="60"/>
      <c r="K690" s="62"/>
      <c r="O690" s="60"/>
      <c r="P690" s="61"/>
      <c r="Q690" s="62"/>
      <c r="R690" s="61"/>
      <c r="S690" s="62"/>
      <c r="T690" s="61"/>
      <c r="U690" s="62"/>
      <c r="V690" s="61"/>
      <c r="W690" s="62"/>
      <c r="X690" s="61"/>
      <c r="Y690" s="62"/>
      <c r="Z690" s="61"/>
      <c r="AA690" s="62"/>
    </row>
    <row r="691" spans="3:27" ht="16.5" customHeight="1">
      <c r="C691" s="118"/>
      <c r="E691" s="61"/>
      <c r="H691" s="61"/>
      <c r="I691" s="60"/>
      <c r="K691" s="62"/>
      <c r="O691" s="60"/>
      <c r="P691" s="61"/>
      <c r="Q691" s="62"/>
      <c r="R691" s="61"/>
      <c r="S691" s="62"/>
      <c r="T691" s="61"/>
      <c r="U691" s="62"/>
      <c r="V691" s="61"/>
      <c r="W691" s="62"/>
      <c r="X691" s="61"/>
      <c r="Y691" s="62"/>
      <c r="Z691" s="61"/>
      <c r="AA691" s="62"/>
    </row>
    <row r="692" spans="3:27" ht="16.5" customHeight="1">
      <c r="C692" s="118"/>
      <c r="E692" s="61"/>
      <c r="H692" s="61"/>
      <c r="I692" s="60"/>
      <c r="K692" s="62"/>
      <c r="O692" s="60"/>
      <c r="P692" s="61"/>
      <c r="Q692" s="62"/>
      <c r="R692" s="61"/>
      <c r="S692" s="62"/>
      <c r="T692" s="61"/>
      <c r="U692" s="62"/>
      <c r="V692" s="61"/>
      <c r="W692" s="62"/>
      <c r="X692" s="61"/>
      <c r="Y692" s="62"/>
      <c r="Z692" s="61"/>
      <c r="AA692" s="62"/>
    </row>
    <row r="693" spans="3:27" ht="16.5" customHeight="1">
      <c r="C693" s="118"/>
      <c r="E693" s="61"/>
      <c r="H693" s="61"/>
      <c r="I693" s="60"/>
      <c r="K693" s="62"/>
      <c r="O693" s="60"/>
      <c r="P693" s="61"/>
      <c r="Q693" s="62"/>
      <c r="R693" s="61"/>
      <c r="S693" s="62"/>
      <c r="T693" s="61"/>
      <c r="U693" s="62"/>
      <c r="V693" s="61"/>
      <c r="W693" s="62"/>
      <c r="X693" s="61"/>
      <c r="Y693" s="62"/>
      <c r="Z693" s="61"/>
      <c r="AA693" s="62"/>
    </row>
    <row r="694" spans="3:27" ht="16.5" customHeight="1">
      <c r="C694" s="118"/>
      <c r="E694" s="61"/>
      <c r="H694" s="61"/>
      <c r="I694" s="60"/>
      <c r="K694" s="62"/>
      <c r="O694" s="60"/>
      <c r="P694" s="61"/>
      <c r="Q694" s="62"/>
      <c r="R694" s="61"/>
      <c r="S694" s="62"/>
      <c r="T694" s="61"/>
      <c r="U694" s="62"/>
      <c r="V694" s="61"/>
      <c r="W694" s="62"/>
      <c r="X694" s="61"/>
      <c r="Y694" s="62"/>
      <c r="Z694" s="61"/>
      <c r="AA694" s="62"/>
    </row>
    <row r="695" spans="3:27" ht="16.5" customHeight="1">
      <c r="C695" s="118"/>
      <c r="E695" s="61"/>
      <c r="H695" s="61"/>
      <c r="I695" s="60"/>
      <c r="K695" s="62"/>
      <c r="O695" s="60"/>
      <c r="P695" s="61"/>
      <c r="Q695" s="62"/>
      <c r="R695" s="61"/>
      <c r="S695" s="62"/>
      <c r="T695" s="61"/>
      <c r="U695" s="62"/>
      <c r="V695" s="61"/>
      <c r="W695" s="62"/>
      <c r="X695" s="61"/>
      <c r="Y695" s="62"/>
      <c r="Z695" s="61"/>
      <c r="AA695" s="62"/>
    </row>
    <row r="696" spans="3:27" ht="16.5" customHeight="1">
      <c r="C696" s="118"/>
      <c r="E696" s="61"/>
      <c r="H696" s="61"/>
      <c r="I696" s="60"/>
      <c r="K696" s="62"/>
      <c r="O696" s="60"/>
      <c r="P696" s="61"/>
      <c r="Q696" s="62"/>
      <c r="R696" s="61"/>
      <c r="S696" s="62"/>
      <c r="T696" s="61"/>
      <c r="U696" s="62"/>
      <c r="V696" s="61"/>
      <c r="W696" s="62"/>
      <c r="X696" s="61"/>
      <c r="Y696" s="62"/>
      <c r="Z696" s="61"/>
      <c r="AA696" s="62"/>
    </row>
    <row r="697" spans="3:27" ht="16.5" customHeight="1">
      <c r="C697" s="118"/>
      <c r="E697" s="61"/>
      <c r="H697" s="61"/>
      <c r="I697" s="60"/>
      <c r="K697" s="62"/>
      <c r="O697" s="60"/>
      <c r="P697" s="61"/>
      <c r="Q697" s="62"/>
      <c r="R697" s="61"/>
      <c r="S697" s="62"/>
      <c r="T697" s="61"/>
      <c r="U697" s="62"/>
      <c r="V697" s="61"/>
      <c r="W697" s="62"/>
      <c r="X697" s="61"/>
      <c r="Y697" s="62"/>
      <c r="Z697" s="61"/>
      <c r="AA697" s="62"/>
    </row>
    <row r="698" spans="3:27" ht="16.5" customHeight="1">
      <c r="C698" s="118"/>
      <c r="E698" s="61"/>
      <c r="H698" s="61"/>
      <c r="I698" s="60"/>
      <c r="K698" s="62"/>
      <c r="O698" s="60"/>
      <c r="P698" s="61"/>
      <c r="Q698" s="62"/>
      <c r="R698" s="61"/>
      <c r="S698" s="62"/>
      <c r="T698" s="61"/>
      <c r="U698" s="62"/>
      <c r="V698" s="61"/>
      <c r="W698" s="62"/>
      <c r="X698" s="61"/>
      <c r="Y698" s="62"/>
      <c r="Z698" s="61"/>
      <c r="AA698" s="62"/>
    </row>
    <row r="699" spans="3:27" ht="16.5" customHeight="1">
      <c r="C699" s="118"/>
      <c r="E699" s="61"/>
      <c r="H699" s="61"/>
      <c r="I699" s="60"/>
      <c r="K699" s="62"/>
      <c r="O699" s="60"/>
      <c r="P699" s="61"/>
      <c r="Q699" s="62"/>
      <c r="R699" s="61"/>
      <c r="S699" s="62"/>
      <c r="T699" s="61"/>
      <c r="U699" s="62"/>
      <c r="V699" s="61"/>
      <c r="W699" s="62"/>
      <c r="X699" s="61"/>
      <c r="Y699" s="62"/>
      <c r="Z699" s="61"/>
      <c r="AA699" s="62"/>
    </row>
    <row r="700" spans="3:27" ht="16.5" customHeight="1">
      <c r="C700" s="118"/>
      <c r="E700" s="61"/>
      <c r="H700" s="61"/>
      <c r="I700" s="60"/>
      <c r="K700" s="62"/>
      <c r="O700" s="60"/>
      <c r="P700" s="61"/>
      <c r="Q700" s="62"/>
      <c r="R700" s="61"/>
      <c r="S700" s="62"/>
      <c r="T700" s="61"/>
      <c r="U700" s="62"/>
      <c r="V700" s="61"/>
      <c r="W700" s="62"/>
      <c r="X700" s="61"/>
      <c r="Y700" s="62"/>
      <c r="Z700" s="61"/>
      <c r="AA700" s="62"/>
    </row>
    <row r="701" spans="3:27" ht="16.5" customHeight="1">
      <c r="C701" s="118"/>
      <c r="E701" s="61"/>
      <c r="H701" s="61"/>
      <c r="I701" s="60"/>
      <c r="K701" s="62"/>
      <c r="O701" s="60"/>
      <c r="P701" s="61"/>
      <c r="Q701" s="62"/>
      <c r="R701" s="61"/>
      <c r="S701" s="62"/>
      <c r="T701" s="61"/>
      <c r="U701" s="62"/>
      <c r="V701" s="61"/>
      <c r="W701" s="62"/>
      <c r="X701" s="61"/>
      <c r="Y701" s="62"/>
      <c r="Z701" s="61"/>
      <c r="AA701" s="62"/>
    </row>
    <row r="702" spans="3:27" ht="16.5" customHeight="1">
      <c r="C702" s="118"/>
      <c r="E702" s="61"/>
      <c r="H702" s="61"/>
      <c r="I702" s="60"/>
      <c r="K702" s="62"/>
      <c r="O702" s="60"/>
      <c r="P702" s="61"/>
      <c r="Q702" s="62"/>
      <c r="R702" s="61"/>
      <c r="S702" s="62"/>
      <c r="T702" s="61"/>
      <c r="U702" s="62"/>
      <c r="V702" s="61"/>
      <c r="W702" s="62"/>
      <c r="X702" s="61"/>
      <c r="Y702" s="62"/>
      <c r="Z702" s="61"/>
      <c r="AA702" s="62"/>
    </row>
    <row r="703" spans="3:27" ht="16.5" customHeight="1">
      <c r="C703" s="118"/>
      <c r="E703" s="61"/>
      <c r="H703" s="61"/>
      <c r="I703" s="60"/>
      <c r="K703" s="62"/>
      <c r="O703" s="60"/>
      <c r="P703" s="61"/>
      <c r="Q703" s="62"/>
      <c r="R703" s="61"/>
      <c r="S703" s="62"/>
      <c r="T703" s="61"/>
      <c r="U703" s="62"/>
      <c r="V703" s="61"/>
      <c r="W703" s="62"/>
      <c r="X703" s="61"/>
      <c r="Y703" s="62"/>
      <c r="Z703" s="61"/>
      <c r="AA703" s="62"/>
    </row>
    <row r="704" spans="3:27" ht="16.5" customHeight="1">
      <c r="C704" s="118"/>
      <c r="E704" s="61"/>
      <c r="H704" s="61"/>
      <c r="I704" s="60"/>
      <c r="K704" s="62"/>
      <c r="O704" s="60"/>
      <c r="P704" s="61"/>
      <c r="Q704" s="62"/>
      <c r="R704" s="61"/>
      <c r="S704" s="62"/>
      <c r="T704" s="61"/>
      <c r="U704" s="62"/>
      <c r="V704" s="61"/>
      <c r="W704" s="62"/>
      <c r="X704" s="61"/>
      <c r="Y704" s="62"/>
      <c r="Z704" s="61"/>
      <c r="AA704" s="62"/>
    </row>
    <row r="705" spans="3:27" ht="16.5" customHeight="1">
      <c r="C705" s="118"/>
      <c r="E705" s="61"/>
      <c r="H705" s="61"/>
      <c r="I705" s="60"/>
      <c r="K705" s="62"/>
      <c r="O705" s="60"/>
      <c r="P705" s="61"/>
      <c r="Q705" s="62"/>
      <c r="R705" s="61"/>
      <c r="S705" s="62"/>
      <c r="T705" s="61"/>
      <c r="U705" s="62"/>
      <c r="V705" s="61"/>
      <c r="W705" s="62"/>
      <c r="X705" s="61"/>
      <c r="Y705" s="62"/>
      <c r="Z705" s="61"/>
      <c r="AA705" s="62"/>
    </row>
    <row r="706" spans="3:27" ht="16.5" customHeight="1">
      <c r="C706" s="118"/>
      <c r="E706" s="61"/>
      <c r="H706" s="61"/>
      <c r="I706" s="60"/>
      <c r="K706" s="62"/>
      <c r="O706" s="60"/>
      <c r="P706" s="61"/>
      <c r="Q706" s="62"/>
      <c r="R706" s="61"/>
      <c r="S706" s="62"/>
      <c r="T706" s="61"/>
      <c r="U706" s="62"/>
      <c r="V706" s="61"/>
      <c r="W706" s="62"/>
      <c r="X706" s="61"/>
      <c r="Y706" s="62"/>
      <c r="Z706" s="61"/>
      <c r="AA706" s="62"/>
    </row>
    <row r="707" spans="3:27" ht="16.5" customHeight="1">
      <c r="C707" s="118"/>
      <c r="E707" s="61"/>
      <c r="H707" s="61"/>
      <c r="I707" s="60"/>
      <c r="K707" s="62"/>
      <c r="O707" s="60"/>
      <c r="P707" s="61"/>
      <c r="Q707" s="62"/>
      <c r="R707" s="61"/>
      <c r="S707" s="62"/>
      <c r="T707" s="61"/>
      <c r="U707" s="62"/>
      <c r="V707" s="61"/>
      <c r="W707" s="62"/>
      <c r="X707" s="61"/>
      <c r="Y707" s="62"/>
      <c r="Z707" s="61"/>
      <c r="AA707" s="62"/>
    </row>
    <row r="708" spans="3:27" ht="16.5" customHeight="1">
      <c r="C708" s="118"/>
      <c r="E708" s="61"/>
      <c r="H708" s="61"/>
      <c r="I708" s="60"/>
      <c r="K708" s="62"/>
      <c r="O708" s="60"/>
      <c r="P708" s="61"/>
      <c r="Q708" s="62"/>
      <c r="R708" s="61"/>
      <c r="S708" s="62"/>
      <c r="T708" s="61"/>
      <c r="U708" s="62"/>
      <c r="V708" s="61"/>
      <c r="W708" s="62"/>
      <c r="X708" s="61"/>
      <c r="Y708" s="62"/>
      <c r="Z708" s="61"/>
      <c r="AA708" s="62"/>
    </row>
    <row r="709" spans="3:27" ht="16.5" customHeight="1">
      <c r="C709" s="118"/>
      <c r="E709" s="61"/>
      <c r="H709" s="61"/>
      <c r="I709" s="60"/>
      <c r="K709" s="62"/>
      <c r="O709" s="60"/>
      <c r="P709" s="61"/>
      <c r="Q709" s="62"/>
      <c r="R709" s="61"/>
      <c r="S709" s="62"/>
      <c r="T709" s="61"/>
      <c r="U709" s="62"/>
      <c r="V709" s="61"/>
      <c r="W709" s="62"/>
      <c r="X709" s="61"/>
      <c r="Y709" s="62"/>
      <c r="Z709" s="61"/>
      <c r="AA709" s="62"/>
    </row>
    <row r="710" spans="3:27" ht="16.5" customHeight="1">
      <c r="C710" s="118"/>
      <c r="E710" s="61"/>
      <c r="H710" s="61"/>
      <c r="I710" s="60"/>
      <c r="K710" s="62"/>
      <c r="O710" s="60"/>
      <c r="P710" s="61"/>
      <c r="Q710" s="62"/>
      <c r="R710" s="61"/>
      <c r="S710" s="62"/>
      <c r="T710" s="61"/>
      <c r="U710" s="62"/>
      <c r="V710" s="61"/>
      <c r="W710" s="62"/>
      <c r="X710" s="61"/>
      <c r="Y710" s="62"/>
      <c r="Z710" s="61"/>
      <c r="AA710" s="62"/>
    </row>
    <row r="711" spans="3:27" ht="16.5" customHeight="1">
      <c r="C711" s="118"/>
      <c r="E711" s="61"/>
      <c r="H711" s="61"/>
      <c r="I711" s="60"/>
      <c r="K711" s="62"/>
      <c r="O711" s="60"/>
      <c r="P711" s="61"/>
      <c r="Q711" s="62"/>
      <c r="R711" s="61"/>
      <c r="S711" s="62"/>
      <c r="T711" s="61"/>
      <c r="U711" s="62"/>
      <c r="V711" s="61"/>
      <c r="W711" s="62"/>
      <c r="X711" s="61"/>
      <c r="Y711" s="62"/>
      <c r="Z711" s="61"/>
      <c r="AA711" s="62"/>
    </row>
    <row r="712" spans="3:27" ht="16.5" customHeight="1">
      <c r="C712" s="118"/>
      <c r="E712" s="61"/>
      <c r="H712" s="61"/>
      <c r="I712" s="60"/>
      <c r="K712" s="62"/>
      <c r="O712" s="60"/>
      <c r="P712" s="61"/>
      <c r="Q712" s="62"/>
      <c r="R712" s="61"/>
      <c r="S712" s="62"/>
      <c r="T712" s="61"/>
      <c r="U712" s="62"/>
      <c r="V712" s="61"/>
      <c r="W712" s="62"/>
      <c r="X712" s="61"/>
      <c r="Y712" s="62"/>
      <c r="Z712" s="61"/>
      <c r="AA712" s="62"/>
    </row>
    <row r="713" spans="3:27" ht="16.5" customHeight="1">
      <c r="C713" s="118"/>
      <c r="E713" s="61"/>
      <c r="H713" s="61"/>
      <c r="I713" s="60"/>
      <c r="K713" s="62"/>
      <c r="O713" s="60"/>
      <c r="P713" s="61"/>
      <c r="Q713" s="62"/>
      <c r="R713" s="61"/>
      <c r="S713" s="62"/>
      <c r="T713" s="61"/>
      <c r="U713" s="62"/>
      <c r="V713" s="61"/>
      <c r="W713" s="62"/>
      <c r="X713" s="61"/>
      <c r="Y713" s="62"/>
      <c r="Z713" s="61"/>
      <c r="AA713" s="62"/>
    </row>
    <row r="714" spans="3:27" ht="16.5" customHeight="1">
      <c r="C714" s="118"/>
      <c r="E714" s="61"/>
      <c r="H714" s="61"/>
      <c r="I714" s="60"/>
      <c r="K714" s="62"/>
      <c r="O714" s="60"/>
      <c r="P714" s="61"/>
      <c r="Q714" s="62"/>
      <c r="R714" s="61"/>
      <c r="S714" s="62"/>
      <c r="T714" s="61"/>
      <c r="U714" s="62"/>
      <c r="V714" s="61"/>
      <c r="W714" s="62"/>
      <c r="X714" s="61"/>
      <c r="Y714" s="62"/>
      <c r="Z714" s="61"/>
      <c r="AA714" s="62"/>
    </row>
    <row r="715" spans="3:27" ht="16.5" customHeight="1">
      <c r="C715" s="118"/>
      <c r="E715" s="61"/>
      <c r="H715" s="61"/>
      <c r="I715" s="60"/>
      <c r="K715" s="62"/>
      <c r="O715" s="60"/>
      <c r="P715" s="61"/>
      <c r="Q715" s="62"/>
      <c r="R715" s="61"/>
      <c r="S715" s="62"/>
      <c r="T715" s="61"/>
      <c r="U715" s="62"/>
      <c r="V715" s="61"/>
      <c r="W715" s="62"/>
      <c r="X715" s="61"/>
      <c r="Y715" s="62"/>
      <c r="Z715" s="61"/>
      <c r="AA715" s="62"/>
    </row>
    <row r="716" spans="3:27" ht="16.5" customHeight="1">
      <c r="C716" s="118"/>
      <c r="E716" s="61"/>
      <c r="H716" s="61"/>
      <c r="I716" s="60"/>
      <c r="K716" s="62"/>
      <c r="O716" s="60"/>
      <c r="P716" s="61"/>
      <c r="Q716" s="62"/>
      <c r="R716" s="61"/>
      <c r="S716" s="62"/>
      <c r="T716" s="61"/>
      <c r="U716" s="62"/>
      <c r="V716" s="61"/>
      <c r="W716" s="62"/>
      <c r="X716" s="61"/>
      <c r="Y716" s="62"/>
      <c r="Z716" s="61"/>
      <c r="AA716" s="62"/>
    </row>
    <row r="717" spans="3:27" ht="16.5" customHeight="1">
      <c r="C717" s="118"/>
      <c r="E717" s="61"/>
      <c r="H717" s="61"/>
      <c r="I717" s="60"/>
      <c r="K717" s="62"/>
      <c r="O717" s="60"/>
      <c r="P717" s="61"/>
      <c r="Q717" s="62"/>
      <c r="R717" s="61"/>
      <c r="S717" s="62"/>
      <c r="T717" s="61"/>
      <c r="U717" s="62"/>
      <c r="V717" s="61"/>
      <c r="W717" s="62"/>
      <c r="X717" s="61"/>
      <c r="Y717" s="62"/>
      <c r="Z717" s="61"/>
      <c r="AA717" s="62"/>
    </row>
    <row r="718" spans="3:27" ht="16.5" customHeight="1">
      <c r="C718" s="118"/>
      <c r="E718" s="61"/>
      <c r="H718" s="61"/>
      <c r="I718" s="60"/>
      <c r="K718" s="62"/>
      <c r="O718" s="60"/>
      <c r="P718" s="61"/>
      <c r="Q718" s="62"/>
      <c r="R718" s="61"/>
      <c r="S718" s="62"/>
      <c r="T718" s="61"/>
      <c r="U718" s="62"/>
      <c r="V718" s="61"/>
      <c r="W718" s="62"/>
      <c r="X718" s="61"/>
      <c r="Y718" s="62"/>
      <c r="Z718" s="61"/>
      <c r="AA718" s="62"/>
    </row>
    <row r="719" spans="3:27" ht="16.5" customHeight="1">
      <c r="C719" s="118"/>
      <c r="E719" s="61"/>
      <c r="H719" s="61"/>
      <c r="I719" s="60"/>
      <c r="K719" s="62"/>
      <c r="O719" s="60"/>
      <c r="P719" s="61"/>
      <c r="Q719" s="62"/>
      <c r="R719" s="61"/>
      <c r="S719" s="62"/>
      <c r="T719" s="61"/>
      <c r="U719" s="62"/>
      <c r="V719" s="61"/>
      <c r="W719" s="62"/>
      <c r="X719" s="61"/>
      <c r="Y719" s="62"/>
      <c r="Z719" s="61"/>
      <c r="AA719" s="62"/>
    </row>
    <row r="720" spans="3:27" ht="16.5" customHeight="1">
      <c r="C720" s="118"/>
      <c r="E720" s="61"/>
      <c r="H720" s="61"/>
      <c r="I720" s="60"/>
      <c r="K720" s="62"/>
      <c r="O720" s="60"/>
      <c r="P720" s="61"/>
      <c r="Q720" s="62"/>
      <c r="R720" s="61"/>
      <c r="S720" s="62"/>
      <c r="T720" s="61"/>
      <c r="U720" s="62"/>
      <c r="V720" s="61"/>
      <c r="W720" s="62"/>
      <c r="X720" s="61"/>
      <c r="Y720" s="62"/>
      <c r="Z720" s="61"/>
      <c r="AA720" s="62"/>
    </row>
    <row r="721" spans="3:27" ht="16.5" customHeight="1">
      <c r="C721" s="118"/>
      <c r="E721" s="61"/>
      <c r="H721" s="61"/>
      <c r="I721" s="60"/>
      <c r="K721" s="62"/>
      <c r="O721" s="60"/>
      <c r="P721" s="61"/>
      <c r="Q721" s="62"/>
      <c r="R721" s="61"/>
      <c r="S721" s="62"/>
      <c r="T721" s="61"/>
      <c r="U721" s="62"/>
      <c r="V721" s="61"/>
      <c r="W721" s="62"/>
      <c r="X721" s="61"/>
      <c r="Y721" s="62"/>
      <c r="Z721" s="61"/>
      <c r="AA721" s="62"/>
    </row>
    <row r="722" spans="3:27" ht="16.5" customHeight="1">
      <c r="C722" s="118"/>
      <c r="E722" s="61"/>
      <c r="H722" s="61"/>
      <c r="I722" s="60"/>
      <c r="K722" s="62"/>
      <c r="O722" s="60"/>
      <c r="P722" s="61"/>
      <c r="Q722" s="62"/>
      <c r="R722" s="61"/>
      <c r="S722" s="62"/>
      <c r="T722" s="61"/>
      <c r="U722" s="62"/>
      <c r="V722" s="61"/>
      <c r="W722" s="62"/>
      <c r="X722" s="61"/>
      <c r="Y722" s="62"/>
      <c r="Z722" s="61"/>
      <c r="AA722" s="62"/>
    </row>
    <row r="723" spans="3:27" ht="16.5" customHeight="1">
      <c r="C723" s="118"/>
      <c r="E723" s="61"/>
      <c r="H723" s="61"/>
      <c r="I723" s="60"/>
      <c r="K723" s="62"/>
      <c r="O723" s="60"/>
      <c r="P723" s="61"/>
      <c r="Q723" s="62"/>
      <c r="R723" s="61"/>
      <c r="S723" s="62"/>
      <c r="T723" s="61"/>
      <c r="U723" s="62"/>
      <c r="V723" s="61"/>
      <c r="W723" s="62"/>
      <c r="X723" s="61"/>
      <c r="Y723" s="62"/>
      <c r="Z723" s="61"/>
      <c r="AA723" s="62"/>
    </row>
    <row r="724" spans="3:27" ht="16.5" customHeight="1">
      <c r="C724" s="118"/>
      <c r="E724" s="61"/>
      <c r="H724" s="61"/>
      <c r="I724" s="60"/>
      <c r="K724" s="62"/>
      <c r="O724" s="60"/>
      <c r="P724" s="61"/>
      <c r="Q724" s="62"/>
      <c r="R724" s="61"/>
      <c r="S724" s="62"/>
      <c r="T724" s="61"/>
      <c r="U724" s="62"/>
      <c r="V724" s="61"/>
      <c r="W724" s="62"/>
      <c r="X724" s="61"/>
      <c r="Y724" s="62"/>
      <c r="Z724" s="61"/>
      <c r="AA724" s="62"/>
    </row>
    <row r="725" spans="3:27" ht="16.5" customHeight="1">
      <c r="C725" s="118"/>
      <c r="E725" s="61"/>
      <c r="H725" s="61"/>
      <c r="I725" s="60"/>
      <c r="K725" s="62"/>
      <c r="O725" s="60"/>
      <c r="P725" s="61"/>
      <c r="Q725" s="62"/>
      <c r="R725" s="61"/>
      <c r="S725" s="62"/>
      <c r="T725" s="61"/>
      <c r="U725" s="62"/>
      <c r="V725" s="61"/>
      <c r="W725" s="62"/>
      <c r="X725" s="61"/>
      <c r="Y725" s="62"/>
      <c r="Z725" s="61"/>
      <c r="AA725" s="62"/>
    </row>
    <row r="726" spans="3:27" ht="16.5" customHeight="1">
      <c r="C726" s="118"/>
      <c r="E726" s="61"/>
      <c r="H726" s="61"/>
      <c r="I726" s="60"/>
      <c r="K726" s="62"/>
      <c r="O726" s="60"/>
      <c r="P726" s="61"/>
      <c r="Q726" s="62"/>
      <c r="R726" s="61"/>
      <c r="S726" s="62"/>
      <c r="T726" s="61"/>
      <c r="U726" s="62"/>
      <c r="V726" s="61"/>
      <c r="W726" s="62"/>
      <c r="X726" s="61"/>
      <c r="Y726" s="62"/>
      <c r="Z726" s="61"/>
      <c r="AA726" s="62"/>
    </row>
    <row r="727" spans="3:27" ht="16.5" customHeight="1">
      <c r="C727" s="118"/>
      <c r="E727" s="61"/>
      <c r="H727" s="61"/>
      <c r="I727" s="60"/>
      <c r="K727" s="62"/>
      <c r="O727" s="60"/>
      <c r="P727" s="61"/>
      <c r="Q727" s="62"/>
      <c r="R727" s="61"/>
      <c r="S727" s="62"/>
      <c r="T727" s="61"/>
      <c r="U727" s="62"/>
      <c r="V727" s="61"/>
      <c r="W727" s="62"/>
      <c r="X727" s="61"/>
      <c r="Y727" s="62"/>
      <c r="Z727" s="61"/>
      <c r="AA727" s="62"/>
    </row>
    <row r="728" spans="3:27" ht="16.5" customHeight="1">
      <c r="C728" s="118"/>
      <c r="E728" s="61"/>
      <c r="H728" s="61"/>
      <c r="I728" s="60"/>
      <c r="K728" s="62"/>
      <c r="O728" s="60"/>
      <c r="P728" s="61"/>
      <c r="Q728" s="62"/>
      <c r="R728" s="61"/>
      <c r="S728" s="62"/>
      <c r="T728" s="61"/>
      <c r="U728" s="62"/>
      <c r="V728" s="61"/>
      <c r="W728" s="62"/>
      <c r="X728" s="61"/>
      <c r="Y728" s="62"/>
      <c r="Z728" s="61"/>
      <c r="AA728" s="62"/>
    </row>
    <row r="729" spans="3:27" ht="16.5" customHeight="1">
      <c r="C729" s="118"/>
      <c r="E729" s="61"/>
      <c r="H729" s="61"/>
      <c r="I729" s="60"/>
      <c r="K729" s="62"/>
      <c r="O729" s="60"/>
      <c r="P729" s="61"/>
      <c r="Q729" s="62"/>
      <c r="R729" s="61"/>
      <c r="S729" s="62"/>
      <c r="T729" s="61"/>
      <c r="U729" s="62"/>
      <c r="V729" s="61"/>
      <c r="W729" s="62"/>
      <c r="X729" s="61"/>
      <c r="Y729" s="62"/>
      <c r="Z729" s="61"/>
      <c r="AA729" s="62"/>
    </row>
    <row r="730" spans="3:27" ht="16.5" customHeight="1">
      <c r="C730" s="118"/>
      <c r="E730" s="61"/>
      <c r="H730" s="61"/>
      <c r="I730" s="60"/>
      <c r="K730" s="62"/>
      <c r="O730" s="60"/>
      <c r="P730" s="61"/>
      <c r="Q730" s="62"/>
      <c r="R730" s="61"/>
      <c r="S730" s="62"/>
      <c r="T730" s="61"/>
      <c r="U730" s="62"/>
      <c r="V730" s="61"/>
      <c r="W730" s="62"/>
      <c r="X730" s="61"/>
      <c r="Y730" s="62"/>
      <c r="Z730" s="61"/>
      <c r="AA730" s="62"/>
    </row>
    <row r="731" spans="3:27" ht="16.5" customHeight="1">
      <c r="C731" s="118"/>
      <c r="E731" s="61"/>
      <c r="H731" s="61"/>
      <c r="I731" s="60"/>
      <c r="K731" s="62"/>
      <c r="O731" s="60"/>
      <c r="P731" s="61"/>
      <c r="Q731" s="62"/>
      <c r="R731" s="61"/>
      <c r="S731" s="62"/>
      <c r="T731" s="61"/>
      <c r="U731" s="62"/>
      <c r="V731" s="61"/>
      <c r="W731" s="62"/>
      <c r="X731" s="61"/>
      <c r="Y731" s="62"/>
      <c r="Z731" s="61"/>
      <c r="AA731" s="62"/>
    </row>
    <row r="732" spans="3:27" ht="16.5" customHeight="1">
      <c r="C732" s="118"/>
      <c r="E732" s="61"/>
      <c r="H732" s="61"/>
      <c r="I732" s="60"/>
      <c r="K732" s="62"/>
      <c r="O732" s="60"/>
      <c r="P732" s="61"/>
      <c r="Q732" s="62"/>
      <c r="R732" s="61"/>
      <c r="S732" s="62"/>
      <c r="T732" s="61"/>
      <c r="U732" s="62"/>
      <c r="V732" s="61"/>
      <c r="W732" s="62"/>
      <c r="X732" s="61"/>
      <c r="Y732" s="62"/>
      <c r="Z732" s="61"/>
      <c r="AA732" s="62"/>
    </row>
    <row r="733" spans="3:27" ht="16.5" customHeight="1">
      <c r="C733" s="118"/>
      <c r="E733" s="61"/>
      <c r="H733" s="61"/>
      <c r="I733" s="60"/>
      <c r="K733" s="62"/>
      <c r="O733" s="60"/>
      <c r="P733" s="61"/>
      <c r="Q733" s="62"/>
      <c r="R733" s="61"/>
      <c r="S733" s="62"/>
      <c r="T733" s="61"/>
      <c r="U733" s="62"/>
      <c r="V733" s="61"/>
      <c r="W733" s="62"/>
      <c r="X733" s="61"/>
      <c r="Y733" s="62"/>
      <c r="Z733" s="61"/>
      <c r="AA733" s="62"/>
    </row>
    <row r="734" spans="3:27" ht="16.5" customHeight="1">
      <c r="C734" s="118"/>
      <c r="E734" s="61"/>
      <c r="H734" s="61"/>
      <c r="I734" s="60"/>
      <c r="K734" s="62"/>
      <c r="O734" s="60"/>
      <c r="P734" s="61"/>
      <c r="Q734" s="62"/>
      <c r="R734" s="61"/>
      <c r="S734" s="62"/>
      <c r="T734" s="61"/>
      <c r="U734" s="62"/>
      <c r="V734" s="61"/>
      <c r="W734" s="62"/>
      <c r="X734" s="61"/>
      <c r="Y734" s="62"/>
      <c r="Z734" s="61"/>
      <c r="AA734" s="62"/>
    </row>
    <row r="735" spans="3:27" ht="16.5" customHeight="1">
      <c r="C735" s="118"/>
      <c r="E735" s="61"/>
      <c r="H735" s="61"/>
      <c r="I735" s="60"/>
      <c r="K735" s="62"/>
      <c r="O735" s="60"/>
      <c r="P735" s="61"/>
      <c r="Q735" s="62"/>
      <c r="R735" s="61"/>
      <c r="S735" s="62"/>
      <c r="T735" s="61"/>
      <c r="U735" s="62"/>
      <c r="V735" s="61"/>
      <c r="W735" s="62"/>
      <c r="X735" s="61"/>
      <c r="Y735" s="62"/>
      <c r="Z735" s="61"/>
      <c r="AA735" s="62"/>
    </row>
    <row r="736" spans="3:27" ht="16.5" customHeight="1">
      <c r="C736" s="118"/>
      <c r="E736" s="61"/>
      <c r="H736" s="61"/>
      <c r="I736" s="60"/>
      <c r="K736" s="62"/>
      <c r="O736" s="60"/>
      <c r="P736" s="61"/>
      <c r="Q736" s="62"/>
      <c r="R736" s="61"/>
      <c r="S736" s="62"/>
      <c r="T736" s="61"/>
      <c r="U736" s="62"/>
      <c r="V736" s="61"/>
      <c r="W736" s="62"/>
      <c r="X736" s="61"/>
      <c r="Y736" s="62"/>
      <c r="Z736" s="61"/>
      <c r="AA736" s="62"/>
    </row>
    <row r="737" spans="3:27" ht="16.5" customHeight="1">
      <c r="C737" s="118"/>
      <c r="E737" s="61"/>
      <c r="H737" s="61"/>
      <c r="I737" s="60"/>
      <c r="K737" s="62"/>
      <c r="O737" s="60"/>
      <c r="P737" s="61"/>
      <c r="Q737" s="62"/>
      <c r="R737" s="61"/>
      <c r="S737" s="62"/>
      <c r="T737" s="61"/>
      <c r="U737" s="62"/>
      <c r="V737" s="61"/>
      <c r="W737" s="62"/>
      <c r="X737" s="61"/>
      <c r="Y737" s="62"/>
      <c r="Z737" s="61"/>
      <c r="AA737" s="62"/>
    </row>
    <row r="738" spans="3:27" ht="16.5" customHeight="1">
      <c r="C738" s="118"/>
      <c r="E738" s="61"/>
      <c r="H738" s="61"/>
      <c r="I738" s="60"/>
      <c r="K738" s="62"/>
      <c r="O738" s="60"/>
      <c r="P738" s="61"/>
      <c r="Q738" s="62"/>
      <c r="R738" s="61"/>
      <c r="S738" s="62"/>
      <c r="T738" s="61"/>
      <c r="U738" s="62"/>
      <c r="V738" s="61"/>
      <c r="W738" s="62"/>
      <c r="X738" s="61"/>
      <c r="Y738" s="62"/>
      <c r="Z738" s="61"/>
      <c r="AA738" s="62"/>
    </row>
    <row r="739" spans="3:27" ht="16.5" customHeight="1">
      <c r="C739" s="118"/>
      <c r="E739" s="61"/>
      <c r="H739" s="61"/>
      <c r="I739" s="60"/>
      <c r="K739" s="62"/>
      <c r="O739" s="60"/>
      <c r="P739" s="61"/>
      <c r="Q739" s="62"/>
      <c r="R739" s="61"/>
      <c r="S739" s="62"/>
      <c r="T739" s="61"/>
      <c r="U739" s="62"/>
      <c r="V739" s="61"/>
      <c r="W739" s="62"/>
      <c r="X739" s="61"/>
      <c r="Y739" s="62"/>
      <c r="Z739" s="61"/>
      <c r="AA739" s="62"/>
    </row>
    <row r="740" spans="3:27" ht="16.5" customHeight="1">
      <c r="C740" s="118"/>
      <c r="E740" s="61"/>
      <c r="H740" s="61"/>
      <c r="I740" s="60"/>
      <c r="K740" s="62"/>
      <c r="O740" s="60"/>
      <c r="P740" s="61"/>
      <c r="Q740" s="62"/>
      <c r="R740" s="61"/>
      <c r="S740" s="62"/>
      <c r="T740" s="61"/>
      <c r="U740" s="62"/>
      <c r="V740" s="61"/>
      <c r="W740" s="62"/>
      <c r="X740" s="61"/>
      <c r="Y740" s="62"/>
      <c r="Z740" s="61"/>
      <c r="AA740" s="62"/>
    </row>
    <row r="741" spans="3:27" ht="16.5" customHeight="1">
      <c r="C741" s="118"/>
      <c r="E741" s="61"/>
      <c r="H741" s="61"/>
      <c r="I741" s="60"/>
      <c r="K741" s="62"/>
      <c r="O741" s="60"/>
      <c r="P741" s="61"/>
      <c r="Q741" s="62"/>
      <c r="R741" s="61"/>
      <c r="S741" s="62"/>
      <c r="T741" s="61"/>
      <c r="U741" s="62"/>
      <c r="V741" s="61"/>
      <c r="W741" s="62"/>
      <c r="X741" s="61"/>
      <c r="Y741" s="62"/>
      <c r="Z741" s="61"/>
      <c r="AA741" s="62"/>
    </row>
    <row r="742" spans="3:27" ht="16.5" customHeight="1">
      <c r="C742" s="118"/>
      <c r="E742" s="61"/>
      <c r="H742" s="61"/>
      <c r="I742" s="60"/>
      <c r="K742" s="62"/>
      <c r="O742" s="60"/>
      <c r="P742" s="61"/>
      <c r="Q742" s="62"/>
      <c r="R742" s="61"/>
      <c r="S742" s="62"/>
      <c r="T742" s="61"/>
      <c r="U742" s="62"/>
      <c r="V742" s="61"/>
      <c r="W742" s="62"/>
      <c r="X742" s="61"/>
      <c r="Y742" s="62"/>
      <c r="Z742" s="61"/>
      <c r="AA742" s="62"/>
    </row>
    <row r="743" spans="3:27" ht="16.5" customHeight="1">
      <c r="C743" s="118"/>
      <c r="E743" s="61"/>
      <c r="H743" s="61"/>
      <c r="I743" s="60"/>
      <c r="K743" s="62"/>
      <c r="O743" s="60"/>
      <c r="P743" s="61"/>
      <c r="Q743" s="62"/>
      <c r="R743" s="61"/>
      <c r="S743" s="62"/>
      <c r="T743" s="61"/>
      <c r="U743" s="62"/>
      <c r="V743" s="61"/>
      <c r="W743" s="62"/>
      <c r="X743" s="61"/>
      <c r="Y743" s="62"/>
      <c r="Z743" s="61"/>
      <c r="AA743" s="62"/>
    </row>
    <row r="744" spans="3:27" ht="16.5" customHeight="1">
      <c r="C744" s="118"/>
      <c r="E744" s="61"/>
      <c r="H744" s="61"/>
      <c r="I744" s="60"/>
      <c r="K744" s="62"/>
      <c r="O744" s="60"/>
      <c r="P744" s="61"/>
      <c r="Q744" s="62"/>
      <c r="R744" s="61"/>
      <c r="S744" s="62"/>
      <c r="T744" s="61"/>
      <c r="U744" s="62"/>
      <c r="V744" s="61"/>
      <c r="W744" s="62"/>
      <c r="X744" s="61"/>
      <c r="Y744" s="62"/>
      <c r="Z744" s="61"/>
      <c r="AA744" s="62"/>
    </row>
    <row r="745" spans="3:27" ht="16.5" customHeight="1">
      <c r="C745" s="118"/>
      <c r="E745" s="61"/>
      <c r="H745" s="61"/>
      <c r="I745" s="60"/>
      <c r="K745" s="62"/>
      <c r="O745" s="60"/>
      <c r="P745" s="61"/>
      <c r="Q745" s="62"/>
      <c r="R745" s="61"/>
      <c r="S745" s="62"/>
      <c r="T745" s="61"/>
      <c r="U745" s="62"/>
      <c r="V745" s="61"/>
      <c r="W745" s="62"/>
      <c r="X745" s="61"/>
      <c r="Y745" s="62"/>
      <c r="Z745" s="61"/>
      <c r="AA745" s="62"/>
    </row>
    <row r="746" spans="3:27" ht="16.5" customHeight="1">
      <c r="C746" s="118"/>
      <c r="E746" s="61"/>
      <c r="H746" s="61"/>
      <c r="I746" s="60"/>
      <c r="K746" s="62"/>
      <c r="O746" s="60"/>
      <c r="P746" s="61"/>
      <c r="Q746" s="62"/>
      <c r="R746" s="61"/>
      <c r="S746" s="62"/>
      <c r="T746" s="61"/>
      <c r="U746" s="62"/>
      <c r="V746" s="61"/>
      <c r="W746" s="62"/>
      <c r="X746" s="61"/>
      <c r="Y746" s="62"/>
      <c r="Z746" s="61"/>
      <c r="AA746" s="62"/>
    </row>
    <row r="747" spans="3:27" ht="16.5" customHeight="1">
      <c r="C747" s="118"/>
      <c r="E747" s="61"/>
      <c r="H747" s="61"/>
      <c r="I747" s="60"/>
      <c r="K747" s="62"/>
      <c r="O747" s="60"/>
      <c r="P747" s="61"/>
      <c r="Q747" s="62"/>
      <c r="R747" s="61"/>
      <c r="S747" s="62"/>
      <c r="T747" s="61"/>
      <c r="U747" s="62"/>
      <c r="V747" s="61"/>
      <c r="W747" s="62"/>
      <c r="X747" s="61"/>
      <c r="Y747" s="62"/>
      <c r="Z747" s="61"/>
      <c r="AA747" s="62"/>
    </row>
    <row r="748" spans="3:27" ht="16.5" customHeight="1">
      <c r="C748" s="118"/>
      <c r="E748" s="61"/>
      <c r="H748" s="61"/>
      <c r="I748" s="60"/>
      <c r="K748" s="62"/>
      <c r="O748" s="60"/>
      <c r="P748" s="61"/>
      <c r="Q748" s="62"/>
      <c r="R748" s="61"/>
      <c r="S748" s="62"/>
      <c r="T748" s="61"/>
      <c r="U748" s="62"/>
      <c r="V748" s="61"/>
      <c r="W748" s="62"/>
      <c r="X748" s="61"/>
      <c r="Y748" s="62"/>
      <c r="Z748" s="61"/>
      <c r="AA748" s="62"/>
    </row>
    <row r="749" spans="3:27" ht="16.5" customHeight="1">
      <c r="C749" s="118"/>
      <c r="E749" s="61"/>
      <c r="H749" s="61"/>
      <c r="I749" s="60"/>
      <c r="K749" s="62"/>
      <c r="O749" s="60"/>
      <c r="P749" s="61"/>
      <c r="Q749" s="62"/>
      <c r="R749" s="61"/>
      <c r="S749" s="62"/>
      <c r="T749" s="61"/>
      <c r="U749" s="62"/>
      <c r="V749" s="61"/>
      <c r="W749" s="62"/>
      <c r="X749" s="61"/>
      <c r="Y749" s="62"/>
      <c r="Z749" s="61"/>
      <c r="AA749" s="62"/>
    </row>
    <row r="750" spans="3:27" ht="16.5" customHeight="1">
      <c r="C750" s="118"/>
      <c r="E750" s="61"/>
      <c r="H750" s="61"/>
      <c r="I750" s="60"/>
      <c r="K750" s="62"/>
      <c r="O750" s="60"/>
      <c r="P750" s="61"/>
      <c r="Q750" s="62"/>
      <c r="R750" s="61"/>
      <c r="S750" s="62"/>
      <c r="T750" s="61"/>
      <c r="U750" s="62"/>
      <c r="V750" s="61"/>
      <c r="W750" s="62"/>
      <c r="X750" s="61"/>
      <c r="Y750" s="62"/>
      <c r="Z750" s="61"/>
      <c r="AA750" s="62"/>
    </row>
    <row r="751" spans="3:27" ht="16.5" customHeight="1">
      <c r="C751" s="118"/>
      <c r="E751" s="61"/>
      <c r="H751" s="61"/>
      <c r="I751" s="60"/>
      <c r="K751" s="62"/>
      <c r="O751" s="60"/>
      <c r="P751" s="61"/>
      <c r="Q751" s="62"/>
      <c r="R751" s="61"/>
      <c r="S751" s="62"/>
      <c r="T751" s="61"/>
      <c r="U751" s="62"/>
      <c r="V751" s="61"/>
      <c r="W751" s="62"/>
      <c r="X751" s="61"/>
      <c r="Y751" s="62"/>
      <c r="Z751" s="61"/>
      <c r="AA751" s="62"/>
    </row>
    <row r="752" spans="3:27" ht="16.5" customHeight="1">
      <c r="C752" s="118"/>
      <c r="E752" s="61"/>
      <c r="H752" s="61"/>
      <c r="I752" s="60"/>
      <c r="K752" s="62"/>
      <c r="O752" s="60"/>
      <c r="P752" s="61"/>
      <c r="Q752" s="62"/>
      <c r="R752" s="61"/>
      <c r="S752" s="62"/>
      <c r="T752" s="61"/>
      <c r="U752" s="62"/>
      <c r="V752" s="61"/>
      <c r="W752" s="62"/>
      <c r="X752" s="61"/>
      <c r="Y752" s="62"/>
      <c r="Z752" s="61"/>
      <c r="AA752" s="62"/>
    </row>
    <row r="753" spans="3:27" ht="16.5" customHeight="1">
      <c r="C753" s="118"/>
      <c r="E753" s="61"/>
      <c r="H753" s="61"/>
      <c r="I753" s="60"/>
      <c r="K753" s="62"/>
      <c r="O753" s="60"/>
      <c r="P753" s="61"/>
      <c r="Q753" s="62"/>
      <c r="R753" s="61"/>
      <c r="S753" s="62"/>
      <c r="T753" s="61"/>
      <c r="U753" s="62"/>
      <c r="V753" s="61"/>
      <c r="W753" s="62"/>
      <c r="X753" s="61"/>
      <c r="Y753" s="62"/>
      <c r="Z753" s="61"/>
      <c r="AA753" s="62"/>
    </row>
    <row r="754" spans="3:27" ht="16.5" customHeight="1">
      <c r="C754" s="118"/>
      <c r="E754" s="61"/>
      <c r="H754" s="61"/>
      <c r="I754" s="60"/>
      <c r="K754" s="62"/>
      <c r="O754" s="60"/>
      <c r="P754" s="61"/>
      <c r="Q754" s="62"/>
      <c r="R754" s="61"/>
      <c r="S754" s="62"/>
      <c r="T754" s="61"/>
      <c r="U754" s="62"/>
      <c r="V754" s="61"/>
      <c r="W754" s="62"/>
      <c r="X754" s="61"/>
      <c r="Y754" s="62"/>
      <c r="Z754" s="61"/>
      <c r="AA754" s="62"/>
    </row>
    <row r="755" spans="3:27" ht="16.5" customHeight="1">
      <c r="C755" s="118"/>
      <c r="E755" s="61"/>
      <c r="H755" s="61"/>
      <c r="I755" s="60"/>
      <c r="K755" s="62"/>
      <c r="O755" s="60"/>
      <c r="P755" s="61"/>
      <c r="Q755" s="62"/>
      <c r="R755" s="61"/>
      <c r="S755" s="62"/>
      <c r="T755" s="61"/>
      <c r="U755" s="62"/>
      <c r="V755" s="61"/>
      <c r="W755" s="62"/>
      <c r="X755" s="61"/>
      <c r="Y755" s="62"/>
      <c r="Z755" s="61"/>
      <c r="AA755" s="62"/>
    </row>
    <row r="756" spans="3:27" ht="16.5" customHeight="1">
      <c r="C756" s="118"/>
      <c r="E756" s="61"/>
      <c r="H756" s="61"/>
      <c r="I756" s="60"/>
      <c r="K756" s="62"/>
      <c r="O756" s="60"/>
      <c r="P756" s="61"/>
      <c r="Q756" s="62"/>
      <c r="R756" s="61"/>
      <c r="S756" s="62"/>
      <c r="T756" s="61"/>
      <c r="U756" s="62"/>
      <c r="V756" s="61"/>
      <c r="W756" s="62"/>
      <c r="X756" s="61"/>
      <c r="Y756" s="62"/>
      <c r="Z756" s="61"/>
      <c r="AA756" s="62"/>
    </row>
    <row r="757" spans="3:27" ht="16.5" customHeight="1">
      <c r="C757" s="118"/>
      <c r="E757" s="61"/>
      <c r="H757" s="61"/>
      <c r="I757" s="60"/>
      <c r="K757" s="62"/>
      <c r="O757" s="60"/>
      <c r="P757" s="61"/>
      <c r="Q757" s="62"/>
      <c r="R757" s="61"/>
      <c r="S757" s="62"/>
      <c r="T757" s="61"/>
      <c r="U757" s="62"/>
      <c r="V757" s="61"/>
      <c r="W757" s="62"/>
      <c r="X757" s="61"/>
      <c r="Y757" s="62"/>
      <c r="Z757" s="61"/>
      <c r="AA757" s="62"/>
    </row>
    <row r="758" spans="3:27" ht="16.5" customHeight="1">
      <c r="C758" s="118"/>
      <c r="E758" s="61"/>
      <c r="H758" s="61"/>
      <c r="I758" s="60"/>
      <c r="K758" s="62"/>
      <c r="O758" s="60"/>
      <c r="P758" s="61"/>
      <c r="Q758" s="62"/>
      <c r="R758" s="61"/>
      <c r="S758" s="62"/>
      <c r="T758" s="61"/>
      <c r="U758" s="62"/>
      <c r="V758" s="61"/>
      <c r="W758" s="62"/>
      <c r="X758" s="61"/>
      <c r="Y758" s="62"/>
      <c r="Z758" s="61"/>
      <c r="AA758" s="62"/>
    </row>
    <row r="759" spans="3:27" ht="16.5" customHeight="1">
      <c r="C759" s="118"/>
      <c r="E759" s="61"/>
      <c r="H759" s="61"/>
      <c r="I759" s="60"/>
      <c r="K759" s="62"/>
      <c r="O759" s="60"/>
      <c r="P759" s="61"/>
      <c r="Q759" s="62"/>
      <c r="R759" s="61"/>
      <c r="S759" s="62"/>
      <c r="T759" s="61"/>
      <c r="U759" s="62"/>
      <c r="V759" s="61"/>
      <c r="W759" s="62"/>
      <c r="X759" s="61"/>
      <c r="Y759" s="62"/>
      <c r="Z759" s="61"/>
      <c r="AA759" s="62"/>
    </row>
    <row r="760" spans="3:27" ht="16.5" customHeight="1">
      <c r="C760" s="118"/>
      <c r="E760" s="61"/>
      <c r="H760" s="61"/>
      <c r="I760" s="60"/>
      <c r="K760" s="62"/>
      <c r="O760" s="60"/>
      <c r="P760" s="61"/>
      <c r="Q760" s="62"/>
      <c r="R760" s="61"/>
      <c r="S760" s="62"/>
      <c r="T760" s="61"/>
      <c r="U760" s="62"/>
      <c r="V760" s="61"/>
      <c r="W760" s="62"/>
      <c r="X760" s="61"/>
      <c r="Y760" s="62"/>
      <c r="Z760" s="61"/>
      <c r="AA760" s="62"/>
    </row>
    <row r="761" spans="3:27" ht="16.5" customHeight="1">
      <c r="C761" s="118"/>
      <c r="E761" s="61"/>
      <c r="H761" s="61"/>
      <c r="I761" s="60"/>
      <c r="K761" s="62"/>
      <c r="O761" s="60"/>
      <c r="P761" s="61"/>
      <c r="Q761" s="62"/>
      <c r="R761" s="61"/>
      <c r="S761" s="62"/>
      <c r="T761" s="61"/>
      <c r="U761" s="62"/>
      <c r="V761" s="61"/>
      <c r="W761" s="62"/>
      <c r="X761" s="61"/>
      <c r="Y761" s="62"/>
      <c r="Z761" s="61"/>
      <c r="AA761" s="62"/>
    </row>
    <row r="762" spans="3:27" ht="16.5" customHeight="1">
      <c r="C762" s="118"/>
      <c r="E762" s="61"/>
      <c r="H762" s="61"/>
      <c r="I762" s="60"/>
      <c r="K762" s="62"/>
      <c r="O762" s="60"/>
      <c r="P762" s="61"/>
      <c r="Q762" s="62"/>
      <c r="R762" s="61"/>
      <c r="S762" s="62"/>
      <c r="T762" s="61"/>
      <c r="U762" s="62"/>
      <c r="V762" s="61"/>
      <c r="W762" s="62"/>
      <c r="X762" s="61"/>
      <c r="Y762" s="62"/>
      <c r="Z762" s="61"/>
      <c r="AA762" s="62"/>
    </row>
    <row r="763" spans="3:27" ht="16.5" customHeight="1">
      <c r="C763" s="118"/>
      <c r="E763" s="61"/>
      <c r="H763" s="61"/>
      <c r="I763" s="60"/>
      <c r="K763" s="62"/>
      <c r="O763" s="60"/>
      <c r="P763" s="61"/>
      <c r="Q763" s="62"/>
      <c r="R763" s="61"/>
      <c r="S763" s="62"/>
      <c r="T763" s="61"/>
      <c r="U763" s="62"/>
      <c r="V763" s="61"/>
      <c r="W763" s="62"/>
      <c r="X763" s="61"/>
      <c r="Y763" s="62"/>
      <c r="Z763" s="61"/>
      <c r="AA763" s="62"/>
    </row>
    <row r="764" spans="3:27" ht="16.5" customHeight="1">
      <c r="C764" s="118"/>
      <c r="E764" s="61"/>
      <c r="H764" s="61"/>
      <c r="I764" s="60"/>
      <c r="K764" s="62"/>
      <c r="O764" s="60"/>
      <c r="P764" s="61"/>
      <c r="Q764" s="62"/>
      <c r="R764" s="61"/>
      <c r="S764" s="62"/>
      <c r="T764" s="61"/>
      <c r="U764" s="62"/>
      <c r="V764" s="61"/>
      <c r="W764" s="62"/>
      <c r="X764" s="61"/>
      <c r="Y764" s="62"/>
      <c r="Z764" s="61"/>
      <c r="AA764" s="62"/>
    </row>
    <row r="765" spans="3:27" ht="16.5" customHeight="1">
      <c r="C765" s="118"/>
      <c r="E765" s="61"/>
      <c r="H765" s="61"/>
      <c r="I765" s="60"/>
      <c r="K765" s="62"/>
      <c r="O765" s="60"/>
      <c r="P765" s="61"/>
      <c r="Q765" s="62"/>
      <c r="R765" s="61"/>
      <c r="S765" s="62"/>
      <c r="T765" s="61"/>
      <c r="U765" s="62"/>
      <c r="V765" s="61"/>
      <c r="W765" s="62"/>
      <c r="X765" s="61"/>
      <c r="Y765" s="62"/>
      <c r="Z765" s="61"/>
      <c r="AA765" s="62"/>
    </row>
    <row r="766" spans="3:27" ht="16.5" customHeight="1">
      <c r="C766" s="118"/>
      <c r="E766" s="61"/>
      <c r="H766" s="61"/>
      <c r="I766" s="60"/>
      <c r="K766" s="62"/>
      <c r="O766" s="60"/>
      <c r="P766" s="61"/>
      <c r="Q766" s="62"/>
      <c r="R766" s="61"/>
      <c r="S766" s="62"/>
      <c r="T766" s="61"/>
      <c r="U766" s="62"/>
      <c r="V766" s="61"/>
      <c r="W766" s="62"/>
      <c r="X766" s="61"/>
      <c r="Y766" s="62"/>
      <c r="Z766" s="61"/>
      <c r="AA766" s="62"/>
    </row>
    <row r="767" spans="3:27" ht="16.5" customHeight="1">
      <c r="C767" s="118"/>
      <c r="E767" s="61"/>
      <c r="H767" s="61"/>
      <c r="I767" s="60"/>
      <c r="K767" s="62"/>
      <c r="O767" s="60"/>
      <c r="P767" s="61"/>
      <c r="Q767" s="62"/>
      <c r="R767" s="61"/>
      <c r="S767" s="62"/>
      <c r="T767" s="61"/>
      <c r="U767" s="62"/>
      <c r="V767" s="61"/>
      <c r="W767" s="62"/>
      <c r="X767" s="61"/>
      <c r="Y767" s="62"/>
      <c r="Z767" s="61"/>
      <c r="AA767" s="62"/>
    </row>
    <row r="768" spans="3:27" ht="16.5" customHeight="1">
      <c r="C768" s="118"/>
      <c r="E768" s="61"/>
      <c r="H768" s="61"/>
      <c r="I768" s="60"/>
      <c r="K768" s="62"/>
      <c r="O768" s="60"/>
      <c r="P768" s="61"/>
      <c r="Q768" s="62"/>
      <c r="R768" s="61"/>
      <c r="S768" s="62"/>
      <c r="T768" s="61"/>
      <c r="U768" s="62"/>
      <c r="V768" s="61"/>
      <c r="W768" s="62"/>
      <c r="X768" s="61"/>
      <c r="Y768" s="62"/>
      <c r="Z768" s="61"/>
      <c r="AA768" s="62"/>
    </row>
    <row r="769" spans="3:27" ht="16.5" customHeight="1">
      <c r="C769" s="118"/>
      <c r="E769" s="61"/>
      <c r="H769" s="61"/>
      <c r="I769" s="60"/>
      <c r="K769" s="62"/>
      <c r="O769" s="60"/>
      <c r="P769" s="61"/>
      <c r="Q769" s="62"/>
      <c r="R769" s="61"/>
      <c r="S769" s="62"/>
      <c r="T769" s="61"/>
      <c r="U769" s="62"/>
      <c r="V769" s="61"/>
      <c r="W769" s="62"/>
      <c r="X769" s="61"/>
      <c r="Y769" s="62"/>
      <c r="Z769" s="61"/>
      <c r="AA769" s="62"/>
    </row>
    <row r="770" spans="3:27" ht="16.5" customHeight="1">
      <c r="C770" s="118"/>
      <c r="E770" s="61"/>
      <c r="H770" s="61"/>
      <c r="I770" s="60"/>
      <c r="K770" s="62"/>
      <c r="O770" s="60"/>
      <c r="P770" s="61"/>
      <c r="Q770" s="62"/>
      <c r="R770" s="61"/>
      <c r="S770" s="62"/>
      <c r="T770" s="61"/>
      <c r="U770" s="62"/>
      <c r="V770" s="61"/>
      <c r="W770" s="62"/>
      <c r="X770" s="61"/>
      <c r="Y770" s="62"/>
      <c r="Z770" s="61"/>
      <c r="AA770" s="62"/>
    </row>
    <row r="771" spans="3:27" ht="16.5" customHeight="1">
      <c r="C771" s="118"/>
      <c r="E771" s="61"/>
      <c r="H771" s="61"/>
      <c r="I771" s="60"/>
      <c r="K771" s="62"/>
      <c r="O771" s="60"/>
      <c r="P771" s="61"/>
      <c r="Q771" s="62"/>
      <c r="R771" s="61"/>
      <c r="S771" s="62"/>
      <c r="T771" s="61"/>
      <c r="U771" s="62"/>
      <c r="V771" s="61"/>
      <c r="W771" s="62"/>
      <c r="X771" s="61"/>
      <c r="Y771" s="62"/>
      <c r="Z771" s="61"/>
      <c r="AA771" s="62"/>
    </row>
    <row r="772" spans="3:27" ht="16.5" customHeight="1">
      <c r="C772" s="118"/>
      <c r="E772" s="61"/>
      <c r="H772" s="61"/>
      <c r="I772" s="60"/>
      <c r="K772" s="62"/>
      <c r="O772" s="60"/>
      <c r="P772" s="61"/>
      <c r="Q772" s="62"/>
      <c r="R772" s="61"/>
      <c r="S772" s="62"/>
      <c r="T772" s="61"/>
      <c r="U772" s="62"/>
      <c r="V772" s="61"/>
      <c r="W772" s="62"/>
      <c r="X772" s="61"/>
      <c r="Y772" s="62"/>
      <c r="Z772" s="61"/>
      <c r="AA772" s="62"/>
    </row>
    <row r="773" spans="3:27" ht="16.5" customHeight="1">
      <c r="C773" s="118"/>
      <c r="E773" s="61"/>
      <c r="H773" s="61"/>
      <c r="I773" s="60"/>
      <c r="K773" s="62"/>
      <c r="O773" s="60"/>
      <c r="P773" s="61"/>
      <c r="Q773" s="62"/>
      <c r="R773" s="61"/>
      <c r="S773" s="62"/>
      <c r="T773" s="61"/>
      <c r="U773" s="62"/>
      <c r="V773" s="61"/>
      <c r="W773" s="62"/>
      <c r="X773" s="61"/>
      <c r="Y773" s="62"/>
      <c r="Z773" s="61"/>
      <c r="AA773" s="62"/>
    </row>
    <row r="774" spans="3:27" ht="16.5" customHeight="1">
      <c r="C774" s="118"/>
      <c r="E774" s="61"/>
      <c r="H774" s="61"/>
      <c r="I774" s="60"/>
      <c r="K774" s="62"/>
      <c r="O774" s="60"/>
      <c r="P774" s="61"/>
      <c r="Q774" s="62"/>
      <c r="R774" s="61"/>
      <c r="S774" s="62"/>
      <c r="T774" s="61"/>
      <c r="U774" s="62"/>
      <c r="V774" s="61"/>
      <c r="W774" s="62"/>
      <c r="X774" s="61"/>
      <c r="Y774" s="62"/>
      <c r="Z774" s="61"/>
      <c r="AA774" s="62"/>
    </row>
    <row r="775" spans="3:27" ht="16.5" customHeight="1">
      <c r="C775" s="118"/>
      <c r="E775" s="61"/>
      <c r="H775" s="61"/>
      <c r="I775" s="60"/>
      <c r="K775" s="62"/>
      <c r="O775" s="60"/>
      <c r="P775" s="61"/>
      <c r="Q775" s="62"/>
      <c r="R775" s="61"/>
      <c r="S775" s="62"/>
      <c r="T775" s="61"/>
      <c r="U775" s="62"/>
      <c r="V775" s="61"/>
      <c r="W775" s="62"/>
      <c r="X775" s="61"/>
      <c r="Y775" s="62"/>
      <c r="Z775" s="61"/>
      <c r="AA775" s="62"/>
    </row>
    <row r="776" spans="3:27" ht="16.5" customHeight="1">
      <c r="C776" s="118"/>
      <c r="E776" s="61"/>
      <c r="H776" s="61"/>
      <c r="I776" s="60"/>
      <c r="K776" s="62"/>
      <c r="O776" s="60"/>
      <c r="P776" s="61"/>
      <c r="Q776" s="62"/>
      <c r="R776" s="61"/>
      <c r="S776" s="62"/>
      <c r="T776" s="61"/>
      <c r="U776" s="62"/>
      <c r="V776" s="61"/>
      <c r="W776" s="62"/>
      <c r="X776" s="61"/>
      <c r="Y776" s="62"/>
      <c r="Z776" s="61"/>
      <c r="AA776" s="62"/>
    </row>
    <row r="777" spans="3:27" ht="16.5" customHeight="1">
      <c r="C777" s="118"/>
      <c r="E777" s="61"/>
      <c r="H777" s="61"/>
      <c r="I777" s="60"/>
      <c r="K777" s="62"/>
      <c r="O777" s="60"/>
      <c r="P777" s="61"/>
      <c r="Q777" s="62"/>
      <c r="R777" s="61"/>
      <c r="S777" s="62"/>
      <c r="T777" s="61"/>
      <c r="U777" s="62"/>
      <c r="V777" s="61"/>
      <c r="W777" s="62"/>
      <c r="X777" s="61"/>
      <c r="Y777" s="62"/>
      <c r="Z777" s="61"/>
      <c r="AA777" s="62"/>
    </row>
    <row r="778" spans="3:27" ht="16.5" customHeight="1">
      <c r="C778" s="118"/>
      <c r="E778" s="61"/>
      <c r="H778" s="61"/>
      <c r="I778" s="60"/>
      <c r="K778" s="62"/>
      <c r="O778" s="60"/>
      <c r="P778" s="61"/>
      <c r="Q778" s="62"/>
      <c r="R778" s="61"/>
      <c r="S778" s="62"/>
      <c r="T778" s="61"/>
      <c r="U778" s="62"/>
      <c r="V778" s="61"/>
      <c r="W778" s="62"/>
      <c r="X778" s="61"/>
      <c r="Y778" s="62"/>
      <c r="Z778" s="61"/>
      <c r="AA778" s="62"/>
    </row>
    <row r="779" spans="3:27" ht="16.5" customHeight="1">
      <c r="C779" s="118"/>
      <c r="E779" s="61"/>
      <c r="H779" s="61"/>
      <c r="I779" s="60"/>
      <c r="K779" s="62"/>
      <c r="O779" s="60"/>
      <c r="P779" s="61"/>
      <c r="Q779" s="62"/>
      <c r="R779" s="61"/>
      <c r="S779" s="62"/>
      <c r="T779" s="61"/>
      <c r="U779" s="62"/>
      <c r="V779" s="61"/>
      <c r="W779" s="62"/>
      <c r="X779" s="61"/>
      <c r="Y779" s="62"/>
      <c r="Z779" s="61"/>
      <c r="AA779" s="62"/>
    </row>
    <row r="780" spans="3:27" ht="16.5" customHeight="1">
      <c r="C780" s="118"/>
      <c r="E780" s="61"/>
      <c r="H780" s="61"/>
      <c r="I780" s="60"/>
      <c r="K780" s="62"/>
      <c r="O780" s="60"/>
      <c r="P780" s="61"/>
      <c r="Q780" s="62"/>
      <c r="R780" s="61"/>
      <c r="S780" s="62"/>
      <c r="T780" s="61"/>
      <c r="U780" s="62"/>
      <c r="V780" s="61"/>
      <c r="W780" s="62"/>
      <c r="X780" s="61"/>
      <c r="Y780" s="62"/>
      <c r="Z780" s="61"/>
      <c r="AA780" s="62"/>
    </row>
    <row r="781" spans="3:27" ht="16.5" customHeight="1">
      <c r="C781" s="118"/>
      <c r="E781" s="61"/>
      <c r="H781" s="61"/>
      <c r="I781" s="60"/>
      <c r="K781" s="62"/>
      <c r="O781" s="60"/>
      <c r="P781" s="61"/>
      <c r="Q781" s="62"/>
      <c r="R781" s="61"/>
      <c r="S781" s="62"/>
      <c r="T781" s="61"/>
      <c r="U781" s="62"/>
      <c r="V781" s="61"/>
      <c r="W781" s="62"/>
      <c r="X781" s="61"/>
      <c r="Y781" s="62"/>
      <c r="Z781" s="61"/>
      <c r="AA781" s="62"/>
    </row>
    <row r="782" spans="3:27" ht="16.5" customHeight="1">
      <c r="C782" s="118"/>
      <c r="E782" s="61"/>
      <c r="H782" s="61"/>
      <c r="I782" s="60"/>
      <c r="K782" s="62"/>
      <c r="O782" s="60"/>
      <c r="P782" s="61"/>
      <c r="Q782" s="62"/>
      <c r="R782" s="61"/>
      <c r="S782" s="62"/>
      <c r="T782" s="61"/>
      <c r="U782" s="62"/>
      <c r="V782" s="61"/>
      <c r="W782" s="62"/>
      <c r="X782" s="61"/>
      <c r="Y782" s="62"/>
      <c r="Z782" s="61"/>
      <c r="AA782" s="62"/>
    </row>
    <row r="783" spans="3:27" ht="16.5" customHeight="1">
      <c r="C783" s="118"/>
      <c r="E783" s="61"/>
      <c r="H783" s="61"/>
      <c r="I783" s="60"/>
      <c r="K783" s="62"/>
      <c r="O783" s="60"/>
      <c r="P783" s="61"/>
      <c r="Q783" s="62"/>
      <c r="R783" s="61"/>
      <c r="S783" s="62"/>
      <c r="T783" s="61"/>
      <c r="U783" s="62"/>
      <c r="V783" s="61"/>
      <c r="W783" s="62"/>
      <c r="X783" s="61"/>
      <c r="Y783" s="62"/>
      <c r="Z783" s="61"/>
      <c r="AA783" s="62"/>
    </row>
    <row r="784" spans="3:27" ht="16.5" customHeight="1">
      <c r="C784" s="118"/>
      <c r="E784" s="61"/>
      <c r="H784" s="61"/>
      <c r="I784" s="60"/>
      <c r="K784" s="62"/>
      <c r="O784" s="60"/>
      <c r="P784" s="61"/>
      <c r="Q784" s="62"/>
      <c r="R784" s="61"/>
      <c r="S784" s="62"/>
      <c r="T784" s="61"/>
      <c r="U784" s="62"/>
      <c r="V784" s="61"/>
      <c r="W784" s="62"/>
      <c r="X784" s="61"/>
      <c r="Y784" s="62"/>
      <c r="Z784" s="61"/>
      <c r="AA784" s="62"/>
    </row>
    <row r="785" spans="3:27" ht="16.5" customHeight="1">
      <c r="C785" s="118"/>
      <c r="E785" s="61"/>
      <c r="H785" s="61"/>
      <c r="I785" s="60"/>
      <c r="K785" s="62"/>
      <c r="O785" s="60"/>
      <c r="P785" s="61"/>
      <c r="Q785" s="62"/>
      <c r="R785" s="61"/>
      <c r="S785" s="62"/>
      <c r="T785" s="61"/>
      <c r="U785" s="62"/>
      <c r="V785" s="61"/>
      <c r="W785" s="62"/>
      <c r="X785" s="61"/>
      <c r="Y785" s="62"/>
      <c r="Z785" s="61"/>
      <c r="AA785" s="62"/>
    </row>
    <row r="786" spans="3:27" ht="16.5" customHeight="1">
      <c r="C786" s="118"/>
      <c r="E786" s="61"/>
      <c r="H786" s="61"/>
      <c r="I786" s="60"/>
      <c r="K786" s="62"/>
      <c r="O786" s="60"/>
      <c r="P786" s="61"/>
      <c r="Q786" s="62"/>
      <c r="R786" s="61"/>
      <c r="S786" s="62"/>
      <c r="T786" s="61"/>
      <c r="U786" s="62"/>
      <c r="V786" s="61"/>
      <c r="W786" s="62"/>
      <c r="X786" s="61"/>
      <c r="Y786" s="62"/>
      <c r="Z786" s="61"/>
      <c r="AA786" s="62"/>
    </row>
    <row r="787" spans="3:27" ht="16.5" customHeight="1">
      <c r="C787" s="118"/>
      <c r="E787" s="61"/>
      <c r="H787" s="61"/>
      <c r="I787" s="60"/>
      <c r="K787" s="62"/>
      <c r="O787" s="60"/>
      <c r="P787" s="61"/>
      <c r="Q787" s="62"/>
      <c r="R787" s="61"/>
      <c r="S787" s="62"/>
      <c r="T787" s="61"/>
      <c r="U787" s="62"/>
      <c r="V787" s="61"/>
      <c r="W787" s="62"/>
      <c r="X787" s="61"/>
      <c r="Y787" s="62"/>
      <c r="Z787" s="61"/>
      <c r="AA787" s="62"/>
    </row>
    <row r="788" spans="3:27" ht="16.5" customHeight="1">
      <c r="C788" s="118"/>
      <c r="E788" s="61"/>
      <c r="H788" s="61"/>
      <c r="I788" s="60"/>
      <c r="K788" s="62"/>
      <c r="O788" s="60"/>
      <c r="P788" s="61"/>
      <c r="Q788" s="62"/>
      <c r="R788" s="61"/>
      <c r="S788" s="62"/>
      <c r="T788" s="61"/>
      <c r="U788" s="62"/>
      <c r="V788" s="61"/>
      <c r="W788" s="62"/>
      <c r="X788" s="61"/>
      <c r="Y788" s="62"/>
      <c r="Z788" s="61"/>
      <c r="AA788" s="62"/>
    </row>
    <row r="789" spans="3:27" ht="16.5" customHeight="1">
      <c r="C789" s="118"/>
      <c r="E789" s="61"/>
      <c r="H789" s="61"/>
      <c r="I789" s="60"/>
      <c r="K789" s="62"/>
      <c r="O789" s="60"/>
      <c r="P789" s="61"/>
      <c r="Q789" s="62"/>
      <c r="R789" s="61"/>
      <c r="S789" s="62"/>
      <c r="T789" s="61"/>
      <c r="U789" s="62"/>
      <c r="V789" s="61"/>
      <c r="W789" s="62"/>
      <c r="X789" s="61"/>
      <c r="Y789" s="62"/>
      <c r="Z789" s="61"/>
      <c r="AA789" s="62"/>
    </row>
    <row r="790" spans="3:27" ht="16.5" customHeight="1">
      <c r="C790" s="118"/>
      <c r="E790" s="61"/>
      <c r="H790" s="61"/>
      <c r="I790" s="60"/>
      <c r="K790" s="62"/>
      <c r="O790" s="60"/>
      <c r="P790" s="61"/>
      <c r="Q790" s="62"/>
      <c r="R790" s="61"/>
      <c r="S790" s="62"/>
      <c r="T790" s="61"/>
      <c r="U790" s="62"/>
      <c r="V790" s="61"/>
      <c r="W790" s="62"/>
      <c r="X790" s="61"/>
      <c r="Y790" s="62"/>
      <c r="Z790" s="61"/>
      <c r="AA790" s="62"/>
    </row>
    <row r="791" spans="3:27" ht="16.5" customHeight="1">
      <c r="C791" s="118"/>
      <c r="E791" s="61"/>
      <c r="H791" s="61"/>
      <c r="I791" s="60"/>
      <c r="K791" s="62"/>
      <c r="O791" s="60"/>
      <c r="P791" s="61"/>
      <c r="Q791" s="62"/>
      <c r="R791" s="61"/>
      <c r="S791" s="62"/>
      <c r="T791" s="61"/>
      <c r="U791" s="62"/>
      <c r="V791" s="61"/>
      <c r="W791" s="62"/>
      <c r="X791" s="61"/>
      <c r="Y791" s="62"/>
      <c r="Z791" s="61"/>
      <c r="AA791" s="62"/>
    </row>
    <row r="792" spans="3:27" ht="16.5" customHeight="1">
      <c r="C792" s="118"/>
      <c r="E792" s="61"/>
      <c r="H792" s="61"/>
      <c r="I792" s="60"/>
      <c r="K792" s="62"/>
      <c r="O792" s="60"/>
      <c r="P792" s="61"/>
      <c r="Q792" s="62"/>
      <c r="R792" s="61"/>
      <c r="S792" s="62"/>
      <c r="T792" s="61"/>
      <c r="U792" s="62"/>
      <c r="V792" s="61"/>
      <c r="W792" s="62"/>
      <c r="X792" s="61"/>
      <c r="Y792" s="62"/>
      <c r="Z792" s="61"/>
      <c r="AA792" s="62"/>
    </row>
    <row r="793" spans="3:27" ht="16.5" customHeight="1">
      <c r="C793" s="118"/>
      <c r="E793" s="61"/>
      <c r="H793" s="61"/>
      <c r="I793" s="60"/>
      <c r="K793" s="62"/>
      <c r="O793" s="60"/>
      <c r="P793" s="61"/>
      <c r="Q793" s="62"/>
      <c r="R793" s="61"/>
      <c r="S793" s="62"/>
      <c r="T793" s="61"/>
      <c r="U793" s="62"/>
      <c r="V793" s="61"/>
      <c r="W793" s="62"/>
      <c r="X793" s="61"/>
      <c r="Y793" s="62"/>
      <c r="Z793" s="61"/>
      <c r="AA793" s="62"/>
    </row>
    <row r="794" spans="3:27" ht="16.5" customHeight="1">
      <c r="C794" s="118"/>
      <c r="E794" s="61"/>
      <c r="H794" s="61"/>
      <c r="I794" s="60"/>
      <c r="K794" s="62"/>
      <c r="O794" s="60"/>
      <c r="P794" s="61"/>
      <c r="Q794" s="62"/>
      <c r="R794" s="61"/>
      <c r="S794" s="62"/>
      <c r="T794" s="61"/>
      <c r="U794" s="62"/>
      <c r="V794" s="61"/>
      <c r="W794" s="62"/>
      <c r="X794" s="61"/>
      <c r="Y794" s="62"/>
      <c r="Z794" s="61"/>
      <c r="AA794" s="62"/>
    </row>
    <row r="795" spans="3:27" ht="16.5" customHeight="1">
      <c r="C795" s="118"/>
      <c r="E795" s="61"/>
      <c r="H795" s="61"/>
      <c r="I795" s="60"/>
      <c r="K795" s="62"/>
      <c r="O795" s="60"/>
      <c r="P795" s="61"/>
      <c r="Q795" s="62"/>
      <c r="R795" s="61"/>
      <c r="S795" s="62"/>
      <c r="T795" s="61"/>
      <c r="U795" s="62"/>
      <c r="V795" s="61"/>
      <c r="W795" s="62"/>
      <c r="X795" s="61"/>
      <c r="Y795" s="62"/>
      <c r="Z795" s="61"/>
      <c r="AA795" s="62"/>
    </row>
    <row r="796" spans="3:27" ht="16.5" customHeight="1">
      <c r="C796" s="118"/>
      <c r="E796" s="61"/>
      <c r="H796" s="61"/>
      <c r="I796" s="60"/>
      <c r="K796" s="62"/>
      <c r="O796" s="60"/>
      <c r="P796" s="61"/>
      <c r="Q796" s="62"/>
      <c r="R796" s="61"/>
      <c r="S796" s="62"/>
      <c r="T796" s="61"/>
      <c r="U796" s="62"/>
      <c r="V796" s="61"/>
      <c r="W796" s="62"/>
      <c r="X796" s="61"/>
      <c r="Y796" s="62"/>
      <c r="Z796" s="61"/>
      <c r="AA796" s="62"/>
    </row>
    <row r="797" spans="3:27" ht="16.5" customHeight="1">
      <c r="C797" s="118"/>
      <c r="E797" s="61"/>
      <c r="H797" s="61"/>
      <c r="I797" s="60"/>
      <c r="K797" s="62"/>
      <c r="O797" s="60"/>
      <c r="P797" s="61"/>
      <c r="Q797" s="62"/>
      <c r="R797" s="61"/>
      <c r="S797" s="62"/>
      <c r="T797" s="61"/>
      <c r="U797" s="62"/>
      <c r="V797" s="61"/>
      <c r="W797" s="62"/>
      <c r="X797" s="61"/>
      <c r="Y797" s="62"/>
      <c r="Z797" s="61"/>
      <c r="AA797" s="62"/>
    </row>
    <row r="798" spans="3:27" ht="16.5" customHeight="1">
      <c r="C798" s="118"/>
      <c r="E798" s="61"/>
      <c r="H798" s="61"/>
      <c r="I798" s="60"/>
      <c r="K798" s="62"/>
      <c r="O798" s="60"/>
      <c r="P798" s="61"/>
      <c r="Q798" s="62"/>
      <c r="R798" s="61"/>
      <c r="S798" s="62"/>
      <c r="T798" s="61"/>
      <c r="U798" s="62"/>
      <c r="V798" s="61"/>
      <c r="W798" s="62"/>
      <c r="X798" s="61"/>
      <c r="Y798" s="62"/>
      <c r="Z798" s="61"/>
      <c r="AA798" s="62"/>
    </row>
    <row r="799" spans="3:27" ht="16.5" customHeight="1">
      <c r="C799" s="118"/>
      <c r="E799" s="61"/>
      <c r="H799" s="61"/>
      <c r="I799" s="60"/>
      <c r="K799" s="62"/>
      <c r="O799" s="60"/>
      <c r="P799" s="61"/>
      <c r="Q799" s="62"/>
      <c r="R799" s="61"/>
      <c r="S799" s="62"/>
      <c r="T799" s="61"/>
      <c r="U799" s="62"/>
      <c r="V799" s="61"/>
      <c r="W799" s="62"/>
      <c r="X799" s="61"/>
      <c r="Y799" s="62"/>
      <c r="Z799" s="61"/>
      <c r="AA799" s="62"/>
    </row>
    <row r="800" spans="3:27" ht="16.5" customHeight="1">
      <c r="C800" s="118"/>
      <c r="E800" s="61"/>
      <c r="H800" s="61"/>
      <c r="I800" s="60"/>
      <c r="K800" s="62"/>
      <c r="O800" s="60"/>
      <c r="P800" s="61"/>
      <c r="Q800" s="62"/>
      <c r="R800" s="61"/>
      <c r="S800" s="62"/>
      <c r="T800" s="61"/>
      <c r="U800" s="62"/>
      <c r="V800" s="61"/>
      <c r="W800" s="62"/>
      <c r="X800" s="61"/>
      <c r="Y800" s="62"/>
      <c r="Z800" s="61"/>
      <c r="AA800" s="62"/>
    </row>
    <row r="801" spans="3:27" ht="16.5" customHeight="1">
      <c r="C801" s="118"/>
      <c r="E801" s="61"/>
      <c r="H801" s="61"/>
      <c r="I801" s="60"/>
      <c r="K801" s="62"/>
      <c r="O801" s="60"/>
      <c r="P801" s="61"/>
      <c r="Q801" s="62"/>
      <c r="R801" s="61"/>
      <c r="S801" s="62"/>
      <c r="T801" s="61"/>
      <c r="U801" s="62"/>
      <c r="V801" s="61"/>
      <c r="W801" s="62"/>
      <c r="X801" s="61"/>
      <c r="Y801" s="62"/>
      <c r="Z801" s="61"/>
      <c r="AA801" s="62"/>
    </row>
    <row r="802" spans="3:27" ht="16.5" customHeight="1">
      <c r="C802" s="118"/>
      <c r="E802" s="61"/>
      <c r="H802" s="61"/>
      <c r="I802" s="60"/>
      <c r="K802" s="62"/>
      <c r="O802" s="60"/>
      <c r="P802" s="61"/>
      <c r="Q802" s="62"/>
      <c r="R802" s="61"/>
      <c r="S802" s="62"/>
      <c r="T802" s="61"/>
      <c r="U802" s="62"/>
      <c r="V802" s="61"/>
      <c r="W802" s="62"/>
      <c r="X802" s="61"/>
      <c r="Y802" s="62"/>
      <c r="Z802" s="61"/>
      <c r="AA802" s="62"/>
    </row>
    <row r="803" spans="3:27" ht="16.5" customHeight="1">
      <c r="C803" s="118"/>
      <c r="E803" s="61"/>
      <c r="H803" s="61"/>
      <c r="I803" s="60"/>
      <c r="K803" s="62"/>
      <c r="O803" s="60"/>
      <c r="P803" s="61"/>
      <c r="Q803" s="62"/>
      <c r="R803" s="61"/>
      <c r="S803" s="62"/>
      <c r="T803" s="61"/>
      <c r="U803" s="62"/>
      <c r="V803" s="61"/>
      <c r="W803" s="62"/>
      <c r="X803" s="61"/>
      <c r="Y803" s="62"/>
      <c r="Z803" s="61"/>
      <c r="AA803" s="62"/>
    </row>
    <row r="804" spans="3:27" ht="16.5" customHeight="1">
      <c r="C804" s="118"/>
      <c r="E804" s="61"/>
      <c r="H804" s="61"/>
      <c r="I804" s="60"/>
      <c r="K804" s="62"/>
      <c r="O804" s="60"/>
      <c r="P804" s="61"/>
      <c r="Q804" s="62"/>
      <c r="R804" s="61"/>
      <c r="S804" s="62"/>
      <c r="T804" s="61"/>
      <c r="U804" s="62"/>
      <c r="V804" s="61"/>
      <c r="W804" s="62"/>
      <c r="X804" s="61"/>
      <c r="Y804" s="62"/>
      <c r="Z804" s="61"/>
      <c r="AA804" s="62"/>
    </row>
    <row r="805" spans="3:27" ht="16.5" customHeight="1">
      <c r="C805" s="118"/>
      <c r="E805" s="61"/>
      <c r="H805" s="61"/>
      <c r="I805" s="60"/>
      <c r="K805" s="62"/>
      <c r="O805" s="60"/>
      <c r="P805" s="61"/>
      <c r="Q805" s="62"/>
      <c r="R805" s="61"/>
      <c r="S805" s="62"/>
      <c r="T805" s="61"/>
      <c r="U805" s="62"/>
      <c r="V805" s="61"/>
      <c r="W805" s="62"/>
      <c r="X805" s="61"/>
      <c r="Y805" s="62"/>
      <c r="Z805" s="61"/>
      <c r="AA805" s="62"/>
    </row>
    <row r="806" spans="3:27" ht="16.5" customHeight="1">
      <c r="C806" s="118"/>
      <c r="E806" s="61"/>
      <c r="H806" s="61"/>
      <c r="I806" s="60"/>
      <c r="K806" s="62"/>
      <c r="O806" s="60"/>
      <c r="P806" s="61"/>
      <c r="Q806" s="62"/>
      <c r="R806" s="61"/>
      <c r="S806" s="62"/>
      <c r="T806" s="61"/>
      <c r="U806" s="62"/>
      <c r="V806" s="61"/>
      <c r="W806" s="62"/>
      <c r="X806" s="61"/>
      <c r="Y806" s="62"/>
      <c r="Z806" s="61"/>
      <c r="AA806" s="62"/>
    </row>
    <row r="807" spans="3:27" ht="16.5" customHeight="1">
      <c r="C807" s="118"/>
      <c r="E807" s="61"/>
      <c r="H807" s="61"/>
      <c r="I807" s="60"/>
      <c r="K807" s="62"/>
      <c r="O807" s="60"/>
      <c r="P807" s="61"/>
      <c r="Q807" s="62"/>
      <c r="R807" s="61"/>
      <c r="S807" s="62"/>
      <c r="T807" s="61"/>
      <c r="U807" s="62"/>
      <c r="V807" s="61"/>
      <c r="W807" s="62"/>
      <c r="X807" s="61"/>
      <c r="Y807" s="62"/>
      <c r="Z807" s="61"/>
      <c r="AA807" s="62"/>
    </row>
    <row r="808" spans="3:27" ht="16.5" customHeight="1">
      <c r="C808" s="118"/>
      <c r="E808" s="61"/>
      <c r="H808" s="61"/>
      <c r="I808" s="60"/>
      <c r="K808" s="62"/>
      <c r="O808" s="60"/>
      <c r="P808" s="61"/>
      <c r="Q808" s="62"/>
      <c r="R808" s="61"/>
      <c r="S808" s="62"/>
      <c r="T808" s="61"/>
      <c r="U808" s="62"/>
      <c r="V808" s="61"/>
      <c r="W808" s="62"/>
      <c r="X808" s="61"/>
      <c r="Y808" s="62"/>
      <c r="Z808" s="61"/>
      <c r="AA808" s="62"/>
    </row>
    <row r="809" spans="3:27" ht="16.5" customHeight="1">
      <c r="C809" s="118"/>
      <c r="E809" s="61"/>
      <c r="H809" s="61"/>
      <c r="I809" s="60"/>
      <c r="K809" s="62"/>
      <c r="O809" s="60"/>
      <c r="P809" s="61"/>
      <c r="Q809" s="62"/>
      <c r="R809" s="61"/>
      <c r="S809" s="62"/>
      <c r="T809" s="61"/>
      <c r="U809" s="62"/>
      <c r="V809" s="61"/>
      <c r="W809" s="62"/>
      <c r="X809" s="61"/>
      <c r="Y809" s="62"/>
      <c r="Z809" s="61"/>
      <c r="AA809" s="62"/>
    </row>
    <row r="810" spans="3:27" ht="16.5" customHeight="1">
      <c r="C810" s="118"/>
      <c r="E810" s="61"/>
      <c r="H810" s="61"/>
      <c r="I810" s="60"/>
      <c r="K810" s="62"/>
      <c r="O810" s="60"/>
      <c r="P810" s="61"/>
      <c r="Q810" s="62"/>
      <c r="R810" s="61"/>
      <c r="S810" s="62"/>
      <c r="T810" s="61"/>
      <c r="U810" s="62"/>
      <c r="V810" s="61"/>
      <c r="W810" s="62"/>
      <c r="X810" s="61"/>
      <c r="Y810" s="62"/>
      <c r="Z810" s="61"/>
      <c r="AA810" s="62"/>
    </row>
    <row r="811" spans="3:27" ht="16.5" customHeight="1">
      <c r="C811" s="118"/>
      <c r="E811" s="61"/>
      <c r="H811" s="61"/>
      <c r="I811" s="60"/>
      <c r="K811" s="62"/>
      <c r="O811" s="60"/>
      <c r="P811" s="61"/>
      <c r="Q811" s="62"/>
      <c r="R811" s="61"/>
      <c r="S811" s="62"/>
      <c r="T811" s="61"/>
      <c r="U811" s="62"/>
      <c r="V811" s="61"/>
      <c r="W811" s="62"/>
      <c r="X811" s="61"/>
      <c r="Y811" s="62"/>
      <c r="Z811" s="61"/>
      <c r="AA811" s="62"/>
    </row>
    <row r="812" spans="3:27" ht="16.5" customHeight="1">
      <c r="C812" s="118"/>
      <c r="E812" s="61"/>
      <c r="H812" s="61"/>
      <c r="I812" s="60"/>
      <c r="K812" s="62"/>
      <c r="O812" s="60"/>
      <c r="P812" s="61"/>
      <c r="Q812" s="62"/>
      <c r="R812" s="61"/>
      <c r="S812" s="62"/>
      <c r="T812" s="61"/>
      <c r="U812" s="62"/>
      <c r="V812" s="61"/>
      <c r="W812" s="62"/>
      <c r="X812" s="61"/>
      <c r="Y812" s="62"/>
      <c r="Z812" s="61"/>
      <c r="AA812" s="62"/>
    </row>
    <row r="813" spans="3:27" ht="16.5" customHeight="1">
      <c r="C813" s="118"/>
      <c r="E813" s="61"/>
      <c r="H813" s="61"/>
      <c r="I813" s="60"/>
      <c r="K813" s="62"/>
      <c r="O813" s="60"/>
      <c r="P813" s="61"/>
      <c r="Q813" s="62"/>
      <c r="R813" s="61"/>
      <c r="S813" s="62"/>
      <c r="T813" s="61"/>
      <c r="U813" s="62"/>
      <c r="V813" s="61"/>
      <c r="W813" s="62"/>
      <c r="X813" s="61"/>
      <c r="Y813" s="62"/>
      <c r="Z813" s="61"/>
      <c r="AA813" s="62"/>
    </row>
    <row r="814" spans="3:27" ht="16.5" customHeight="1">
      <c r="C814" s="118"/>
      <c r="E814" s="61"/>
      <c r="H814" s="61"/>
      <c r="I814" s="60"/>
      <c r="K814" s="62"/>
      <c r="O814" s="60"/>
      <c r="P814" s="61"/>
      <c r="Q814" s="62"/>
      <c r="R814" s="61"/>
      <c r="S814" s="62"/>
      <c r="T814" s="61"/>
      <c r="U814" s="62"/>
      <c r="V814" s="61"/>
      <c r="W814" s="62"/>
      <c r="X814" s="61"/>
      <c r="Y814" s="62"/>
      <c r="Z814" s="61"/>
      <c r="AA814" s="62"/>
    </row>
    <row r="815" spans="3:27" ht="16.5" customHeight="1">
      <c r="C815" s="118"/>
      <c r="E815" s="61"/>
      <c r="H815" s="61"/>
      <c r="I815" s="60"/>
      <c r="K815" s="62"/>
      <c r="O815" s="60"/>
      <c r="P815" s="61"/>
      <c r="Q815" s="62"/>
      <c r="R815" s="61"/>
      <c r="S815" s="62"/>
      <c r="T815" s="61"/>
      <c r="U815" s="62"/>
      <c r="V815" s="61"/>
      <c r="W815" s="62"/>
      <c r="X815" s="61"/>
      <c r="Y815" s="62"/>
      <c r="Z815" s="61"/>
      <c r="AA815" s="62"/>
    </row>
    <row r="816" spans="3:27" ht="16.5" customHeight="1">
      <c r="C816" s="118"/>
      <c r="E816" s="61"/>
      <c r="H816" s="61"/>
      <c r="I816" s="60"/>
      <c r="K816" s="62"/>
      <c r="O816" s="60"/>
      <c r="P816" s="61"/>
      <c r="Q816" s="62"/>
      <c r="R816" s="61"/>
      <c r="S816" s="62"/>
      <c r="T816" s="61"/>
      <c r="U816" s="62"/>
      <c r="V816" s="61"/>
      <c r="W816" s="62"/>
      <c r="X816" s="61"/>
      <c r="Y816" s="62"/>
      <c r="Z816" s="61"/>
      <c r="AA816" s="62"/>
    </row>
    <row r="817" spans="3:27" ht="16.5" customHeight="1">
      <c r="C817" s="118"/>
      <c r="E817" s="61"/>
      <c r="H817" s="61"/>
      <c r="I817" s="60"/>
      <c r="K817" s="62"/>
      <c r="O817" s="60"/>
      <c r="P817" s="61"/>
      <c r="Q817" s="62"/>
      <c r="R817" s="61"/>
      <c r="S817" s="62"/>
      <c r="T817" s="61"/>
      <c r="U817" s="62"/>
      <c r="V817" s="61"/>
      <c r="W817" s="62"/>
      <c r="X817" s="61"/>
      <c r="Y817" s="62"/>
      <c r="Z817" s="61"/>
      <c r="AA817" s="62"/>
    </row>
    <row r="818" spans="3:27" ht="16.5" customHeight="1">
      <c r="C818" s="118"/>
      <c r="E818" s="61"/>
      <c r="H818" s="61"/>
      <c r="I818" s="60"/>
      <c r="K818" s="62"/>
      <c r="O818" s="60"/>
      <c r="P818" s="61"/>
      <c r="Q818" s="62"/>
      <c r="R818" s="61"/>
      <c r="S818" s="62"/>
      <c r="T818" s="61"/>
      <c r="U818" s="62"/>
      <c r="V818" s="61"/>
      <c r="W818" s="62"/>
      <c r="X818" s="61"/>
      <c r="Y818" s="62"/>
      <c r="Z818" s="61"/>
      <c r="AA818" s="62"/>
    </row>
    <row r="819" spans="3:27" ht="16.5" customHeight="1">
      <c r="C819" s="118"/>
      <c r="E819" s="61"/>
      <c r="H819" s="61"/>
      <c r="I819" s="60"/>
      <c r="K819" s="62"/>
      <c r="O819" s="60"/>
      <c r="P819" s="61"/>
      <c r="Q819" s="62"/>
      <c r="R819" s="61"/>
      <c r="S819" s="62"/>
      <c r="T819" s="61"/>
      <c r="U819" s="62"/>
      <c r="V819" s="61"/>
      <c r="W819" s="62"/>
      <c r="X819" s="61"/>
      <c r="Y819" s="62"/>
      <c r="Z819" s="61"/>
      <c r="AA819" s="62"/>
    </row>
    <row r="820" spans="3:27" ht="16.5" customHeight="1">
      <c r="C820" s="118"/>
      <c r="E820" s="61"/>
      <c r="H820" s="61"/>
      <c r="I820" s="60"/>
      <c r="K820" s="62"/>
      <c r="O820" s="60"/>
      <c r="P820" s="61"/>
      <c r="Q820" s="62"/>
      <c r="R820" s="61"/>
      <c r="S820" s="62"/>
      <c r="T820" s="61"/>
      <c r="U820" s="62"/>
      <c r="V820" s="61"/>
      <c r="W820" s="62"/>
      <c r="X820" s="61"/>
      <c r="Y820" s="62"/>
      <c r="Z820" s="61"/>
      <c r="AA820" s="62"/>
    </row>
    <row r="821" spans="3:27" ht="16.5" customHeight="1">
      <c r="C821" s="118"/>
      <c r="E821" s="61"/>
      <c r="H821" s="61"/>
      <c r="I821" s="60"/>
      <c r="K821" s="62"/>
      <c r="O821" s="60"/>
      <c r="P821" s="61"/>
      <c r="Q821" s="62"/>
      <c r="R821" s="61"/>
      <c r="S821" s="62"/>
      <c r="T821" s="61"/>
      <c r="U821" s="62"/>
      <c r="V821" s="61"/>
      <c r="W821" s="62"/>
      <c r="X821" s="61"/>
      <c r="Y821" s="62"/>
      <c r="Z821" s="61"/>
      <c r="AA821" s="62"/>
    </row>
    <row r="822" spans="3:27" ht="16.5" customHeight="1">
      <c r="C822" s="118"/>
      <c r="E822" s="61"/>
      <c r="H822" s="61"/>
      <c r="I822" s="60"/>
      <c r="K822" s="62"/>
      <c r="O822" s="60"/>
      <c r="P822" s="61"/>
      <c r="Q822" s="62"/>
      <c r="R822" s="61"/>
      <c r="S822" s="62"/>
      <c r="T822" s="61"/>
      <c r="U822" s="62"/>
      <c r="V822" s="61"/>
      <c r="W822" s="62"/>
      <c r="X822" s="61"/>
      <c r="Y822" s="62"/>
      <c r="Z822" s="61"/>
      <c r="AA822" s="62"/>
    </row>
    <row r="823" spans="3:27" ht="16.5" customHeight="1">
      <c r="C823" s="118"/>
      <c r="E823" s="61"/>
      <c r="H823" s="61"/>
      <c r="I823" s="60"/>
      <c r="K823" s="62"/>
      <c r="O823" s="60"/>
      <c r="P823" s="61"/>
      <c r="Q823" s="62"/>
      <c r="R823" s="61"/>
      <c r="S823" s="62"/>
      <c r="T823" s="61"/>
      <c r="U823" s="62"/>
      <c r="V823" s="61"/>
      <c r="W823" s="62"/>
      <c r="X823" s="61"/>
      <c r="Y823" s="62"/>
      <c r="Z823" s="61"/>
      <c r="AA823" s="62"/>
    </row>
    <row r="824" spans="3:27" ht="16.5" customHeight="1">
      <c r="C824" s="118"/>
      <c r="E824" s="61"/>
      <c r="H824" s="61"/>
      <c r="I824" s="60"/>
      <c r="K824" s="62"/>
      <c r="O824" s="60"/>
      <c r="P824" s="61"/>
      <c r="Q824" s="62"/>
      <c r="R824" s="61"/>
      <c r="S824" s="62"/>
      <c r="T824" s="61"/>
      <c r="U824" s="62"/>
      <c r="V824" s="61"/>
      <c r="W824" s="62"/>
      <c r="X824" s="61"/>
      <c r="Y824" s="62"/>
      <c r="Z824" s="61"/>
      <c r="AA824" s="62"/>
    </row>
    <row r="825" spans="3:27" ht="16.5" customHeight="1">
      <c r="C825" s="118"/>
      <c r="E825" s="61"/>
      <c r="H825" s="61"/>
      <c r="I825" s="60"/>
      <c r="K825" s="62"/>
      <c r="O825" s="60"/>
      <c r="P825" s="61"/>
      <c r="Q825" s="62"/>
      <c r="R825" s="61"/>
      <c r="S825" s="62"/>
      <c r="T825" s="61"/>
      <c r="U825" s="62"/>
      <c r="V825" s="61"/>
      <c r="W825" s="62"/>
      <c r="X825" s="61"/>
      <c r="Y825" s="62"/>
      <c r="Z825" s="61"/>
      <c r="AA825" s="62"/>
    </row>
    <row r="826" spans="3:27" ht="16.5" customHeight="1">
      <c r="C826" s="118"/>
      <c r="E826" s="61"/>
      <c r="H826" s="61"/>
      <c r="I826" s="60"/>
      <c r="K826" s="62"/>
      <c r="O826" s="60"/>
      <c r="P826" s="61"/>
      <c r="Q826" s="62"/>
      <c r="R826" s="61"/>
      <c r="S826" s="62"/>
      <c r="T826" s="61"/>
      <c r="U826" s="62"/>
      <c r="V826" s="61"/>
      <c r="W826" s="62"/>
      <c r="X826" s="61"/>
      <c r="Y826" s="62"/>
      <c r="Z826" s="61"/>
      <c r="AA826" s="62"/>
    </row>
    <row r="827" spans="3:27" ht="16.5" customHeight="1">
      <c r="C827" s="118"/>
      <c r="E827" s="61"/>
      <c r="H827" s="61"/>
      <c r="I827" s="60"/>
      <c r="K827" s="62"/>
      <c r="O827" s="60"/>
      <c r="P827" s="61"/>
      <c r="Q827" s="62"/>
      <c r="R827" s="61"/>
      <c r="S827" s="62"/>
      <c r="T827" s="61"/>
      <c r="U827" s="62"/>
      <c r="V827" s="61"/>
      <c r="W827" s="62"/>
      <c r="X827" s="61"/>
      <c r="Y827" s="62"/>
      <c r="Z827" s="61"/>
      <c r="AA827" s="62"/>
    </row>
    <row r="828" spans="3:27" ht="16.5" customHeight="1">
      <c r="C828" s="118"/>
      <c r="E828" s="61"/>
      <c r="H828" s="61"/>
      <c r="I828" s="60"/>
      <c r="K828" s="62"/>
      <c r="O828" s="60"/>
      <c r="P828" s="61"/>
      <c r="Q828" s="62"/>
      <c r="R828" s="61"/>
      <c r="S828" s="62"/>
      <c r="T828" s="61"/>
      <c r="U828" s="62"/>
      <c r="V828" s="61"/>
      <c r="W828" s="62"/>
      <c r="X828" s="61"/>
      <c r="Y828" s="62"/>
      <c r="Z828" s="61"/>
      <c r="AA828" s="62"/>
    </row>
    <row r="829" spans="3:27" ht="16.5" customHeight="1">
      <c r="C829" s="118"/>
      <c r="E829" s="61"/>
      <c r="H829" s="61"/>
      <c r="I829" s="60"/>
      <c r="K829" s="62"/>
      <c r="O829" s="60"/>
      <c r="P829" s="61"/>
      <c r="Q829" s="62"/>
      <c r="R829" s="61"/>
      <c r="S829" s="62"/>
      <c r="T829" s="61"/>
      <c r="U829" s="62"/>
      <c r="V829" s="61"/>
      <c r="W829" s="62"/>
      <c r="X829" s="61"/>
      <c r="Y829" s="62"/>
      <c r="Z829" s="61"/>
      <c r="AA829" s="62"/>
    </row>
    <row r="830" spans="3:27" ht="16.5" customHeight="1">
      <c r="C830" s="118"/>
      <c r="E830" s="61"/>
      <c r="H830" s="61"/>
      <c r="I830" s="60"/>
      <c r="K830" s="62"/>
      <c r="O830" s="60"/>
      <c r="P830" s="61"/>
      <c r="Q830" s="62"/>
      <c r="R830" s="61"/>
      <c r="S830" s="62"/>
      <c r="T830" s="61"/>
      <c r="U830" s="62"/>
      <c r="V830" s="61"/>
      <c r="W830" s="62"/>
      <c r="X830" s="61"/>
      <c r="Y830" s="62"/>
      <c r="Z830" s="61"/>
      <c r="AA830" s="62"/>
    </row>
    <row r="831" spans="3:27" ht="16.5" customHeight="1">
      <c r="C831" s="118"/>
      <c r="E831" s="61"/>
      <c r="H831" s="61"/>
      <c r="I831" s="60"/>
      <c r="K831" s="62"/>
      <c r="O831" s="60"/>
      <c r="P831" s="61"/>
      <c r="Q831" s="62"/>
      <c r="R831" s="61"/>
      <c r="S831" s="62"/>
      <c r="T831" s="61"/>
      <c r="U831" s="62"/>
      <c r="V831" s="61"/>
      <c r="W831" s="62"/>
      <c r="X831" s="61"/>
      <c r="Y831" s="62"/>
      <c r="Z831" s="61"/>
      <c r="AA831" s="62"/>
    </row>
    <row r="832" spans="3:27" ht="16.5" customHeight="1">
      <c r="C832" s="118"/>
      <c r="E832" s="61"/>
      <c r="H832" s="61"/>
      <c r="I832" s="60"/>
      <c r="K832" s="62"/>
      <c r="O832" s="60"/>
      <c r="P832" s="61"/>
      <c r="Q832" s="62"/>
      <c r="R832" s="61"/>
      <c r="S832" s="62"/>
      <c r="T832" s="61"/>
      <c r="U832" s="62"/>
      <c r="V832" s="61"/>
      <c r="W832" s="62"/>
      <c r="X832" s="61"/>
      <c r="Y832" s="62"/>
      <c r="Z832" s="61"/>
      <c r="AA832" s="62"/>
    </row>
    <row r="833" spans="3:27" ht="16.5" customHeight="1">
      <c r="C833" s="118"/>
      <c r="E833" s="61"/>
      <c r="H833" s="61"/>
      <c r="I833" s="60"/>
      <c r="K833" s="62"/>
      <c r="O833" s="60"/>
      <c r="P833" s="61"/>
      <c r="Q833" s="62"/>
      <c r="R833" s="61"/>
      <c r="S833" s="62"/>
      <c r="T833" s="61"/>
      <c r="U833" s="62"/>
      <c r="V833" s="61"/>
      <c r="W833" s="62"/>
      <c r="X833" s="61"/>
      <c r="Y833" s="62"/>
      <c r="Z833" s="61"/>
      <c r="AA833" s="62"/>
    </row>
    <row r="834" spans="3:27" ht="16.5" customHeight="1">
      <c r="C834" s="118"/>
      <c r="E834" s="61"/>
      <c r="H834" s="61"/>
      <c r="I834" s="60"/>
      <c r="K834" s="62"/>
      <c r="O834" s="60"/>
      <c r="P834" s="61"/>
      <c r="Q834" s="62"/>
      <c r="R834" s="61"/>
      <c r="S834" s="62"/>
      <c r="T834" s="61"/>
      <c r="U834" s="62"/>
      <c r="V834" s="61"/>
      <c r="W834" s="62"/>
      <c r="X834" s="61"/>
      <c r="Y834" s="62"/>
      <c r="Z834" s="61"/>
      <c r="AA834" s="62"/>
    </row>
    <row r="835" spans="3:27" ht="16.5" customHeight="1">
      <c r="C835" s="118"/>
      <c r="E835" s="61"/>
      <c r="H835" s="61"/>
      <c r="I835" s="60"/>
      <c r="K835" s="62"/>
      <c r="O835" s="60"/>
      <c r="P835" s="61"/>
      <c r="Q835" s="62"/>
      <c r="R835" s="61"/>
      <c r="S835" s="62"/>
      <c r="T835" s="61"/>
      <c r="U835" s="62"/>
      <c r="V835" s="61"/>
      <c r="W835" s="62"/>
      <c r="X835" s="61"/>
      <c r="Y835" s="62"/>
      <c r="Z835" s="61"/>
      <c r="AA835" s="62"/>
    </row>
    <row r="836" spans="3:27" ht="16.5" customHeight="1">
      <c r="C836" s="118"/>
      <c r="E836" s="61"/>
      <c r="H836" s="61"/>
      <c r="I836" s="60"/>
      <c r="K836" s="62"/>
      <c r="O836" s="60"/>
      <c r="P836" s="61"/>
      <c r="Q836" s="62"/>
      <c r="R836" s="61"/>
      <c r="S836" s="62"/>
      <c r="T836" s="61"/>
      <c r="U836" s="62"/>
      <c r="V836" s="61"/>
      <c r="W836" s="62"/>
      <c r="X836" s="61"/>
      <c r="Y836" s="62"/>
      <c r="Z836" s="61"/>
      <c r="AA836" s="62"/>
    </row>
    <row r="837" spans="3:27" ht="16.5" customHeight="1">
      <c r="C837" s="118"/>
      <c r="E837" s="61"/>
      <c r="H837" s="61"/>
      <c r="I837" s="60"/>
      <c r="K837" s="62"/>
      <c r="O837" s="60"/>
      <c r="P837" s="61"/>
      <c r="Q837" s="62"/>
      <c r="R837" s="61"/>
      <c r="S837" s="62"/>
      <c r="T837" s="61"/>
      <c r="U837" s="62"/>
      <c r="V837" s="61"/>
      <c r="W837" s="62"/>
      <c r="X837" s="61"/>
      <c r="Y837" s="62"/>
      <c r="Z837" s="61"/>
      <c r="AA837" s="62"/>
    </row>
    <row r="838" spans="3:27" ht="16.5" customHeight="1">
      <c r="C838" s="118"/>
      <c r="E838" s="61"/>
      <c r="H838" s="61"/>
      <c r="I838" s="60"/>
      <c r="K838" s="62"/>
      <c r="O838" s="60"/>
      <c r="P838" s="61"/>
      <c r="Q838" s="62"/>
      <c r="R838" s="61"/>
      <c r="S838" s="62"/>
      <c r="T838" s="61"/>
      <c r="U838" s="62"/>
      <c r="V838" s="61"/>
      <c r="W838" s="62"/>
      <c r="X838" s="61"/>
      <c r="Y838" s="62"/>
      <c r="Z838" s="61"/>
      <c r="AA838" s="62"/>
    </row>
    <row r="839" spans="3:27" ht="16.5" customHeight="1">
      <c r="C839" s="118"/>
      <c r="E839" s="61"/>
      <c r="H839" s="61"/>
      <c r="I839" s="60"/>
      <c r="K839" s="62"/>
      <c r="O839" s="60"/>
      <c r="P839" s="61"/>
      <c r="Q839" s="62"/>
      <c r="R839" s="61"/>
      <c r="S839" s="62"/>
      <c r="T839" s="61"/>
      <c r="U839" s="62"/>
      <c r="V839" s="61"/>
      <c r="W839" s="62"/>
      <c r="X839" s="61"/>
      <c r="Y839" s="62"/>
      <c r="Z839" s="61"/>
      <c r="AA839" s="62"/>
    </row>
    <row r="840" spans="3:27" ht="16.5" customHeight="1">
      <c r="C840" s="118"/>
      <c r="E840" s="61"/>
      <c r="H840" s="61"/>
      <c r="I840" s="60"/>
      <c r="K840" s="62"/>
      <c r="O840" s="60"/>
      <c r="P840" s="61"/>
      <c r="Q840" s="62"/>
      <c r="R840" s="61"/>
      <c r="S840" s="62"/>
      <c r="T840" s="61"/>
      <c r="U840" s="62"/>
      <c r="V840" s="61"/>
      <c r="W840" s="62"/>
      <c r="X840" s="61"/>
      <c r="Y840" s="62"/>
      <c r="Z840" s="61"/>
      <c r="AA840" s="62"/>
    </row>
    <row r="841" spans="3:27" ht="16.5" customHeight="1">
      <c r="C841" s="118"/>
      <c r="E841" s="61"/>
      <c r="H841" s="61"/>
      <c r="I841" s="60"/>
      <c r="K841" s="62"/>
      <c r="O841" s="60"/>
      <c r="P841" s="61"/>
      <c r="Q841" s="62"/>
      <c r="R841" s="61"/>
      <c r="S841" s="62"/>
      <c r="T841" s="61"/>
      <c r="U841" s="62"/>
      <c r="V841" s="61"/>
      <c r="W841" s="62"/>
      <c r="X841" s="61"/>
      <c r="Y841" s="62"/>
      <c r="Z841" s="61"/>
      <c r="AA841" s="62"/>
    </row>
    <row r="842" spans="3:27" ht="16.5" customHeight="1">
      <c r="C842" s="118"/>
      <c r="E842" s="61"/>
      <c r="H842" s="61"/>
      <c r="I842" s="60"/>
      <c r="K842" s="62"/>
      <c r="O842" s="60"/>
      <c r="P842" s="61"/>
      <c r="Q842" s="62"/>
      <c r="R842" s="61"/>
      <c r="S842" s="62"/>
      <c r="T842" s="61"/>
      <c r="U842" s="62"/>
      <c r="V842" s="61"/>
      <c r="W842" s="62"/>
      <c r="X842" s="61"/>
      <c r="Y842" s="62"/>
      <c r="Z842" s="61"/>
      <c r="AA842" s="62"/>
    </row>
    <row r="843" spans="3:27" ht="16.5" customHeight="1">
      <c r="C843" s="118"/>
      <c r="E843" s="61"/>
      <c r="H843" s="61"/>
      <c r="I843" s="60"/>
      <c r="K843" s="62"/>
      <c r="O843" s="60"/>
      <c r="P843" s="61"/>
      <c r="Q843" s="62"/>
      <c r="R843" s="61"/>
      <c r="S843" s="62"/>
      <c r="T843" s="61"/>
      <c r="U843" s="62"/>
      <c r="V843" s="61"/>
      <c r="W843" s="62"/>
      <c r="X843" s="61"/>
      <c r="Y843" s="62"/>
      <c r="Z843" s="61"/>
      <c r="AA843" s="62"/>
    </row>
    <row r="844" spans="3:27" ht="16.5" customHeight="1">
      <c r="C844" s="118"/>
      <c r="E844" s="61"/>
      <c r="H844" s="61"/>
      <c r="I844" s="60"/>
      <c r="K844" s="62"/>
      <c r="O844" s="60"/>
      <c r="P844" s="61"/>
      <c r="Q844" s="62"/>
      <c r="R844" s="61"/>
      <c r="S844" s="62"/>
      <c r="T844" s="61"/>
      <c r="U844" s="62"/>
      <c r="V844" s="61"/>
      <c r="W844" s="62"/>
      <c r="X844" s="61"/>
      <c r="Y844" s="62"/>
      <c r="Z844" s="61"/>
      <c r="AA844" s="62"/>
    </row>
    <row r="845" spans="3:27" ht="16.5" customHeight="1">
      <c r="C845" s="118"/>
      <c r="E845" s="61"/>
      <c r="H845" s="61"/>
      <c r="I845" s="60"/>
      <c r="K845" s="62"/>
      <c r="O845" s="60"/>
      <c r="P845" s="61"/>
      <c r="Q845" s="62"/>
      <c r="R845" s="61"/>
      <c r="S845" s="62"/>
      <c r="T845" s="61"/>
      <c r="U845" s="62"/>
      <c r="V845" s="61"/>
      <c r="W845" s="62"/>
      <c r="X845" s="61"/>
      <c r="Y845" s="62"/>
      <c r="Z845" s="61"/>
      <c r="AA845" s="62"/>
    </row>
    <row r="846" spans="3:27" ht="16.5" customHeight="1">
      <c r="C846" s="118"/>
      <c r="E846" s="61"/>
      <c r="H846" s="61"/>
      <c r="I846" s="60"/>
      <c r="K846" s="62"/>
      <c r="O846" s="60"/>
      <c r="P846" s="61"/>
      <c r="Q846" s="62"/>
      <c r="R846" s="61"/>
      <c r="S846" s="62"/>
      <c r="T846" s="61"/>
      <c r="U846" s="62"/>
      <c r="V846" s="61"/>
      <c r="W846" s="62"/>
      <c r="X846" s="61"/>
      <c r="Y846" s="62"/>
      <c r="Z846" s="61"/>
      <c r="AA846" s="62"/>
    </row>
    <row r="847" spans="3:27" ht="16.5" customHeight="1">
      <c r="C847" s="118"/>
      <c r="E847" s="61"/>
      <c r="H847" s="61"/>
      <c r="I847" s="60"/>
      <c r="K847" s="62"/>
      <c r="O847" s="60"/>
      <c r="P847" s="61"/>
      <c r="Q847" s="62"/>
      <c r="R847" s="61"/>
      <c r="S847" s="62"/>
      <c r="T847" s="61"/>
      <c r="U847" s="62"/>
      <c r="V847" s="61"/>
      <c r="W847" s="62"/>
      <c r="X847" s="61"/>
      <c r="Y847" s="62"/>
      <c r="Z847" s="61"/>
      <c r="AA847" s="62"/>
    </row>
    <row r="848" spans="3:27" ht="16.5" customHeight="1">
      <c r="C848" s="118"/>
      <c r="E848" s="61"/>
      <c r="H848" s="61"/>
      <c r="I848" s="60"/>
      <c r="K848" s="62"/>
      <c r="O848" s="60"/>
      <c r="P848" s="61"/>
      <c r="Q848" s="62"/>
      <c r="R848" s="61"/>
      <c r="S848" s="62"/>
      <c r="T848" s="61"/>
      <c r="U848" s="62"/>
      <c r="V848" s="61"/>
      <c r="W848" s="62"/>
      <c r="X848" s="61"/>
      <c r="Y848" s="62"/>
      <c r="Z848" s="61"/>
      <c r="AA848" s="62"/>
    </row>
    <row r="849" spans="3:27" ht="16.5" customHeight="1">
      <c r="C849" s="118"/>
      <c r="E849" s="61"/>
      <c r="H849" s="61"/>
      <c r="I849" s="60"/>
      <c r="K849" s="62"/>
      <c r="O849" s="60"/>
      <c r="P849" s="61"/>
      <c r="Q849" s="62"/>
      <c r="R849" s="61"/>
      <c r="S849" s="62"/>
      <c r="T849" s="61"/>
      <c r="U849" s="62"/>
      <c r="V849" s="61"/>
      <c r="W849" s="62"/>
      <c r="X849" s="61"/>
      <c r="Y849" s="62"/>
      <c r="Z849" s="61"/>
      <c r="AA849" s="62"/>
    </row>
    <row r="850" spans="3:27" ht="16.5" customHeight="1">
      <c r="C850" s="118"/>
      <c r="E850" s="61"/>
      <c r="H850" s="61"/>
      <c r="I850" s="60"/>
      <c r="K850" s="62"/>
      <c r="O850" s="60"/>
      <c r="P850" s="61"/>
      <c r="Q850" s="62"/>
      <c r="R850" s="61"/>
      <c r="S850" s="62"/>
      <c r="T850" s="61"/>
      <c r="U850" s="62"/>
      <c r="V850" s="61"/>
      <c r="W850" s="62"/>
      <c r="X850" s="61"/>
      <c r="Y850" s="62"/>
      <c r="Z850" s="61"/>
      <c r="AA850" s="62"/>
    </row>
    <row r="851" spans="3:27" ht="16.5" customHeight="1">
      <c r="C851" s="118"/>
      <c r="E851" s="61"/>
      <c r="H851" s="61"/>
      <c r="I851" s="60"/>
      <c r="K851" s="62"/>
      <c r="O851" s="60"/>
      <c r="P851" s="61"/>
      <c r="Q851" s="62"/>
      <c r="R851" s="61"/>
      <c r="S851" s="62"/>
      <c r="T851" s="61"/>
      <c r="U851" s="62"/>
      <c r="V851" s="61"/>
      <c r="W851" s="62"/>
      <c r="X851" s="61"/>
      <c r="Y851" s="62"/>
      <c r="Z851" s="61"/>
      <c r="AA851" s="62"/>
    </row>
    <row r="852" spans="3:27" ht="16.5" customHeight="1">
      <c r="C852" s="118"/>
      <c r="E852" s="61"/>
      <c r="H852" s="61"/>
      <c r="I852" s="60"/>
      <c r="K852" s="62"/>
      <c r="O852" s="60"/>
      <c r="P852" s="61"/>
      <c r="Q852" s="62"/>
      <c r="R852" s="61"/>
      <c r="S852" s="62"/>
      <c r="T852" s="61"/>
      <c r="U852" s="62"/>
      <c r="V852" s="61"/>
      <c r="W852" s="62"/>
      <c r="X852" s="61"/>
      <c r="Y852" s="62"/>
      <c r="Z852" s="61"/>
      <c r="AA852" s="62"/>
    </row>
    <row r="853" spans="3:27" ht="16.5" customHeight="1">
      <c r="C853" s="118"/>
      <c r="E853" s="61"/>
      <c r="H853" s="61"/>
      <c r="I853" s="60"/>
      <c r="K853" s="62"/>
      <c r="O853" s="60"/>
      <c r="P853" s="61"/>
      <c r="Q853" s="62"/>
      <c r="R853" s="61"/>
      <c r="S853" s="62"/>
      <c r="T853" s="61"/>
      <c r="U853" s="62"/>
      <c r="V853" s="61"/>
      <c r="W853" s="62"/>
      <c r="X853" s="61"/>
      <c r="Y853" s="62"/>
      <c r="Z853" s="61"/>
      <c r="AA853" s="62"/>
    </row>
    <row r="854" spans="3:27" ht="16.5" customHeight="1">
      <c r="C854" s="118"/>
      <c r="E854" s="61"/>
      <c r="H854" s="61"/>
      <c r="I854" s="60"/>
      <c r="K854" s="62"/>
      <c r="O854" s="60"/>
      <c r="P854" s="61"/>
      <c r="Q854" s="62"/>
      <c r="R854" s="61"/>
      <c r="S854" s="62"/>
      <c r="T854" s="61"/>
      <c r="U854" s="62"/>
      <c r="V854" s="61"/>
      <c r="W854" s="62"/>
      <c r="X854" s="61"/>
      <c r="Y854" s="62"/>
      <c r="Z854" s="61"/>
      <c r="AA854" s="62"/>
    </row>
    <row r="855" spans="3:27" ht="16.5" customHeight="1">
      <c r="C855" s="118"/>
      <c r="E855" s="61"/>
      <c r="H855" s="61"/>
      <c r="I855" s="60"/>
      <c r="K855" s="62"/>
      <c r="O855" s="60"/>
      <c r="P855" s="61"/>
      <c r="Q855" s="62"/>
      <c r="R855" s="61"/>
      <c r="S855" s="62"/>
      <c r="T855" s="61"/>
      <c r="U855" s="62"/>
      <c r="V855" s="61"/>
      <c r="W855" s="62"/>
      <c r="X855" s="61"/>
      <c r="Y855" s="62"/>
      <c r="Z855" s="61"/>
      <c r="AA855" s="62"/>
    </row>
    <row r="856" spans="3:27" ht="16.5" customHeight="1">
      <c r="C856" s="118"/>
      <c r="E856" s="61"/>
      <c r="H856" s="61"/>
      <c r="I856" s="60"/>
      <c r="K856" s="62"/>
      <c r="O856" s="60"/>
      <c r="P856" s="61"/>
      <c r="Q856" s="62"/>
      <c r="R856" s="61"/>
      <c r="S856" s="62"/>
      <c r="T856" s="61"/>
      <c r="U856" s="62"/>
      <c r="V856" s="61"/>
      <c r="W856" s="62"/>
      <c r="X856" s="61"/>
      <c r="Y856" s="62"/>
      <c r="Z856" s="61"/>
      <c r="AA856" s="62"/>
    </row>
    <row r="857" spans="3:27" ht="16.5" customHeight="1">
      <c r="C857" s="118"/>
      <c r="E857" s="61"/>
      <c r="H857" s="61"/>
      <c r="I857" s="60"/>
      <c r="K857" s="62"/>
      <c r="O857" s="60"/>
      <c r="P857" s="61"/>
      <c r="Q857" s="62"/>
      <c r="R857" s="61"/>
      <c r="S857" s="62"/>
      <c r="T857" s="61"/>
      <c r="U857" s="62"/>
      <c r="V857" s="61"/>
      <c r="W857" s="62"/>
      <c r="X857" s="61"/>
      <c r="Y857" s="62"/>
      <c r="Z857" s="61"/>
      <c r="AA857" s="62"/>
    </row>
    <row r="858" spans="3:27" ht="16.5" customHeight="1">
      <c r="C858" s="118"/>
      <c r="E858" s="61"/>
      <c r="H858" s="61"/>
      <c r="I858" s="60"/>
      <c r="K858" s="62"/>
      <c r="O858" s="60"/>
      <c r="P858" s="61"/>
      <c r="Q858" s="62"/>
      <c r="R858" s="61"/>
      <c r="S858" s="62"/>
      <c r="T858" s="61"/>
      <c r="U858" s="62"/>
      <c r="V858" s="61"/>
      <c r="W858" s="62"/>
      <c r="X858" s="61"/>
      <c r="Y858" s="62"/>
      <c r="Z858" s="61"/>
      <c r="AA858" s="62"/>
    </row>
    <row r="859" spans="3:27" ht="16.5" customHeight="1">
      <c r="C859" s="118"/>
      <c r="E859" s="61"/>
      <c r="H859" s="61"/>
      <c r="I859" s="60"/>
      <c r="K859" s="62"/>
      <c r="O859" s="60"/>
      <c r="P859" s="61"/>
      <c r="Q859" s="62"/>
      <c r="R859" s="61"/>
      <c r="S859" s="62"/>
      <c r="T859" s="61"/>
      <c r="U859" s="62"/>
      <c r="V859" s="61"/>
      <c r="W859" s="62"/>
      <c r="X859" s="61"/>
      <c r="Y859" s="62"/>
      <c r="Z859" s="61"/>
      <c r="AA859" s="62"/>
    </row>
    <row r="860" spans="3:27" ht="16.5" customHeight="1">
      <c r="C860" s="118"/>
      <c r="E860" s="61"/>
      <c r="H860" s="61"/>
      <c r="I860" s="60"/>
      <c r="K860" s="62"/>
      <c r="O860" s="60"/>
      <c r="P860" s="61"/>
      <c r="Q860" s="62"/>
      <c r="R860" s="61"/>
      <c r="S860" s="62"/>
      <c r="T860" s="61"/>
      <c r="U860" s="62"/>
      <c r="V860" s="61"/>
      <c r="W860" s="62"/>
      <c r="X860" s="61"/>
      <c r="Y860" s="62"/>
      <c r="Z860" s="61"/>
      <c r="AA860" s="62"/>
    </row>
    <row r="861" spans="3:27" ht="16.5" customHeight="1">
      <c r="C861" s="118"/>
      <c r="E861" s="61"/>
      <c r="H861" s="61"/>
      <c r="I861" s="60"/>
      <c r="K861" s="62"/>
      <c r="O861" s="60"/>
      <c r="P861" s="61"/>
      <c r="Q861" s="62"/>
      <c r="R861" s="61"/>
      <c r="S861" s="62"/>
      <c r="T861" s="61"/>
      <c r="U861" s="62"/>
      <c r="V861" s="61"/>
      <c r="W861" s="62"/>
      <c r="X861" s="61"/>
      <c r="Y861" s="62"/>
      <c r="Z861" s="61"/>
      <c r="AA861" s="62"/>
    </row>
    <row r="862" spans="3:27" ht="16.5" customHeight="1">
      <c r="C862" s="118"/>
      <c r="E862" s="61"/>
      <c r="H862" s="61"/>
      <c r="I862" s="60"/>
      <c r="K862" s="62"/>
      <c r="O862" s="60"/>
      <c r="P862" s="61"/>
      <c r="Q862" s="62"/>
      <c r="R862" s="61"/>
      <c r="S862" s="62"/>
      <c r="T862" s="61"/>
      <c r="U862" s="62"/>
      <c r="V862" s="61"/>
      <c r="W862" s="62"/>
      <c r="X862" s="61"/>
      <c r="Y862" s="62"/>
      <c r="Z862" s="61"/>
      <c r="AA862" s="62"/>
    </row>
    <row r="863" spans="3:27" ht="16.5" customHeight="1">
      <c r="C863" s="118"/>
      <c r="E863" s="61"/>
      <c r="H863" s="61"/>
      <c r="I863" s="60"/>
      <c r="K863" s="62"/>
      <c r="O863" s="60"/>
      <c r="P863" s="61"/>
      <c r="Q863" s="62"/>
      <c r="R863" s="61"/>
      <c r="S863" s="62"/>
      <c r="T863" s="61"/>
      <c r="U863" s="62"/>
      <c r="V863" s="61"/>
      <c r="W863" s="62"/>
      <c r="X863" s="61"/>
      <c r="Y863" s="62"/>
      <c r="Z863" s="61"/>
      <c r="AA863" s="62"/>
    </row>
    <row r="864" spans="3:27" ht="16.5" customHeight="1">
      <c r="C864" s="118"/>
      <c r="E864" s="61"/>
      <c r="H864" s="61"/>
      <c r="I864" s="60"/>
      <c r="K864" s="62"/>
      <c r="O864" s="60"/>
      <c r="P864" s="61"/>
      <c r="Q864" s="62"/>
      <c r="R864" s="61"/>
      <c r="S864" s="62"/>
      <c r="T864" s="61"/>
      <c r="U864" s="62"/>
      <c r="V864" s="61"/>
      <c r="W864" s="62"/>
      <c r="X864" s="61"/>
      <c r="Y864" s="62"/>
      <c r="Z864" s="61"/>
      <c r="AA864" s="62"/>
    </row>
    <row r="865" spans="3:27" ht="16.5" customHeight="1">
      <c r="C865" s="118"/>
      <c r="E865" s="61"/>
      <c r="H865" s="61"/>
      <c r="I865" s="60"/>
      <c r="K865" s="62"/>
      <c r="O865" s="60"/>
      <c r="P865" s="61"/>
      <c r="Q865" s="62"/>
      <c r="R865" s="61"/>
      <c r="S865" s="62"/>
      <c r="T865" s="61"/>
      <c r="U865" s="62"/>
      <c r="V865" s="61"/>
      <c r="W865" s="62"/>
      <c r="X865" s="61"/>
      <c r="Y865" s="62"/>
      <c r="Z865" s="61"/>
      <c r="AA865" s="62"/>
    </row>
    <row r="866" spans="3:27" ht="16.5" customHeight="1">
      <c r="C866" s="118"/>
      <c r="E866" s="61"/>
      <c r="H866" s="61"/>
      <c r="I866" s="60"/>
      <c r="K866" s="62"/>
      <c r="O866" s="60"/>
      <c r="P866" s="61"/>
      <c r="Q866" s="62"/>
      <c r="R866" s="61"/>
      <c r="S866" s="62"/>
      <c r="T866" s="61"/>
      <c r="U866" s="62"/>
      <c r="V866" s="61"/>
      <c r="W866" s="62"/>
      <c r="X866" s="61"/>
      <c r="Y866" s="62"/>
      <c r="Z866" s="61"/>
      <c r="AA866" s="62"/>
    </row>
    <row r="867" spans="3:27" ht="16.5" customHeight="1">
      <c r="C867" s="118"/>
      <c r="E867" s="61"/>
      <c r="H867" s="61"/>
      <c r="I867" s="60"/>
      <c r="K867" s="62"/>
      <c r="O867" s="60"/>
      <c r="P867" s="61"/>
      <c r="Q867" s="62"/>
      <c r="R867" s="61"/>
      <c r="S867" s="62"/>
      <c r="T867" s="61"/>
      <c r="U867" s="62"/>
      <c r="V867" s="61"/>
      <c r="W867" s="62"/>
      <c r="X867" s="61"/>
      <c r="Y867" s="62"/>
      <c r="Z867" s="61"/>
      <c r="AA867" s="62"/>
    </row>
    <row r="868" spans="3:27" ht="16.5" customHeight="1">
      <c r="C868" s="118"/>
      <c r="E868" s="61"/>
      <c r="H868" s="61"/>
      <c r="I868" s="60"/>
      <c r="K868" s="62"/>
      <c r="O868" s="60"/>
      <c r="P868" s="61"/>
      <c r="Q868" s="62"/>
      <c r="R868" s="61"/>
      <c r="S868" s="62"/>
      <c r="T868" s="61"/>
      <c r="U868" s="62"/>
      <c r="V868" s="61"/>
      <c r="W868" s="62"/>
      <c r="X868" s="61"/>
      <c r="Y868" s="62"/>
      <c r="Z868" s="61"/>
      <c r="AA868" s="62"/>
    </row>
    <row r="869" spans="3:27" ht="16.5" customHeight="1">
      <c r="C869" s="118"/>
      <c r="E869" s="61"/>
      <c r="H869" s="61"/>
      <c r="I869" s="60"/>
      <c r="K869" s="62"/>
      <c r="O869" s="60"/>
      <c r="P869" s="61"/>
      <c r="Q869" s="62"/>
      <c r="R869" s="61"/>
      <c r="S869" s="62"/>
      <c r="T869" s="61"/>
      <c r="U869" s="62"/>
      <c r="V869" s="61"/>
      <c r="W869" s="62"/>
      <c r="X869" s="61"/>
      <c r="Y869" s="62"/>
      <c r="Z869" s="61"/>
      <c r="AA869" s="62"/>
    </row>
    <row r="870" spans="3:27" ht="16.5" customHeight="1">
      <c r="C870" s="118"/>
      <c r="E870" s="61"/>
      <c r="H870" s="61"/>
      <c r="I870" s="60"/>
      <c r="K870" s="62"/>
      <c r="O870" s="60"/>
      <c r="P870" s="61"/>
      <c r="Q870" s="62"/>
      <c r="R870" s="61"/>
      <c r="S870" s="62"/>
      <c r="T870" s="61"/>
      <c r="U870" s="62"/>
      <c r="V870" s="61"/>
      <c r="W870" s="62"/>
      <c r="X870" s="61"/>
      <c r="Y870" s="62"/>
      <c r="Z870" s="61"/>
      <c r="AA870" s="62"/>
    </row>
    <row r="871" spans="3:27" ht="16.5" customHeight="1">
      <c r="C871" s="118"/>
      <c r="E871" s="61"/>
      <c r="H871" s="61"/>
      <c r="I871" s="60"/>
      <c r="K871" s="62"/>
      <c r="O871" s="60"/>
      <c r="P871" s="61"/>
      <c r="Q871" s="62"/>
      <c r="R871" s="61"/>
      <c r="S871" s="62"/>
      <c r="T871" s="61"/>
      <c r="U871" s="62"/>
      <c r="V871" s="61"/>
      <c r="W871" s="62"/>
      <c r="X871" s="61"/>
      <c r="Y871" s="62"/>
      <c r="Z871" s="61"/>
      <c r="AA871" s="62"/>
    </row>
    <row r="872" spans="3:27" ht="16.5" customHeight="1">
      <c r="C872" s="118"/>
      <c r="E872" s="61"/>
      <c r="H872" s="61"/>
      <c r="I872" s="60"/>
      <c r="K872" s="62"/>
      <c r="O872" s="60"/>
      <c r="P872" s="61"/>
      <c r="Q872" s="62"/>
      <c r="R872" s="61"/>
      <c r="S872" s="62"/>
      <c r="T872" s="61"/>
      <c r="U872" s="62"/>
      <c r="V872" s="61"/>
      <c r="W872" s="62"/>
      <c r="X872" s="61"/>
      <c r="Y872" s="62"/>
      <c r="Z872" s="61"/>
      <c r="AA872" s="62"/>
    </row>
    <row r="873" spans="3:27" ht="16.5" customHeight="1">
      <c r="C873" s="118"/>
      <c r="E873" s="61"/>
      <c r="H873" s="61"/>
      <c r="I873" s="60"/>
      <c r="K873" s="62"/>
      <c r="O873" s="60"/>
      <c r="P873" s="61"/>
      <c r="Q873" s="62"/>
      <c r="R873" s="61"/>
      <c r="S873" s="62"/>
      <c r="T873" s="61"/>
      <c r="U873" s="62"/>
      <c r="V873" s="61"/>
      <c r="W873" s="62"/>
      <c r="X873" s="61"/>
      <c r="Y873" s="62"/>
      <c r="Z873" s="61"/>
      <c r="AA873" s="62"/>
    </row>
    <row r="874" spans="3:27" ht="16.5" customHeight="1">
      <c r="C874" s="118"/>
      <c r="E874" s="61"/>
      <c r="H874" s="61"/>
      <c r="I874" s="60"/>
      <c r="K874" s="62"/>
      <c r="O874" s="60"/>
      <c r="P874" s="61"/>
      <c r="Q874" s="62"/>
      <c r="R874" s="61"/>
      <c r="S874" s="62"/>
      <c r="T874" s="61"/>
      <c r="U874" s="62"/>
      <c r="V874" s="61"/>
      <c r="W874" s="62"/>
      <c r="X874" s="61"/>
      <c r="Y874" s="62"/>
      <c r="Z874" s="61"/>
      <c r="AA874" s="62"/>
    </row>
    <row r="875" spans="3:27" ht="16.5" customHeight="1">
      <c r="C875" s="118"/>
      <c r="E875" s="61"/>
      <c r="H875" s="61"/>
      <c r="I875" s="60"/>
      <c r="K875" s="62"/>
      <c r="O875" s="60"/>
      <c r="P875" s="61"/>
      <c r="Q875" s="62"/>
      <c r="R875" s="61"/>
      <c r="S875" s="62"/>
      <c r="T875" s="61"/>
      <c r="U875" s="62"/>
      <c r="V875" s="61"/>
      <c r="W875" s="62"/>
      <c r="X875" s="61"/>
      <c r="Y875" s="62"/>
      <c r="Z875" s="61"/>
      <c r="AA875" s="62"/>
    </row>
    <row r="876" spans="3:27" ht="16.5" customHeight="1">
      <c r="C876" s="118"/>
      <c r="E876" s="61"/>
      <c r="H876" s="61"/>
      <c r="I876" s="60"/>
      <c r="K876" s="62"/>
      <c r="O876" s="60"/>
      <c r="P876" s="61"/>
      <c r="Q876" s="62"/>
      <c r="R876" s="61"/>
      <c r="S876" s="62"/>
      <c r="T876" s="61"/>
      <c r="U876" s="62"/>
      <c r="V876" s="61"/>
      <c r="W876" s="62"/>
      <c r="X876" s="61"/>
      <c r="Y876" s="62"/>
      <c r="Z876" s="61"/>
      <c r="AA876" s="62"/>
    </row>
    <row r="877" spans="3:27" ht="16.5" customHeight="1">
      <c r="C877" s="118"/>
      <c r="E877" s="61"/>
      <c r="H877" s="61"/>
      <c r="I877" s="60"/>
      <c r="K877" s="62"/>
      <c r="O877" s="60"/>
      <c r="P877" s="61"/>
      <c r="Q877" s="62"/>
      <c r="R877" s="61"/>
      <c r="S877" s="62"/>
      <c r="T877" s="61"/>
      <c r="U877" s="62"/>
      <c r="V877" s="61"/>
      <c r="W877" s="62"/>
      <c r="X877" s="61"/>
      <c r="Y877" s="62"/>
      <c r="Z877" s="61"/>
      <c r="AA877" s="62"/>
    </row>
    <row r="878" spans="3:27" ht="16.5" customHeight="1">
      <c r="C878" s="118"/>
      <c r="E878" s="61"/>
      <c r="H878" s="61"/>
      <c r="I878" s="60"/>
      <c r="K878" s="62"/>
      <c r="O878" s="60"/>
      <c r="P878" s="61"/>
      <c r="Q878" s="62"/>
      <c r="R878" s="61"/>
      <c r="S878" s="62"/>
      <c r="T878" s="61"/>
      <c r="U878" s="62"/>
      <c r="V878" s="61"/>
      <c r="W878" s="62"/>
      <c r="X878" s="61"/>
      <c r="Y878" s="62"/>
      <c r="Z878" s="61"/>
      <c r="AA878" s="62"/>
    </row>
    <row r="879" spans="3:27" ht="16.5" customHeight="1">
      <c r="C879" s="118"/>
      <c r="E879" s="61"/>
      <c r="H879" s="61"/>
      <c r="I879" s="60"/>
      <c r="K879" s="62"/>
      <c r="O879" s="60"/>
      <c r="P879" s="61"/>
      <c r="Q879" s="62"/>
      <c r="R879" s="61"/>
      <c r="S879" s="62"/>
      <c r="T879" s="61"/>
      <c r="U879" s="62"/>
      <c r="V879" s="61"/>
      <c r="W879" s="62"/>
      <c r="X879" s="61"/>
      <c r="Y879" s="62"/>
      <c r="Z879" s="61"/>
      <c r="AA879" s="62"/>
    </row>
    <row r="880" spans="3:27" ht="16.5" customHeight="1">
      <c r="C880" s="118"/>
      <c r="E880" s="61"/>
      <c r="H880" s="61"/>
      <c r="I880" s="60"/>
      <c r="K880" s="62"/>
      <c r="O880" s="60"/>
      <c r="P880" s="61"/>
      <c r="Q880" s="62"/>
      <c r="R880" s="61"/>
      <c r="S880" s="62"/>
      <c r="T880" s="61"/>
      <c r="U880" s="62"/>
      <c r="V880" s="61"/>
      <c r="W880" s="62"/>
      <c r="X880" s="61"/>
      <c r="Y880" s="62"/>
      <c r="Z880" s="61"/>
      <c r="AA880" s="62"/>
    </row>
    <row r="881" spans="3:27" ht="16.5" customHeight="1">
      <c r="C881" s="118"/>
      <c r="E881" s="61"/>
      <c r="H881" s="61"/>
      <c r="I881" s="60"/>
      <c r="K881" s="62"/>
      <c r="O881" s="60"/>
      <c r="P881" s="61"/>
      <c r="Q881" s="62"/>
      <c r="R881" s="61"/>
      <c r="S881" s="62"/>
      <c r="T881" s="61"/>
      <c r="U881" s="62"/>
      <c r="V881" s="61"/>
      <c r="W881" s="62"/>
      <c r="X881" s="61"/>
      <c r="Y881" s="62"/>
      <c r="Z881" s="61"/>
      <c r="AA881" s="62"/>
    </row>
    <row r="882" spans="3:27" ht="16.5" customHeight="1">
      <c r="C882" s="118"/>
      <c r="E882" s="61"/>
      <c r="H882" s="61"/>
      <c r="I882" s="60"/>
      <c r="K882" s="62"/>
      <c r="O882" s="60"/>
      <c r="P882" s="61"/>
      <c r="Q882" s="62"/>
      <c r="R882" s="61"/>
      <c r="S882" s="62"/>
      <c r="T882" s="61"/>
      <c r="U882" s="62"/>
      <c r="V882" s="61"/>
      <c r="W882" s="62"/>
      <c r="X882" s="61"/>
      <c r="Y882" s="62"/>
      <c r="Z882" s="61"/>
      <c r="AA882" s="62"/>
    </row>
    <row r="883" spans="3:27" ht="16.5" customHeight="1">
      <c r="C883" s="118"/>
      <c r="E883" s="61"/>
      <c r="H883" s="61"/>
      <c r="I883" s="60"/>
      <c r="K883" s="62"/>
      <c r="O883" s="60"/>
      <c r="P883" s="61"/>
      <c r="Q883" s="62"/>
      <c r="R883" s="61"/>
      <c r="S883" s="62"/>
      <c r="T883" s="61"/>
      <c r="U883" s="62"/>
      <c r="V883" s="61"/>
      <c r="W883" s="62"/>
      <c r="X883" s="61"/>
      <c r="Y883" s="62"/>
      <c r="Z883" s="61"/>
      <c r="AA883" s="62"/>
    </row>
    <row r="884" spans="3:27" ht="16.5" customHeight="1">
      <c r="C884" s="118"/>
      <c r="E884" s="61"/>
      <c r="H884" s="61"/>
      <c r="I884" s="60"/>
      <c r="K884" s="62"/>
      <c r="O884" s="60"/>
      <c r="P884" s="61"/>
      <c r="Q884" s="62"/>
      <c r="R884" s="61"/>
      <c r="S884" s="62"/>
      <c r="T884" s="61"/>
      <c r="U884" s="62"/>
      <c r="V884" s="61"/>
      <c r="W884" s="62"/>
      <c r="X884" s="61"/>
      <c r="Y884" s="62"/>
      <c r="Z884" s="61"/>
      <c r="AA884" s="62"/>
    </row>
    <row r="885" spans="3:27" ht="16.5" customHeight="1">
      <c r="C885" s="118"/>
      <c r="E885" s="61"/>
      <c r="H885" s="61"/>
      <c r="I885" s="60"/>
      <c r="K885" s="62"/>
      <c r="O885" s="60"/>
      <c r="P885" s="61"/>
      <c r="Q885" s="62"/>
      <c r="R885" s="61"/>
      <c r="S885" s="62"/>
      <c r="T885" s="61"/>
      <c r="U885" s="62"/>
      <c r="V885" s="61"/>
      <c r="W885" s="62"/>
      <c r="X885" s="61"/>
      <c r="Y885" s="62"/>
      <c r="Z885" s="61"/>
      <c r="AA885" s="62"/>
    </row>
    <row r="886" spans="3:27" ht="16.5" customHeight="1">
      <c r="C886" s="118"/>
      <c r="E886" s="61"/>
      <c r="H886" s="61"/>
      <c r="I886" s="60"/>
      <c r="K886" s="62"/>
      <c r="O886" s="60"/>
      <c r="P886" s="61"/>
      <c r="Q886" s="62"/>
      <c r="R886" s="61"/>
      <c r="S886" s="62"/>
      <c r="T886" s="61"/>
      <c r="U886" s="62"/>
      <c r="V886" s="61"/>
      <c r="W886" s="62"/>
      <c r="X886" s="61"/>
      <c r="Y886" s="62"/>
      <c r="Z886" s="61"/>
      <c r="AA886" s="62"/>
    </row>
    <row r="887" spans="3:27" ht="16.5" customHeight="1">
      <c r="C887" s="118"/>
      <c r="E887" s="61"/>
      <c r="H887" s="61"/>
      <c r="I887" s="60"/>
      <c r="K887" s="62"/>
      <c r="O887" s="60"/>
      <c r="P887" s="61"/>
      <c r="Q887" s="62"/>
      <c r="R887" s="61"/>
      <c r="S887" s="62"/>
      <c r="T887" s="61"/>
      <c r="U887" s="62"/>
      <c r="V887" s="61"/>
      <c r="W887" s="62"/>
      <c r="X887" s="61"/>
      <c r="Y887" s="62"/>
      <c r="Z887" s="61"/>
      <c r="AA887" s="62"/>
    </row>
    <row r="888" spans="3:27" ht="16.5" customHeight="1">
      <c r="C888" s="118"/>
      <c r="E888" s="61"/>
      <c r="H888" s="61"/>
      <c r="I888" s="60"/>
      <c r="K888" s="62"/>
      <c r="O888" s="60"/>
      <c r="P888" s="61"/>
      <c r="Q888" s="62"/>
      <c r="R888" s="61"/>
      <c r="S888" s="62"/>
      <c r="T888" s="61"/>
      <c r="U888" s="62"/>
      <c r="V888" s="61"/>
      <c r="W888" s="62"/>
      <c r="X888" s="61"/>
      <c r="Y888" s="62"/>
      <c r="Z888" s="61"/>
      <c r="AA888" s="62"/>
    </row>
    <row r="889" spans="3:27" ht="16.5" customHeight="1">
      <c r="C889" s="118"/>
      <c r="E889" s="61"/>
      <c r="H889" s="61"/>
      <c r="I889" s="60"/>
      <c r="K889" s="62"/>
      <c r="O889" s="60"/>
      <c r="P889" s="61"/>
      <c r="Q889" s="62"/>
      <c r="R889" s="61"/>
      <c r="S889" s="62"/>
      <c r="T889" s="61"/>
      <c r="U889" s="62"/>
      <c r="V889" s="61"/>
      <c r="W889" s="62"/>
      <c r="X889" s="61"/>
      <c r="Y889" s="62"/>
      <c r="Z889" s="61"/>
      <c r="AA889" s="62"/>
    </row>
    <row r="890" spans="3:27" ht="16.5" customHeight="1">
      <c r="C890" s="118"/>
      <c r="E890" s="61"/>
      <c r="H890" s="61"/>
      <c r="I890" s="60"/>
      <c r="K890" s="62"/>
      <c r="O890" s="60"/>
      <c r="P890" s="61"/>
      <c r="Q890" s="62"/>
      <c r="R890" s="61"/>
      <c r="S890" s="62"/>
      <c r="T890" s="61"/>
      <c r="U890" s="62"/>
      <c r="V890" s="61"/>
      <c r="W890" s="62"/>
      <c r="X890" s="61"/>
      <c r="Y890" s="62"/>
      <c r="Z890" s="61"/>
      <c r="AA890" s="62"/>
    </row>
    <row r="891" spans="3:27" ht="16.5" customHeight="1">
      <c r="C891" s="118"/>
      <c r="E891" s="61"/>
      <c r="H891" s="61"/>
      <c r="I891" s="60"/>
      <c r="K891" s="62"/>
      <c r="O891" s="60"/>
      <c r="P891" s="61"/>
      <c r="Q891" s="62"/>
      <c r="R891" s="61"/>
      <c r="S891" s="62"/>
      <c r="T891" s="61"/>
      <c r="U891" s="62"/>
      <c r="V891" s="61"/>
      <c r="W891" s="62"/>
      <c r="X891" s="61"/>
      <c r="Y891" s="62"/>
      <c r="Z891" s="61"/>
      <c r="AA891" s="62"/>
    </row>
    <row r="892" spans="3:27" ht="16.5" customHeight="1">
      <c r="C892" s="118"/>
      <c r="E892" s="61"/>
      <c r="H892" s="61"/>
      <c r="I892" s="60"/>
      <c r="K892" s="62"/>
      <c r="O892" s="60"/>
      <c r="P892" s="61"/>
      <c r="Q892" s="62"/>
      <c r="R892" s="61"/>
      <c r="S892" s="62"/>
      <c r="T892" s="61"/>
      <c r="U892" s="62"/>
      <c r="V892" s="61"/>
      <c r="W892" s="62"/>
      <c r="X892" s="61"/>
      <c r="Y892" s="62"/>
      <c r="Z892" s="61"/>
      <c r="AA892" s="62"/>
    </row>
    <row r="893" spans="3:27" ht="16.5" customHeight="1">
      <c r="C893" s="118"/>
      <c r="E893" s="61"/>
      <c r="H893" s="61"/>
      <c r="I893" s="60"/>
      <c r="K893" s="62"/>
      <c r="O893" s="60"/>
      <c r="P893" s="61"/>
      <c r="Q893" s="62"/>
      <c r="R893" s="61"/>
      <c r="S893" s="62"/>
      <c r="T893" s="61"/>
      <c r="U893" s="62"/>
      <c r="V893" s="61"/>
      <c r="W893" s="62"/>
      <c r="X893" s="61"/>
      <c r="Y893" s="62"/>
      <c r="Z893" s="61"/>
      <c r="AA893" s="62"/>
    </row>
    <row r="894" spans="3:27" ht="16.5" customHeight="1">
      <c r="C894" s="118"/>
      <c r="E894" s="61"/>
      <c r="H894" s="61"/>
      <c r="I894" s="60"/>
      <c r="K894" s="62"/>
      <c r="O894" s="60"/>
      <c r="P894" s="61"/>
      <c r="Q894" s="62"/>
      <c r="R894" s="61"/>
      <c r="S894" s="62"/>
      <c r="T894" s="61"/>
      <c r="U894" s="62"/>
      <c r="V894" s="61"/>
      <c r="W894" s="62"/>
      <c r="X894" s="61"/>
      <c r="Y894" s="62"/>
      <c r="Z894" s="61"/>
      <c r="AA894" s="62"/>
    </row>
    <row r="895" spans="3:27" ht="16.5" customHeight="1">
      <c r="C895" s="118"/>
      <c r="E895" s="61"/>
      <c r="H895" s="61"/>
      <c r="I895" s="60"/>
      <c r="K895" s="62"/>
      <c r="O895" s="60"/>
      <c r="P895" s="61"/>
      <c r="Q895" s="62"/>
      <c r="R895" s="61"/>
      <c r="S895" s="62"/>
      <c r="T895" s="61"/>
      <c r="U895" s="62"/>
      <c r="V895" s="61"/>
      <c r="W895" s="62"/>
      <c r="X895" s="61"/>
      <c r="Y895" s="62"/>
      <c r="Z895" s="61"/>
      <c r="AA895" s="62"/>
    </row>
    <row r="896" spans="3:27" ht="16.5" customHeight="1">
      <c r="C896" s="118"/>
      <c r="E896" s="61"/>
      <c r="H896" s="61"/>
      <c r="I896" s="60"/>
      <c r="K896" s="62"/>
      <c r="O896" s="60"/>
      <c r="P896" s="61"/>
      <c r="Q896" s="62"/>
      <c r="R896" s="61"/>
      <c r="S896" s="62"/>
      <c r="T896" s="61"/>
      <c r="U896" s="62"/>
      <c r="V896" s="61"/>
      <c r="W896" s="62"/>
      <c r="X896" s="61"/>
      <c r="Y896" s="62"/>
      <c r="Z896" s="61"/>
      <c r="AA896" s="62"/>
    </row>
    <row r="897" spans="3:27" ht="16.5" customHeight="1">
      <c r="C897" s="118"/>
      <c r="E897" s="61"/>
      <c r="H897" s="61"/>
      <c r="I897" s="60"/>
      <c r="K897" s="62"/>
      <c r="O897" s="60"/>
      <c r="P897" s="61"/>
      <c r="Q897" s="62"/>
      <c r="R897" s="61"/>
      <c r="S897" s="62"/>
      <c r="T897" s="61"/>
      <c r="U897" s="62"/>
      <c r="V897" s="61"/>
      <c r="W897" s="62"/>
      <c r="X897" s="61"/>
      <c r="Y897" s="62"/>
      <c r="Z897" s="61"/>
      <c r="AA897" s="62"/>
    </row>
    <row r="898" spans="3:27" ht="16.5" customHeight="1">
      <c r="C898" s="118"/>
      <c r="E898" s="61"/>
      <c r="H898" s="61"/>
      <c r="I898" s="60"/>
      <c r="K898" s="62"/>
      <c r="O898" s="60"/>
      <c r="P898" s="61"/>
      <c r="Q898" s="62"/>
      <c r="R898" s="61"/>
      <c r="S898" s="62"/>
      <c r="T898" s="61"/>
      <c r="U898" s="62"/>
      <c r="V898" s="61"/>
      <c r="W898" s="62"/>
      <c r="X898" s="61"/>
      <c r="Y898" s="62"/>
      <c r="Z898" s="61"/>
      <c r="AA898" s="62"/>
    </row>
    <row r="899" spans="3:27" ht="16.5" customHeight="1">
      <c r="C899" s="118"/>
      <c r="E899" s="61"/>
      <c r="H899" s="61"/>
      <c r="I899" s="60"/>
      <c r="K899" s="62"/>
      <c r="O899" s="60"/>
      <c r="P899" s="61"/>
      <c r="Q899" s="62"/>
      <c r="R899" s="61"/>
      <c r="S899" s="62"/>
      <c r="T899" s="61"/>
      <c r="U899" s="62"/>
      <c r="V899" s="61"/>
      <c r="W899" s="62"/>
      <c r="X899" s="61"/>
      <c r="Y899" s="62"/>
      <c r="Z899" s="61"/>
      <c r="AA899" s="62"/>
    </row>
    <row r="900" spans="3:27" ht="16.5" customHeight="1">
      <c r="C900" s="118"/>
      <c r="E900" s="61"/>
      <c r="H900" s="61"/>
      <c r="I900" s="60"/>
      <c r="K900" s="62"/>
      <c r="O900" s="60"/>
      <c r="P900" s="61"/>
      <c r="Q900" s="62"/>
      <c r="R900" s="61"/>
      <c r="S900" s="62"/>
      <c r="T900" s="61"/>
      <c r="U900" s="62"/>
      <c r="V900" s="61"/>
      <c r="W900" s="62"/>
      <c r="X900" s="61"/>
      <c r="Y900" s="62"/>
      <c r="Z900" s="61"/>
      <c r="AA900" s="62"/>
    </row>
    <row r="901" spans="3:27" ht="16.5" customHeight="1">
      <c r="C901" s="118"/>
      <c r="E901" s="61"/>
      <c r="H901" s="61"/>
      <c r="I901" s="60"/>
      <c r="K901" s="62"/>
      <c r="O901" s="60"/>
      <c r="P901" s="61"/>
      <c r="Q901" s="62"/>
      <c r="R901" s="61"/>
      <c r="S901" s="62"/>
      <c r="T901" s="61"/>
      <c r="U901" s="62"/>
      <c r="V901" s="61"/>
      <c r="W901" s="62"/>
      <c r="X901" s="61"/>
      <c r="Y901" s="62"/>
      <c r="Z901" s="61"/>
      <c r="AA901" s="62"/>
    </row>
    <row r="902" spans="3:27" ht="16.5" customHeight="1">
      <c r="C902" s="118"/>
      <c r="E902" s="61"/>
      <c r="H902" s="61"/>
      <c r="I902" s="60"/>
      <c r="K902" s="62"/>
      <c r="O902" s="60"/>
      <c r="P902" s="61"/>
      <c r="Q902" s="62"/>
      <c r="R902" s="61"/>
      <c r="S902" s="62"/>
      <c r="T902" s="61"/>
      <c r="U902" s="62"/>
      <c r="V902" s="61"/>
      <c r="W902" s="62"/>
      <c r="X902" s="61"/>
      <c r="Y902" s="62"/>
      <c r="Z902" s="61"/>
      <c r="AA902" s="62"/>
    </row>
    <row r="903" spans="3:27" ht="16.5" customHeight="1">
      <c r="C903" s="118"/>
      <c r="E903" s="61"/>
      <c r="H903" s="61"/>
      <c r="I903" s="60"/>
      <c r="K903" s="62"/>
      <c r="O903" s="60"/>
      <c r="P903" s="61"/>
      <c r="Q903" s="62"/>
      <c r="R903" s="61"/>
      <c r="S903" s="62"/>
      <c r="T903" s="61"/>
      <c r="U903" s="62"/>
      <c r="V903" s="61"/>
      <c r="W903" s="62"/>
      <c r="X903" s="61"/>
      <c r="Y903" s="62"/>
      <c r="Z903" s="61"/>
      <c r="AA903" s="62"/>
    </row>
    <row r="904" spans="3:27" ht="16.5" customHeight="1">
      <c r="C904" s="118"/>
      <c r="E904" s="61"/>
      <c r="H904" s="61"/>
      <c r="I904" s="60"/>
      <c r="K904" s="62"/>
      <c r="O904" s="60"/>
      <c r="P904" s="61"/>
      <c r="Q904" s="62"/>
      <c r="R904" s="61"/>
      <c r="S904" s="62"/>
      <c r="T904" s="61"/>
      <c r="U904" s="62"/>
      <c r="V904" s="61"/>
      <c r="W904" s="62"/>
      <c r="X904" s="61"/>
      <c r="Y904" s="62"/>
      <c r="Z904" s="61"/>
      <c r="AA904" s="62"/>
    </row>
    <row r="905" spans="3:27" ht="16.5" customHeight="1">
      <c r="C905" s="118"/>
      <c r="E905" s="61"/>
      <c r="H905" s="61"/>
      <c r="I905" s="60"/>
      <c r="K905" s="62"/>
      <c r="O905" s="60"/>
      <c r="P905" s="61"/>
      <c r="Q905" s="62"/>
      <c r="R905" s="61"/>
      <c r="S905" s="62"/>
      <c r="T905" s="61"/>
      <c r="U905" s="62"/>
      <c r="V905" s="61"/>
      <c r="W905" s="62"/>
      <c r="X905" s="61"/>
      <c r="Y905" s="62"/>
      <c r="Z905" s="61"/>
      <c r="AA905" s="62"/>
    </row>
    <row r="906" spans="3:27" ht="16.5" customHeight="1">
      <c r="C906" s="118"/>
      <c r="E906" s="61"/>
      <c r="H906" s="61"/>
      <c r="I906" s="60"/>
      <c r="K906" s="62"/>
      <c r="O906" s="60"/>
      <c r="P906" s="61"/>
      <c r="Q906" s="62"/>
      <c r="R906" s="61"/>
      <c r="S906" s="62"/>
      <c r="T906" s="61"/>
      <c r="U906" s="62"/>
      <c r="V906" s="61"/>
      <c r="W906" s="62"/>
      <c r="X906" s="61"/>
      <c r="Y906" s="62"/>
      <c r="Z906" s="61"/>
      <c r="AA906" s="62"/>
    </row>
    <row r="907" spans="3:27" ht="16.5" customHeight="1">
      <c r="C907" s="118"/>
      <c r="E907" s="61"/>
      <c r="H907" s="61"/>
      <c r="I907" s="60"/>
      <c r="K907" s="62"/>
      <c r="O907" s="60"/>
      <c r="P907" s="61"/>
      <c r="Q907" s="62"/>
      <c r="R907" s="61"/>
      <c r="S907" s="62"/>
      <c r="T907" s="61"/>
      <c r="U907" s="62"/>
      <c r="V907" s="61"/>
      <c r="W907" s="62"/>
      <c r="X907" s="61"/>
      <c r="Y907" s="62"/>
      <c r="Z907" s="61"/>
      <c r="AA907" s="62"/>
    </row>
    <row r="908" spans="3:27" ht="16.5" customHeight="1">
      <c r="C908" s="118"/>
      <c r="E908" s="61"/>
      <c r="H908" s="61"/>
      <c r="I908" s="60"/>
      <c r="K908" s="62"/>
      <c r="O908" s="60"/>
      <c r="P908" s="61"/>
      <c r="Q908" s="62"/>
      <c r="R908" s="61"/>
      <c r="S908" s="62"/>
      <c r="T908" s="61"/>
      <c r="U908" s="62"/>
      <c r="V908" s="61"/>
      <c r="W908" s="62"/>
      <c r="X908" s="61"/>
      <c r="Y908" s="62"/>
      <c r="Z908" s="61"/>
      <c r="AA908" s="62"/>
    </row>
    <row r="909" spans="3:27" ht="16.5" customHeight="1">
      <c r="C909" s="118"/>
      <c r="E909" s="61"/>
      <c r="H909" s="61"/>
      <c r="I909" s="60"/>
      <c r="K909" s="62"/>
      <c r="O909" s="60"/>
      <c r="P909" s="61"/>
      <c r="Q909" s="62"/>
      <c r="R909" s="61"/>
      <c r="S909" s="62"/>
      <c r="T909" s="61"/>
      <c r="U909" s="62"/>
      <c r="V909" s="61"/>
      <c r="W909" s="62"/>
      <c r="X909" s="61"/>
      <c r="Y909" s="62"/>
      <c r="Z909" s="61"/>
      <c r="AA909" s="62"/>
    </row>
    <row r="910" spans="3:27" ht="16.5" customHeight="1">
      <c r="C910" s="118"/>
      <c r="E910" s="61"/>
      <c r="H910" s="61"/>
      <c r="I910" s="60"/>
      <c r="K910" s="62"/>
      <c r="O910" s="60"/>
      <c r="P910" s="61"/>
      <c r="Q910" s="62"/>
      <c r="R910" s="61"/>
      <c r="S910" s="62"/>
      <c r="T910" s="61"/>
      <c r="U910" s="62"/>
      <c r="V910" s="61"/>
      <c r="W910" s="62"/>
      <c r="X910" s="61"/>
      <c r="Y910" s="62"/>
      <c r="Z910" s="61"/>
      <c r="AA910" s="62"/>
    </row>
    <row r="911" spans="3:27" ht="16.5" customHeight="1">
      <c r="C911" s="118"/>
      <c r="E911" s="61"/>
      <c r="H911" s="61"/>
      <c r="I911" s="60"/>
      <c r="K911" s="62"/>
      <c r="O911" s="60"/>
      <c r="P911" s="61"/>
      <c r="Q911" s="62"/>
      <c r="R911" s="61"/>
      <c r="S911" s="62"/>
      <c r="T911" s="61"/>
      <c r="U911" s="62"/>
      <c r="V911" s="61"/>
      <c r="W911" s="62"/>
      <c r="X911" s="61"/>
      <c r="Y911" s="62"/>
      <c r="Z911" s="61"/>
      <c r="AA911" s="62"/>
    </row>
    <row r="912" spans="3:27" ht="16.5" customHeight="1">
      <c r="C912" s="118"/>
      <c r="E912" s="61"/>
      <c r="H912" s="61"/>
      <c r="I912" s="60"/>
      <c r="K912" s="62"/>
      <c r="O912" s="60"/>
      <c r="P912" s="61"/>
      <c r="Q912" s="62"/>
      <c r="R912" s="61"/>
      <c r="S912" s="62"/>
      <c r="T912" s="61"/>
      <c r="U912" s="62"/>
      <c r="V912" s="61"/>
      <c r="W912" s="62"/>
      <c r="X912" s="61"/>
      <c r="Y912" s="62"/>
      <c r="Z912" s="61"/>
      <c r="AA912" s="62"/>
    </row>
    <row r="913" spans="3:27" ht="16.5" customHeight="1">
      <c r="C913" s="118"/>
      <c r="E913" s="61"/>
      <c r="H913" s="61"/>
      <c r="I913" s="60"/>
      <c r="K913" s="62"/>
      <c r="O913" s="60"/>
      <c r="P913" s="61"/>
      <c r="Q913" s="62"/>
      <c r="R913" s="61"/>
      <c r="S913" s="62"/>
      <c r="T913" s="61"/>
      <c r="U913" s="62"/>
      <c r="V913" s="61"/>
      <c r="W913" s="62"/>
      <c r="X913" s="61"/>
      <c r="Y913" s="62"/>
      <c r="Z913" s="61"/>
      <c r="AA913" s="62"/>
    </row>
    <row r="914" spans="3:27" ht="16.5" customHeight="1">
      <c r="C914" s="118"/>
      <c r="E914" s="61"/>
      <c r="H914" s="61"/>
      <c r="I914" s="60"/>
      <c r="K914" s="62"/>
      <c r="O914" s="60"/>
      <c r="P914" s="61"/>
      <c r="Q914" s="62"/>
      <c r="R914" s="61"/>
      <c r="S914" s="62"/>
      <c r="T914" s="61"/>
      <c r="U914" s="62"/>
      <c r="V914" s="61"/>
      <c r="W914" s="62"/>
      <c r="X914" s="61"/>
      <c r="Y914" s="62"/>
      <c r="Z914" s="61"/>
      <c r="AA914" s="62"/>
    </row>
    <row r="915" spans="3:27" ht="16.5" customHeight="1">
      <c r="C915" s="118"/>
      <c r="E915" s="61"/>
      <c r="H915" s="61"/>
      <c r="I915" s="60"/>
      <c r="K915" s="62"/>
      <c r="O915" s="60"/>
      <c r="P915" s="61"/>
      <c r="Q915" s="62"/>
      <c r="R915" s="61"/>
      <c r="S915" s="62"/>
      <c r="T915" s="61"/>
      <c r="U915" s="62"/>
      <c r="V915" s="61"/>
      <c r="W915" s="62"/>
      <c r="X915" s="61"/>
      <c r="Y915" s="62"/>
      <c r="Z915" s="61"/>
      <c r="AA915" s="62"/>
    </row>
    <row r="916" spans="3:27" ht="16.5" customHeight="1">
      <c r="C916" s="118"/>
      <c r="E916" s="61"/>
      <c r="H916" s="61"/>
      <c r="I916" s="60"/>
      <c r="K916" s="62"/>
      <c r="O916" s="60"/>
      <c r="P916" s="61"/>
      <c r="Q916" s="62"/>
      <c r="R916" s="61"/>
      <c r="S916" s="62"/>
      <c r="T916" s="61"/>
      <c r="U916" s="62"/>
      <c r="V916" s="61"/>
      <c r="W916" s="62"/>
      <c r="X916" s="61"/>
      <c r="Y916" s="62"/>
      <c r="Z916" s="61"/>
      <c r="AA916" s="62"/>
    </row>
    <row r="917" spans="3:27" ht="16.5" customHeight="1">
      <c r="C917" s="118"/>
      <c r="E917" s="61"/>
      <c r="H917" s="61"/>
      <c r="I917" s="60"/>
      <c r="K917" s="62"/>
      <c r="O917" s="60"/>
      <c r="P917" s="61"/>
      <c r="Q917" s="62"/>
      <c r="R917" s="61"/>
      <c r="S917" s="62"/>
      <c r="T917" s="61"/>
      <c r="U917" s="62"/>
      <c r="V917" s="61"/>
      <c r="W917" s="62"/>
      <c r="X917" s="61"/>
      <c r="Y917" s="62"/>
      <c r="Z917" s="61"/>
      <c r="AA917" s="62"/>
    </row>
    <row r="918" spans="3:27" ht="16.5" customHeight="1">
      <c r="C918" s="118"/>
      <c r="E918" s="61"/>
      <c r="H918" s="61"/>
      <c r="I918" s="60"/>
      <c r="K918" s="62"/>
      <c r="O918" s="60"/>
      <c r="P918" s="61"/>
      <c r="Q918" s="62"/>
      <c r="R918" s="61"/>
      <c r="S918" s="62"/>
      <c r="T918" s="61"/>
      <c r="U918" s="62"/>
      <c r="V918" s="61"/>
      <c r="W918" s="62"/>
      <c r="X918" s="61"/>
      <c r="Y918" s="62"/>
      <c r="Z918" s="61"/>
      <c r="AA918" s="62"/>
    </row>
    <row r="919" spans="3:27" ht="16.5" customHeight="1">
      <c r="C919" s="118"/>
      <c r="E919" s="61"/>
      <c r="H919" s="61"/>
      <c r="I919" s="60"/>
      <c r="K919" s="62"/>
      <c r="O919" s="60"/>
      <c r="P919" s="61"/>
      <c r="Q919" s="62"/>
      <c r="R919" s="61"/>
      <c r="S919" s="62"/>
      <c r="T919" s="61"/>
      <c r="U919" s="62"/>
      <c r="V919" s="61"/>
      <c r="W919" s="62"/>
      <c r="X919" s="61"/>
      <c r="Y919" s="62"/>
      <c r="Z919" s="61"/>
      <c r="AA919" s="62"/>
    </row>
    <row r="920" spans="3:27" ht="16.5" customHeight="1">
      <c r="C920" s="118"/>
      <c r="E920" s="61"/>
      <c r="H920" s="61"/>
      <c r="I920" s="60"/>
      <c r="K920" s="62"/>
      <c r="O920" s="60"/>
      <c r="P920" s="61"/>
      <c r="Q920" s="62"/>
      <c r="R920" s="61"/>
      <c r="S920" s="62"/>
      <c r="T920" s="61"/>
      <c r="U920" s="62"/>
      <c r="V920" s="61"/>
      <c r="W920" s="62"/>
      <c r="X920" s="61"/>
      <c r="Y920" s="62"/>
      <c r="Z920" s="61"/>
      <c r="AA920" s="62"/>
    </row>
    <row r="921" spans="3:27" ht="16.5" customHeight="1">
      <c r="C921" s="118"/>
      <c r="E921" s="61"/>
      <c r="H921" s="61"/>
      <c r="I921" s="60"/>
      <c r="K921" s="62"/>
      <c r="O921" s="60"/>
      <c r="P921" s="61"/>
      <c r="Q921" s="62"/>
      <c r="R921" s="61"/>
      <c r="S921" s="62"/>
      <c r="T921" s="61"/>
      <c r="U921" s="62"/>
      <c r="V921" s="61"/>
      <c r="W921" s="62"/>
      <c r="X921" s="61"/>
      <c r="Y921" s="62"/>
      <c r="Z921" s="61"/>
      <c r="AA921" s="62"/>
    </row>
    <row r="922" spans="3:27" ht="16.5" customHeight="1">
      <c r="C922" s="118"/>
      <c r="E922" s="61"/>
      <c r="H922" s="61"/>
      <c r="I922" s="60"/>
      <c r="K922" s="62"/>
      <c r="O922" s="60"/>
      <c r="P922" s="61"/>
      <c r="Q922" s="62"/>
      <c r="R922" s="61"/>
      <c r="S922" s="62"/>
      <c r="T922" s="61"/>
      <c r="U922" s="62"/>
      <c r="V922" s="61"/>
      <c r="W922" s="62"/>
      <c r="X922" s="61"/>
      <c r="Y922" s="62"/>
      <c r="Z922" s="61"/>
      <c r="AA922" s="62"/>
    </row>
    <row r="923" spans="3:27" ht="16.5" customHeight="1">
      <c r="C923" s="118"/>
      <c r="E923" s="61"/>
      <c r="H923" s="61"/>
      <c r="I923" s="60"/>
      <c r="K923" s="62"/>
      <c r="O923" s="60"/>
      <c r="P923" s="61"/>
      <c r="Q923" s="62"/>
      <c r="R923" s="61"/>
      <c r="S923" s="62"/>
      <c r="T923" s="61"/>
      <c r="U923" s="62"/>
      <c r="V923" s="61"/>
      <c r="W923" s="62"/>
      <c r="X923" s="61"/>
      <c r="Y923" s="62"/>
      <c r="Z923" s="61"/>
      <c r="AA923" s="62"/>
    </row>
    <row r="924" spans="3:27" ht="16.5" customHeight="1">
      <c r="C924" s="118"/>
      <c r="E924" s="61"/>
      <c r="H924" s="61"/>
      <c r="I924" s="60"/>
      <c r="K924" s="62"/>
      <c r="O924" s="60"/>
      <c r="P924" s="61"/>
      <c r="Q924" s="62"/>
      <c r="R924" s="61"/>
      <c r="S924" s="62"/>
      <c r="T924" s="61"/>
      <c r="U924" s="62"/>
      <c r="V924" s="61"/>
      <c r="W924" s="62"/>
      <c r="X924" s="61"/>
      <c r="Y924" s="62"/>
      <c r="Z924" s="61"/>
      <c r="AA924" s="62"/>
    </row>
    <row r="925" spans="3:27" ht="16.5" customHeight="1">
      <c r="C925" s="118"/>
      <c r="E925" s="61"/>
      <c r="H925" s="61"/>
      <c r="I925" s="60"/>
      <c r="K925" s="62"/>
      <c r="O925" s="60"/>
      <c r="P925" s="61"/>
      <c r="Q925" s="62"/>
      <c r="R925" s="61"/>
      <c r="S925" s="62"/>
      <c r="T925" s="61"/>
      <c r="U925" s="62"/>
      <c r="V925" s="61"/>
      <c r="W925" s="62"/>
      <c r="X925" s="61"/>
      <c r="Y925" s="62"/>
      <c r="Z925" s="61"/>
      <c r="AA925" s="62"/>
    </row>
    <row r="926" spans="3:27" ht="16.5" customHeight="1">
      <c r="C926" s="118"/>
      <c r="E926" s="61"/>
      <c r="H926" s="61"/>
      <c r="I926" s="60"/>
      <c r="K926" s="62"/>
      <c r="O926" s="60"/>
      <c r="P926" s="61"/>
      <c r="Q926" s="62"/>
      <c r="R926" s="61"/>
      <c r="S926" s="62"/>
      <c r="T926" s="61"/>
      <c r="U926" s="62"/>
      <c r="V926" s="61"/>
      <c r="W926" s="62"/>
      <c r="X926" s="61"/>
      <c r="Y926" s="62"/>
      <c r="Z926" s="61"/>
      <c r="AA926" s="62"/>
    </row>
    <row r="927" spans="3:27" ht="16.5" customHeight="1">
      <c r="C927" s="118"/>
      <c r="E927" s="61"/>
      <c r="H927" s="61"/>
      <c r="I927" s="60"/>
      <c r="K927" s="62"/>
      <c r="O927" s="60"/>
      <c r="P927" s="61"/>
      <c r="Q927" s="62"/>
      <c r="R927" s="61"/>
      <c r="S927" s="62"/>
      <c r="T927" s="61"/>
      <c r="U927" s="62"/>
      <c r="V927" s="61"/>
      <c r="W927" s="62"/>
      <c r="X927" s="61"/>
      <c r="Y927" s="62"/>
      <c r="Z927" s="61"/>
      <c r="AA927" s="62"/>
    </row>
    <row r="928" spans="3:27" ht="16.5" customHeight="1">
      <c r="C928" s="118"/>
      <c r="E928" s="61"/>
      <c r="H928" s="61"/>
      <c r="I928" s="60"/>
      <c r="K928" s="62"/>
      <c r="O928" s="60"/>
      <c r="P928" s="61"/>
      <c r="Q928" s="62"/>
      <c r="R928" s="61"/>
      <c r="S928" s="62"/>
      <c r="T928" s="61"/>
      <c r="U928" s="62"/>
      <c r="V928" s="61"/>
      <c r="W928" s="62"/>
      <c r="X928" s="61"/>
      <c r="Y928" s="62"/>
      <c r="Z928" s="61"/>
      <c r="AA928" s="62"/>
    </row>
    <row r="929" spans="3:27" ht="16.5" customHeight="1">
      <c r="C929" s="118"/>
      <c r="E929" s="61"/>
      <c r="H929" s="61"/>
      <c r="I929" s="60"/>
      <c r="K929" s="62"/>
      <c r="O929" s="60"/>
      <c r="P929" s="61"/>
      <c r="Q929" s="62"/>
      <c r="R929" s="61"/>
      <c r="S929" s="62"/>
      <c r="T929" s="61"/>
      <c r="U929" s="62"/>
      <c r="V929" s="61"/>
      <c r="W929" s="62"/>
      <c r="X929" s="61"/>
      <c r="Y929" s="62"/>
      <c r="Z929" s="61"/>
      <c r="AA929" s="62"/>
    </row>
    <row r="930" spans="3:27" ht="16.5" customHeight="1">
      <c r="C930" s="118"/>
      <c r="E930" s="61"/>
      <c r="H930" s="61"/>
      <c r="I930" s="60"/>
      <c r="K930" s="62"/>
      <c r="O930" s="60"/>
      <c r="P930" s="61"/>
      <c r="Q930" s="62"/>
      <c r="R930" s="61"/>
      <c r="S930" s="62"/>
      <c r="T930" s="61"/>
      <c r="U930" s="62"/>
      <c r="V930" s="61"/>
      <c r="W930" s="62"/>
      <c r="X930" s="61"/>
      <c r="Y930" s="62"/>
      <c r="Z930" s="61"/>
      <c r="AA930" s="62"/>
    </row>
    <row r="931" spans="3:27" ht="16.5" customHeight="1">
      <c r="C931" s="118"/>
      <c r="E931" s="61"/>
      <c r="H931" s="61"/>
      <c r="I931" s="60"/>
      <c r="K931" s="62"/>
      <c r="O931" s="60"/>
      <c r="P931" s="61"/>
      <c r="Q931" s="62"/>
      <c r="R931" s="61"/>
      <c r="S931" s="62"/>
      <c r="T931" s="61"/>
      <c r="U931" s="62"/>
      <c r="V931" s="61"/>
      <c r="W931" s="62"/>
      <c r="X931" s="61"/>
      <c r="Y931" s="62"/>
      <c r="Z931" s="61"/>
      <c r="AA931" s="62"/>
    </row>
    <row r="932" spans="3:27" ht="16.5" customHeight="1">
      <c r="C932" s="118"/>
      <c r="E932" s="61"/>
      <c r="H932" s="61"/>
      <c r="I932" s="60"/>
      <c r="K932" s="62"/>
      <c r="O932" s="60"/>
      <c r="P932" s="61"/>
      <c r="Q932" s="62"/>
      <c r="R932" s="61"/>
      <c r="S932" s="62"/>
      <c r="T932" s="61"/>
      <c r="U932" s="62"/>
      <c r="V932" s="61"/>
      <c r="W932" s="62"/>
      <c r="X932" s="61"/>
      <c r="Y932" s="62"/>
      <c r="Z932" s="61"/>
      <c r="AA932" s="62"/>
    </row>
    <row r="933" spans="3:27" ht="16.5" customHeight="1">
      <c r="C933" s="118"/>
      <c r="E933" s="61"/>
      <c r="H933" s="61"/>
      <c r="I933" s="60"/>
      <c r="K933" s="62"/>
      <c r="O933" s="60"/>
      <c r="P933" s="61"/>
      <c r="Q933" s="62"/>
      <c r="R933" s="61"/>
      <c r="S933" s="62"/>
      <c r="T933" s="61"/>
      <c r="U933" s="62"/>
      <c r="V933" s="61"/>
      <c r="W933" s="62"/>
      <c r="X933" s="61"/>
      <c r="Y933" s="62"/>
      <c r="Z933" s="61"/>
      <c r="AA933" s="62"/>
    </row>
    <row r="934" spans="3:27" ht="16.5" customHeight="1">
      <c r="C934" s="118"/>
      <c r="E934" s="61"/>
      <c r="H934" s="61"/>
      <c r="I934" s="60"/>
      <c r="K934" s="62"/>
      <c r="O934" s="60"/>
      <c r="P934" s="61"/>
      <c r="Q934" s="62"/>
      <c r="R934" s="61"/>
      <c r="S934" s="62"/>
      <c r="T934" s="61"/>
      <c r="U934" s="62"/>
      <c r="V934" s="61"/>
      <c r="W934" s="62"/>
      <c r="X934" s="61"/>
      <c r="Y934" s="62"/>
      <c r="Z934" s="61"/>
      <c r="AA934" s="62"/>
    </row>
    <row r="935" spans="3:27" ht="16.5" customHeight="1">
      <c r="C935" s="118"/>
      <c r="E935" s="61"/>
      <c r="H935" s="61"/>
      <c r="I935" s="60"/>
      <c r="K935" s="62"/>
      <c r="O935" s="60"/>
      <c r="P935" s="61"/>
      <c r="Q935" s="62"/>
      <c r="R935" s="61"/>
      <c r="S935" s="62"/>
      <c r="T935" s="61"/>
      <c r="U935" s="62"/>
      <c r="V935" s="61"/>
      <c r="W935" s="62"/>
      <c r="X935" s="61"/>
      <c r="Y935" s="62"/>
      <c r="Z935" s="61"/>
      <c r="AA935" s="62"/>
    </row>
    <row r="936" spans="3:27" ht="16.5" customHeight="1">
      <c r="C936" s="118"/>
      <c r="E936" s="61"/>
      <c r="H936" s="61"/>
      <c r="I936" s="60"/>
      <c r="K936" s="62"/>
      <c r="O936" s="60"/>
      <c r="P936" s="61"/>
      <c r="Q936" s="62"/>
      <c r="R936" s="61"/>
      <c r="S936" s="62"/>
      <c r="T936" s="61"/>
      <c r="U936" s="62"/>
      <c r="V936" s="61"/>
      <c r="W936" s="62"/>
      <c r="X936" s="61"/>
      <c r="Y936" s="62"/>
      <c r="Z936" s="61"/>
      <c r="AA936" s="62"/>
    </row>
    <row r="937" spans="3:27" ht="16.5" customHeight="1">
      <c r="C937" s="118"/>
      <c r="E937" s="61"/>
      <c r="H937" s="61"/>
      <c r="I937" s="60"/>
      <c r="K937" s="62"/>
      <c r="O937" s="60"/>
      <c r="P937" s="61"/>
      <c r="Q937" s="62"/>
      <c r="R937" s="61"/>
      <c r="S937" s="62"/>
      <c r="T937" s="61"/>
      <c r="U937" s="62"/>
      <c r="V937" s="61"/>
      <c r="W937" s="62"/>
      <c r="X937" s="61"/>
      <c r="Y937" s="62"/>
      <c r="Z937" s="61"/>
      <c r="AA937" s="62"/>
    </row>
    <row r="938" spans="3:27" ht="16.5" customHeight="1">
      <c r="C938" s="118"/>
      <c r="E938" s="61"/>
      <c r="H938" s="61"/>
      <c r="I938" s="60"/>
      <c r="K938" s="62"/>
      <c r="O938" s="60"/>
      <c r="P938" s="61"/>
      <c r="Q938" s="62"/>
      <c r="R938" s="61"/>
      <c r="S938" s="62"/>
      <c r="T938" s="61"/>
      <c r="U938" s="62"/>
      <c r="V938" s="61"/>
      <c r="W938" s="62"/>
      <c r="X938" s="61"/>
      <c r="Y938" s="62"/>
      <c r="Z938" s="61"/>
      <c r="AA938" s="62"/>
    </row>
    <row r="939" spans="3:27" ht="16.5" customHeight="1">
      <c r="C939" s="118"/>
      <c r="E939" s="61"/>
      <c r="H939" s="61"/>
      <c r="I939" s="60"/>
      <c r="K939" s="62"/>
      <c r="O939" s="60"/>
      <c r="P939" s="61"/>
      <c r="Q939" s="62"/>
      <c r="R939" s="61"/>
      <c r="S939" s="62"/>
      <c r="T939" s="61"/>
      <c r="U939" s="62"/>
      <c r="V939" s="61"/>
      <c r="W939" s="62"/>
      <c r="X939" s="61"/>
      <c r="Y939" s="62"/>
      <c r="Z939" s="61"/>
      <c r="AA939" s="62"/>
    </row>
    <row r="940" spans="3:27" ht="16.5" customHeight="1">
      <c r="C940" s="118"/>
      <c r="E940" s="61"/>
      <c r="H940" s="61"/>
      <c r="I940" s="60"/>
      <c r="K940" s="62"/>
      <c r="O940" s="60"/>
      <c r="P940" s="61"/>
      <c r="Q940" s="62"/>
      <c r="R940" s="61"/>
      <c r="S940" s="62"/>
      <c r="T940" s="61"/>
      <c r="U940" s="62"/>
      <c r="V940" s="61"/>
      <c r="W940" s="62"/>
      <c r="X940" s="61"/>
      <c r="Y940" s="62"/>
      <c r="Z940" s="61"/>
      <c r="AA940" s="62"/>
    </row>
    <row r="941" spans="3:27" ht="16.5" customHeight="1">
      <c r="C941" s="118"/>
      <c r="E941" s="61"/>
      <c r="H941" s="61"/>
      <c r="I941" s="60"/>
      <c r="K941" s="62"/>
      <c r="O941" s="60"/>
      <c r="P941" s="61"/>
      <c r="Q941" s="62"/>
      <c r="R941" s="61"/>
      <c r="S941" s="62"/>
      <c r="T941" s="61"/>
      <c r="U941" s="62"/>
      <c r="V941" s="61"/>
      <c r="W941" s="62"/>
      <c r="X941" s="61"/>
      <c r="Y941" s="62"/>
      <c r="Z941" s="61"/>
      <c r="AA941" s="62"/>
    </row>
    <row r="942" spans="3:27" ht="16.5" customHeight="1">
      <c r="C942" s="118"/>
      <c r="E942" s="61"/>
      <c r="H942" s="61"/>
      <c r="I942" s="60"/>
      <c r="K942" s="62"/>
      <c r="O942" s="60"/>
      <c r="P942" s="61"/>
      <c r="Q942" s="62"/>
      <c r="R942" s="61"/>
      <c r="S942" s="62"/>
      <c r="T942" s="61"/>
      <c r="U942" s="62"/>
      <c r="V942" s="61"/>
      <c r="W942" s="62"/>
      <c r="X942" s="61"/>
      <c r="Y942" s="62"/>
      <c r="Z942" s="61"/>
      <c r="AA942" s="62"/>
    </row>
    <row r="943" spans="3:27" ht="16.5" customHeight="1">
      <c r="C943" s="118"/>
      <c r="E943" s="61"/>
      <c r="H943" s="61"/>
      <c r="I943" s="60"/>
      <c r="K943" s="62"/>
      <c r="O943" s="60"/>
      <c r="P943" s="61"/>
      <c r="Q943" s="62"/>
      <c r="R943" s="61"/>
      <c r="S943" s="62"/>
      <c r="T943" s="61"/>
      <c r="U943" s="62"/>
      <c r="V943" s="61"/>
      <c r="W943" s="62"/>
      <c r="X943" s="61"/>
      <c r="Y943" s="62"/>
      <c r="Z943" s="61"/>
      <c r="AA943" s="62"/>
    </row>
    <row r="944" spans="3:27" ht="16.5" customHeight="1">
      <c r="C944" s="118"/>
      <c r="E944" s="61"/>
      <c r="H944" s="61"/>
      <c r="I944" s="60"/>
      <c r="K944" s="62"/>
      <c r="O944" s="60"/>
      <c r="P944" s="61"/>
      <c r="Q944" s="62"/>
      <c r="R944" s="61"/>
      <c r="S944" s="62"/>
      <c r="T944" s="61"/>
      <c r="U944" s="62"/>
      <c r="V944" s="61"/>
      <c r="W944" s="62"/>
      <c r="X944" s="61"/>
      <c r="Y944" s="62"/>
      <c r="Z944" s="61"/>
      <c r="AA944" s="62"/>
    </row>
    <row r="945" spans="3:27" ht="16.5" customHeight="1">
      <c r="C945" s="118"/>
      <c r="E945" s="61"/>
      <c r="H945" s="61"/>
      <c r="I945" s="60"/>
      <c r="K945" s="62"/>
      <c r="O945" s="60"/>
      <c r="P945" s="61"/>
      <c r="Q945" s="62"/>
      <c r="R945" s="61"/>
      <c r="S945" s="62"/>
      <c r="T945" s="61"/>
      <c r="U945" s="62"/>
      <c r="V945" s="61"/>
      <c r="W945" s="62"/>
      <c r="X945" s="61"/>
      <c r="Y945" s="62"/>
      <c r="Z945" s="61"/>
      <c r="AA945" s="62"/>
    </row>
    <row r="946" spans="3:27" ht="16.5" customHeight="1">
      <c r="C946" s="118"/>
      <c r="E946" s="61"/>
      <c r="H946" s="61"/>
      <c r="I946" s="60"/>
      <c r="K946" s="62"/>
      <c r="O946" s="60"/>
      <c r="P946" s="61"/>
      <c r="Q946" s="62"/>
      <c r="R946" s="61"/>
      <c r="S946" s="62"/>
      <c r="T946" s="61"/>
      <c r="U946" s="62"/>
      <c r="V946" s="61"/>
      <c r="W946" s="62"/>
      <c r="X946" s="61"/>
      <c r="Y946" s="62"/>
      <c r="Z946" s="61"/>
      <c r="AA946" s="62"/>
    </row>
    <row r="947" spans="3:27" ht="16.5" customHeight="1">
      <c r="C947" s="118"/>
      <c r="E947" s="61"/>
      <c r="H947" s="61"/>
      <c r="I947" s="60"/>
      <c r="K947" s="62"/>
      <c r="O947" s="60"/>
      <c r="P947" s="61"/>
      <c r="Q947" s="62"/>
      <c r="R947" s="61"/>
      <c r="S947" s="62"/>
      <c r="T947" s="61"/>
      <c r="U947" s="62"/>
      <c r="V947" s="61"/>
      <c r="W947" s="62"/>
      <c r="X947" s="61"/>
      <c r="Y947" s="62"/>
      <c r="Z947" s="61"/>
      <c r="AA947" s="62"/>
    </row>
    <row r="948" spans="3:27" ht="16.5" customHeight="1">
      <c r="C948" s="118"/>
      <c r="E948" s="61"/>
      <c r="H948" s="61"/>
      <c r="I948" s="60"/>
      <c r="K948" s="62"/>
      <c r="O948" s="60"/>
      <c r="P948" s="61"/>
      <c r="Q948" s="62"/>
      <c r="R948" s="61"/>
      <c r="S948" s="62"/>
      <c r="T948" s="61"/>
      <c r="U948" s="62"/>
      <c r="V948" s="61"/>
      <c r="W948" s="62"/>
      <c r="X948" s="61"/>
      <c r="Y948" s="62"/>
      <c r="Z948" s="61"/>
      <c r="AA948" s="62"/>
    </row>
    <row r="949" spans="3:27" ht="16.5" customHeight="1">
      <c r="C949" s="118"/>
      <c r="E949" s="61"/>
      <c r="H949" s="61"/>
      <c r="I949" s="60"/>
      <c r="K949" s="62"/>
      <c r="O949" s="60"/>
      <c r="P949" s="61"/>
      <c r="Q949" s="62"/>
      <c r="R949" s="61"/>
      <c r="S949" s="62"/>
      <c r="T949" s="61"/>
      <c r="U949" s="62"/>
      <c r="V949" s="61"/>
      <c r="W949" s="62"/>
      <c r="X949" s="61"/>
      <c r="Y949" s="62"/>
      <c r="Z949" s="61"/>
      <c r="AA949" s="62"/>
    </row>
    <row r="950" spans="3:27" ht="16.5" customHeight="1">
      <c r="C950" s="118"/>
      <c r="E950" s="61"/>
      <c r="H950" s="61"/>
      <c r="I950" s="60"/>
      <c r="K950" s="62"/>
      <c r="O950" s="60"/>
      <c r="P950" s="61"/>
      <c r="Q950" s="62"/>
      <c r="R950" s="61"/>
      <c r="S950" s="62"/>
      <c r="T950" s="61"/>
      <c r="U950" s="62"/>
      <c r="V950" s="61"/>
      <c r="W950" s="62"/>
      <c r="X950" s="61"/>
      <c r="Y950" s="62"/>
      <c r="Z950" s="61"/>
      <c r="AA950" s="62"/>
    </row>
    <row r="951" spans="3:27" ht="16.5" customHeight="1">
      <c r="C951" s="118"/>
      <c r="E951" s="61"/>
      <c r="H951" s="61"/>
      <c r="I951" s="60"/>
      <c r="K951" s="62"/>
      <c r="O951" s="60"/>
      <c r="P951" s="61"/>
      <c r="Q951" s="62"/>
      <c r="R951" s="61"/>
      <c r="S951" s="62"/>
      <c r="T951" s="61"/>
      <c r="U951" s="62"/>
      <c r="V951" s="61"/>
      <c r="W951" s="62"/>
      <c r="X951" s="61"/>
      <c r="Y951" s="62"/>
      <c r="Z951" s="61"/>
      <c r="AA951" s="62"/>
    </row>
    <row r="952" spans="3:27" ht="16.5" customHeight="1">
      <c r="C952" s="118"/>
      <c r="E952" s="61"/>
      <c r="H952" s="61"/>
      <c r="I952" s="60"/>
      <c r="K952" s="62"/>
      <c r="O952" s="60"/>
      <c r="P952" s="61"/>
      <c r="Q952" s="62"/>
      <c r="R952" s="61"/>
      <c r="S952" s="62"/>
      <c r="T952" s="61"/>
      <c r="U952" s="62"/>
      <c r="V952" s="61"/>
      <c r="W952" s="62"/>
      <c r="X952" s="61"/>
      <c r="Y952" s="62"/>
      <c r="Z952" s="61"/>
      <c r="AA952" s="62"/>
    </row>
    <row r="953" spans="3:27" ht="16.5" customHeight="1">
      <c r="C953" s="118"/>
      <c r="E953" s="61"/>
      <c r="H953" s="61"/>
      <c r="I953" s="60"/>
      <c r="K953" s="62"/>
      <c r="O953" s="60"/>
      <c r="P953" s="61"/>
      <c r="Q953" s="62"/>
      <c r="R953" s="61"/>
      <c r="S953" s="62"/>
      <c r="T953" s="61"/>
      <c r="U953" s="62"/>
      <c r="V953" s="61"/>
      <c r="W953" s="62"/>
      <c r="X953" s="61"/>
      <c r="Y953" s="62"/>
      <c r="Z953" s="61"/>
      <c r="AA953" s="62"/>
    </row>
    <row r="954" spans="3:27" ht="16.5" customHeight="1">
      <c r="C954" s="118"/>
      <c r="E954" s="61"/>
      <c r="H954" s="61"/>
      <c r="I954" s="60"/>
      <c r="K954" s="62"/>
      <c r="O954" s="60"/>
      <c r="P954" s="61"/>
      <c r="Q954" s="62"/>
      <c r="R954" s="61"/>
      <c r="S954" s="62"/>
      <c r="T954" s="61"/>
      <c r="U954" s="62"/>
      <c r="V954" s="61"/>
      <c r="W954" s="62"/>
      <c r="X954" s="61"/>
      <c r="Y954" s="62"/>
      <c r="Z954" s="61"/>
      <c r="AA954" s="62"/>
    </row>
    <row r="955" spans="3:27" ht="16.5" customHeight="1">
      <c r="C955" s="118"/>
      <c r="E955" s="61"/>
      <c r="H955" s="61"/>
      <c r="I955" s="60"/>
      <c r="K955" s="62"/>
      <c r="O955" s="60"/>
      <c r="P955" s="61"/>
      <c r="Q955" s="62"/>
      <c r="R955" s="61"/>
      <c r="S955" s="62"/>
      <c r="T955" s="61"/>
      <c r="U955" s="62"/>
      <c r="V955" s="61"/>
      <c r="W955" s="62"/>
      <c r="X955" s="61"/>
      <c r="Y955" s="62"/>
      <c r="Z955" s="61"/>
      <c r="AA955" s="62"/>
    </row>
    <row r="956" spans="3:27" ht="16.5" customHeight="1">
      <c r="C956" s="118"/>
      <c r="E956" s="61"/>
      <c r="H956" s="61"/>
      <c r="I956" s="60"/>
      <c r="K956" s="62"/>
      <c r="O956" s="60"/>
      <c r="P956" s="61"/>
      <c r="Q956" s="62"/>
      <c r="R956" s="61"/>
      <c r="S956" s="62"/>
      <c r="T956" s="61"/>
      <c r="U956" s="62"/>
      <c r="V956" s="61"/>
      <c r="W956" s="62"/>
      <c r="X956" s="61"/>
      <c r="Y956" s="62"/>
      <c r="Z956" s="61"/>
      <c r="AA956" s="62"/>
    </row>
    <row r="957" spans="3:27" ht="16.5" customHeight="1">
      <c r="C957" s="118"/>
      <c r="E957" s="61"/>
      <c r="H957" s="61"/>
      <c r="I957" s="60"/>
      <c r="K957" s="62"/>
      <c r="O957" s="60"/>
      <c r="P957" s="61"/>
      <c r="Q957" s="62"/>
      <c r="R957" s="61"/>
      <c r="S957" s="62"/>
      <c r="T957" s="61"/>
      <c r="U957" s="62"/>
      <c r="V957" s="61"/>
      <c r="W957" s="62"/>
      <c r="X957" s="61"/>
      <c r="Y957" s="62"/>
      <c r="Z957" s="61"/>
      <c r="AA957" s="62"/>
    </row>
    <row r="958" spans="3:27" ht="16.5" customHeight="1">
      <c r="C958" s="118"/>
      <c r="E958" s="61"/>
      <c r="H958" s="61"/>
      <c r="I958" s="60"/>
      <c r="K958" s="62"/>
      <c r="O958" s="60"/>
      <c r="P958" s="61"/>
      <c r="Q958" s="62"/>
      <c r="R958" s="61"/>
      <c r="S958" s="62"/>
      <c r="T958" s="61"/>
      <c r="U958" s="62"/>
      <c r="V958" s="61"/>
      <c r="W958" s="62"/>
      <c r="X958" s="61"/>
      <c r="Y958" s="62"/>
      <c r="Z958" s="61"/>
      <c r="AA958" s="62"/>
    </row>
    <row r="959" spans="3:27" ht="16.5" customHeight="1">
      <c r="C959" s="118"/>
      <c r="E959" s="61"/>
      <c r="H959" s="61"/>
      <c r="I959" s="60"/>
      <c r="K959" s="62"/>
      <c r="O959" s="60"/>
      <c r="P959" s="61"/>
      <c r="Q959" s="62"/>
      <c r="R959" s="61"/>
      <c r="S959" s="62"/>
      <c r="T959" s="61"/>
      <c r="U959" s="62"/>
      <c r="V959" s="61"/>
      <c r="W959" s="62"/>
      <c r="X959" s="61"/>
      <c r="Y959" s="62"/>
      <c r="Z959" s="61"/>
      <c r="AA959" s="62"/>
    </row>
    <row r="960" spans="3:27" ht="16.5" customHeight="1">
      <c r="C960" s="118"/>
      <c r="E960" s="61"/>
      <c r="H960" s="61"/>
      <c r="I960" s="60"/>
      <c r="K960" s="62"/>
      <c r="O960" s="60"/>
      <c r="P960" s="61"/>
      <c r="Q960" s="62"/>
      <c r="R960" s="61"/>
      <c r="S960" s="62"/>
      <c r="T960" s="61"/>
      <c r="U960" s="62"/>
      <c r="V960" s="61"/>
      <c r="W960" s="62"/>
      <c r="X960" s="61"/>
      <c r="Y960" s="62"/>
      <c r="Z960" s="61"/>
      <c r="AA960" s="62"/>
    </row>
    <row r="961" spans="3:27" ht="16.5" customHeight="1">
      <c r="C961" s="118"/>
      <c r="E961" s="61"/>
      <c r="H961" s="61"/>
      <c r="I961" s="60"/>
      <c r="K961" s="62"/>
      <c r="O961" s="60"/>
      <c r="P961" s="61"/>
      <c r="Q961" s="62"/>
      <c r="R961" s="61"/>
      <c r="S961" s="62"/>
      <c r="T961" s="61"/>
      <c r="U961" s="62"/>
      <c r="V961" s="61"/>
      <c r="W961" s="62"/>
      <c r="X961" s="61"/>
      <c r="Y961" s="62"/>
      <c r="Z961" s="61"/>
      <c r="AA961" s="62"/>
    </row>
    <row r="962" spans="3:27" ht="16.5" customHeight="1">
      <c r="C962" s="118"/>
      <c r="E962" s="61"/>
      <c r="H962" s="61"/>
      <c r="I962" s="60"/>
      <c r="K962" s="62"/>
      <c r="O962" s="60"/>
      <c r="P962" s="61"/>
      <c r="Q962" s="62"/>
      <c r="R962" s="61"/>
      <c r="S962" s="62"/>
      <c r="T962" s="61"/>
      <c r="U962" s="62"/>
      <c r="V962" s="61"/>
      <c r="W962" s="62"/>
      <c r="X962" s="61"/>
      <c r="Y962" s="62"/>
      <c r="Z962" s="61"/>
      <c r="AA962" s="62"/>
    </row>
    <row r="963" spans="3:27" ht="16.5" customHeight="1">
      <c r="C963" s="118"/>
      <c r="E963" s="61"/>
      <c r="H963" s="61"/>
      <c r="I963" s="60"/>
      <c r="K963" s="62"/>
      <c r="O963" s="60"/>
      <c r="P963" s="61"/>
      <c r="Q963" s="62"/>
      <c r="R963" s="61"/>
      <c r="S963" s="62"/>
      <c r="T963" s="61"/>
      <c r="U963" s="62"/>
      <c r="V963" s="61"/>
      <c r="W963" s="62"/>
      <c r="X963" s="61"/>
      <c r="Y963" s="62"/>
      <c r="Z963" s="61"/>
      <c r="AA963" s="62"/>
    </row>
    <row r="964" spans="3:27" ht="16.5" customHeight="1">
      <c r="C964" s="118"/>
      <c r="E964" s="61"/>
      <c r="H964" s="61"/>
      <c r="I964" s="60"/>
      <c r="K964" s="62"/>
      <c r="O964" s="60"/>
      <c r="P964" s="61"/>
      <c r="Q964" s="62"/>
      <c r="R964" s="61"/>
      <c r="S964" s="62"/>
      <c r="T964" s="61"/>
      <c r="U964" s="62"/>
      <c r="V964" s="61"/>
      <c r="W964" s="62"/>
      <c r="X964" s="61"/>
      <c r="Y964" s="62"/>
      <c r="Z964" s="61"/>
      <c r="AA964" s="62"/>
    </row>
    <row r="965" spans="3:27" ht="16.5" customHeight="1">
      <c r="C965" s="118"/>
      <c r="E965" s="61"/>
      <c r="H965" s="61"/>
      <c r="I965" s="60"/>
      <c r="K965" s="62"/>
      <c r="O965" s="60"/>
      <c r="P965" s="61"/>
      <c r="Q965" s="62"/>
      <c r="R965" s="61"/>
      <c r="S965" s="62"/>
      <c r="T965" s="61"/>
      <c r="U965" s="62"/>
      <c r="V965" s="61"/>
      <c r="W965" s="62"/>
      <c r="X965" s="61"/>
      <c r="Y965" s="62"/>
      <c r="Z965" s="61"/>
      <c r="AA965" s="62"/>
    </row>
    <row r="966" spans="3:27" ht="16.5" customHeight="1">
      <c r="C966" s="118"/>
      <c r="E966" s="61"/>
      <c r="H966" s="61"/>
      <c r="I966" s="60"/>
      <c r="K966" s="62"/>
      <c r="O966" s="60"/>
      <c r="P966" s="61"/>
      <c r="Q966" s="62"/>
      <c r="R966" s="61"/>
      <c r="S966" s="62"/>
      <c r="T966" s="61"/>
      <c r="U966" s="62"/>
      <c r="V966" s="61"/>
      <c r="W966" s="62"/>
      <c r="X966" s="61"/>
      <c r="Y966" s="62"/>
      <c r="Z966" s="61"/>
      <c r="AA966" s="62"/>
    </row>
    <row r="967" spans="3:27" ht="16.5" customHeight="1">
      <c r="C967" s="118"/>
      <c r="E967" s="61"/>
      <c r="H967" s="61"/>
      <c r="I967" s="60"/>
      <c r="K967" s="62"/>
      <c r="O967" s="60"/>
      <c r="P967" s="61"/>
      <c r="Q967" s="62"/>
      <c r="R967" s="61"/>
      <c r="S967" s="62"/>
      <c r="T967" s="61"/>
      <c r="U967" s="62"/>
      <c r="V967" s="61"/>
      <c r="W967" s="62"/>
      <c r="X967" s="61"/>
      <c r="Y967" s="62"/>
      <c r="Z967" s="61"/>
      <c r="AA967" s="62"/>
    </row>
    <row r="968" spans="3:27" ht="16.5" customHeight="1">
      <c r="C968" s="118"/>
      <c r="E968" s="61"/>
      <c r="H968" s="61"/>
      <c r="I968" s="60"/>
      <c r="K968" s="62"/>
      <c r="O968" s="60"/>
      <c r="P968" s="61"/>
      <c r="Q968" s="62"/>
      <c r="R968" s="61"/>
      <c r="S968" s="62"/>
      <c r="T968" s="61"/>
      <c r="U968" s="62"/>
      <c r="V968" s="61"/>
      <c r="W968" s="62"/>
      <c r="X968" s="61"/>
      <c r="Y968" s="62"/>
      <c r="Z968" s="61"/>
      <c r="AA968" s="62"/>
    </row>
    <row r="969" spans="3:27" ht="16.5" customHeight="1">
      <c r="C969" s="118"/>
      <c r="E969" s="61"/>
      <c r="H969" s="61"/>
      <c r="I969" s="60"/>
      <c r="K969" s="62"/>
      <c r="O969" s="60"/>
      <c r="P969" s="61"/>
      <c r="Q969" s="62"/>
      <c r="R969" s="61"/>
      <c r="S969" s="62"/>
      <c r="T969" s="61"/>
      <c r="U969" s="62"/>
      <c r="V969" s="61"/>
      <c r="W969" s="62"/>
      <c r="X969" s="61"/>
      <c r="Y969" s="62"/>
      <c r="Z969" s="61"/>
      <c r="AA969" s="62"/>
    </row>
    <row r="970" spans="3:27" ht="16.5" customHeight="1">
      <c r="C970" s="118"/>
      <c r="E970" s="61"/>
      <c r="H970" s="61"/>
      <c r="I970" s="60"/>
      <c r="K970" s="62"/>
      <c r="O970" s="60"/>
      <c r="P970" s="61"/>
      <c r="Q970" s="62"/>
      <c r="R970" s="61"/>
      <c r="S970" s="62"/>
      <c r="T970" s="61"/>
      <c r="U970" s="62"/>
      <c r="V970" s="61"/>
      <c r="W970" s="62"/>
      <c r="X970" s="61"/>
      <c r="Y970" s="62"/>
      <c r="Z970" s="61"/>
      <c r="AA970" s="62"/>
    </row>
    <row r="971" spans="3:27" ht="16.5" customHeight="1">
      <c r="C971" s="118"/>
      <c r="E971" s="61"/>
      <c r="H971" s="61"/>
      <c r="I971" s="60"/>
      <c r="K971" s="62"/>
      <c r="O971" s="60"/>
      <c r="P971" s="61"/>
      <c r="Q971" s="62"/>
      <c r="R971" s="61"/>
      <c r="S971" s="62"/>
      <c r="T971" s="61"/>
      <c r="U971" s="62"/>
      <c r="V971" s="61"/>
      <c r="W971" s="62"/>
      <c r="X971" s="61"/>
      <c r="Y971" s="62"/>
      <c r="Z971" s="61"/>
      <c r="AA971" s="62"/>
    </row>
    <row r="972" spans="3:27" ht="16.5" customHeight="1">
      <c r="C972" s="118"/>
      <c r="E972" s="61"/>
      <c r="H972" s="61"/>
      <c r="I972" s="60"/>
      <c r="K972" s="62"/>
      <c r="O972" s="60"/>
      <c r="P972" s="61"/>
      <c r="Q972" s="62"/>
      <c r="R972" s="61"/>
      <c r="S972" s="62"/>
      <c r="T972" s="61"/>
      <c r="U972" s="62"/>
      <c r="V972" s="61"/>
      <c r="W972" s="62"/>
      <c r="X972" s="61"/>
      <c r="Y972" s="62"/>
      <c r="Z972" s="61"/>
      <c r="AA972" s="62"/>
    </row>
    <row r="973" spans="3:27" ht="16.5" customHeight="1">
      <c r="C973" s="118"/>
      <c r="E973" s="61"/>
      <c r="H973" s="61"/>
      <c r="I973" s="60"/>
      <c r="K973" s="62"/>
      <c r="O973" s="60"/>
      <c r="P973" s="61"/>
      <c r="Q973" s="62"/>
      <c r="R973" s="61"/>
      <c r="S973" s="62"/>
      <c r="T973" s="61"/>
      <c r="U973" s="62"/>
      <c r="V973" s="61"/>
      <c r="W973" s="62"/>
      <c r="X973" s="61"/>
      <c r="Y973" s="62"/>
      <c r="Z973" s="61"/>
      <c r="AA973" s="62"/>
    </row>
    <row r="974" spans="3:27" ht="16.5" customHeight="1">
      <c r="C974" s="118"/>
      <c r="E974" s="61"/>
      <c r="H974" s="61"/>
      <c r="I974" s="60"/>
      <c r="K974" s="62"/>
      <c r="O974" s="60"/>
      <c r="P974" s="61"/>
      <c r="Q974" s="62"/>
      <c r="R974" s="61"/>
      <c r="S974" s="62"/>
      <c r="T974" s="61"/>
      <c r="U974" s="62"/>
      <c r="V974" s="61"/>
      <c r="W974" s="62"/>
      <c r="X974" s="61"/>
      <c r="Y974" s="62"/>
      <c r="Z974" s="61"/>
      <c r="AA974" s="62"/>
    </row>
    <row r="975" spans="3:27" ht="16.5" customHeight="1">
      <c r="C975" s="118"/>
      <c r="E975" s="61"/>
      <c r="H975" s="61"/>
      <c r="I975" s="60"/>
      <c r="K975" s="62"/>
      <c r="O975" s="60"/>
      <c r="P975" s="61"/>
      <c r="Q975" s="62"/>
      <c r="R975" s="61"/>
      <c r="S975" s="62"/>
      <c r="T975" s="61"/>
      <c r="U975" s="62"/>
      <c r="V975" s="61"/>
      <c r="W975" s="62"/>
      <c r="X975" s="61"/>
      <c r="Y975" s="62"/>
      <c r="Z975" s="61"/>
      <c r="AA975" s="62"/>
    </row>
    <row r="976" spans="3:27" ht="16.5" customHeight="1">
      <c r="C976" s="118"/>
      <c r="E976" s="61"/>
      <c r="H976" s="61"/>
      <c r="I976" s="60"/>
      <c r="K976" s="62"/>
      <c r="O976" s="60"/>
      <c r="P976" s="61"/>
      <c r="Q976" s="62"/>
      <c r="R976" s="61"/>
      <c r="S976" s="62"/>
      <c r="T976" s="61"/>
      <c r="U976" s="62"/>
      <c r="V976" s="61"/>
      <c r="W976" s="62"/>
      <c r="X976" s="61"/>
      <c r="Y976" s="62"/>
      <c r="Z976" s="61"/>
      <c r="AA976" s="62"/>
    </row>
    <row r="977" spans="3:27" ht="16.5" customHeight="1">
      <c r="C977" s="118"/>
      <c r="E977" s="61"/>
      <c r="H977" s="61"/>
      <c r="I977" s="60"/>
      <c r="K977" s="62"/>
      <c r="O977" s="60"/>
      <c r="P977" s="61"/>
      <c r="Q977" s="62"/>
      <c r="R977" s="61"/>
      <c r="S977" s="62"/>
      <c r="T977" s="61"/>
      <c r="U977" s="62"/>
      <c r="V977" s="61"/>
      <c r="W977" s="62"/>
      <c r="X977" s="61"/>
      <c r="Y977" s="62"/>
      <c r="Z977" s="61"/>
      <c r="AA977" s="62"/>
    </row>
    <row r="978" spans="3:27" ht="16.5" customHeight="1">
      <c r="C978" s="118"/>
      <c r="E978" s="61"/>
      <c r="H978" s="61"/>
      <c r="I978" s="60"/>
      <c r="K978" s="62"/>
      <c r="O978" s="60"/>
      <c r="P978" s="61"/>
      <c r="Q978" s="62"/>
      <c r="R978" s="61"/>
      <c r="S978" s="62"/>
      <c r="T978" s="61"/>
      <c r="U978" s="62"/>
      <c r="V978" s="61"/>
      <c r="W978" s="62"/>
      <c r="X978" s="61"/>
      <c r="Y978" s="62"/>
      <c r="Z978" s="61"/>
      <c r="AA978" s="62"/>
    </row>
    <row r="979" spans="3:27" ht="16.5" customHeight="1">
      <c r="C979" s="118"/>
      <c r="E979" s="61"/>
      <c r="H979" s="61"/>
      <c r="I979" s="60"/>
      <c r="K979" s="62"/>
      <c r="O979" s="60"/>
      <c r="P979" s="61"/>
      <c r="Q979" s="62"/>
      <c r="R979" s="61"/>
      <c r="S979" s="62"/>
      <c r="T979" s="61"/>
      <c r="U979" s="62"/>
      <c r="V979" s="61"/>
      <c r="W979" s="62"/>
      <c r="X979" s="61"/>
      <c r="Y979" s="62"/>
      <c r="Z979" s="61"/>
      <c r="AA979" s="62"/>
    </row>
    <row r="980" spans="3:27" ht="16.5" customHeight="1">
      <c r="C980" s="118"/>
      <c r="E980" s="61"/>
      <c r="H980" s="61"/>
      <c r="I980" s="60"/>
      <c r="K980" s="62"/>
      <c r="O980" s="60"/>
      <c r="P980" s="61"/>
      <c r="Q980" s="62"/>
      <c r="R980" s="61"/>
      <c r="S980" s="62"/>
      <c r="T980" s="61"/>
      <c r="U980" s="62"/>
      <c r="V980" s="61"/>
      <c r="W980" s="62"/>
      <c r="X980" s="61"/>
      <c r="Y980" s="62"/>
      <c r="Z980" s="61"/>
      <c r="AA980" s="62"/>
    </row>
    <row r="981" spans="3:27" ht="16.5" customHeight="1">
      <c r="C981" s="118"/>
      <c r="E981" s="61"/>
      <c r="H981" s="61"/>
      <c r="I981" s="60"/>
      <c r="K981" s="62"/>
      <c r="O981" s="60"/>
      <c r="P981" s="61"/>
      <c r="Q981" s="62"/>
      <c r="R981" s="61"/>
      <c r="S981" s="62"/>
      <c r="T981" s="61"/>
      <c r="U981" s="62"/>
      <c r="V981" s="61"/>
      <c r="W981" s="62"/>
      <c r="X981" s="61"/>
      <c r="Y981" s="62"/>
      <c r="Z981" s="61"/>
      <c r="AA981" s="62"/>
    </row>
    <row r="982" spans="3:27" ht="16.5" customHeight="1">
      <c r="C982" s="118"/>
      <c r="E982" s="61"/>
      <c r="H982" s="61"/>
      <c r="I982" s="60"/>
      <c r="K982" s="62"/>
      <c r="O982" s="60"/>
      <c r="P982" s="61"/>
      <c r="Q982" s="62"/>
      <c r="R982" s="61"/>
      <c r="S982" s="62"/>
      <c r="T982" s="61"/>
      <c r="U982" s="62"/>
      <c r="V982" s="61"/>
      <c r="W982" s="62"/>
      <c r="X982" s="61"/>
      <c r="Y982" s="62"/>
      <c r="Z982" s="61"/>
      <c r="AA982" s="62"/>
    </row>
    <row r="983" spans="3:27" ht="16.5" customHeight="1">
      <c r="C983" s="118"/>
      <c r="E983" s="61"/>
      <c r="H983" s="61"/>
      <c r="I983" s="60"/>
      <c r="K983" s="62"/>
      <c r="O983" s="60"/>
      <c r="P983" s="61"/>
      <c r="Q983" s="62"/>
      <c r="R983" s="61"/>
      <c r="S983" s="62"/>
      <c r="T983" s="61"/>
      <c r="U983" s="62"/>
      <c r="V983" s="61"/>
      <c r="W983" s="62"/>
      <c r="X983" s="61"/>
      <c r="Y983" s="62"/>
      <c r="Z983" s="61"/>
      <c r="AA983" s="62"/>
    </row>
    <row r="984" spans="3:27" ht="16.5" customHeight="1">
      <c r="C984" s="118"/>
      <c r="E984" s="61"/>
      <c r="H984" s="61"/>
      <c r="I984" s="60"/>
      <c r="K984" s="62"/>
      <c r="O984" s="60"/>
      <c r="P984" s="61"/>
      <c r="Q984" s="62"/>
      <c r="R984" s="61"/>
      <c r="S984" s="62"/>
      <c r="T984" s="61"/>
      <c r="U984" s="62"/>
      <c r="V984" s="61"/>
      <c r="W984" s="62"/>
      <c r="X984" s="61"/>
      <c r="Y984" s="62"/>
      <c r="Z984" s="61"/>
      <c r="AA984" s="62"/>
    </row>
    <row r="985" spans="3:27" ht="16.5" customHeight="1">
      <c r="C985" s="118"/>
      <c r="E985" s="61"/>
      <c r="H985" s="61"/>
      <c r="I985" s="60"/>
      <c r="K985" s="62"/>
      <c r="O985" s="60"/>
      <c r="P985" s="61"/>
      <c r="Q985" s="62"/>
      <c r="R985" s="61"/>
      <c r="S985" s="62"/>
      <c r="T985" s="61"/>
      <c r="U985" s="62"/>
      <c r="V985" s="61"/>
      <c r="W985" s="62"/>
      <c r="X985" s="61"/>
      <c r="Y985" s="62"/>
      <c r="Z985" s="61"/>
      <c r="AA985" s="62"/>
    </row>
    <row r="986" spans="3:27" ht="16.5" customHeight="1">
      <c r="C986" s="118"/>
      <c r="E986" s="61"/>
      <c r="H986" s="61"/>
      <c r="I986" s="60"/>
      <c r="K986" s="62"/>
      <c r="O986" s="60"/>
      <c r="P986" s="61"/>
      <c r="Q986" s="62"/>
      <c r="R986" s="61"/>
      <c r="S986" s="62"/>
      <c r="T986" s="61"/>
      <c r="U986" s="62"/>
      <c r="V986" s="61"/>
      <c r="W986" s="62"/>
      <c r="X986" s="61"/>
      <c r="Y986" s="62"/>
      <c r="Z986" s="61"/>
      <c r="AA986" s="62"/>
    </row>
    <row r="987" spans="3:27" ht="16.5" customHeight="1">
      <c r="C987" s="118"/>
      <c r="E987" s="61"/>
      <c r="H987" s="61"/>
      <c r="I987" s="60"/>
      <c r="K987" s="62"/>
      <c r="O987" s="60"/>
      <c r="P987" s="61"/>
      <c r="Q987" s="62"/>
      <c r="R987" s="61"/>
      <c r="S987" s="62"/>
      <c r="T987" s="61"/>
      <c r="U987" s="62"/>
      <c r="V987" s="61"/>
      <c r="W987" s="62"/>
      <c r="X987" s="61"/>
      <c r="Y987" s="62"/>
      <c r="Z987" s="61"/>
      <c r="AA987" s="62"/>
    </row>
    <row r="988" spans="3:27" ht="16.5" customHeight="1">
      <c r="C988" s="118"/>
      <c r="E988" s="61"/>
      <c r="H988" s="61"/>
      <c r="I988" s="60"/>
      <c r="K988" s="62"/>
      <c r="O988" s="60"/>
      <c r="P988" s="61"/>
      <c r="Q988" s="62"/>
      <c r="R988" s="61"/>
      <c r="S988" s="62"/>
      <c r="T988" s="61"/>
      <c r="U988" s="62"/>
      <c r="V988" s="61"/>
      <c r="W988" s="62"/>
      <c r="X988" s="61"/>
      <c r="Y988" s="62"/>
      <c r="Z988" s="61"/>
      <c r="AA988" s="62"/>
    </row>
    <row r="989" spans="3:27" ht="16.5" customHeight="1">
      <c r="C989" s="118"/>
      <c r="E989" s="61"/>
      <c r="H989" s="61"/>
      <c r="I989" s="60"/>
      <c r="K989" s="62"/>
      <c r="O989" s="60"/>
      <c r="P989" s="61"/>
      <c r="Q989" s="62"/>
      <c r="R989" s="61"/>
      <c r="S989" s="62"/>
      <c r="T989" s="61"/>
      <c r="U989" s="62"/>
      <c r="V989" s="61"/>
      <c r="W989" s="62"/>
      <c r="X989" s="61"/>
      <c r="Y989" s="62"/>
      <c r="Z989" s="61"/>
      <c r="AA989" s="62"/>
    </row>
    <row r="990" spans="3:27" ht="16.5" customHeight="1">
      <c r="C990" s="118"/>
      <c r="E990" s="61"/>
      <c r="H990" s="61"/>
      <c r="I990" s="60"/>
      <c r="K990" s="62"/>
      <c r="O990" s="60"/>
      <c r="P990" s="61"/>
      <c r="Q990" s="62"/>
      <c r="R990" s="61"/>
      <c r="S990" s="62"/>
      <c r="T990" s="61"/>
      <c r="U990" s="62"/>
      <c r="V990" s="61"/>
      <c r="W990" s="62"/>
      <c r="X990" s="61"/>
      <c r="Y990" s="62"/>
      <c r="Z990" s="61"/>
      <c r="AA990" s="62"/>
    </row>
    <row r="991" spans="3:27" ht="16.5" customHeight="1">
      <c r="C991" s="118"/>
      <c r="E991" s="61"/>
      <c r="H991" s="61"/>
      <c r="I991" s="60"/>
      <c r="K991" s="62"/>
      <c r="O991" s="60"/>
      <c r="P991" s="61"/>
      <c r="Q991" s="62"/>
      <c r="R991" s="61"/>
      <c r="S991" s="62"/>
      <c r="T991" s="61"/>
      <c r="U991" s="62"/>
      <c r="V991" s="61"/>
      <c r="W991" s="62"/>
      <c r="X991" s="61"/>
      <c r="Y991" s="62"/>
      <c r="Z991" s="61"/>
      <c r="AA991" s="62"/>
    </row>
    <row r="992" spans="3:27" ht="16.5" customHeight="1">
      <c r="C992" s="118"/>
      <c r="E992" s="61"/>
      <c r="H992" s="61"/>
      <c r="I992" s="60"/>
      <c r="K992" s="62"/>
      <c r="O992" s="60"/>
      <c r="P992" s="61"/>
      <c r="Q992" s="62"/>
      <c r="R992" s="61"/>
      <c r="S992" s="62"/>
      <c r="T992" s="61"/>
      <c r="U992" s="62"/>
      <c r="V992" s="61"/>
      <c r="W992" s="62"/>
      <c r="X992" s="61"/>
      <c r="Y992" s="62"/>
      <c r="Z992" s="61"/>
      <c r="AA992" s="62"/>
    </row>
    <row r="993" spans="3:27" ht="16.5" customHeight="1">
      <c r="C993" s="118"/>
      <c r="E993" s="61"/>
      <c r="H993" s="61"/>
      <c r="I993" s="60"/>
      <c r="K993" s="62"/>
      <c r="O993" s="60"/>
      <c r="P993" s="61"/>
      <c r="Q993" s="62"/>
      <c r="R993" s="61"/>
      <c r="S993" s="62"/>
      <c r="T993" s="61"/>
      <c r="U993" s="62"/>
      <c r="V993" s="61"/>
      <c r="W993" s="62"/>
      <c r="X993" s="61"/>
      <c r="Y993" s="62"/>
      <c r="Z993" s="61"/>
      <c r="AA993" s="62"/>
    </row>
    <row r="994" spans="3:27" ht="16.5" customHeight="1">
      <c r="C994" s="118"/>
      <c r="E994" s="61"/>
      <c r="H994" s="61"/>
      <c r="I994" s="60"/>
      <c r="K994" s="62"/>
      <c r="O994" s="60"/>
      <c r="P994" s="61"/>
      <c r="Q994" s="62"/>
      <c r="R994" s="61"/>
      <c r="S994" s="62"/>
      <c r="T994" s="61"/>
      <c r="U994" s="62"/>
      <c r="V994" s="61"/>
      <c r="W994" s="62"/>
      <c r="X994" s="61"/>
      <c r="Y994" s="62"/>
      <c r="Z994" s="61"/>
      <c r="AA994" s="62"/>
    </row>
    <row r="995" spans="3:27" ht="16.5" customHeight="1">
      <c r="C995" s="118"/>
      <c r="E995" s="61"/>
      <c r="H995" s="61"/>
      <c r="I995" s="60"/>
      <c r="K995" s="62"/>
      <c r="O995" s="60"/>
      <c r="P995" s="61"/>
      <c r="Q995" s="62"/>
      <c r="R995" s="61"/>
      <c r="S995" s="62"/>
      <c r="T995" s="61"/>
      <c r="U995" s="62"/>
      <c r="V995" s="61"/>
      <c r="W995" s="62"/>
      <c r="X995" s="61"/>
      <c r="Y995" s="62"/>
      <c r="Z995" s="61"/>
      <c r="AA995" s="62"/>
    </row>
    <row r="996" spans="3:27" ht="16.5" customHeight="1">
      <c r="C996" s="118"/>
      <c r="E996" s="61"/>
      <c r="H996" s="61"/>
      <c r="I996" s="60"/>
      <c r="K996" s="62"/>
      <c r="O996" s="60"/>
      <c r="P996" s="61"/>
      <c r="Q996" s="62"/>
      <c r="R996" s="61"/>
      <c r="S996" s="62"/>
      <c r="T996" s="61"/>
      <c r="U996" s="62"/>
      <c r="V996" s="61"/>
      <c r="W996" s="62"/>
      <c r="X996" s="61"/>
      <c r="Y996" s="62"/>
      <c r="Z996" s="61"/>
      <c r="AA996" s="62"/>
    </row>
    <row r="997" spans="3:27" ht="16.5" customHeight="1">
      <c r="C997" s="118"/>
      <c r="E997" s="61"/>
      <c r="H997" s="61"/>
      <c r="I997" s="60"/>
      <c r="K997" s="62"/>
      <c r="O997" s="60"/>
      <c r="P997" s="61"/>
      <c r="Q997" s="62"/>
      <c r="R997" s="61"/>
      <c r="S997" s="62"/>
      <c r="T997" s="61"/>
      <c r="U997" s="62"/>
      <c r="V997" s="61"/>
      <c r="W997" s="62"/>
      <c r="X997" s="61"/>
      <c r="Y997" s="62"/>
      <c r="Z997" s="61"/>
      <c r="AA997" s="62"/>
    </row>
    <row r="998" spans="3:27" ht="16.5" customHeight="1">
      <c r="C998" s="118"/>
      <c r="E998" s="61"/>
      <c r="H998" s="61"/>
      <c r="I998" s="60"/>
      <c r="K998" s="62"/>
      <c r="O998" s="60"/>
      <c r="P998" s="61"/>
      <c r="Q998" s="62"/>
      <c r="R998" s="61"/>
      <c r="S998" s="62"/>
      <c r="T998" s="61"/>
      <c r="U998" s="62"/>
      <c r="V998" s="61"/>
      <c r="W998" s="62"/>
      <c r="X998" s="61"/>
      <c r="Y998" s="62"/>
      <c r="Z998" s="61"/>
      <c r="AA998" s="62"/>
    </row>
    <row r="999" spans="3:27" ht="16.5" customHeight="1">
      <c r="C999" s="118"/>
      <c r="E999" s="61"/>
      <c r="H999" s="61"/>
      <c r="I999" s="60"/>
      <c r="K999" s="62"/>
      <c r="O999" s="60"/>
      <c r="P999" s="61"/>
      <c r="Q999" s="62"/>
      <c r="R999" s="61"/>
      <c r="S999" s="62"/>
      <c r="T999" s="61"/>
      <c r="U999" s="62"/>
      <c r="V999" s="61"/>
      <c r="W999" s="62"/>
      <c r="X999" s="61"/>
      <c r="Y999" s="62"/>
      <c r="Z999" s="61"/>
      <c r="AA999" s="62"/>
    </row>
    <row r="1000" spans="3:27" ht="16.5" customHeight="1">
      <c r="C1000" s="118"/>
      <c r="E1000" s="61"/>
      <c r="H1000" s="61"/>
      <c r="I1000" s="60"/>
      <c r="K1000" s="62"/>
      <c r="O1000" s="60"/>
      <c r="P1000" s="61"/>
      <c r="Q1000" s="62"/>
      <c r="R1000" s="61"/>
      <c r="S1000" s="62"/>
      <c r="T1000" s="61"/>
      <c r="U1000" s="62"/>
      <c r="V1000" s="61"/>
      <c r="W1000" s="62"/>
      <c r="X1000" s="61"/>
      <c r="Y1000" s="62"/>
      <c r="Z1000" s="61"/>
      <c r="AA1000" s="62"/>
    </row>
    <row r="1001" spans="3:27" ht="16.5" customHeight="1">
      <c r="C1001" s="118"/>
      <c r="E1001" s="61"/>
      <c r="H1001" s="61"/>
      <c r="I1001" s="60"/>
      <c r="K1001" s="62"/>
      <c r="O1001" s="60"/>
      <c r="P1001" s="61"/>
      <c r="Q1001" s="62"/>
      <c r="R1001" s="61"/>
      <c r="S1001" s="62"/>
      <c r="T1001" s="61"/>
      <c r="U1001" s="62"/>
      <c r="V1001" s="61"/>
      <c r="W1001" s="62"/>
      <c r="X1001" s="61"/>
      <c r="Y1001" s="62"/>
      <c r="Z1001" s="61"/>
      <c r="AA1001" s="62"/>
    </row>
    <row r="1002" spans="3:27" ht="16.5" customHeight="1">
      <c r="C1002" s="118"/>
      <c r="E1002" s="61"/>
      <c r="H1002" s="61"/>
      <c r="I1002" s="60"/>
      <c r="K1002" s="62"/>
      <c r="O1002" s="60"/>
      <c r="P1002" s="61"/>
      <c r="Q1002" s="62"/>
      <c r="R1002" s="61"/>
      <c r="S1002" s="62"/>
      <c r="T1002" s="61"/>
      <c r="U1002" s="62"/>
      <c r="V1002" s="61"/>
      <c r="W1002" s="62"/>
      <c r="X1002" s="61"/>
      <c r="Y1002" s="62"/>
      <c r="Z1002" s="61"/>
      <c r="AA1002" s="62"/>
    </row>
    <row r="1003" spans="3:27" ht="16.5" customHeight="1">
      <c r="C1003" s="118"/>
      <c r="E1003" s="61"/>
      <c r="H1003" s="61"/>
      <c r="I1003" s="60"/>
      <c r="K1003" s="62"/>
      <c r="O1003" s="60"/>
      <c r="P1003" s="61"/>
      <c r="Q1003" s="62"/>
      <c r="R1003" s="61"/>
      <c r="S1003" s="62"/>
      <c r="T1003" s="61"/>
      <c r="U1003" s="62"/>
      <c r="V1003" s="61"/>
      <c r="W1003" s="62"/>
      <c r="X1003" s="61"/>
      <c r="Y1003" s="62"/>
      <c r="Z1003" s="61"/>
      <c r="AA1003" s="62"/>
    </row>
    <row r="1004" spans="3:27" ht="16.5" customHeight="1">
      <c r="C1004" s="118"/>
      <c r="E1004" s="61"/>
      <c r="H1004" s="61"/>
      <c r="I1004" s="60"/>
      <c r="K1004" s="62"/>
      <c r="O1004" s="60"/>
      <c r="P1004" s="61"/>
      <c r="Q1004" s="62"/>
      <c r="R1004" s="61"/>
      <c r="S1004" s="62"/>
      <c r="T1004" s="61"/>
      <c r="U1004" s="62"/>
      <c r="V1004" s="61"/>
      <c r="W1004" s="62"/>
      <c r="X1004" s="61"/>
      <c r="Y1004" s="62"/>
      <c r="Z1004" s="61"/>
      <c r="AA1004" s="62"/>
    </row>
    <row r="1005" spans="3:27" ht="16.5" customHeight="1">
      <c r="C1005" s="118"/>
      <c r="E1005" s="61"/>
      <c r="H1005" s="61"/>
      <c r="I1005" s="60"/>
      <c r="K1005" s="62"/>
      <c r="O1005" s="60"/>
      <c r="P1005" s="61"/>
      <c r="Q1005" s="62"/>
      <c r="R1005" s="61"/>
      <c r="S1005" s="62"/>
      <c r="T1005" s="61"/>
      <c r="U1005" s="62"/>
      <c r="V1005" s="61"/>
      <c r="W1005" s="62"/>
      <c r="X1005" s="61"/>
      <c r="Y1005" s="62"/>
      <c r="Z1005" s="61"/>
      <c r="AA1005" s="62"/>
    </row>
    <row r="1006" spans="3:27" ht="16.5" customHeight="1">
      <c r="C1006" s="118"/>
      <c r="E1006" s="61"/>
      <c r="H1006" s="61"/>
      <c r="I1006" s="60"/>
      <c r="K1006" s="62"/>
      <c r="O1006" s="60"/>
      <c r="P1006" s="61"/>
      <c r="Q1006" s="62"/>
      <c r="R1006" s="61"/>
      <c r="S1006" s="62"/>
      <c r="T1006" s="61"/>
      <c r="U1006" s="62"/>
      <c r="V1006" s="61"/>
      <c r="W1006" s="62"/>
      <c r="X1006" s="61"/>
      <c r="Y1006" s="62"/>
      <c r="Z1006" s="61"/>
      <c r="AA1006" s="62"/>
    </row>
    <row r="1007" spans="3:27" ht="16.5" customHeight="1">
      <c r="C1007" s="118"/>
      <c r="E1007" s="61"/>
      <c r="H1007" s="61"/>
      <c r="I1007" s="60"/>
      <c r="K1007" s="62"/>
      <c r="O1007" s="60"/>
      <c r="P1007" s="61"/>
      <c r="Q1007" s="62"/>
      <c r="R1007" s="61"/>
      <c r="S1007" s="62"/>
      <c r="T1007" s="61"/>
      <c r="U1007" s="62"/>
      <c r="V1007" s="61"/>
      <c r="W1007" s="62"/>
      <c r="X1007" s="61"/>
      <c r="Y1007" s="62"/>
      <c r="Z1007" s="61"/>
      <c r="AA1007" s="62"/>
    </row>
    <row r="1008" spans="3:27" ht="16.5" customHeight="1">
      <c r="C1008" s="118"/>
      <c r="E1008" s="61"/>
      <c r="H1008" s="61"/>
      <c r="I1008" s="60"/>
      <c r="K1008" s="62"/>
      <c r="O1008" s="60"/>
      <c r="P1008" s="61"/>
      <c r="Q1008" s="62"/>
      <c r="R1008" s="61"/>
      <c r="S1008" s="62"/>
      <c r="T1008" s="61"/>
      <c r="U1008" s="62"/>
      <c r="V1008" s="61"/>
      <c r="W1008" s="62"/>
      <c r="X1008" s="61"/>
      <c r="Y1008" s="62"/>
      <c r="Z1008" s="61"/>
      <c r="AA1008" s="62"/>
    </row>
    <row r="1009" spans="3:27" ht="16.5" customHeight="1">
      <c r="C1009" s="118"/>
      <c r="E1009" s="61"/>
      <c r="H1009" s="61"/>
      <c r="I1009" s="60"/>
      <c r="K1009" s="62"/>
      <c r="O1009" s="60"/>
      <c r="P1009" s="61"/>
      <c r="Q1009" s="62"/>
      <c r="R1009" s="61"/>
      <c r="S1009" s="62"/>
      <c r="T1009" s="61"/>
      <c r="U1009" s="62"/>
      <c r="V1009" s="61"/>
      <c r="W1009" s="62"/>
      <c r="X1009" s="61"/>
      <c r="Y1009" s="62"/>
      <c r="Z1009" s="61"/>
      <c r="AA1009" s="62"/>
    </row>
    <row r="1010" spans="3:27" ht="16.5" customHeight="1">
      <c r="C1010" s="118"/>
      <c r="E1010" s="61"/>
      <c r="H1010" s="61"/>
      <c r="I1010" s="60"/>
      <c r="K1010" s="62"/>
      <c r="O1010" s="60"/>
      <c r="P1010" s="61"/>
      <c r="Q1010" s="62"/>
      <c r="R1010" s="61"/>
      <c r="S1010" s="62"/>
      <c r="T1010" s="61"/>
      <c r="U1010" s="62"/>
      <c r="V1010" s="61"/>
      <c r="W1010" s="62"/>
      <c r="X1010" s="61"/>
      <c r="Y1010" s="62"/>
      <c r="Z1010" s="61"/>
      <c r="AA1010" s="62"/>
    </row>
    <row r="1011" spans="3:27" ht="16.5" customHeight="1">
      <c r="C1011" s="118"/>
      <c r="E1011" s="61"/>
      <c r="H1011" s="61"/>
      <c r="I1011" s="60"/>
      <c r="K1011" s="62"/>
      <c r="O1011" s="60"/>
      <c r="P1011" s="61"/>
      <c r="Q1011" s="62"/>
      <c r="R1011" s="61"/>
      <c r="S1011" s="62"/>
      <c r="T1011" s="61"/>
      <c r="U1011" s="62"/>
      <c r="V1011" s="61"/>
      <c r="W1011" s="62"/>
      <c r="X1011" s="61"/>
      <c r="Y1011" s="62"/>
      <c r="Z1011" s="61"/>
      <c r="AA1011" s="62"/>
    </row>
    <row r="1012" spans="3:27" ht="16.5" customHeight="1">
      <c r="C1012" s="118"/>
      <c r="E1012" s="61"/>
      <c r="H1012" s="61"/>
      <c r="I1012" s="60"/>
      <c r="K1012" s="62"/>
      <c r="O1012" s="60"/>
      <c r="P1012" s="61"/>
      <c r="Q1012" s="62"/>
      <c r="R1012" s="61"/>
      <c r="S1012" s="62"/>
      <c r="T1012" s="61"/>
      <c r="U1012" s="62"/>
      <c r="V1012" s="61"/>
      <c r="W1012" s="62"/>
      <c r="X1012" s="61"/>
      <c r="Y1012" s="62"/>
      <c r="Z1012" s="61"/>
      <c r="AA1012" s="62"/>
    </row>
    <row r="1013" spans="3:27" ht="16.5" customHeight="1">
      <c r="C1013" s="118"/>
      <c r="E1013" s="61"/>
      <c r="H1013" s="61"/>
      <c r="I1013" s="60"/>
      <c r="K1013" s="62"/>
      <c r="O1013" s="60"/>
      <c r="P1013" s="61"/>
      <c r="Q1013" s="62"/>
      <c r="R1013" s="61"/>
      <c r="S1013" s="62"/>
      <c r="T1013" s="61"/>
      <c r="U1013" s="62"/>
      <c r="V1013" s="61"/>
      <c r="W1013" s="62"/>
      <c r="X1013" s="61"/>
      <c r="Y1013" s="62"/>
      <c r="Z1013" s="61"/>
      <c r="AA1013" s="62"/>
    </row>
    <row r="1014" spans="3:27" ht="16.5" customHeight="1">
      <c r="C1014" s="118"/>
      <c r="E1014" s="61"/>
      <c r="H1014" s="61"/>
      <c r="I1014" s="60"/>
      <c r="K1014" s="62"/>
      <c r="O1014" s="60"/>
      <c r="P1014" s="61"/>
      <c r="Q1014" s="62"/>
      <c r="R1014" s="61"/>
      <c r="S1014" s="62"/>
      <c r="T1014" s="61"/>
      <c r="U1014" s="62"/>
      <c r="V1014" s="61"/>
      <c r="W1014" s="62"/>
      <c r="X1014" s="61"/>
      <c r="Y1014" s="62"/>
      <c r="Z1014" s="61"/>
      <c r="AA1014" s="62"/>
    </row>
    <row r="1015" spans="3:27" ht="16.5" customHeight="1">
      <c r="C1015" s="118"/>
      <c r="E1015" s="61"/>
      <c r="H1015" s="61"/>
      <c r="I1015" s="60"/>
      <c r="K1015" s="62"/>
      <c r="O1015" s="60"/>
      <c r="P1015" s="61"/>
      <c r="Q1015" s="62"/>
      <c r="R1015" s="61"/>
      <c r="S1015" s="62"/>
      <c r="T1015" s="61"/>
      <c r="U1015" s="62"/>
      <c r="V1015" s="61"/>
      <c r="W1015" s="62"/>
      <c r="X1015" s="61"/>
      <c r="Y1015" s="62"/>
      <c r="Z1015" s="61"/>
      <c r="AA1015" s="62"/>
    </row>
    <row r="1016" spans="3:27" ht="16.5" customHeight="1">
      <c r="C1016" s="118"/>
      <c r="E1016" s="61"/>
      <c r="H1016" s="61"/>
      <c r="I1016" s="60"/>
      <c r="K1016" s="62"/>
      <c r="O1016" s="60"/>
      <c r="P1016" s="61"/>
      <c r="Q1016" s="62"/>
      <c r="R1016" s="61"/>
      <c r="S1016" s="62"/>
      <c r="T1016" s="61"/>
      <c r="U1016" s="62"/>
      <c r="V1016" s="61"/>
      <c r="W1016" s="62"/>
      <c r="X1016" s="61"/>
      <c r="Y1016" s="62"/>
      <c r="Z1016" s="61"/>
      <c r="AA1016" s="62"/>
    </row>
    <row r="1017" spans="3:27" ht="16.5" customHeight="1">
      <c r="C1017" s="118"/>
      <c r="E1017" s="61"/>
      <c r="H1017" s="61"/>
      <c r="I1017" s="60"/>
      <c r="K1017" s="62"/>
      <c r="O1017" s="60"/>
      <c r="P1017" s="61"/>
      <c r="Q1017" s="62"/>
      <c r="R1017" s="61"/>
      <c r="S1017" s="62"/>
      <c r="T1017" s="61"/>
      <c r="U1017" s="62"/>
      <c r="V1017" s="61"/>
      <c r="W1017" s="62"/>
      <c r="X1017" s="61"/>
      <c r="Y1017" s="62"/>
      <c r="Z1017" s="61"/>
      <c r="AA1017" s="62"/>
    </row>
    <row r="1018" spans="3:27" ht="16.5" customHeight="1">
      <c r="C1018" s="118"/>
      <c r="E1018" s="61"/>
      <c r="H1018" s="61"/>
      <c r="I1018" s="60"/>
      <c r="K1018" s="62"/>
      <c r="O1018" s="60"/>
      <c r="P1018" s="61"/>
      <c r="Q1018" s="62"/>
      <c r="R1018" s="61"/>
      <c r="S1018" s="62"/>
      <c r="T1018" s="61"/>
      <c r="U1018" s="62"/>
      <c r="V1018" s="61"/>
      <c r="W1018" s="62"/>
      <c r="X1018" s="61"/>
      <c r="Y1018" s="62"/>
      <c r="Z1018" s="61"/>
      <c r="AA1018" s="62"/>
    </row>
    <row r="1019" spans="3:27" ht="16.5" customHeight="1">
      <c r="C1019" s="118"/>
      <c r="E1019" s="61"/>
      <c r="H1019" s="61"/>
      <c r="I1019" s="60"/>
      <c r="K1019" s="62"/>
      <c r="O1019" s="60"/>
      <c r="P1019" s="61"/>
      <c r="Q1019" s="62"/>
      <c r="R1019" s="61"/>
      <c r="S1019" s="62"/>
      <c r="T1019" s="61"/>
      <c r="U1019" s="62"/>
      <c r="V1019" s="61"/>
      <c r="W1019" s="62"/>
      <c r="X1019" s="61"/>
      <c r="Y1019" s="62"/>
      <c r="Z1019" s="61"/>
      <c r="AA1019" s="62"/>
    </row>
    <row r="1020" spans="3:27" ht="16.5" customHeight="1">
      <c r="C1020" s="118"/>
      <c r="E1020" s="61"/>
      <c r="H1020" s="61"/>
      <c r="I1020" s="60"/>
      <c r="K1020" s="62"/>
      <c r="O1020" s="60"/>
      <c r="P1020" s="61"/>
      <c r="Q1020" s="62"/>
      <c r="R1020" s="61"/>
      <c r="S1020" s="62"/>
      <c r="T1020" s="61"/>
      <c r="U1020" s="62"/>
      <c r="V1020" s="61"/>
      <c r="W1020" s="62"/>
      <c r="X1020" s="61"/>
      <c r="Y1020" s="62"/>
      <c r="Z1020" s="61"/>
      <c r="AA1020" s="62"/>
    </row>
    <row r="1021" spans="3:27" ht="16.5" customHeight="1">
      <c r="C1021" s="118"/>
      <c r="E1021" s="61"/>
      <c r="H1021" s="61"/>
      <c r="I1021" s="60"/>
      <c r="K1021" s="62"/>
      <c r="O1021" s="60"/>
      <c r="P1021" s="61"/>
      <c r="Q1021" s="62"/>
      <c r="R1021" s="61"/>
      <c r="S1021" s="62"/>
      <c r="T1021" s="61"/>
      <c r="U1021" s="62"/>
      <c r="V1021" s="61"/>
      <c r="W1021" s="62"/>
      <c r="X1021" s="61"/>
      <c r="Y1021" s="62"/>
      <c r="Z1021" s="61"/>
      <c r="AA1021" s="62"/>
    </row>
    <row r="1022" spans="3:27" ht="16.5" customHeight="1">
      <c r="C1022" s="118"/>
      <c r="E1022" s="61"/>
      <c r="H1022" s="61"/>
      <c r="I1022" s="60"/>
      <c r="K1022" s="62"/>
      <c r="O1022" s="60"/>
      <c r="P1022" s="61"/>
      <c r="Q1022" s="62"/>
      <c r="R1022" s="61"/>
      <c r="S1022" s="62"/>
      <c r="T1022" s="61"/>
      <c r="U1022" s="62"/>
      <c r="V1022" s="61"/>
      <c r="W1022" s="62"/>
      <c r="X1022" s="61"/>
      <c r="Y1022" s="62"/>
      <c r="Z1022" s="61"/>
      <c r="AA1022" s="62"/>
    </row>
    <row r="1023" spans="3:27" ht="16.5" customHeight="1">
      <c r="C1023" s="118"/>
      <c r="E1023" s="61"/>
      <c r="H1023" s="61"/>
      <c r="I1023" s="60"/>
      <c r="K1023" s="62"/>
      <c r="O1023" s="60"/>
      <c r="P1023" s="61"/>
      <c r="Q1023" s="62"/>
      <c r="R1023" s="61"/>
      <c r="S1023" s="62"/>
      <c r="T1023" s="61"/>
      <c r="U1023" s="62"/>
      <c r="V1023" s="61"/>
      <c r="W1023" s="62"/>
      <c r="X1023" s="61"/>
      <c r="Y1023" s="62"/>
      <c r="Z1023" s="61"/>
      <c r="AA1023" s="62"/>
    </row>
    <row r="1024" spans="3:27" ht="16.5" customHeight="1">
      <c r="C1024" s="118"/>
      <c r="E1024" s="61"/>
      <c r="H1024" s="61"/>
      <c r="I1024" s="60"/>
      <c r="K1024" s="62"/>
      <c r="O1024" s="60"/>
      <c r="P1024" s="61"/>
      <c r="Q1024" s="62"/>
      <c r="R1024" s="61"/>
      <c r="S1024" s="62"/>
      <c r="T1024" s="61"/>
      <c r="U1024" s="62"/>
      <c r="V1024" s="61"/>
      <c r="W1024" s="62"/>
      <c r="X1024" s="61"/>
      <c r="Y1024" s="62"/>
      <c r="Z1024" s="61"/>
      <c r="AA1024" s="62"/>
    </row>
    <row r="1025" spans="3:27" ht="16.5" customHeight="1">
      <c r="C1025" s="118"/>
      <c r="E1025" s="61"/>
      <c r="H1025" s="61"/>
      <c r="I1025" s="60"/>
      <c r="K1025" s="62"/>
      <c r="O1025" s="60"/>
      <c r="P1025" s="61"/>
      <c r="Q1025" s="62"/>
      <c r="R1025" s="61"/>
      <c r="S1025" s="62"/>
      <c r="T1025" s="61"/>
      <c r="U1025" s="62"/>
      <c r="V1025" s="61"/>
      <c r="W1025" s="62"/>
      <c r="X1025" s="61"/>
      <c r="Y1025" s="62"/>
      <c r="Z1025" s="61"/>
      <c r="AA1025" s="62"/>
    </row>
    <row r="1026" spans="3:27" ht="16.5" customHeight="1">
      <c r="C1026" s="118"/>
      <c r="E1026" s="61"/>
      <c r="H1026" s="61"/>
      <c r="I1026" s="60"/>
      <c r="K1026" s="62"/>
      <c r="O1026" s="60"/>
      <c r="P1026" s="61"/>
      <c r="Q1026" s="62"/>
      <c r="R1026" s="61"/>
      <c r="S1026" s="62"/>
      <c r="T1026" s="61"/>
      <c r="U1026" s="62"/>
      <c r="V1026" s="61"/>
      <c r="W1026" s="62"/>
      <c r="X1026" s="61"/>
      <c r="Y1026" s="62"/>
      <c r="Z1026" s="61"/>
      <c r="AA1026" s="62"/>
    </row>
    <row r="1027" spans="3:27" ht="16.5" customHeight="1">
      <c r="C1027" s="118"/>
      <c r="E1027" s="61"/>
      <c r="H1027" s="61"/>
      <c r="I1027" s="60"/>
      <c r="K1027" s="62"/>
      <c r="O1027" s="60"/>
      <c r="P1027" s="61"/>
      <c r="Q1027" s="62"/>
      <c r="R1027" s="61"/>
      <c r="S1027" s="62"/>
      <c r="T1027" s="61"/>
      <c r="U1027" s="62"/>
      <c r="V1027" s="61"/>
      <c r="W1027" s="62"/>
      <c r="X1027" s="61"/>
      <c r="Y1027" s="62"/>
      <c r="Z1027" s="61"/>
      <c r="AA1027" s="62"/>
    </row>
    <row r="1028" spans="3:27" ht="16.5" customHeight="1">
      <c r="C1028" s="118"/>
      <c r="E1028" s="61"/>
      <c r="H1028" s="61"/>
      <c r="I1028" s="60"/>
      <c r="K1028" s="62"/>
      <c r="O1028" s="60"/>
      <c r="P1028" s="61"/>
      <c r="Q1028" s="62"/>
      <c r="R1028" s="61"/>
      <c r="S1028" s="62"/>
      <c r="T1028" s="61"/>
      <c r="U1028" s="62"/>
      <c r="V1028" s="61"/>
      <c r="W1028" s="62"/>
      <c r="X1028" s="61"/>
      <c r="Y1028" s="62"/>
      <c r="Z1028" s="61"/>
      <c r="AA1028" s="62"/>
    </row>
    <row r="1029" spans="3:27" ht="16.5" customHeight="1">
      <c r="C1029" s="118"/>
      <c r="E1029" s="61"/>
      <c r="H1029" s="61"/>
      <c r="I1029" s="60"/>
      <c r="K1029" s="62"/>
      <c r="O1029" s="60"/>
      <c r="P1029" s="61"/>
      <c r="Q1029" s="62"/>
      <c r="R1029" s="61"/>
      <c r="S1029" s="62"/>
      <c r="T1029" s="61"/>
      <c r="U1029" s="62"/>
      <c r="V1029" s="61"/>
      <c r="W1029" s="62"/>
      <c r="X1029" s="61"/>
      <c r="Y1029" s="62"/>
      <c r="Z1029" s="61"/>
      <c r="AA1029" s="62"/>
    </row>
    <row r="1030" spans="3:27" ht="16.5" customHeight="1">
      <c r="C1030" s="118"/>
      <c r="E1030" s="61"/>
      <c r="H1030" s="61"/>
      <c r="I1030" s="60"/>
      <c r="K1030" s="62"/>
      <c r="O1030" s="60"/>
      <c r="P1030" s="61"/>
      <c r="Q1030" s="62"/>
      <c r="R1030" s="61"/>
      <c r="S1030" s="62"/>
      <c r="T1030" s="61"/>
      <c r="U1030" s="62"/>
      <c r="V1030" s="61"/>
      <c r="W1030" s="62"/>
      <c r="X1030" s="61"/>
      <c r="Y1030" s="62"/>
      <c r="Z1030" s="61"/>
      <c r="AA1030" s="62"/>
    </row>
  </sheetData>
  <sortState xmlns:xlrd2="http://schemas.microsoft.com/office/spreadsheetml/2017/richdata2" ref="G77:G146">
    <sortCondition ref="G77:G146"/>
  </sortState>
  <mergeCells count="36">
    <mergeCell ref="E7:F7"/>
    <mergeCell ref="K4:K14"/>
    <mergeCell ref="D3:F3"/>
    <mergeCell ref="A1:K1"/>
    <mergeCell ref="E4:F4"/>
    <mergeCell ref="E5:F5"/>
    <mergeCell ref="B4:B22"/>
    <mergeCell ref="C4:C22"/>
    <mergeCell ref="X2:Y2"/>
    <mergeCell ref="Z2:AA2"/>
    <mergeCell ref="E6:F6"/>
    <mergeCell ref="P2:Q2"/>
    <mergeCell ref="R2:S2"/>
    <mergeCell ref="T2:U2"/>
    <mergeCell ref="V2:W2"/>
    <mergeCell ref="B23:D23"/>
    <mergeCell ref="B25:D25"/>
    <mergeCell ref="A26:B26"/>
    <mergeCell ref="A27:A38"/>
    <mergeCell ref="A39:B39"/>
    <mergeCell ref="A4:A25"/>
    <mergeCell ref="A177:B177"/>
    <mergeCell ref="I177:J177"/>
    <mergeCell ref="A77:A176"/>
    <mergeCell ref="I39:J39"/>
    <mergeCell ref="I26:J26"/>
    <mergeCell ref="B40:B48"/>
    <mergeCell ref="B51:D51"/>
    <mergeCell ref="B52:B54"/>
    <mergeCell ref="A76:B76"/>
    <mergeCell ref="I76:J76"/>
    <mergeCell ref="A40:A55"/>
    <mergeCell ref="A56:B56"/>
    <mergeCell ref="I56:J56"/>
    <mergeCell ref="B55:D55"/>
    <mergeCell ref="A57:A75"/>
  </mergeCells>
  <phoneticPr fontId="27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>
      <pane ySplit="3" topLeftCell="A26" activePane="bottomLeft" state="frozen"/>
      <selection pane="bottomLeft" activeCell="D46" sqref="D45:D46"/>
    </sheetView>
  </sheetViews>
  <sheetFormatPr defaultColWidth="12.5703125" defaultRowHeight="15" customHeight="1"/>
  <cols>
    <col min="1" max="1" width="36.140625" customWidth="1"/>
    <col min="2" max="2" width="17.28515625" customWidth="1"/>
    <col min="3" max="3" width="19.5703125" bestFit="1" customWidth="1"/>
    <col min="4" max="4" width="17.42578125" bestFit="1" customWidth="1"/>
    <col min="5" max="5" width="13.140625" bestFit="1" customWidth="1"/>
    <col min="6" max="6" width="11.85546875" customWidth="1"/>
    <col min="7" max="7" width="12.28515625" customWidth="1"/>
    <col min="8" max="8" width="17.28515625" customWidth="1"/>
    <col min="9" max="9" width="9.7109375" customWidth="1"/>
    <col min="10" max="10" width="14.42578125" customWidth="1"/>
    <col min="11" max="11" width="8.28515625" customWidth="1"/>
    <col min="12" max="14" width="7.5703125" customWidth="1"/>
    <col min="15" max="15" width="14.42578125" customWidth="1"/>
    <col min="16" max="16" width="9.28515625" customWidth="1"/>
    <col min="17" max="17" width="9.5703125" customWidth="1"/>
    <col min="18" max="18" width="13.28515625" customWidth="1"/>
    <col min="19" max="19" width="9.5703125" customWidth="1"/>
    <col min="20" max="20" width="11.42578125" customWidth="1"/>
    <col min="21" max="23" width="7.85546875" customWidth="1"/>
    <col min="24" max="24" width="9.28515625" customWidth="1"/>
    <col min="25" max="25" width="7.85546875" customWidth="1"/>
    <col min="26" max="26" width="13.42578125" customWidth="1"/>
    <col min="27" max="27" width="8" customWidth="1"/>
  </cols>
  <sheetData>
    <row r="1" spans="1:27" ht="16.5" customHeight="1">
      <c r="A1" s="711" t="s">
        <v>281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O1" s="60" t="s">
        <v>220</v>
      </c>
      <c r="P1" s="61"/>
      <c r="Q1" s="62"/>
      <c r="R1" s="61"/>
      <c r="S1" s="62"/>
      <c r="T1" s="61"/>
      <c r="U1" s="62"/>
      <c r="V1" s="61"/>
      <c r="W1" s="62"/>
      <c r="X1" s="61"/>
      <c r="Y1" s="62"/>
      <c r="Z1" s="61"/>
      <c r="AA1" s="62"/>
    </row>
    <row r="2" spans="1:27" ht="32.25" customHeight="1">
      <c r="A2" s="65">
        <f>예산!L3</f>
        <v>485690651</v>
      </c>
      <c r="B2" s="44"/>
      <c r="C2" s="66"/>
      <c r="D2" s="44"/>
      <c r="E2" s="61"/>
      <c r="F2" s="44"/>
      <c r="G2" s="44"/>
      <c r="H2" s="61"/>
      <c r="I2" s="67"/>
      <c r="J2" s="68" t="s">
        <v>236</v>
      </c>
      <c r="K2" s="62"/>
      <c r="O2" s="121" t="s">
        <v>237</v>
      </c>
      <c r="P2" s="717" t="s">
        <v>7</v>
      </c>
      <c r="Q2" s="595"/>
      <c r="R2" s="647" t="s">
        <v>238</v>
      </c>
      <c r="S2" s="595"/>
      <c r="T2" s="717" t="s">
        <v>31</v>
      </c>
      <c r="U2" s="595"/>
      <c r="V2" s="717" t="s">
        <v>71</v>
      </c>
      <c r="W2" s="595"/>
      <c r="X2" s="717" t="s">
        <v>83</v>
      </c>
      <c r="Y2" s="595"/>
      <c r="Z2" s="717" t="s">
        <v>239</v>
      </c>
      <c r="AA2" s="595"/>
    </row>
    <row r="3" spans="1:27" ht="16.5" customHeight="1">
      <c r="A3" s="72" t="s">
        <v>240</v>
      </c>
      <c r="B3" s="73" t="s">
        <v>241</v>
      </c>
      <c r="C3" s="74" t="s">
        <v>0</v>
      </c>
      <c r="D3" s="662" t="s">
        <v>242</v>
      </c>
      <c r="E3" s="663"/>
      <c r="F3" s="664"/>
      <c r="G3" s="73" t="s">
        <v>243</v>
      </c>
      <c r="H3" s="75" t="s">
        <v>244</v>
      </c>
      <c r="I3" s="76" t="s">
        <v>245</v>
      </c>
      <c r="J3" s="77" t="s">
        <v>246</v>
      </c>
      <c r="K3" s="78" t="s">
        <v>247</v>
      </c>
      <c r="O3" s="122" t="s">
        <v>248</v>
      </c>
      <c r="P3" s="123">
        <f>H18</f>
        <v>4028892</v>
      </c>
      <c r="Q3" s="124">
        <f>K18</f>
        <v>1</v>
      </c>
      <c r="R3" s="80">
        <f>H30</f>
        <v>0</v>
      </c>
      <c r="S3" s="81" t="e">
        <f>K30</f>
        <v>#DIV/0!</v>
      </c>
      <c r="T3" s="123">
        <f>H41</f>
        <v>186410400</v>
      </c>
      <c r="U3" s="124">
        <f>K41</f>
        <v>0.66009766846609974</v>
      </c>
      <c r="V3" s="123">
        <f>H48</f>
        <v>0</v>
      </c>
      <c r="W3" s="124">
        <f>K48</f>
        <v>0</v>
      </c>
      <c r="X3" s="123">
        <f>H87</f>
        <v>0</v>
      </c>
      <c r="Y3" s="124">
        <f>K87</f>
        <v>0</v>
      </c>
      <c r="Z3" s="125">
        <f>H88</f>
        <v>190439292</v>
      </c>
      <c r="AA3" s="126">
        <f>K88</f>
        <v>0.39209997476356612</v>
      </c>
    </row>
    <row r="4" spans="1:27" ht="16.5" customHeight="1">
      <c r="A4" s="624" t="s">
        <v>7</v>
      </c>
      <c r="B4" s="625" t="s">
        <v>249</v>
      </c>
      <c r="C4" s="649">
        <f>예산!P5</f>
        <v>4028892</v>
      </c>
      <c r="D4" s="85" t="s">
        <v>15</v>
      </c>
      <c r="E4" s="660">
        <f>예산!P7</f>
        <v>2439392</v>
      </c>
      <c r="F4" s="595"/>
      <c r="G4" s="85" t="s">
        <v>222</v>
      </c>
      <c r="H4" s="86">
        <f>예산!N7+예산!N8</f>
        <v>3405260</v>
      </c>
      <c r="I4" s="87">
        <v>45776</v>
      </c>
      <c r="J4" s="85"/>
      <c r="K4" s="651"/>
      <c r="O4" s="60">
        <v>45793</v>
      </c>
      <c r="P4" s="61">
        <v>4028892</v>
      </c>
      <c r="Q4" s="62">
        <v>1</v>
      </c>
      <c r="R4" s="61">
        <v>0</v>
      </c>
      <c r="S4" s="62">
        <v>0</v>
      </c>
      <c r="T4" s="61">
        <v>186410400</v>
      </c>
      <c r="U4" s="62">
        <v>0.66009766846609974</v>
      </c>
      <c r="V4" s="61">
        <v>0</v>
      </c>
      <c r="W4" s="62">
        <v>0</v>
      </c>
      <c r="X4" s="61">
        <v>0</v>
      </c>
      <c r="Y4" s="62">
        <v>0</v>
      </c>
      <c r="Z4" s="61">
        <v>190439292</v>
      </c>
      <c r="AA4" s="62">
        <v>0.39209997476356612</v>
      </c>
    </row>
    <row r="5" spans="1:27" ht="16.5" customHeight="1">
      <c r="A5" s="579"/>
      <c r="B5" s="579"/>
      <c r="C5" s="579"/>
      <c r="D5" s="85" t="s">
        <v>19</v>
      </c>
      <c r="E5" s="660">
        <f>예산!P8</f>
        <v>1589500</v>
      </c>
      <c r="F5" s="595"/>
      <c r="G5" s="85" t="s">
        <v>223</v>
      </c>
      <c r="H5" s="86">
        <f>예산!N7-1192128</f>
        <v>623632</v>
      </c>
      <c r="I5" s="87"/>
      <c r="J5" s="85"/>
      <c r="K5" s="579"/>
      <c r="O5" s="60"/>
      <c r="P5" s="61"/>
      <c r="Q5" s="62"/>
      <c r="R5" s="61"/>
      <c r="S5" s="62"/>
      <c r="T5" s="61"/>
      <c r="U5" s="62"/>
      <c r="V5" s="61"/>
      <c r="W5" s="62"/>
      <c r="X5" s="61"/>
      <c r="Y5" s="62"/>
      <c r="Z5" s="61"/>
      <c r="AA5" s="62"/>
    </row>
    <row r="6" spans="1:27" ht="16.5" customHeight="1">
      <c r="A6" s="579"/>
      <c r="B6" s="579"/>
      <c r="C6" s="579"/>
      <c r="D6" s="85" t="s">
        <v>250</v>
      </c>
      <c r="E6" s="660"/>
      <c r="F6" s="595"/>
      <c r="G6" s="85"/>
      <c r="H6" s="86"/>
      <c r="I6" s="87"/>
      <c r="J6" s="85"/>
      <c r="K6" s="579"/>
      <c r="O6" s="60"/>
      <c r="P6" s="61"/>
      <c r="Q6" s="62"/>
      <c r="R6" s="61"/>
      <c r="S6" s="62"/>
      <c r="T6" s="61"/>
      <c r="U6" s="62"/>
      <c r="V6" s="61"/>
      <c r="W6" s="62"/>
      <c r="X6" s="61"/>
      <c r="Y6" s="62"/>
      <c r="Z6" s="61"/>
      <c r="AA6" s="62"/>
    </row>
    <row r="7" spans="1:27" ht="16.5" customHeight="1">
      <c r="A7" s="579"/>
      <c r="B7" s="579"/>
      <c r="C7" s="579"/>
      <c r="D7" s="85" t="s">
        <v>250</v>
      </c>
      <c r="E7" s="660"/>
      <c r="F7" s="595"/>
      <c r="G7" s="85"/>
      <c r="H7" s="86"/>
      <c r="I7" s="87"/>
      <c r="J7" s="85"/>
      <c r="K7" s="579"/>
      <c r="O7" s="60"/>
      <c r="P7" s="61"/>
      <c r="Q7" s="62"/>
      <c r="R7" s="61"/>
      <c r="S7" s="62"/>
      <c r="T7" s="61"/>
      <c r="U7" s="62"/>
      <c r="V7" s="61"/>
      <c r="W7" s="62"/>
      <c r="X7" s="61"/>
      <c r="Y7" s="62"/>
      <c r="Z7" s="61"/>
      <c r="AA7" s="62"/>
    </row>
    <row r="8" spans="1:27" ht="16.5" customHeight="1">
      <c r="A8" s="579"/>
      <c r="B8" s="579"/>
      <c r="C8" s="579"/>
      <c r="D8" s="718"/>
      <c r="E8" s="719"/>
      <c r="F8" s="671"/>
      <c r="G8" s="85"/>
      <c r="H8" s="86"/>
      <c r="I8" s="87"/>
      <c r="J8" s="85"/>
      <c r="K8" s="579"/>
      <c r="O8" s="60"/>
      <c r="P8" s="61"/>
      <c r="Q8" s="62"/>
      <c r="R8" s="61"/>
      <c r="S8" s="62"/>
      <c r="T8" s="61"/>
      <c r="U8" s="62"/>
      <c r="V8" s="61"/>
      <c r="W8" s="62"/>
      <c r="X8" s="61"/>
      <c r="Y8" s="62"/>
      <c r="Z8" s="61"/>
      <c r="AA8" s="62"/>
    </row>
    <row r="9" spans="1:27" ht="16.5" customHeight="1">
      <c r="A9" s="579"/>
      <c r="B9" s="579"/>
      <c r="C9" s="579"/>
      <c r="D9" s="589"/>
      <c r="E9" s="587"/>
      <c r="F9" s="710"/>
      <c r="G9" s="85"/>
      <c r="H9" s="86"/>
      <c r="I9" s="87"/>
      <c r="J9" s="85"/>
      <c r="K9" s="579"/>
      <c r="O9" s="60"/>
      <c r="P9" s="61"/>
      <c r="Q9" s="62"/>
      <c r="R9" s="61"/>
      <c r="S9" s="62"/>
      <c r="T9" s="61"/>
      <c r="U9" s="62"/>
      <c r="V9" s="61"/>
      <c r="W9" s="62"/>
      <c r="X9" s="61"/>
      <c r="Y9" s="62"/>
      <c r="Z9" s="61"/>
      <c r="AA9" s="62"/>
    </row>
    <row r="10" spans="1:27" ht="16.5" customHeight="1">
      <c r="A10" s="579"/>
      <c r="B10" s="579"/>
      <c r="C10" s="579"/>
      <c r="D10" s="589"/>
      <c r="E10" s="587"/>
      <c r="F10" s="710"/>
      <c r="G10" s="85"/>
      <c r="H10" s="86"/>
      <c r="I10" s="87"/>
      <c r="J10" s="85"/>
      <c r="K10" s="579"/>
      <c r="O10" s="60"/>
      <c r="P10" s="61"/>
      <c r="Q10" s="62"/>
      <c r="R10" s="61"/>
      <c r="S10" s="62"/>
      <c r="T10" s="61"/>
      <c r="U10" s="62"/>
      <c r="V10" s="61"/>
      <c r="W10" s="62"/>
      <c r="X10" s="61"/>
      <c r="Y10" s="62"/>
      <c r="Z10" s="61"/>
      <c r="AA10" s="62"/>
    </row>
    <row r="11" spans="1:27" ht="16.5" customHeight="1">
      <c r="A11" s="579"/>
      <c r="B11" s="579"/>
      <c r="C11" s="579"/>
      <c r="D11" s="589"/>
      <c r="E11" s="587"/>
      <c r="F11" s="710"/>
      <c r="G11" s="85"/>
      <c r="H11" s="86"/>
      <c r="I11" s="87"/>
      <c r="J11" s="85"/>
      <c r="K11" s="579"/>
      <c r="O11" s="60"/>
      <c r="P11" s="61"/>
      <c r="Q11" s="62"/>
      <c r="R11" s="61"/>
      <c r="S11" s="62"/>
      <c r="T11" s="61"/>
      <c r="U11" s="62"/>
      <c r="V11" s="61"/>
      <c r="W11" s="62"/>
      <c r="X11" s="61"/>
      <c r="Y11" s="62"/>
      <c r="Z11" s="61"/>
      <c r="AA11" s="62"/>
    </row>
    <row r="12" spans="1:27" ht="16.5" customHeight="1">
      <c r="A12" s="579"/>
      <c r="B12" s="579"/>
      <c r="C12" s="579"/>
      <c r="D12" s="589"/>
      <c r="E12" s="587"/>
      <c r="F12" s="710"/>
      <c r="G12" s="85"/>
      <c r="H12" s="86"/>
      <c r="I12" s="87"/>
      <c r="J12" s="85"/>
      <c r="K12" s="579"/>
      <c r="O12" s="60"/>
      <c r="P12" s="61"/>
      <c r="Q12" s="62"/>
      <c r="R12" s="61"/>
      <c r="S12" s="62"/>
      <c r="T12" s="61"/>
      <c r="U12" s="62"/>
      <c r="V12" s="61"/>
      <c r="W12" s="62"/>
      <c r="X12" s="61"/>
      <c r="Y12" s="62"/>
      <c r="Z12" s="61"/>
      <c r="AA12" s="62"/>
    </row>
    <row r="13" spans="1:27" ht="16.5" customHeight="1">
      <c r="A13" s="579"/>
      <c r="B13" s="579"/>
      <c r="C13" s="579"/>
      <c r="D13" s="589"/>
      <c r="E13" s="587"/>
      <c r="F13" s="710"/>
      <c r="G13" s="85"/>
      <c r="H13" s="86"/>
      <c r="I13" s="87"/>
      <c r="J13" s="85"/>
      <c r="K13" s="579"/>
      <c r="O13" s="60"/>
      <c r="P13" s="61"/>
      <c r="Q13" s="62"/>
      <c r="R13" s="61"/>
      <c r="S13" s="62"/>
      <c r="T13" s="61"/>
      <c r="U13" s="62"/>
      <c r="V13" s="61"/>
      <c r="W13" s="62"/>
      <c r="X13" s="61"/>
      <c r="Y13" s="62"/>
      <c r="Z13" s="61"/>
      <c r="AA13" s="62"/>
    </row>
    <row r="14" spans="1:27" ht="16.5" customHeight="1">
      <c r="A14" s="579"/>
      <c r="B14" s="581"/>
      <c r="C14" s="581"/>
      <c r="D14" s="592"/>
      <c r="E14" s="686"/>
      <c r="F14" s="672"/>
      <c r="G14" s="85"/>
      <c r="H14" s="86"/>
      <c r="I14" s="87"/>
      <c r="J14" s="85"/>
      <c r="K14" s="581"/>
      <c r="O14" s="60"/>
      <c r="P14" s="61"/>
      <c r="Q14" s="62"/>
      <c r="R14" s="61"/>
      <c r="S14" s="62"/>
      <c r="T14" s="61"/>
      <c r="U14" s="62"/>
      <c r="V14" s="61"/>
      <c r="W14" s="62"/>
      <c r="X14" s="61"/>
      <c r="Y14" s="62"/>
      <c r="Z14" s="61"/>
      <c r="AA14" s="62"/>
    </row>
    <row r="15" spans="1:27" ht="16.5" customHeight="1">
      <c r="A15" s="579"/>
      <c r="B15" s="613" t="s">
        <v>21</v>
      </c>
      <c r="C15" s="594"/>
      <c r="D15" s="595"/>
      <c r="E15" s="88">
        <f>SUM(E4:E14)</f>
        <v>4028892</v>
      </c>
      <c r="F15" s="89"/>
      <c r="G15" s="89"/>
      <c r="H15" s="88">
        <f>SUM(H4:H14)</f>
        <v>4028892</v>
      </c>
      <c r="I15" s="90"/>
      <c r="J15" s="89"/>
      <c r="K15" s="91"/>
      <c r="O15" s="60"/>
      <c r="P15" s="61"/>
      <c r="Q15" s="62"/>
      <c r="R15" s="61"/>
      <c r="S15" s="62"/>
      <c r="T15" s="61"/>
      <c r="U15" s="62"/>
      <c r="V15" s="61"/>
      <c r="W15" s="62"/>
      <c r="X15" s="61"/>
      <c r="Y15" s="62"/>
      <c r="Z15" s="61"/>
      <c r="AA15" s="62"/>
    </row>
    <row r="16" spans="1:27" ht="16.5" customHeight="1">
      <c r="A16" s="579"/>
      <c r="B16" s="85" t="s">
        <v>26</v>
      </c>
      <c r="C16" s="92"/>
      <c r="D16" s="85"/>
      <c r="E16" s="86"/>
      <c r="F16" s="85"/>
      <c r="G16" s="85"/>
      <c r="H16" s="86"/>
      <c r="I16" s="87"/>
      <c r="J16" s="85"/>
      <c r="K16" s="93"/>
      <c r="O16" s="60"/>
      <c r="P16" s="61"/>
      <c r="Q16" s="62"/>
      <c r="R16" s="61"/>
      <c r="S16" s="62"/>
      <c r="T16" s="61"/>
      <c r="U16" s="62"/>
      <c r="V16" s="61"/>
      <c r="W16" s="62"/>
      <c r="X16" s="61"/>
      <c r="Y16" s="62"/>
      <c r="Z16" s="61"/>
      <c r="AA16" s="62"/>
    </row>
    <row r="17" spans="1:27" ht="16.5" customHeight="1">
      <c r="A17" s="581"/>
      <c r="B17" s="613" t="s">
        <v>21</v>
      </c>
      <c r="C17" s="594"/>
      <c r="D17" s="595"/>
      <c r="E17" s="88">
        <f>$C16</f>
        <v>0</v>
      </c>
      <c r="F17" s="94"/>
      <c r="G17" s="89"/>
      <c r="H17" s="95">
        <v>0</v>
      </c>
      <c r="I17" s="90"/>
      <c r="J17" s="89"/>
      <c r="K17" s="91"/>
      <c r="O17" s="60"/>
      <c r="P17" s="61"/>
      <c r="Q17" s="62"/>
      <c r="R17" s="61"/>
      <c r="S17" s="62"/>
      <c r="T17" s="61"/>
      <c r="U17" s="62"/>
      <c r="V17" s="61"/>
      <c r="W17" s="62"/>
      <c r="X17" s="61"/>
      <c r="Y17" s="62"/>
      <c r="Z17" s="61"/>
      <c r="AA17" s="62"/>
    </row>
    <row r="18" spans="1:27" ht="16.5" customHeight="1">
      <c r="A18" s="629" t="s">
        <v>251</v>
      </c>
      <c r="B18" s="594"/>
      <c r="C18" s="96">
        <f>예산!P5</f>
        <v>4028892</v>
      </c>
      <c r="D18" s="97"/>
      <c r="E18" s="98">
        <f>C18</f>
        <v>4028892</v>
      </c>
      <c r="F18" s="99"/>
      <c r="G18" s="100"/>
      <c r="H18" s="101">
        <f>H15+H17</f>
        <v>4028892</v>
      </c>
      <c r="I18" s="648"/>
      <c r="J18" s="595"/>
      <c r="K18" s="102">
        <f>H18/C18</f>
        <v>1</v>
      </c>
      <c r="O18" s="60"/>
      <c r="P18" s="61"/>
      <c r="Q18" s="62"/>
      <c r="R18" s="61"/>
      <c r="S18" s="62"/>
      <c r="T18" s="61"/>
      <c r="U18" s="62"/>
      <c r="V18" s="61"/>
      <c r="W18" s="62"/>
      <c r="X18" s="61"/>
      <c r="Y18" s="62"/>
      <c r="Z18" s="61"/>
      <c r="AA18" s="62"/>
    </row>
    <row r="19" spans="1:27" ht="16.5" customHeight="1">
      <c r="A19" s="624" t="s">
        <v>238</v>
      </c>
      <c r="B19" s="625" t="s">
        <v>238</v>
      </c>
      <c r="C19" s="715"/>
      <c r="D19" s="85"/>
      <c r="E19" s="86"/>
      <c r="F19" s="85"/>
      <c r="G19" s="85"/>
      <c r="H19" s="104"/>
      <c r="I19" s="87"/>
      <c r="J19" s="85"/>
      <c r="K19" s="93"/>
      <c r="O19" s="60"/>
      <c r="P19" s="61"/>
      <c r="Q19" s="62"/>
      <c r="R19" s="61"/>
      <c r="S19" s="62"/>
      <c r="T19" s="61"/>
      <c r="U19" s="62"/>
      <c r="V19" s="61"/>
      <c r="W19" s="62"/>
      <c r="X19" s="61"/>
      <c r="Y19" s="62"/>
      <c r="Z19" s="61"/>
      <c r="AA19" s="62"/>
    </row>
    <row r="20" spans="1:27" ht="16.5" customHeight="1">
      <c r="A20" s="579"/>
      <c r="B20" s="579"/>
      <c r="C20" s="579"/>
      <c r="D20" s="85"/>
      <c r="E20" s="86"/>
      <c r="F20" s="85"/>
      <c r="G20" s="85"/>
      <c r="H20" s="86"/>
      <c r="I20" s="87"/>
      <c r="J20" s="85"/>
      <c r="K20" s="93"/>
      <c r="O20" s="60"/>
      <c r="P20" s="61"/>
      <c r="Q20" s="62"/>
      <c r="R20" s="61"/>
      <c r="S20" s="62"/>
      <c r="T20" s="61"/>
      <c r="U20" s="62"/>
      <c r="V20" s="61"/>
      <c r="W20" s="62"/>
      <c r="X20" s="61"/>
      <c r="Y20" s="62"/>
      <c r="Z20" s="61"/>
      <c r="AA20" s="62"/>
    </row>
    <row r="21" spans="1:27" ht="16.5" customHeight="1">
      <c r="A21" s="579"/>
      <c r="B21" s="579"/>
      <c r="C21" s="579"/>
      <c r="D21" s="85"/>
      <c r="E21" s="86"/>
      <c r="F21" s="85"/>
      <c r="G21" s="85"/>
      <c r="H21" s="86"/>
      <c r="I21" s="87"/>
      <c r="J21" s="85"/>
      <c r="K21" s="93"/>
      <c r="O21" s="60"/>
      <c r="P21" s="61"/>
      <c r="Q21" s="62"/>
      <c r="R21" s="61"/>
      <c r="S21" s="62"/>
      <c r="T21" s="61"/>
      <c r="U21" s="62"/>
      <c r="V21" s="61"/>
      <c r="W21" s="62"/>
      <c r="X21" s="61"/>
      <c r="Y21" s="62"/>
      <c r="Z21" s="61"/>
      <c r="AA21" s="62"/>
    </row>
    <row r="22" spans="1:27" ht="16.5" customHeight="1">
      <c r="A22" s="579"/>
      <c r="B22" s="579"/>
      <c r="C22" s="579"/>
      <c r="D22" s="85"/>
      <c r="E22" s="86"/>
      <c r="F22" s="85"/>
      <c r="G22" s="85"/>
      <c r="H22" s="86"/>
      <c r="I22" s="87"/>
      <c r="J22" s="85"/>
      <c r="K22" s="93"/>
      <c r="O22" s="60"/>
      <c r="P22" s="61"/>
      <c r="Q22" s="62"/>
      <c r="R22" s="61"/>
      <c r="S22" s="62"/>
      <c r="T22" s="61"/>
      <c r="U22" s="62"/>
      <c r="V22" s="61"/>
      <c r="W22" s="62"/>
      <c r="X22" s="61"/>
      <c r="Y22" s="62"/>
      <c r="Z22" s="61"/>
      <c r="AA22" s="62"/>
    </row>
    <row r="23" spans="1:27" ht="16.5" customHeight="1">
      <c r="A23" s="579"/>
      <c r="B23" s="579"/>
      <c r="C23" s="579"/>
      <c r="D23" s="85"/>
      <c r="E23" s="86"/>
      <c r="F23" s="85"/>
      <c r="G23" s="85"/>
      <c r="H23" s="86"/>
      <c r="I23" s="87"/>
      <c r="J23" s="85"/>
      <c r="K23" s="93"/>
      <c r="O23" s="60"/>
      <c r="P23" s="61"/>
      <c r="Q23" s="62"/>
      <c r="R23" s="61"/>
      <c r="S23" s="62"/>
      <c r="T23" s="61"/>
      <c r="U23" s="62"/>
      <c r="V23" s="61"/>
      <c r="W23" s="62"/>
      <c r="X23" s="61"/>
      <c r="Y23" s="62"/>
      <c r="Z23" s="61"/>
      <c r="AA23" s="62"/>
    </row>
    <row r="24" spans="1:27" ht="16.5" customHeight="1">
      <c r="A24" s="579"/>
      <c r="B24" s="579"/>
      <c r="C24" s="579"/>
      <c r="D24" s="85"/>
      <c r="E24" s="86"/>
      <c r="F24" s="85"/>
      <c r="G24" s="85"/>
      <c r="H24" s="86"/>
      <c r="I24" s="87"/>
      <c r="J24" s="85"/>
      <c r="K24" s="93"/>
      <c r="O24" s="60"/>
      <c r="P24" s="61"/>
      <c r="Q24" s="62"/>
      <c r="R24" s="61"/>
      <c r="S24" s="62"/>
      <c r="T24" s="61"/>
      <c r="U24" s="62"/>
      <c r="V24" s="61"/>
      <c r="W24" s="62"/>
      <c r="X24" s="61"/>
      <c r="Y24" s="62"/>
      <c r="Z24" s="61"/>
      <c r="AA24" s="62"/>
    </row>
    <row r="25" spans="1:27" ht="16.5" customHeight="1">
      <c r="A25" s="579"/>
      <c r="B25" s="579"/>
      <c r="C25" s="579"/>
      <c r="D25" s="85"/>
      <c r="E25" s="86"/>
      <c r="F25" s="85"/>
      <c r="G25" s="85"/>
      <c r="H25" s="86"/>
      <c r="I25" s="87"/>
      <c r="J25" s="85"/>
      <c r="K25" s="93"/>
      <c r="O25" s="60"/>
      <c r="P25" s="61"/>
      <c r="Q25" s="62"/>
      <c r="R25" s="61"/>
      <c r="S25" s="62"/>
      <c r="T25" s="61"/>
      <c r="U25" s="62"/>
      <c r="V25" s="61"/>
      <c r="W25" s="62"/>
      <c r="X25" s="61"/>
      <c r="Y25" s="62"/>
      <c r="Z25" s="61"/>
      <c r="AA25" s="62"/>
    </row>
    <row r="26" spans="1:27" ht="16.5" customHeight="1">
      <c r="A26" s="579"/>
      <c r="B26" s="579"/>
      <c r="C26" s="579"/>
      <c r="D26" s="85"/>
      <c r="E26" s="86"/>
      <c r="F26" s="85"/>
      <c r="G26" s="85"/>
      <c r="H26" s="86"/>
      <c r="I26" s="87"/>
      <c r="J26" s="85"/>
      <c r="K26" s="93"/>
      <c r="O26" s="60"/>
      <c r="P26" s="61"/>
      <c r="Q26" s="62"/>
      <c r="R26" s="61"/>
      <c r="S26" s="62"/>
      <c r="T26" s="61"/>
      <c r="U26" s="62"/>
      <c r="V26" s="61"/>
      <c r="W26" s="62"/>
      <c r="X26" s="61"/>
      <c r="Y26" s="62"/>
      <c r="Z26" s="61"/>
      <c r="AA26" s="62"/>
    </row>
    <row r="27" spans="1:27" ht="16.5" customHeight="1">
      <c r="A27" s="579"/>
      <c r="B27" s="579"/>
      <c r="C27" s="579"/>
      <c r="D27" s="85"/>
      <c r="E27" s="86"/>
      <c r="F27" s="85"/>
      <c r="G27" s="85"/>
      <c r="H27" s="86"/>
      <c r="I27" s="87"/>
      <c r="J27" s="85"/>
      <c r="K27" s="93"/>
      <c r="O27" s="60"/>
      <c r="P27" s="61"/>
      <c r="Q27" s="62"/>
      <c r="R27" s="61"/>
      <c r="S27" s="62"/>
      <c r="T27" s="61"/>
      <c r="U27" s="62"/>
      <c r="V27" s="61"/>
      <c r="W27" s="62"/>
      <c r="X27" s="61"/>
      <c r="Y27" s="62"/>
      <c r="Z27" s="61"/>
      <c r="AA27" s="62"/>
    </row>
    <row r="28" spans="1:27" ht="16.5" customHeight="1">
      <c r="A28" s="579"/>
      <c r="B28" s="579"/>
      <c r="C28" s="579"/>
      <c r="D28" s="85"/>
      <c r="E28" s="86"/>
      <c r="F28" s="85"/>
      <c r="G28" s="85"/>
      <c r="H28" s="86"/>
      <c r="I28" s="87"/>
      <c r="J28" s="85"/>
      <c r="K28" s="93"/>
      <c r="O28" s="60"/>
      <c r="P28" s="61"/>
      <c r="Q28" s="62"/>
      <c r="R28" s="61"/>
      <c r="S28" s="62"/>
      <c r="T28" s="61"/>
      <c r="U28" s="62"/>
      <c r="V28" s="61"/>
      <c r="W28" s="62"/>
      <c r="X28" s="61"/>
      <c r="Y28" s="62"/>
      <c r="Z28" s="61"/>
      <c r="AA28" s="62"/>
    </row>
    <row r="29" spans="1:27" ht="16.5" customHeight="1">
      <c r="A29" s="581"/>
      <c r="B29" s="581"/>
      <c r="C29" s="716"/>
      <c r="D29" s="85"/>
      <c r="E29" s="86"/>
      <c r="F29" s="85"/>
      <c r="G29" s="85"/>
      <c r="H29" s="106"/>
      <c r="I29" s="87"/>
      <c r="J29" s="85"/>
      <c r="K29" s="93"/>
      <c r="O29" s="60"/>
      <c r="P29" s="61"/>
      <c r="Q29" s="62"/>
      <c r="R29" s="61"/>
      <c r="S29" s="62"/>
      <c r="T29" s="61"/>
      <c r="U29" s="62"/>
      <c r="V29" s="61"/>
      <c r="W29" s="62"/>
      <c r="X29" s="61"/>
      <c r="Y29" s="62"/>
      <c r="Z29" s="61"/>
      <c r="AA29" s="62"/>
    </row>
    <row r="30" spans="1:27" ht="16.5" customHeight="1">
      <c r="A30" s="629" t="s">
        <v>252</v>
      </c>
      <c r="B30" s="594"/>
      <c r="C30" s="96">
        <f>C19</f>
        <v>0</v>
      </c>
      <c r="D30" s="97"/>
      <c r="E30" s="98">
        <f>C30</f>
        <v>0</v>
      </c>
      <c r="F30" s="99"/>
      <c r="G30" s="100"/>
      <c r="H30" s="101">
        <f>SUM(H19:H29)</f>
        <v>0</v>
      </c>
      <c r="I30" s="648"/>
      <c r="J30" s="595"/>
      <c r="K30" s="102" t="e">
        <f>H30/C30</f>
        <v>#DIV/0!</v>
      </c>
      <c r="O30" s="60"/>
      <c r="P30" s="61"/>
      <c r="Q30" s="62"/>
      <c r="R30" s="61"/>
      <c r="S30" s="62"/>
      <c r="T30" s="61"/>
      <c r="U30" s="62"/>
      <c r="V30" s="61"/>
      <c r="W30" s="62"/>
      <c r="X30" s="61"/>
      <c r="Y30" s="62"/>
      <c r="Z30" s="61"/>
      <c r="AA30" s="62"/>
    </row>
    <row r="31" spans="1:27" ht="16.5" customHeight="1">
      <c r="A31" s="624" t="s">
        <v>31</v>
      </c>
      <c r="B31" s="625" t="s">
        <v>253</v>
      </c>
      <c r="C31" s="715">
        <f>예산!P27</f>
        <v>282398210</v>
      </c>
      <c r="D31" s="85" t="s">
        <v>282</v>
      </c>
      <c r="E31" s="86">
        <f>예산!P31</f>
        <v>186410400</v>
      </c>
      <c r="F31" s="85"/>
      <c r="G31" s="85"/>
      <c r="H31" s="104">
        <v>186410400</v>
      </c>
      <c r="I31" s="87"/>
      <c r="J31" s="85"/>
      <c r="K31" s="93"/>
      <c r="O31" s="60"/>
      <c r="P31" s="61"/>
      <c r="Q31" s="62"/>
      <c r="R31" s="61"/>
      <c r="S31" s="62"/>
      <c r="T31" s="61"/>
      <c r="U31" s="62"/>
      <c r="V31" s="61"/>
      <c r="W31" s="62"/>
      <c r="X31" s="61"/>
      <c r="Y31" s="62"/>
      <c r="Z31" s="61"/>
      <c r="AA31" s="62"/>
    </row>
    <row r="32" spans="1:27" ht="16.5" customHeight="1">
      <c r="A32" s="579"/>
      <c r="B32" s="579"/>
      <c r="C32" s="579"/>
      <c r="D32" s="85" t="s">
        <v>283</v>
      </c>
      <c r="E32" s="86">
        <f>예산!P30</f>
        <v>95987810</v>
      </c>
      <c r="F32" s="85"/>
      <c r="G32" s="85"/>
      <c r="H32" s="86">
        <v>0</v>
      </c>
      <c r="I32" s="87"/>
      <c r="J32" s="85"/>
      <c r="K32" s="93"/>
      <c r="O32" s="60"/>
      <c r="P32" s="61"/>
      <c r="Q32" s="62"/>
      <c r="R32" s="61"/>
      <c r="S32" s="62"/>
      <c r="T32" s="61"/>
      <c r="U32" s="62"/>
      <c r="V32" s="61"/>
      <c r="W32" s="62"/>
      <c r="X32" s="61"/>
      <c r="Y32" s="62"/>
      <c r="Z32" s="61"/>
      <c r="AA32" s="62"/>
    </row>
    <row r="33" spans="1:27" ht="16.5" customHeight="1">
      <c r="A33" s="579"/>
      <c r="B33" s="579"/>
      <c r="C33" s="579"/>
      <c r="D33" s="85"/>
      <c r="E33" s="86"/>
      <c r="F33" s="85"/>
      <c r="G33" s="85"/>
      <c r="H33" s="86"/>
      <c r="I33" s="87"/>
      <c r="J33" s="85"/>
      <c r="K33" s="93"/>
      <c r="O33" s="60"/>
      <c r="P33" s="61"/>
      <c r="Q33" s="62"/>
      <c r="R33" s="61"/>
      <c r="S33" s="62"/>
      <c r="T33" s="61"/>
      <c r="U33" s="62"/>
      <c r="V33" s="61"/>
      <c r="W33" s="62"/>
      <c r="X33" s="61"/>
      <c r="Y33" s="62"/>
      <c r="Z33" s="61"/>
      <c r="AA33" s="62"/>
    </row>
    <row r="34" spans="1:27" ht="16.5" customHeight="1">
      <c r="A34" s="579"/>
      <c r="B34" s="579"/>
      <c r="C34" s="579"/>
      <c r="D34" s="85"/>
      <c r="E34" s="86"/>
      <c r="F34" s="85"/>
      <c r="G34" s="85"/>
      <c r="H34" s="86"/>
      <c r="I34" s="87"/>
      <c r="J34" s="85"/>
      <c r="K34" s="93"/>
      <c r="O34" s="60"/>
      <c r="P34" s="61"/>
      <c r="Q34" s="62"/>
      <c r="R34" s="61"/>
      <c r="S34" s="62"/>
      <c r="T34" s="61"/>
      <c r="U34" s="62"/>
      <c r="V34" s="61"/>
      <c r="W34" s="62"/>
      <c r="X34" s="61"/>
      <c r="Y34" s="62"/>
      <c r="Z34" s="61"/>
      <c r="AA34" s="62"/>
    </row>
    <row r="35" spans="1:27" ht="16.5" customHeight="1">
      <c r="A35" s="579"/>
      <c r="B35" s="581"/>
      <c r="C35" s="581"/>
      <c r="D35" s="85"/>
      <c r="E35" s="86"/>
      <c r="F35" s="85"/>
      <c r="G35" s="85"/>
      <c r="H35" s="86"/>
      <c r="I35" s="87"/>
      <c r="J35" s="85"/>
      <c r="K35" s="93"/>
      <c r="O35" s="60"/>
      <c r="P35" s="61"/>
      <c r="Q35" s="62"/>
      <c r="R35" s="61"/>
      <c r="S35" s="62"/>
      <c r="T35" s="61"/>
      <c r="U35" s="62"/>
      <c r="V35" s="61"/>
      <c r="W35" s="62"/>
      <c r="X35" s="61"/>
      <c r="Y35" s="62"/>
      <c r="Z35" s="61"/>
      <c r="AA35" s="62"/>
    </row>
    <row r="36" spans="1:27" ht="16.5" customHeight="1">
      <c r="A36" s="579"/>
      <c r="B36" s="613" t="s">
        <v>21</v>
      </c>
      <c r="C36" s="594"/>
      <c r="D36" s="595"/>
      <c r="E36" s="88">
        <f>SUM(E31:E35)</f>
        <v>282398210</v>
      </c>
      <c r="F36" s="94"/>
      <c r="G36" s="89"/>
      <c r="H36" s="88">
        <f>SUM(H31:H35)</f>
        <v>186410400</v>
      </c>
      <c r="I36" s="90"/>
      <c r="J36" s="89"/>
      <c r="K36" s="91"/>
      <c r="O36" s="60"/>
      <c r="P36" s="61"/>
      <c r="Q36" s="62"/>
      <c r="R36" s="61"/>
      <c r="S36" s="62"/>
      <c r="T36" s="61"/>
      <c r="U36" s="62"/>
      <c r="V36" s="61"/>
      <c r="W36" s="62"/>
      <c r="X36" s="61"/>
      <c r="Y36" s="62"/>
      <c r="Z36" s="61"/>
      <c r="AA36" s="62"/>
    </row>
    <row r="37" spans="1:27" ht="16.5" customHeight="1">
      <c r="A37" s="579"/>
      <c r="B37" s="625" t="s">
        <v>69</v>
      </c>
      <c r="C37" s="649"/>
      <c r="D37" s="85"/>
      <c r="E37" s="86"/>
      <c r="F37" s="85"/>
      <c r="G37" s="85"/>
      <c r="H37" s="86"/>
      <c r="I37" s="87"/>
      <c r="J37" s="85"/>
      <c r="K37" s="93"/>
      <c r="O37" s="60"/>
      <c r="P37" s="61"/>
      <c r="Q37" s="62"/>
      <c r="R37" s="61"/>
      <c r="S37" s="62"/>
      <c r="T37" s="61"/>
      <c r="U37" s="62"/>
      <c r="V37" s="61"/>
      <c r="W37" s="62"/>
      <c r="X37" s="61"/>
      <c r="Y37" s="62"/>
      <c r="Z37" s="61"/>
      <c r="AA37" s="62"/>
    </row>
    <row r="38" spans="1:27" ht="16.5" customHeight="1">
      <c r="A38" s="579"/>
      <c r="B38" s="579"/>
      <c r="C38" s="579"/>
      <c r="D38" s="85"/>
      <c r="E38" s="86"/>
      <c r="F38" s="85"/>
      <c r="G38" s="85"/>
      <c r="H38" s="86"/>
      <c r="I38" s="87"/>
      <c r="J38" s="85"/>
      <c r="K38" s="93"/>
      <c r="O38" s="60"/>
      <c r="P38" s="61"/>
      <c r="Q38" s="62"/>
      <c r="R38" s="61"/>
      <c r="S38" s="62"/>
      <c r="T38" s="61"/>
      <c r="U38" s="62"/>
      <c r="V38" s="61"/>
      <c r="W38" s="62"/>
      <c r="X38" s="61"/>
      <c r="Y38" s="62"/>
      <c r="Z38" s="61"/>
      <c r="AA38" s="62"/>
    </row>
    <row r="39" spans="1:27" ht="16.5" customHeight="1">
      <c r="A39" s="579"/>
      <c r="B39" s="581"/>
      <c r="C39" s="581"/>
      <c r="D39" s="85"/>
      <c r="E39" s="86"/>
      <c r="F39" s="85"/>
      <c r="G39" s="85"/>
      <c r="H39" s="86"/>
      <c r="I39" s="87"/>
      <c r="J39" s="85"/>
      <c r="K39" s="93"/>
      <c r="O39" s="60"/>
      <c r="P39" s="61"/>
      <c r="Q39" s="62"/>
      <c r="R39" s="61"/>
      <c r="S39" s="62"/>
      <c r="T39" s="61"/>
      <c r="U39" s="62"/>
      <c r="V39" s="61"/>
      <c r="W39" s="62"/>
      <c r="X39" s="61"/>
      <c r="Y39" s="62"/>
      <c r="Z39" s="61"/>
      <c r="AA39" s="62"/>
    </row>
    <row r="40" spans="1:27" ht="16.5" customHeight="1">
      <c r="A40" s="581"/>
      <c r="B40" s="613" t="s">
        <v>21</v>
      </c>
      <c r="C40" s="594"/>
      <c r="D40" s="595"/>
      <c r="E40" s="88"/>
      <c r="F40" s="89"/>
      <c r="G40" s="89"/>
      <c r="H40" s="95"/>
      <c r="I40" s="90"/>
      <c r="J40" s="89"/>
      <c r="K40" s="91"/>
      <c r="O40" s="60"/>
      <c r="P40" s="61"/>
      <c r="Q40" s="62"/>
      <c r="R40" s="61"/>
      <c r="S40" s="62"/>
      <c r="T40" s="61"/>
      <c r="U40" s="62"/>
      <c r="V40" s="61"/>
      <c r="W40" s="62"/>
      <c r="X40" s="61"/>
      <c r="Y40" s="62"/>
      <c r="Z40" s="61"/>
      <c r="AA40" s="62"/>
    </row>
    <row r="41" spans="1:27" ht="16.5" customHeight="1">
      <c r="A41" s="629" t="s">
        <v>254</v>
      </c>
      <c r="B41" s="594"/>
      <c r="C41" s="96">
        <f>예산!P27</f>
        <v>282398210</v>
      </c>
      <c r="D41" s="97"/>
      <c r="E41" s="98">
        <f>SUM(E36,E40)</f>
        <v>282398210</v>
      </c>
      <c r="F41" s="99"/>
      <c r="G41" s="100"/>
      <c r="H41" s="101">
        <f>H36+H40</f>
        <v>186410400</v>
      </c>
      <c r="I41" s="648"/>
      <c r="J41" s="595"/>
      <c r="K41" s="102">
        <f>H41/C41</f>
        <v>0.66009766846609974</v>
      </c>
      <c r="O41" s="60"/>
      <c r="P41" s="61"/>
      <c r="Q41" s="62"/>
      <c r="R41" s="61"/>
      <c r="S41" s="62"/>
      <c r="T41" s="61"/>
      <c r="U41" s="62"/>
      <c r="V41" s="61"/>
      <c r="W41" s="62"/>
      <c r="X41" s="61"/>
      <c r="Y41" s="62"/>
      <c r="Z41" s="61"/>
      <c r="AA41" s="62"/>
    </row>
    <row r="42" spans="1:27" ht="16.5" customHeight="1">
      <c r="A42" s="624" t="s">
        <v>71</v>
      </c>
      <c r="B42" s="625" t="s">
        <v>255</v>
      </c>
      <c r="C42" s="715">
        <f>예산!P54</f>
        <v>1144000</v>
      </c>
      <c r="D42" s="85" t="s">
        <v>256</v>
      </c>
      <c r="E42" s="86">
        <f>예산!P54</f>
        <v>1144000</v>
      </c>
      <c r="F42" s="85"/>
      <c r="G42" s="85"/>
      <c r="H42" s="104">
        <v>0</v>
      </c>
      <c r="I42" s="87"/>
      <c r="J42" s="85"/>
      <c r="K42" s="93"/>
      <c r="O42" s="60"/>
      <c r="P42" s="61"/>
      <c r="Q42" s="62"/>
      <c r="R42" s="61"/>
      <c r="S42" s="62"/>
      <c r="T42" s="61"/>
      <c r="U42" s="62"/>
      <c r="V42" s="61"/>
      <c r="W42" s="62"/>
      <c r="X42" s="61"/>
      <c r="Y42" s="62"/>
      <c r="Z42" s="61"/>
      <c r="AA42" s="62"/>
    </row>
    <row r="43" spans="1:27" ht="16.5" customHeight="1">
      <c r="A43" s="579"/>
      <c r="B43" s="579"/>
      <c r="C43" s="579"/>
      <c r="D43" s="85"/>
      <c r="E43" s="86"/>
      <c r="F43" s="85"/>
      <c r="G43" s="85"/>
      <c r="H43" s="86"/>
      <c r="I43" s="87"/>
      <c r="J43" s="85"/>
      <c r="K43" s="93"/>
      <c r="O43" s="60"/>
      <c r="P43" s="61"/>
      <c r="Q43" s="62"/>
      <c r="R43" s="61"/>
      <c r="S43" s="62"/>
      <c r="T43" s="61"/>
      <c r="U43" s="62"/>
      <c r="V43" s="61"/>
      <c r="W43" s="62"/>
      <c r="X43" s="61"/>
      <c r="Y43" s="62"/>
      <c r="Z43" s="61"/>
      <c r="AA43" s="62"/>
    </row>
    <row r="44" spans="1:27" ht="16.5" customHeight="1">
      <c r="A44" s="579"/>
      <c r="B44" s="579"/>
      <c r="C44" s="579"/>
      <c r="D44" s="85"/>
      <c r="E44" s="86"/>
      <c r="F44" s="85"/>
      <c r="G44" s="85"/>
      <c r="H44" s="86"/>
      <c r="I44" s="87"/>
      <c r="J44" s="85"/>
      <c r="K44" s="93"/>
      <c r="O44" s="60"/>
      <c r="P44" s="61"/>
      <c r="Q44" s="62"/>
      <c r="R44" s="61"/>
      <c r="S44" s="62"/>
      <c r="T44" s="61"/>
      <c r="U44" s="62"/>
      <c r="V44" s="61"/>
      <c r="W44" s="62"/>
      <c r="X44" s="61"/>
      <c r="Y44" s="62"/>
      <c r="Z44" s="61"/>
      <c r="AA44" s="62"/>
    </row>
    <row r="45" spans="1:27" ht="16.5" customHeight="1">
      <c r="A45" s="579"/>
      <c r="B45" s="581"/>
      <c r="C45" s="581"/>
      <c r="D45" s="85"/>
      <c r="E45" s="86"/>
      <c r="F45" s="85"/>
      <c r="G45" s="85"/>
      <c r="H45" s="86"/>
      <c r="I45" s="87"/>
      <c r="J45" s="85"/>
      <c r="K45" s="93"/>
      <c r="O45" s="60"/>
      <c r="P45" s="61"/>
      <c r="Q45" s="62"/>
      <c r="R45" s="61"/>
      <c r="S45" s="62"/>
      <c r="T45" s="61"/>
      <c r="U45" s="62"/>
      <c r="V45" s="61"/>
      <c r="W45" s="62"/>
      <c r="X45" s="61"/>
      <c r="Y45" s="62"/>
      <c r="Z45" s="61"/>
      <c r="AA45" s="62"/>
    </row>
    <row r="46" spans="1:27" ht="16.5" customHeight="1">
      <c r="A46" s="579"/>
      <c r="B46" s="625" t="s">
        <v>259</v>
      </c>
      <c r="C46" s="649"/>
      <c r="D46" s="85"/>
      <c r="E46" s="86"/>
      <c r="F46" s="85"/>
      <c r="G46" s="85"/>
      <c r="H46" s="86"/>
      <c r="I46" s="87"/>
      <c r="J46" s="85"/>
      <c r="K46" s="93"/>
      <c r="O46" s="60"/>
      <c r="P46" s="61"/>
      <c r="Q46" s="62"/>
      <c r="R46" s="61"/>
      <c r="S46" s="62"/>
      <c r="T46" s="61"/>
      <c r="U46" s="62"/>
      <c r="V46" s="61"/>
      <c r="W46" s="62"/>
      <c r="X46" s="61"/>
      <c r="Y46" s="62"/>
      <c r="Z46" s="61"/>
      <c r="AA46" s="62"/>
    </row>
    <row r="47" spans="1:27" ht="16.5" customHeight="1">
      <c r="A47" s="581"/>
      <c r="B47" s="581"/>
      <c r="C47" s="716"/>
      <c r="D47" s="85"/>
      <c r="E47" s="86"/>
      <c r="F47" s="85"/>
      <c r="G47" s="85"/>
      <c r="H47" s="106"/>
      <c r="I47" s="87"/>
      <c r="J47" s="85"/>
      <c r="K47" s="93"/>
      <c r="O47" s="60"/>
      <c r="P47" s="61"/>
      <c r="Q47" s="62"/>
      <c r="R47" s="61"/>
      <c r="S47" s="62"/>
      <c r="T47" s="61"/>
      <c r="U47" s="62"/>
      <c r="V47" s="61"/>
      <c r="W47" s="62"/>
      <c r="X47" s="61"/>
      <c r="Y47" s="62"/>
      <c r="Z47" s="61"/>
      <c r="AA47" s="62"/>
    </row>
    <row r="48" spans="1:27" ht="16.5" customHeight="1">
      <c r="A48" s="629" t="s">
        <v>261</v>
      </c>
      <c r="B48" s="594"/>
      <c r="C48" s="96">
        <f>예산!P51</f>
        <v>1144000</v>
      </c>
      <c r="D48" s="97"/>
      <c r="E48" s="98">
        <f>SUM(E42:E47)</f>
        <v>1144000</v>
      </c>
      <c r="F48" s="99"/>
      <c r="G48" s="100"/>
      <c r="H48" s="101">
        <f>H45+H47</f>
        <v>0</v>
      </c>
      <c r="I48" s="648"/>
      <c r="J48" s="595"/>
      <c r="K48" s="102">
        <f>H48/C48</f>
        <v>0</v>
      </c>
      <c r="O48" s="60"/>
      <c r="P48" s="61"/>
      <c r="Q48" s="62"/>
      <c r="R48" s="61"/>
      <c r="S48" s="62"/>
      <c r="T48" s="61"/>
      <c r="U48" s="62"/>
      <c r="V48" s="61"/>
      <c r="W48" s="62"/>
      <c r="X48" s="61"/>
      <c r="Y48" s="62"/>
      <c r="Z48" s="61"/>
      <c r="AA48" s="62"/>
    </row>
    <row r="49" spans="1:27" ht="16.5" customHeight="1">
      <c r="A49" s="624" t="s">
        <v>83</v>
      </c>
      <c r="B49" s="625" t="s">
        <v>93</v>
      </c>
      <c r="C49" s="649"/>
      <c r="D49" s="85"/>
      <c r="E49" s="86"/>
      <c r="F49" s="85"/>
      <c r="G49" s="85"/>
      <c r="H49" s="86"/>
      <c r="I49" s="87"/>
      <c r="J49" s="85"/>
      <c r="K49" s="93"/>
      <c r="O49" s="60"/>
      <c r="P49" s="61"/>
      <c r="Q49" s="62"/>
      <c r="R49" s="61"/>
      <c r="S49" s="62"/>
      <c r="T49" s="61"/>
      <c r="U49" s="62"/>
      <c r="V49" s="61"/>
      <c r="W49" s="62"/>
      <c r="X49" s="61"/>
      <c r="Y49" s="62"/>
      <c r="Z49" s="61"/>
      <c r="AA49" s="62"/>
    </row>
    <row r="50" spans="1:27" ht="16.5" customHeight="1">
      <c r="A50" s="579"/>
      <c r="B50" s="579"/>
      <c r="C50" s="579"/>
      <c r="D50" s="85"/>
      <c r="E50" s="86"/>
      <c r="F50" s="85"/>
      <c r="G50" s="85"/>
      <c r="H50" s="86"/>
      <c r="I50" s="87"/>
      <c r="J50" s="85"/>
      <c r="K50" s="93"/>
      <c r="O50" s="60"/>
      <c r="P50" s="61"/>
      <c r="Q50" s="62"/>
      <c r="R50" s="61"/>
      <c r="S50" s="62"/>
      <c r="T50" s="61"/>
      <c r="U50" s="62"/>
      <c r="V50" s="61"/>
      <c r="W50" s="62"/>
      <c r="X50" s="61"/>
      <c r="Y50" s="62"/>
      <c r="Z50" s="61"/>
      <c r="AA50" s="62"/>
    </row>
    <row r="51" spans="1:27" ht="16.5" customHeight="1">
      <c r="A51" s="579"/>
      <c r="B51" s="579"/>
      <c r="C51" s="579"/>
      <c r="D51" s="85"/>
      <c r="E51" s="86"/>
      <c r="F51" s="85"/>
      <c r="G51" s="85"/>
      <c r="H51" s="86"/>
      <c r="I51" s="87"/>
      <c r="J51" s="85"/>
      <c r="K51" s="93"/>
      <c r="O51" s="60"/>
      <c r="P51" s="61"/>
      <c r="Q51" s="62"/>
      <c r="R51" s="61"/>
      <c r="S51" s="62"/>
      <c r="T51" s="61"/>
      <c r="U51" s="62"/>
      <c r="V51" s="61"/>
      <c r="W51" s="62"/>
      <c r="X51" s="61"/>
      <c r="Y51" s="62"/>
      <c r="Z51" s="61"/>
      <c r="AA51" s="62"/>
    </row>
    <row r="52" spans="1:27" ht="16.5" customHeight="1">
      <c r="A52" s="579"/>
      <c r="B52" s="579"/>
      <c r="C52" s="579"/>
      <c r="D52" s="85"/>
      <c r="E52" s="86"/>
      <c r="F52" s="85"/>
      <c r="G52" s="85"/>
      <c r="H52" s="86"/>
      <c r="I52" s="87"/>
      <c r="J52" s="85"/>
      <c r="K52" s="93"/>
      <c r="O52" s="60"/>
      <c r="P52" s="61"/>
      <c r="Q52" s="62"/>
      <c r="R52" s="61"/>
      <c r="S52" s="62"/>
      <c r="T52" s="61"/>
      <c r="U52" s="62"/>
      <c r="V52" s="61"/>
      <c r="W52" s="62"/>
      <c r="X52" s="61"/>
      <c r="Y52" s="62"/>
      <c r="Z52" s="61"/>
      <c r="AA52" s="62"/>
    </row>
    <row r="53" spans="1:27" ht="16.5" customHeight="1">
      <c r="A53" s="579"/>
      <c r="B53" s="579"/>
      <c r="C53" s="579"/>
      <c r="D53" s="85"/>
      <c r="E53" s="86"/>
      <c r="F53" s="85"/>
      <c r="G53" s="85"/>
      <c r="H53" s="86"/>
      <c r="I53" s="87"/>
      <c r="J53" s="85"/>
      <c r="K53" s="93"/>
      <c r="O53" s="60"/>
      <c r="P53" s="61"/>
      <c r="Q53" s="62"/>
      <c r="R53" s="61"/>
      <c r="S53" s="62"/>
      <c r="T53" s="61"/>
      <c r="U53" s="62"/>
      <c r="V53" s="61"/>
      <c r="W53" s="62"/>
      <c r="X53" s="61"/>
      <c r="Y53" s="62"/>
      <c r="Z53" s="61"/>
      <c r="AA53" s="62"/>
    </row>
    <row r="54" spans="1:27" ht="16.5" customHeight="1">
      <c r="A54" s="579"/>
      <c r="B54" s="579"/>
      <c r="C54" s="579"/>
      <c r="D54" s="85"/>
      <c r="E54" s="86"/>
      <c r="F54" s="85"/>
      <c r="G54" s="85"/>
      <c r="H54" s="86"/>
      <c r="I54" s="87"/>
      <c r="J54" s="85"/>
      <c r="K54" s="93"/>
      <c r="O54" s="60"/>
      <c r="P54" s="61"/>
      <c r="Q54" s="62"/>
      <c r="R54" s="61"/>
      <c r="S54" s="62"/>
      <c r="T54" s="61"/>
      <c r="U54" s="62"/>
      <c r="V54" s="61"/>
      <c r="W54" s="62"/>
      <c r="X54" s="61"/>
      <c r="Y54" s="62"/>
      <c r="Z54" s="61"/>
      <c r="AA54" s="62"/>
    </row>
    <row r="55" spans="1:27" ht="16.5" customHeight="1">
      <c r="A55" s="579"/>
      <c r="B55" s="579"/>
      <c r="C55" s="579"/>
      <c r="D55" s="85"/>
      <c r="E55" s="86"/>
      <c r="F55" s="85"/>
      <c r="G55" s="85"/>
      <c r="H55" s="86"/>
      <c r="I55" s="87"/>
      <c r="J55" s="85"/>
      <c r="K55" s="93"/>
      <c r="O55" s="60"/>
      <c r="P55" s="61"/>
      <c r="Q55" s="62"/>
      <c r="R55" s="61"/>
      <c r="S55" s="62"/>
      <c r="T55" s="61"/>
      <c r="U55" s="62"/>
      <c r="V55" s="61"/>
      <c r="W55" s="62"/>
      <c r="X55" s="61"/>
      <c r="Y55" s="62"/>
      <c r="Z55" s="61"/>
      <c r="AA55" s="62"/>
    </row>
    <row r="56" spans="1:27" ht="16.5" customHeight="1">
      <c r="A56" s="579"/>
      <c r="B56" s="581"/>
      <c r="C56" s="581"/>
      <c r="D56" s="85"/>
      <c r="E56" s="86"/>
      <c r="F56" s="85"/>
      <c r="G56" s="85"/>
      <c r="H56" s="86"/>
      <c r="I56" s="87"/>
      <c r="J56" s="85"/>
      <c r="K56" s="93"/>
      <c r="O56" s="60"/>
      <c r="P56" s="61"/>
      <c r="Q56" s="62"/>
      <c r="R56" s="61"/>
      <c r="S56" s="62"/>
      <c r="T56" s="61"/>
      <c r="U56" s="62"/>
      <c r="V56" s="61"/>
      <c r="W56" s="62"/>
      <c r="X56" s="61"/>
      <c r="Y56" s="62"/>
      <c r="Z56" s="61"/>
      <c r="AA56" s="62"/>
    </row>
    <row r="57" spans="1:27" ht="16.5" customHeight="1">
      <c r="A57" s="579"/>
      <c r="B57" s="613" t="s">
        <v>21</v>
      </c>
      <c r="C57" s="594"/>
      <c r="D57" s="595"/>
      <c r="E57" s="88">
        <f>SUM(E49:E56)</f>
        <v>0</v>
      </c>
      <c r="F57" s="94"/>
      <c r="G57" s="89"/>
      <c r="H57" s="88">
        <f>SUM(H49:H56)</f>
        <v>0</v>
      </c>
      <c r="I57" s="90"/>
      <c r="J57" s="89"/>
      <c r="K57" s="91"/>
      <c r="O57" s="60"/>
      <c r="P57" s="61"/>
      <c r="Q57" s="62"/>
      <c r="R57" s="61"/>
      <c r="S57" s="62"/>
      <c r="T57" s="61"/>
      <c r="U57" s="62"/>
      <c r="V57" s="61"/>
      <c r="W57" s="62"/>
      <c r="X57" s="61"/>
      <c r="Y57" s="62"/>
      <c r="Z57" s="61"/>
      <c r="AA57" s="62"/>
    </row>
    <row r="58" spans="1:27" ht="16.5" customHeight="1">
      <c r="A58" s="579"/>
      <c r="B58" s="85" t="s">
        <v>120</v>
      </c>
      <c r="C58" s="92">
        <f>예산!P103</f>
        <v>150000</v>
      </c>
      <c r="D58" s="85" t="s">
        <v>284</v>
      </c>
      <c r="E58" s="86">
        <f>예산!P101</f>
        <v>150000</v>
      </c>
      <c r="F58" s="85"/>
      <c r="G58" s="85"/>
      <c r="H58" s="86">
        <v>0</v>
      </c>
      <c r="I58" s="87"/>
      <c r="J58" s="85"/>
      <c r="K58" s="93"/>
      <c r="O58" s="60"/>
      <c r="P58" s="61"/>
      <c r="Q58" s="62"/>
      <c r="R58" s="61"/>
      <c r="S58" s="62"/>
      <c r="T58" s="61"/>
      <c r="U58" s="62"/>
      <c r="V58" s="61"/>
      <c r="W58" s="62"/>
      <c r="X58" s="61"/>
      <c r="Y58" s="62"/>
      <c r="Z58" s="61"/>
      <c r="AA58" s="62"/>
    </row>
    <row r="59" spans="1:27" ht="16.5" customHeight="1">
      <c r="A59" s="579"/>
      <c r="B59" s="613" t="s">
        <v>21</v>
      </c>
      <c r="C59" s="594"/>
      <c r="D59" s="595"/>
      <c r="E59" s="88">
        <f>SUM(E58)</f>
        <v>150000</v>
      </c>
      <c r="F59" s="94"/>
      <c r="G59" s="89"/>
      <c r="H59" s="88">
        <f>H58</f>
        <v>0</v>
      </c>
      <c r="I59" s="90"/>
      <c r="J59" s="89"/>
      <c r="K59" s="91"/>
      <c r="O59" s="60"/>
      <c r="P59" s="61"/>
      <c r="Q59" s="62"/>
      <c r="R59" s="61"/>
      <c r="S59" s="62"/>
      <c r="T59" s="61"/>
      <c r="U59" s="62"/>
      <c r="V59" s="61"/>
      <c r="W59" s="62"/>
      <c r="X59" s="61"/>
      <c r="Y59" s="62"/>
      <c r="Z59" s="61"/>
      <c r="AA59" s="62"/>
    </row>
    <row r="60" spans="1:27" ht="16.5" customHeight="1">
      <c r="A60" s="579"/>
      <c r="B60" s="625" t="s">
        <v>134</v>
      </c>
      <c r="C60" s="649">
        <f>예산!P129</f>
        <v>157759520</v>
      </c>
      <c r="D60" s="85" t="s">
        <v>279</v>
      </c>
      <c r="E60" s="86">
        <f>예산!P127</f>
        <v>78879760</v>
      </c>
      <c r="F60" s="85"/>
      <c r="G60" s="85"/>
      <c r="H60" s="86"/>
      <c r="I60" s="87"/>
      <c r="J60" s="85"/>
      <c r="K60" s="93"/>
      <c r="O60" s="60"/>
      <c r="P60" s="61"/>
      <c r="Q60" s="62"/>
      <c r="R60" s="61"/>
      <c r="S60" s="62"/>
      <c r="T60" s="61"/>
      <c r="U60" s="62"/>
      <c r="V60" s="61"/>
      <c r="W60" s="62"/>
      <c r="X60" s="61"/>
      <c r="Y60" s="62"/>
      <c r="Z60" s="61"/>
      <c r="AA60" s="62"/>
    </row>
    <row r="61" spans="1:27" ht="16.5" customHeight="1">
      <c r="A61" s="579"/>
      <c r="B61" s="579"/>
      <c r="C61" s="579"/>
      <c r="D61" s="85" t="s">
        <v>280</v>
      </c>
      <c r="E61" s="86">
        <f>예산!P128</f>
        <v>78879760</v>
      </c>
      <c r="F61" s="85"/>
      <c r="G61" s="85"/>
      <c r="H61" s="86"/>
      <c r="I61" s="87"/>
      <c r="J61" s="85"/>
      <c r="K61" s="93"/>
      <c r="O61" s="60"/>
      <c r="P61" s="61"/>
      <c r="Q61" s="62"/>
      <c r="R61" s="61"/>
      <c r="S61" s="62"/>
      <c r="T61" s="61"/>
      <c r="U61" s="62"/>
      <c r="V61" s="61"/>
      <c r="W61" s="62"/>
      <c r="X61" s="61"/>
      <c r="Y61" s="62"/>
      <c r="Z61" s="61"/>
      <c r="AA61" s="62"/>
    </row>
    <row r="62" spans="1:27" ht="16.5" customHeight="1">
      <c r="A62" s="579"/>
      <c r="B62" s="579"/>
      <c r="C62" s="579"/>
      <c r="D62" s="85"/>
      <c r="E62" s="86"/>
      <c r="F62" s="85"/>
      <c r="G62" s="85"/>
      <c r="H62" s="86"/>
      <c r="I62" s="87"/>
      <c r="J62" s="85"/>
      <c r="K62" s="93"/>
      <c r="O62" s="60"/>
      <c r="P62" s="61"/>
      <c r="Q62" s="62"/>
      <c r="R62" s="61"/>
      <c r="S62" s="62"/>
      <c r="T62" s="61"/>
      <c r="U62" s="62"/>
      <c r="V62" s="61"/>
      <c r="W62" s="62"/>
      <c r="X62" s="61"/>
      <c r="Y62" s="62"/>
      <c r="Z62" s="61"/>
      <c r="AA62" s="62"/>
    </row>
    <row r="63" spans="1:27" ht="16.5" customHeight="1">
      <c r="A63" s="579"/>
      <c r="B63" s="579"/>
      <c r="C63" s="579"/>
      <c r="D63" s="85"/>
      <c r="E63" s="86"/>
      <c r="F63" s="85"/>
      <c r="G63" s="85"/>
      <c r="H63" s="86"/>
      <c r="I63" s="87"/>
      <c r="J63" s="85"/>
      <c r="K63" s="93"/>
      <c r="O63" s="60"/>
      <c r="P63" s="61"/>
      <c r="Q63" s="62"/>
      <c r="R63" s="61"/>
      <c r="S63" s="62"/>
      <c r="T63" s="61"/>
      <c r="U63" s="62"/>
      <c r="V63" s="61"/>
      <c r="W63" s="62"/>
      <c r="X63" s="61"/>
      <c r="Y63" s="62"/>
      <c r="Z63" s="61"/>
      <c r="AA63" s="62"/>
    </row>
    <row r="64" spans="1:27" ht="16.5" customHeight="1">
      <c r="A64" s="579"/>
      <c r="B64" s="579"/>
      <c r="C64" s="579"/>
      <c r="D64" s="85"/>
      <c r="E64" s="86"/>
      <c r="F64" s="85"/>
      <c r="G64" s="85"/>
      <c r="H64" s="86"/>
      <c r="I64" s="87"/>
      <c r="J64" s="85"/>
      <c r="K64" s="93"/>
      <c r="O64" s="60"/>
      <c r="P64" s="61"/>
      <c r="Q64" s="62"/>
      <c r="R64" s="61"/>
      <c r="S64" s="62"/>
      <c r="T64" s="61"/>
      <c r="U64" s="62"/>
      <c r="V64" s="61"/>
      <c r="W64" s="62"/>
      <c r="X64" s="61"/>
      <c r="Y64" s="62"/>
      <c r="Z64" s="61"/>
      <c r="AA64" s="62"/>
    </row>
    <row r="65" spans="1:27" ht="16.5" customHeight="1">
      <c r="A65" s="579"/>
      <c r="B65" s="579"/>
      <c r="C65" s="579"/>
      <c r="D65" s="85"/>
      <c r="E65" s="86"/>
      <c r="F65" s="85"/>
      <c r="G65" s="85"/>
      <c r="H65" s="86"/>
      <c r="I65" s="87"/>
      <c r="J65" s="85"/>
      <c r="K65" s="93"/>
      <c r="O65" s="60"/>
      <c r="P65" s="61"/>
      <c r="Q65" s="62"/>
      <c r="R65" s="61"/>
      <c r="S65" s="62"/>
      <c r="T65" s="61"/>
      <c r="U65" s="62"/>
      <c r="V65" s="61"/>
      <c r="W65" s="62"/>
      <c r="X65" s="61"/>
      <c r="Y65" s="62"/>
      <c r="Z65" s="61"/>
      <c r="AA65" s="62"/>
    </row>
    <row r="66" spans="1:27" ht="16.5" customHeight="1">
      <c r="A66" s="579"/>
      <c r="B66" s="579"/>
      <c r="C66" s="579"/>
      <c r="D66" s="85"/>
      <c r="E66" s="86"/>
      <c r="F66" s="85"/>
      <c r="G66" s="85"/>
      <c r="H66" s="86"/>
      <c r="I66" s="87"/>
      <c r="J66" s="85"/>
      <c r="K66" s="93"/>
      <c r="O66" s="60"/>
      <c r="P66" s="61"/>
      <c r="Q66" s="62"/>
      <c r="R66" s="61"/>
      <c r="S66" s="62"/>
      <c r="T66" s="61"/>
      <c r="U66" s="62"/>
      <c r="V66" s="61"/>
      <c r="W66" s="62"/>
      <c r="X66" s="61"/>
      <c r="Y66" s="62"/>
      <c r="Z66" s="61"/>
      <c r="AA66" s="62"/>
    </row>
    <row r="67" spans="1:27" ht="16.5" customHeight="1">
      <c r="A67" s="579"/>
      <c r="B67" s="579"/>
      <c r="C67" s="579"/>
      <c r="D67" s="85"/>
      <c r="E67" s="86"/>
      <c r="F67" s="85"/>
      <c r="G67" s="85"/>
      <c r="H67" s="86"/>
      <c r="I67" s="87"/>
      <c r="J67" s="85"/>
      <c r="K67" s="93"/>
      <c r="O67" s="60"/>
      <c r="P67" s="61"/>
      <c r="Q67" s="62"/>
      <c r="R67" s="61"/>
      <c r="S67" s="62"/>
      <c r="T67" s="61"/>
      <c r="U67" s="62"/>
      <c r="V67" s="61"/>
      <c r="W67" s="62"/>
      <c r="X67" s="61"/>
      <c r="Y67" s="62"/>
      <c r="Z67" s="61"/>
      <c r="AA67" s="62"/>
    </row>
    <row r="68" spans="1:27" ht="16.5" customHeight="1">
      <c r="A68" s="579"/>
      <c r="B68" s="579"/>
      <c r="C68" s="579"/>
      <c r="D68" s="85"/>
      <c r="E68" s="86"/>
      <c r="F68" s="85"/>
      <c r="G68" s="85"/>
      <c r="H68" s="86"/>
      <c r="I68" s="87"/>
      <c r="J68" s="85"/>
      <c r="K68" s="93"/>
      <c r="O68" s="60"/>
      <c r="P68" s="61"/>
      <c r="Q68" s="62"/>
      <c r="R68" s="61"/>
      <c r="S68" s="62"/>
      <c r="T68" s="61"/>
      <c r="U68" s="62"/>
      <c r="V68" s="61"/>
      <c r="W68" s="62"/>
      <c r="X68" s="61"/>
      <c r="Y68" s="62"/>
      <c r="Z68" s="61"/>
      <c r="AA68" s="62"/>
    </row>
    <row r="69" spans="1:27" ht="16.5" customHeight="1">
      <c r="A69" s="579"/>
      <c r="B69" s="579"/>
      <c r="C69" s="579"/>
      <c r="D69" s="85"/>
      <c r="E69" s="86"/>
      <c r="F69" s="85"/>
      <c r="G69" s="85"/>
      <c r="H69" s="86"/>
      <c r="I69" s="87"/>
      <c r="J69" s="85"/>
      <c r="K69" s="93"/>
      <c r="O69" s="60"/>
      <c r="P69" s="61"/>
      <c r="Q69" s="62"/>
      <c r="R69" s="61"/>
      <c r="S69" s="62"/>
      <c r="T69" s="61"/>
      <c r="U69" s="62"/>
      <c r="V69" s="61"/>
      <c r="W69" s="62"/>
      <c r="X69" s="61"/>
      <c r="Y69" s="62"/>
      <c r="Z69" s="61"/>
      <c r="AA69" s="62"/>
    </row>
    <row r="70" spans="1:27" ht="16.5" customHeight="1">
      <c r="A70" s="579"/>
      <c r="B70" s="581"/>
      <c r="C70" s="581"/>
      <c r="D70" s="85"/>
      <c r="E70" s="86"/>
      <c r="F70" s="85"/>
      <c r="G70" s="85"/>
      <c r="H70" s="86"/>
      <c r="I70" s="87"/>
      <c r="J70" s="85"/>
      <c r="K70" s="93"/>
      <c r="O70" s="60"/>
      <c r="P70" s="61"/>
      <c r="Q70" s="62"/>
      <c r="R70" s="61"/>
      <c r="S70" s="62"/>
      <c r="T70" s="61"/>
      <c r="U70" s="62"/>
      <c r="V70" s="61"/>
      <c r="W70" s="62"/>
      <c r="X70" s="61"/>
      <c r="Y70" s="62"/>
      <c r="Z70" s="61"/>
      <c r="AA70" s="62"/>
    </row>
    <row r="71" spans="1:27" ht="16.5" customHeight="1">
      <c r="A71" s="579"/>
      <c r="B71" s="613" t="s">
        <v>21</v>
      </c>
      <c r="C71" s="594"/>
      <c r="D71" s="595"/>
      <c r="E71" s="88">
        <f>SUM(E60:E70)</f>
        <v>157759520</v>
      </c>
      <c r="F71" s="94"/>
      <c r="G71" s="89"/>
      <c r="H71" s="88">
        <f>SUM(H60:H70)</f>
        <v>0</v>
      </c>
      <c r="I71" s="90"/>
      <c r="J71" s="89"/>
      <c r="K71" s="91"/>
      <c r="O71" s="60"/>
      <c r="P71" s="61"/>
      <c r="Q71" s="62"/>
      <c r="R71" s="61"/>
      <c r="S71" s="62"/>
      <c r="T71" s="61"/>
      <c r="U71" s="62"/>
      <c r="V71" s="61"/>
      <c r="W71" s="62"/>
      <c r="X71" s="61"/>
      <c r="Y71" s="62"/>
      <c r="Z71" s="61"/>
      <c r="AA71" s="62"/>
    </row>
    <row r="72" spans="1:27" ht="16.5" customHeight="1">
      <c r="A72" s="579"/>
      <c r="B72" s="625" t="s">
        <v>115</v>
      </c>
      <c r="C72" s="649"/>
      <c r="D72" s="11" t="s">
        <v>117</v>
      </c>
      <c r="E72" s="86">
        <f>예산!P94</f>
        <v>500000</v>
      </c>
      <c r="F72" s="85"/>
      <c r="G72" s="85"/>
      <c r="H72" s="86">
        <v>0</v>
      </c>
      <c r="I72" s="87"/>
      <c r="J72" s="85"/>
      <c r="K72" s="93"/>
      <c r="O72" s="60"/>
      <c r="P72" s="61"/>
      <c r="Q72" s="62"/>
      <c r="R72" s="61"/>
      <c r="S72" s="62"/>
      <c r="T72" s="61"/>
      <c r="U72" s="62"/>
      <c r="V72" s="61"/>
      <c r="W72" s="62"/>
      <c r="X72" s="61"/>
      <c r="Y72" s="62"/>
      <c r="Z72" s="61"/>
      <c r="AA72" s="62"/>
    </row>
    <row r="73" spans="1:27" ht="16.5" customHeight="1">
      <c r="A73" s="579"/>
      <c r="B73" s="579"/>
      <c r="C73" s="579"/>
      <c r="D73" s="11" t="s">
        <v>118</v>
      </c>
      <c r="E73" s="86">
        <f>예산!P95</f>
        <v>50000</v>
      </c>
      <c r="F73" s="85"/>
      <c r="G73" s="85"/>
      <c r="H73" s="86">
        <v>0</v>
      </c>
      <c r="I73" s="87"/>
      <c r="J73" s="85"/>
      <c r="K73" s="93"/>
      <c r="O73" s="60"/>
      <c r="P73" s="61"/>
      <c r="Q73" s="62"/>
      <c r="R73" s="61"/>
      <c r="S73" s="62"/>
      <c r="T73" s="61"/>
      <c r="U73" s="62"/>
      <c r="V73" s="61"/>
      <c r="W73" s="62"/>
      <c r="X73" s="61"/>
      <c r="Y73" s="62"/>
      <c r="Z73" s="61"/>
      <c r="AA73" s="62"/>
    </row>
    <row r="74" spans="1:27" ht="16.5" customHeight="1">
      <c r="A74" s="579"/>
      <c r="B74" s="579"/>
      <c r="C74" s="579"/>
      <c r="D74" s="11" t="s">
        <v>119</v>
      </c>
      <c r="E74" s="86">
        <f>예산!P96</f>
        <v>60029</v>
      </c>
      <c r="F74" s="85"/>
      <c r="G74" s="85"/>
      <c r="H74" s="86">
        <v>0</v>
      </c>
      <c r="I74" s="87"/>
      <c r="J74" s="85"/>
      <c r="K74" s="93"/>
      <c r="O74" s="60"/>
      <c r="P74" s="61"/>
      <c r="Q74" s="62"/>
      <c r="R74" s="61"/>
      <c r="S74" s="62"/>
      <c r="T74" s="61"/>
      <c r="U74" s="62"/>
      <c r="V74" s="61"/>
      <c r="W74" s="62"/>
      <c r="X74" s="61"/>
      <c r="Y74" s="62"/>
      <c r="Z74" s="61"/>
      <c r="AA74" s="62"/>
    </row>
    <row r="75" spans="1:27" ht="16.5" customHeight="1">
      <c r="A75" s="579"/>
      <c r="B75" s="579"/>
      <c r="C75" s="579"/>
      <c r="D75" s="85"/>
      <c r="E75" s="86"/>
      <c r="F75" s="85"/>
      <c r="G75" s="85"/>
      <c r="H75" s="86"/>
      <c r="I75" s="87"/>
      <c r="J75" s="85"/>
      <c r="K75" s="93"/>
      <c r="O75" s="60"/>
      <c r="P75" s="61"/>
      <c r="Q75" s="62"/>
      <c r="R75" s="61"/>
      <c r="S75" s="62"/>
      <c r="T75" s="61"/>
      <c r="U75" s="62"/>
      <c r="V75" s="61"/>
      <c r="W75" s="62"/>
      <c r="X75" s="61"/>
      <c r="Y75" s="62"/>
      <c r="Z75" s="61"/>
      <c r="AA75" s="62"/>
    </row>
    <row r="76" spans="1:27" ht="16.5" customHeight="1">
      <c r="A76" s="579"/>
      <c r="B76" s="581"/>
      <c r="C76" s="581"/>
      <c r="D76" s="85"/>
      <c r="E76" s="86"/>
      <c r="F76" s="85"/>
      <c r="G76" s="85"/>
      <c r="H76" s="86"/>
      <c r="I76" s="87"/>
      <c r="J76" s="85"/>
      <c r="K76" s="93"/>
      <c r="O76" s="60"/>
      <c r="P76" s="61"/>
      <c r="Q76" s="62"/>
      <c r="R76" s="61"/>
      <c r="S76" s="62"/>
      <c r="T76" s="61"/>
      <c r="U76" s="62"/>
      <c r="V76" s="61"/>
      <c r="W76" s="62"/>
      <c r="X76" s="61"/>
      <c r="Y76" s="62"/>
      <c r="Z76" s="61"/>
      <c r="AA76" s="62"/>
    </row>
    <row r="77" spans="1:27" ht="16.5" customHeight="1">
      <c r="A77" s="579"/>
      <c r="B77" s="613" t="s">
        <v>21</v>
      </c>
      <c r="C77" s="594"/>
      <c r="D77" s="595"/>
      <c r="E77" s="88">
        <f>SUM(E72:E76)</f>
        <v>610029</v>
      </c>
      <c r="F77" s="94"/>
      <c r="G77" s="89"/>
      <c r="H77" s="88">
        <f>SUM(H72:H76)</f>
        <v>0</v>
      </c>
      <c r="I77" s="90"/>
      <c r="J77" s="89"/>
      <c r="K77" s="91"/>
      <c r="O77" s="60"/>
      <c r="P77" s="61"/>
      <c r="Q77" s="62"/>
      <c r="R77" s="61"/>
      <c r="S77" s="62"/>
      <c r="T77" s="61"/>
      <c r="U77" s="62"/>
      <c r="V77" s="61"/>
      <c r="W77" s="62"/>
      <c r="X77" s="61"/>
      <c r="Y77" s="62"/>
      <c r="Z77" s="61"/>
      <c r="AA77" s="62"/>
    </row>
    <row r="78" spans="1:27" ht="16.5" customHeight="1">
      <c r="A78" s="579"/>
      <c r="B78" s="625" t="s">
        <v>104</v>
      </c>
      <c r="C78" s="649">
        <f>예산!P90</f>
        <v>39600000</v>
      </c>
      <c r="D78" s="85" t="s">
        <v>107</v>
      </c>
      <c r="E78" s="86">
        <f>예산!P88</f>
        <v>18480000</v>
      </c>
      <c r="F78" s="85"/>
      <c r="G78" s="85"/>
      <c r="H78" s="86">
        <v>0</v>
      </c>
      <c r="I78" s="87"/>
      <c r="J78" s="85"/>
      <c r="K78" s="93"/>
      <c r="O78" s="60"/>
      <c r="P78" s="61"/>
      <c r="Q78" s="62"/>
      <c r="R78" s="61"/>
      <c r="S78" s="62"/>
      <c r="T78" s="61"/>
      <c r="U78" s="62"/>
      <c r="V78" s="61"/>
      <c r="W78" s="62"/>
      <c r="X78" s="61"/>
      <c r="Y78" s="62"/>
      <c r="Z78" s="61"/>
      <c r="AA78" s="62"/>
    </row>
    <row r="79" spans="1:27" ht="16.5" customHeight="1">
      <c r="A79" s="579"/>
      <c r="B79" s="579"/>
      <c r="C79" s="579"/>
      <c r="D79" s="85" t="s">
        <v>112</v>
      </c>
      <c r="E79" s="86">
        <f>예산!P89</f>
        <v>21120000</v>
      </c>
      <c r="F79" s="85"/>
      <c r="G79" s="85"/>
      <c r="H79" s="86">
        <v>0</v>
      </c>
      <c r="I79" s="87"/>
      <c r="J79" s="85"/>
      <c r="K79" s="93"/>
      <c r="O79" s="60"/>
      <c r="P79" s="61"/>
      <c r="Q79" s="62"/>
      <c r="R79" s="61"/>
      <c r="S79" s="62"/>
      <c r="T79" s="61"/>
      <c r="U79" s="62"/>
      <c r="V79" s="61"/>
      <c r="W79" s="62"/>
      <c r="X79" s="61"/>
      <c r="Y79" s="62"/>
      <c r="Z79" s="61"/>
      <c r="AA79" s="62"/>
    </row>
    <row r="80" spans="1:27" ht="16.5" customHeight="1">
      <c r="A80" s="579"/>
      <c r="B80" s="579"/>
      <c r="C80" s="579"/>
      <c r="D80" s="85"/>
      <c r="E80" s="86"/>
      <c r="F80" s="85"/>
      <c r="G80" s="85"/>
      <c r="H80" s="86"/>
      <c r="I80" s="87"/>
      <c r="J80" s="85"/>
      <c r="K80" s="93"/>
      <c r="O80" s="60"/>
      <c r="P80" s="61"/>
      <c r="Q80" s="62"/>
      <c r="R80" s="61"/>
      <c r="S80" s="62"/>
      <c r="T80" s="61"/>
      <c r="U80" s="62"/>
      <c r="V80" s="61"/>
      <c r="W80" s="62"/>
      <c r="X80" s="61"/>
      <c r="Y80" s="62"/>
      <c r="Z80" s="61"/>
      <c r="AA80" s="62"/>
    </row>
    <row r="81" spans="1:27" ht="16.5" customHeight="1">
      <c r="A81" s="579"/>
      <c r="B81" s="579"/>
      <c r="C81" s="579"/>
      <c r="D81" s="85"/>
      <c r="E81" s="86"/>
      <c r="F81" s="85"/>
      <c r="G81" s="85"/>
      <c r="H81" s="86"/>
      <c r="I81" s="87"/>
      <c r="J81" s="85"/>
      <c r="K81" s="93"/>
      <c r="O81" s="60"/>
      <c r="P81" s="61"/>
      <c r="Q81" s="62"/>
      <c r="R81" s="61"/>
      <c r="S81" s="62"/>
      <c r="T81" s="61"/>
      <c r="U81" s="62"/>
      <c r="V81" s="61"/>
      <c r="W81" s="62"/>
      <c r="X81" s="61"/>
      <c r="Y81" s="62"/>
      <c r="Z81" s="61"/>
      <c r="AA81" s="62"/>
    </row>
    <row r="82" spans="1:27" ht="16.5" customHeight="1">
      <c r="A82" s="579"/>
      <c r="B82" s="579"/>
      <c r="C82" s="579"/>
      <c r="D82" s="85"/>
      <c r="E82" s="86"/>
      <c r="F82" s="85"/>
      <c r="G82" s="85"/>
      <c r="H82" s="86"/>
      <c r="I82" s="87"/>
      <c r="J82" s="85"/>
      <c r="K82" s="93"/>
      <c r="O82" s="60"/>
      <c r="P82" s="61"/>
      <c r="Q82" s="62"/>
      <c r="R82" s="61"/>
      <c r="S82" s="62"/>
      <c r="T82" s="61"/>
      <c r="U82" s="62"/>
      <c r="V82" s="61"/>
      <c r="W82" s="62"/>
      <c r="X82" s="61"/>
      <c r="Y82" s="62"/>
      <c r="Z82" s="61"/>
      <c r="AA82" s="62"/>
    </row>
    <row r="83" spans="1:27" ht="16.5" customHeight="1">
      <c r="A83" s="579"/>
      <c r="B83" s="579"/>
      <c r="C83" s="579"/>
      <c r="D83" s="85"/>
      <c r="E83" s="86"/>
      <c r="F83" s="85"/>
      <c r="G83" s="85"/>
      <c r="H83" s="86"/>
      <c r="I83" s="87"/>
      <c r="J83" s="85"/>
      <c r="K83" s="93"/>
      <c r="O83" s="60"/>
      <c r="P83" s="61"/>
      <c r="Q83" s="62"/>
      <c r="R83" s="61"/>
      <c r="S83" s="62"/>
      <c r="T83" s="61"/>
      <c r="U83" s="62"/>
      <c r="V83" s="61"/>
      <c r="W83" s="62"/>
      <c r="X83" s="61"/>
      <c r="Y83" s="62"/>
      <c r="Z83" s="61"/>
      <c r="AA83" s="62"/>
    </row>
    <row r="84" spans="1:27" ht="16.5" customHeight="1">
      <c r="A84" s="579"/>
      <c r="B84" s="579"/>
      <c r="C84" s="579"/>
      <c r="D84" s="85"/>
      <c r="E84" s="86"/>
      <c r="F84" s="85"/>
      <c r="G84" s="85"/>
      <c r="H84" s="86"/>
      <c r="I84" s="87"/>
      <c r="J84" s="85"/>
      <c r="K84" s="93"/>
      <c r="O84" s="60"/>
      <c r="P84" s="61"/>
      <c r="Q84" s="62"/>
      <c r="R84" s="61"/>
      <c r="S84" s="62"/>
      <c r="T84" s="61"/>
      <c r="U84" s="62"/>
      <c r="V84" s="61"/>
      <c r="W84" s="62"/>
      <c r="X84" s="61"/>
      <c r="Y84" s="62"/>
      <c r="Z84" s="61"/>
      <c r="AA84" s="62"/>
    </row>
    <row r="85" spans="1:27" ht="16.5" customHeight="1">
      <c r="A85" s="579"/>
      <c r="B85" s="581"/>
      <c r="C85" s="581"/>
      <c r="D85" s="85"/>
      <c r="E85" s="86"/>
      <c r="F85" s="85"/>
      <c r="G85" s="85"/>
      <c r="H85" s="86"/>
      <c r="I85" s="87"/>
      <c r="J85" s="85"/>
      <c r="K85" s="93"/>
      <c r="O85" s="60"/>
      <c r="P85" s="61"/>
      <c r="Q85" s="62"/>
      <c r="R85" s="61"/>
      <c r="S85" s="62"/>
      <c r="T85" s="61"/>
      <c r="U85" s="62"/>
      <c r="V85" s="61"/>
      <c r="W85" s="62"/>
      <c r="X85" s="61"/>
      <c r="Y85" s="62"/>
      <c r="Z85" s="61"/>
      <c r="AA85" s="62"/>
    </row>
    <row r="86" spans="1:27" ht="16.5" customHeight="1">
      <c r="A86" s="579"/>
      <c r="B86" s="613" t="s">
        <v>21</v>
      </c>
      <c r="C86" s="594"/>
      <c r="D86" s="595"/>
      <c r="E86" s="88">
        <f>SUM(E78:E85)</f>
        <v>39600000</v>
      </c>
      <c r="F86" s="94"/>
      <c r="G86" s="89"/>
      <c r="H86" s="88">
        <f>SUM(H78:H85)</f>
        <v>0</v>
      </c>
      <c r="I86" s="90"/>
      <c r="J86" s="89"/>
      <c r="K86" s="91"/>
      <c r="O86" s="60"/>
      <c r="P86" s="61"/>
      <c r="Q86" s="62"/>
      <c r="R86" s="61"/>
      <c r="S86" s="62"/>
      <c r="T86" s="61"/>
      <c r="U86" s="62"/>
      <c r="V86" s="61"/>
      <c r="W86" s="62"/>
      <c r="X86" s="61"/>
      <c r="Y86" s="62"/>
      <c r="Z86" s="61"/>
      <c r="AA86" s="62"/>
    </row>
    <row r="87" spans="1:27" ht="16.5" customHeight="1">
      <c r="A87" s="579"/>
      <c r="B87" s="127"/>
      <c r="C87" s="96">
        <f>예산!P57</f>
        <v>198119549</v>
      </c>
      <c r="D87" s="107"/>
      <c r="E87" s="108">
        <f>SUM(E57,E59,E71,E77,E86)</f>
        <v>198119549</v>
      </c>
      <c r="F87" s="109"/>
      <c r="G87" s="110"/>
      <c r="H87" s="101">
        <f>SUM(H57,H59,H71,H77,H86)</f>
        <v>0</v>
      </c>
      <c r="I87" s="611"/>
      <c r="J87" s="612"/>
      <c r="K87" s="102">
        <f t="shared" ref="K87:K88" si="0">H87/C87</f>
        <v>0</v>
      </c>
      <c r="O87" s="60"/>
      <c r="P87" s="61"/>
      <c r="Q87" s="62"/>
      <c r="R87" s="61"/>
      <c r="S87" s="62"/>
      <c r="T87" s="61"/>
      <c r="U87" s="62"/>
      <c r="V87" s="61"/>
      <c r="W87" s="62"/>
      <c r="X87" s="61"/>
      <c r="Y87" s="62"/>
      <c r="Z87" s="61"/>
      <c r="AA87" s="62"/>
    </row>
    <row r="88" spans="1:27" ht="16.5" customHeight="1">
      <c r="A88" s="579"/>
      <c r="B88" s="112"/>
      <c r="C88" s="113">
        <f>SUM(C87,C48,C41,C30,C18)</f>
        <v>485690651</v>
      </c>
      <c r="D88" s="112"/>
      <c r="E88" s="114"/>
      <c r="F88" s="112"/>
      <c r="G88" s="112"/>
      <c r="H88" s="115">
        <f>SUM(H87,H48,H41,H30,H18)</f>
        <v>190439292</v>
      </c>
      <c r="I88" s="116"/>
      <c r="J88" s="112"/>
      <c r="K88" s="117">
        <f t="shared" si="0"/>
        <v>0.39209997476356612</v>
      </c>
      <c r="O88" s="60"/>
      <c r="P88" s="61"/>
      <c r="Q88" s="62"/>
      <c r="R88" s="61"/>
      <c r="S88" s="62"/>
      <c r="T88" s="61"/>
      <c r="U88" s="62"/>
      <c r="V88" s="61"/>
      <c r="W88" s="62"/>
      <c r="X88" s="61"/>
      <c r="Y88" s="62"/>
      <c r="Z88" s="61"/>
      <c r="AA88" s="62"/>
    </row>
    <row r="89" spans="1:27" ht="16.5" customHeight="1">
      <c r="A89" s="579"/>
      <c r="C89" s="118"/>
      <c r="E89" s="61"/>
      <c r="H89" s="61"/>
      <c r="I89" s="60"/>
      <c r="K89" s="62"/>
      <c r="O89" s="60"/>
      <c r="P89" s="61"/>
      <c r="Q89" s="62"/>
      <c r="R89" s="61"/>
      <c r="S89" s="62"/>
      <c r="T89" s="61"/>
      <c r="U89" s="62"/>
      <c r="V89" s="61"/>
      <c r="W89" s="62"/>
      <c r="X89" s="61"/>
      <c r="Y89" s="62"/>
      <c r="Z89" s="61"/>
      <c r="AA89" s="62"/>
    </row>
    <row r="90" spans="1:27" ht="16.5" customHeight="1">
      <c r="A90" s="579"/>
      <c r="C90" s="118"/>
      <c r="E90" s="61"/>
      <c r="H90" s="61"/>
      <c r="I90" s="60"/>
      <c r="K90" s="62"/>
      <c r="O90" s="60"/>
      <c r="P90" s="61"/>
      <c r="Q90" s="62"/>
      <c r="R90" s="61"/>
      <c r="S90" s="62"/>
      <c r="T90" s="61"/>
      <c r="U90" s="62"/>
      <c r="V90" s="61"/>
      <c r="W90" s="62"/>
      <c r="X90" s="61"/>
      <c r="Y90" s="62"/>
      <c r="Z90" s="61"/>
      <c r="AA90" s="62"/>
    </row>
    <row r="91" spans="1:27" ht="16.5" customHeight="1">
      <c r="A91" s="579"/>
      <c r="C91" s="118"/>
      <c r="E91" s="61"/>
      <c r="H91" s="61"/>
      <c r="I91" s="60"/>
      <c r="K91" s="62"/>
      <c r="O91" s="60"/>
      <c r="P91" s="61"/>
      <c r="Q91" s="62"/>
      <c r="R91" s="61"/>
      <c r="S91" s="62"/>
      <c r="T91" s="61"/>
      <c r="U91" s="62"/>
      <c r="V91" s="61"/>
      <c r="W91" s="62"/>
      <c r="X91" s="61"/>
      <c r="Y91" s="62"/>
      <c r="Z91" s="61"/>
      <c r="AA91" s="62"/>
    </row>
    <row r="92" spans="1:27" ht="16.5" customHeight="1">
      <c r="A92" s="579"/>
      <c r="C92" s="118"/>
      <c r="E92" s="61"/>
      <c r="H92" s="61"/>
      <c r="I92" s="60"/>
      <c r="K92" s="62"/>
      <c r="O92" s="60"/>
      <c r="P92" s="61"/>
      <c r="Q92" s="62"/>
      <c r="R92" s="61"/>
      <c r="S92" s="62"/>
      <c r="T92" s="61"/>
      <c r="U92" s="62"/>
      <c r="V92" s="61"/>
      <c r="W92" s="62"/>
      <c r="X92" s="61"/>
      <c r="Y92" s="62"/>
      <c r="Z92" s="61"/>
      <c r="AA92" s="62"/>
    </row>
    <row r="93" spans="1:27" ht="16.5" customHeight="1">
      <c r="A93" s="579"/>
      <c r="C93" s="118"/>
      <c r="E93" s="61"/>
      <c r="H93" s="61"/>
      <c r="I93" s="60"/>
      <c r="K93" s="62"/>
      <c r="O93" s="60"/>
      <c r="P93" s="61"/>
      <c r="Q93" s="62"/>
      <c r="R93" s="61"/>
      <c r="S93" s="62"/>
      <c r="T93" s="61"/>
      <c r="U93" s="62"/>
      <c r="V93" s="61"/>
      <c r="W93" s="62"/>
      <c r="X93" s="61"/>
      <c r="Y93" s="62"/>
      <c r="Z93" s="61"/>
      <c r="AA93" s="62"/>
    </row>
    <row r="94" spans="1:27" ht="16.5" customHeight="1">
      <c r="A94" s="579"/>
      <c r="C94" s="118"/>
      <c r="E94" s="61"/>
      <c r="H94" s="61"/>
      <c r="I94" s="60"/>
      <c r="K94" s="62"/>
      <c r="O94" s="60"/>
      <c r="P94" s="61"/>
      <c r="Q94" s="62"/>
      <c r="R94" s="61"/>
      <c r="S94" s="62"/>
      <c r="T94" s="61"/>
      <c r="U94" s="62"/>
      <c r="V94" s="61"/>
      <c r="W94" s="62"/>
      <c r="X94" s="61"/>
      <c r="Y94" s="62"/>
      <c r="Z94" s="61"/>
      <c r="AA94" s="62"/>
    </row>
    <row r="95" spans="1:27" ht="16.5" customHeight="1">
      <c r="A95" s="579"/>
      <c r="C95" s="118"/>
      <c r="E95" s="61"/>
      <c r="H95" s="61"/>
      <c r="I95" s="60"/>
      <c r="K95" s="62"/>
      <c r="O95" s="60"/>
      <c r="P95" s="61"/>
      <c r="Q95" s="62"/>
      <c r="R95" s="61"/>
      <c r="S95" s="62"/>
      <c r="T95" s="61"/>
      <c r="U95" s="62"/>
      <c r="V95" s="61"/>
      <c r="W95" s="62"/>
      <c r="X95" s="61"/>
      <c r="Y95" s="62"/>
      <c r="Z95" s="61"/>
      <c r="AA95" s="62"/>
    </row>
    <row r="96" spans="1:27" ht="16.5" customHeight="1">
      <c r="A96" s="579"/>
      <c r="C96" s="118"/>
      <c r="E96" s="61"/>
      <c r="H96" s="61"/>
      <c r="I96" s="60"/>
      <c r="K96" s="62"/>
      <c r="O96" s="60"/>
      <c r="P96" s="61"/>
      <c r="Q96" s="62"/>
      <c r="R96" s="61"/>
      <c r="S96" s="62"/>
      <c r="T96" s="61"/>
      <c r="U96" s="62"/>
      <c r="V96" s="61"/>
      <c r="W96" s="62"/>
      <c r="X96" s="61"/>
      <c r="Y96" s="62"/>
      <c r="Z96" s="61"/>
      <c r="AA96" s="62"/>
    </row>
    <row r="97" spans="1:27" ht="16.5" customHeight="1">
      <c r="A97" s="579"/>
      <c r="C97" s="118"/>
      <c r="E97" s="61"/>
      <c r="H97" s="61"/>
      <c r="I97" s="60"/>
      <c r="K97" s="62"/>
      <c r="O97" s="60"/>
      <c r="P97" s="61"/>
      <c r="Q97" s="62"/>
      <c r="R97" s="61"/>
      <c r="S97" s="62"/>
      <c r="T97" s="61"/>
      <c r="U97" s="62"/>
      <c r="V97" s="61"/>
      <c r="W97" s="62"/>
      <c r="X97" s="61"/>
      <c r="Y97" s="62"/>
      <c r="Z97" s="61"/>
      <c r="AA97" s="62"/>
    </row>
    <row r="98" spans="1:27" ht="16.5" customHeight="1">
      <c r="A98" s="579"/>
      <c r="C98" s="118"/>
      <c r="E98" s="61"/>
      <c r="H98" s="61"/>
      <c r="I98" s="60"/>
      <c r="K98" s="62"/>
      <c r="O98" s="60"/>
      <c r="P98" s="61"/>
      <c r="Q98" s="62"/>
      <c r="R98" s="61"/>
      <c r="S98" s="62"/>
      <c r="T98" s="61"/>
      <c r="U98" s="62"/>
      <c r="V98" s="61"/>
      <c r="W98" s="62"/>
      <c r="X98" s="61"/>
      <c r="Y98" s="62"/>
      <c r="Z98" s="61"/>
      <c r="AA98" s="62"/>
    </row>
    <row r="99" spans="1:27" ht="16.5" customHeight="1">
      <c r="A99" s="579"/>
      <c r="C99" s="118"/>
      <c r="E99" s="61"/>
      <c r="H99" s="61"/>
      <c r="I99" s="60"/>
      <c r="K99" s="62"/>
      <c r="O99" s="60"/>
      <c r="P99" s="61"/>
      <c r="Q99" s="62"/>
      <c r="R99" s="61"/>
      <c r="S99" s="62"/>
      <c r="T99" s="61"/>
      <c r="U99" s="62"/>
      <c r="V99" s="61"/>
      <c r="W99" s="62"/>
      <c r="X99" s="61"/>
      <c r="Y99" s="62"/>
      <c r="Z99" s="61"/>
      <c r="AA99" s="62"/>
    </row>
    <row r="100" spans="1:27" ht="16.5" customHeight="1">
      <c r="A100" s="579"/>
      <c r="C100" s="118"/>
      <c r="E100" s="61"/>
      <c r="H100" s="61"/>
      <c r="I100" s="60"/>
      <c r="K100" s="62"/>
      <c r="O100" s="60"/>
      <c r="P100" s="61"/>
      <c r="Q100" s="62"/>
      <c r="R100" s="61"/>
      <c r="S100" s="62"/>
      <c r="T100" s="61"/>
      <c r="U100" s="62"/>
      <c r="V100" s="61"/>
      <c r="W100" s="62"/>
      <c r="X100" s="61"/>
      <c r="Y100" s="62"/>
      <c r="Z100" s="61"/>
      <c r="AA100" s="62"/>
    </row>
    <row r="101" spans="1:27" ht="16.5" customHeight="1">
      <c r="A101" s="579"/>
      <c r="C101" s="118"/>
      <c r="E101" s="61"/>
      <c r="H101" s="61"/>
      <c r="I101" s="60"/>
      <c r="K101" s="62"/>
      <c r="O101" s="60"/>
      <c r="P101" s="61"/>
      <c r="Q101" s="62"/>
      <c r="R101" s="61"/>
      <c r="S101" s="62"/>
      <c r="T101" s="61"/>
      <c r="U101" s="62"/>
      <c r="V101" s="61"/>
      <c r="W101" s="62"/>
      <c r="X101" s="61"/>
      <c r="Y101" s="62"/>
      <c r="Z101" s="61"/>
      <c r="AA101" s="62"/>
    </row>
    <row r="102" spans="1:27" ht="16.5" customHeight="1">
      <c r="A102" s="579"/>
      <c r="C102" s="118"/>
      <c r="E102" s="61"/>
      <c r="H102" s="61"/>
      <c r="I102" s="60"/>
      <c r="K102" s="62"/>
      <c r="O102" s="60"/>
      <c r="P102" s="61"/>
      <c r="Q102" s="62"/>
      <c r="R102" s="61"/>
      <c r="S102" s="62"/>
      <c r="T102" s="61"/>
      <c r="U102" s="62"/>
      <c r="V102" s="61"/>
      <c r="W102" s="62"/>
      <c r="X102" s="61"/>
      <c r="Y102" s="62"/>
      <c r="Z102" s="61"/>
      <c r="AA102" s="62"/>
    </row>
    <row r="103" spans="1:27" ht="16.5" customHeight="1">
      <c r="A103" s="579"/>
      <c r="C103" s="118"/>
      <c r="E103" s="61"/>
      <c r="H103" s="61"/>
      <c r="I103" s="60"/>
      <c r="K103" s="62"/>
      <c r="O103" s="60"/>
      <c r="P103" s="61"/>
      <c r="Q103" s="62"/>
      <c r="R103" s="61"/>
      <c r="S103" s="62"/>
      <c r="T103" s="61"/>
      <c r="U103" s="62"/>
      <c r="V103" s="61"/>
      <c r="W103" s="62"/>
      <c r="X103" s="61"/>
      <c r="Y103" s="62"/>
      <c r="Z103" s="61"/>
      <c r="AA103" s="62"/>
    </row>
    <row r="104" spans="1:27" ht="16.5" customHeight="1">
      <c r="A104" s="579"/>
      <c r="C104" s="118"/>
      <c r="E104" s="61"/>
      <c r="H104" s="61"/>
      <c r="I104" s="60"/>
      <c r="K104" s="62"/>
      <c r="O104" s="60"/>
      <c r="P104" s="61"/>
      <c r="Q104" s="62"/>
      <c r="R104" s="61"/>
      <c r="S104" s="62"/>
      <c r="T104" s="61"/>
      <c r="U104" s="62"/>
      <c r="V104" s="61"/>
      <c r="W104" s="62"/>
      <c r="X104" s="61"/>
      <c r="Y104" s="62"/>
      <c r="Z104" s="61"/>
      <c r="AA104" s="62"/>
    </row>
    <row r="105" spans="1:27" ht="16.5" customHeight="1">
      <c r="A105" s="579"/>
      <c r="C105" s="118"/>
      <c r="E105" s="61"/>
      <c r="H105" s="61"/>
      <c r="I105" s="60"/>
      <c r="K105" s="62"/>
      <c r="O105" s="60"/>
      <c r="P105" s="61"/>
      <c r="Q105" s="62"/>
      <c r="R105" s="61"/>
      <c r="S105" s="62"/>
      <c r="T105" s="61"/>
      <c r="U105" s="62"/>
      <c r="V105" s="61"/>
      <c r="W105" s="62"/>
      <c r="X105" s="61"/>
      <c r="Y105" s="62"/>
      <c r="Z105" s="61"/>
      <c r="AA105" s="62"/>
    </row>
    <row r="106" spans="1:27" ht="16.5" customHeight="1">
      <c r="A106" s="579"/>
      <c r="C106" s="118"/>
      <c r="E106" s="61"/>
      <c r="H106" s="61"/>
      <c r="I106" s="60"/>
      <c r="K106" s="62"/>
      <c r="O106" s="60"/>
      <c r="P106" s="61"/>
      <c r="Q106" s="62"/>
      <c r="R106" s="61"/>
      <c r="S106" s="62"/>
      <c r="T106" s="61"/>
      <c r="U106" s="62"/>
      <c r="V106" s="61"/>
      <c r="W106" s="62"/>
      <c r="X106" s="61"/>
      <c r="Y106" s="62"/>
      <c r="Z106" s="61"/>
      <c r="AA106" s="62"/>
    </row>
    <row r="107" spans="1:27" ht="16.5" customHeight="1">
      <c r="A107" s="579"/>
      <c r="C107" s="118"/>
      <c r="E107" s="61"/>
      <c r="H107" s="61"/>
      <c r="I107" s="60"/>
      <c r="K107" s="62"/>
      <c r="O107" s="60"/>
      <c r="P107" s="61"/>
      <c r="Q107" s="62"/>
      <c r="R107" s="61"/>
      <c r="S107" s="62"/>
      <c r="T107" s="61"/>
      <c r="U107" s="62"/>
      <c r="V107" s="61"/>
      <c r="W107" s="62"/>
      <c r="X107" s="61"/>
      <c r="Y107" s="62"/>
      <c r="Z107" s="61"/>
      <c r="AA107" s="62"/>
    </row>
    <row r="108" spans="1:27" ht="16.5" customHeight="1">
      <c r="A108" s="579"/>
      <c r="C108" s="118"/>
      <c r="E108" s="61"/>
      <c r="H108" s="61"/>
      <c r="I108" s="60"/>
      <c r="K108" s="62"/>
      <c r="O108" s="60"/>
      <c r="P108" s="61"/>
      <c r="Q108" s="62"/>
      <c r="R108" s="61"/>
      <c r="S108" s="62"/>
      <c r="T108" s="61"/>
      <c r="U108" s="62"/>
      <c r="V108" s="61"/>
      <c r="W108" s="62"/>
      <c r="X108" s="61"/>
      <c r="Y108" s="62"/>
      <c r="Z108" s="61"/>
      <c r="AA108" s="62"/>
    </row>
    <row r="109" spans="1:27" ht="16.5" customHeight="1">
      <c r="A109" s="579"/>
      <c r="C109" s="118"/>
      <c r="E109" s="61"/>
      <c r="H109" s="61"/>
      <c r="I109" s="60"/>
      <c r="K109" s="62"/>
      <c r="O109" s="60"/>
      <c r="P109" s="61"/>
      <c r="Q109" s="62"/>
      <c r="R109" s="61"/>
      <c r="S109" s="62"/>
      <c r="T109" s="61"/>
      <c r="U109" s="62"/>
      <c r="V109" s="61"/>
      <c r="W109" s="62"/>
      <c r="X109" s="61"/>
      <c r="Y109" s="62"/>
      <c r="Z109" s="61"/>
      <c r="AA109" s="62"/>
    </row>
    <row r="110" spans="1:27" ht="16.5" customHeight="1">
      <c r="A110" s="579"/>
      <c r="C110" s="118"/>
      <c r="E110" s="61"/>
      <c r="H110" s="61"/>
      <c r="I110" s="60"/>
      <c r="K110" s="62"/>
      <c r="O110" s="60"/>
      <c r="P110" s="61"/>
      <c r="Q110" s="62"/>
      <c r="R110" s="61"/>
      <c r="S110" s="62"/>
      <c r="T110" s="61"/>
      <c r="U110" s="62"/>
      <c r="V110" s="61"/>
      <c r="W110" s="62"/>
      <c r="X110" s="61"/>
      <c r="Y110" s="62"/>
      <c r="Z110" s="61"/>
      <c r="AA110" s="62"/>
    </row>
    <row r="111" spans="1:27" ht="16.5" customHeight="1">
      <c r="A111" s="579"/>
      <c r="C111" s="118"/>
      <c r="E111" s="61"/>
      <c r="H111" s="61"/>
      <c r="I111" s="60"/>
      <c r="K111" s="62"/>
      <c r="O111" s="60"/>
      <c r="P111" s="61"/>
      <c r="Q111" s="62"/>
      <c r="R111" s="61"/>
      <c r="S111" s="62"/>
      <c r="T111" s="61"/>
      <c r="U111" s="62"/>
      <c r="V111" s="61"/>
      <c r="W111" s="62"/>
      <c r="X111" s="61"/>
      <c r="Y111" s="62"/>
      <c r="Z111" s="61"/>
      <c r="AA111" s="62"/>
    </row>
    <row r="112" spans="1:27" ht="16.5" customHeight="1">
      <c r="A112" s="579"/>
      <c r="C112" s="118"/>
      <c r="E112" s="61"/>
      <c r="H112" s="61"/>
      <c r="I112" s="60"/>
      <c r="K112" s="62"/>
      <c r="O112" s="60"/>
      <c r="P112" s="61"/>
      <c r="Q112" s="62"/>
      <c r="R112" s="61"/>
      <c r="S112" s="62"/>
      <c r="T112" s="61"/>
      <c r="U112" s="62"/>
      <c r="V112" s="61"/>
      <c r="W112" s="62"/>
      <c r="X112" s="61"/>
      <c r="Y112" s="62"/>
      <c r="Z112" s="61"/>
      <c r="AA112" s="62"/>
    </row>
    <row r="113" spans="1:27" ht="16.5" customHeight="1">
      <c r="A113" s="579"/>
      <c r="C113" s="118"/>
      <c r="E113" s="61"/>
      <c r="H113" s="61"/>
      <c r="I113" s="60"/>
      <c r="K113" s="62"/>
      <c r="O113" s="60"/>
      <c r="P113" s="61"/>
      <c r="Q113" s="62"/>
      <c r="R113" s="61"/>
      <c r="S113" s="62"/>
      <c r="T113" s="61"/>
      <c r="U113" s="62"/>
      <c r="V113" s="61"/>
      <c r="W113" s="62"/>
      <c r="X113" s="61"/>
      <c r="Y113" s="62"/>
      <c r="Z113" s="61"/>
      <c r="AA113" s="62"/>
    </row>
    <row r="114" spans="1:27" ht="16.5" customHeight="1">
      <c r="A114" s="579"/>
      <c r="C114" s="118"/>
      <c r="E114" s="61"/>
      <c r="H114" s="61"/>
      <c r="I114" s="60"/>
      <c r="K114" s="62"/>
      <c r="O114" s="60"/>
      <c r="P114" s="61"/>
      <c r="Q114" s="62"/>
      <c r="R114" s="61"/>
      <c r="S114" s="62"/>
      <c r="T114" s="61"/>
      <c r="U114" s="62"/>
      <c r="V114" s="61"/>
      <c r="W114" s="62"/>
      <c r="X114" s="61"/>
      <c r="Y114" s="62"/>
      <c r="Z114" s="61"/>
      <c r="AA114" s="62"/>
    </row>
    <row r="115" spans="1:27" ht="16.5" customHeight="1">
      <c r="A115" s="579"/>
      <c r="C115" s="118"/>
      <c r="E115" s="61"/>
      <c r="H115" s="61"/>
      <c r="I115" s="60"/>
      <c r="K115" s="62"/>
      <c r="O115" s="60"/>
      <c r="P115" s="61"/>
      <c r="Q115" s="62"/>
      <c r="R115" s="61"/>
      <c r="S115" s="62"/>
      <c r="T115" s="61"/>
      <c r="U115" s="62"/>
      <c r="V115" s="61"/>
      <c r="W115" s="62"/>
      <c r="X115" s="61"/>
      <c r="Y115" s="62"/>
      <c r="Z115" s="61"/>
      <c r="AA115" s="62"/>
    </row>
    <row r="116" spans="1:27" ht="16.5" customHeight="1">
      <c r="A116" s="579"/>
      <c r="C116" s="118"/>
      <c r="E116" s="61"/>
      <c r="H116" s="61"/>
      <c r="I116" s="60"/>
      <c r="K116" s="62"/>
      <c r="O116" s="60"/>
      <c r="P116" s="61"/>
      <c r="Q116" s="62"/>
      <c r="R116" s="61"/>
      <c r="S116" s="62"/>
      <c r="T116" s="61"/>
      <c r="U116" s="62"/>
      <c r="V116" s="61"/>
      <c r="W116" s="62"/>
      <c r="X116" s="61"/>
      <c r="Y116" s="62"/>
      <c r="Z116" s="61"/>
      <c r="AA116" s="62"/>
    </row>
    <row r="117" spans="1:27" ht="16.5" customHeight="1">
      <c r="A117" s="579"/>
      <c r="C117" s="118"/>
      <c r="E117" s="61"/>
      <c r="H117" s="61"/>
      <c r="I117" s="60"/>
      <c r="K117" s="62"/>
      <c r="O117" s="60"/>
      <c r="P117" s="61"/>
      <c r="Q117" s="62"/>
      <c r="R117" s="61"/>
      <c r="S117" s="62"/>
      <c r="T117" s="61"/>
      <c r="U117" s="62"/>
      <c r="V117" s="61"/>
      <c r="W117" s="62"/>
      <c r="X117" s="61"/>
      <c r="Y117" s="62"/>
      <c r="Z117" s="61"/>
      <c r="AA117" s="62"/>
    </row>
    <row r="118" spans="1:27" ht="16.5" customHeight="1">
      <c r="A118" s="579"/>
      <c r="C118" s="118"/>
      <c r="E118" s="61"/>
      <c r="H118" s="61"/>
      <c r="I118" s="60"/>
      <c r="K118" s="62"/>
      <c r="O118" s="60"/>
      <c r="P118" s="61"/>
      <c r="Q118" s="62"/>
      <c r="R118" s="61"/>
      <c r="S118" s="62"/>
      <c r="T118" s="61"/>
      <c r="U118" s="62"/>
      <c r="V118" s="61"/>
      <c r="W118" s="62"/>
      <c r="X118" s="61"/>
      <c r="Y118" s="62"/>
      <c r="Z118" s="61"/>
      <c r="AA118" s="62"/>
    </row>
    <row r="119" spans="1:27" ht="16.5" customHeight="1">
      <c r="A119" s="579"/>
      <c r="C119" s="118"/>
      <c r="E119" s="61"/>
      <c r="H119" s="61"/>
      <c r="I119" s="60"/>
      <c r="K119" s="62"/>
      <c r="O119" s="60"/>
      <c r="P119" s="61"/>
      <c r="Q119" s="62"/>
      <c r="R119" s="61"/>
      <c r="S119" s="62"/>
      <c r="T119" s="61"/>
      <c r="U119" s="62"/>
      <c r="V119" s="61"/>
      <c r="W119" s="62"/>
      <c r="X119" s="61"/>
      <c r="Y119" s="62"/>
      <c r="Z119" s="61"/>
      <c r="AA119" s="62"/>
    </row>
    <row r="120" spans="1:27" ht="16.5" customHeight="1">
      <c r="A120" s="579"/>
      <c r="C120" s="118"/>
      <c r="E120" s="61"/>
      <c r="H120" s="61"/>
      <c r="I120" s="60"/>
      <c r="K120" s="62"/>
      <c r="O120" s="60"/>
      <c r="P120" s="61"/>
      <c r="Q120" s="62"/>
      <c r="R120" s="61"/>
      <c r="S120" s="62"/>
      <c r="T120" s="61"/>
      <c r="U120" s="62"/>
      <c r="V120" s="61"/>
      <c r="W120" s="62"/>
      <c r="X120" s="61"/>
      <c r="Y120" s="62"/>
      <c r="Z120" s="61"/>
      <c r="AA120" s="62"/>
    </row>
    <row r="121" spans="1:27" ht="16.5" customHeight="1">
      <c r="A121" s="581"/>
      <c r="C121" s="118"/>
      <c r="E121" s="61"/>
      <c r="H121" s="61"/>
      <c r="I121" s="60"/>
      <c r="K121" s="62"/>
      <c r="O121" s="60"/>
      <c r="P121" s="61"/>
      <c r="Q121" s="62"/>
      <c r="R121" s="61"/>
      <c r="S121" s="62"/>
      <c r="T121" s="61"/>
      <c r="U121" s="62"/>
      <c r="V121" s="61"/>
      <c r="W121" s="62"/>
      <c r="X121" s="61"/>
      <c r="Y121" s="62"/>
      <c r="Z121" s="61"/>
      <c r="AA121" s="62"/>
    </row>
    <row r="122" spans="1:27" ht="16.5" customHeight="1">
      <c r="A122" s="128" t="s">
        <v>269</v>
      </c>
      <c r="C122" s="118"/>
      <c r="E122" s="61"/>
      <c r="H122" s="61"/>
      <c r="I122" s="60"/>
      <c r="K122" s="62"/>
      <c r="O122" s="60"/>
      <c r="P122" s="61"/>
      <c r="Q122" s="62"/>
      <c r="R122" s="61"/>
      <c r="S122" s="62"/>
      <c r="T122" s="61"/>
      <c r="U122" s="62"/>
      <c r="V122" s="61"/>
      <c r="W122" s="62"/>
      <c r="X122" s="61"/>
      <c r="Y122" s="62"/>
      <c r="Z122" s="61"/>
      <c r="AA122" s="62"/>
    </row>
    <row r="123" spans="1:27" ht="16.5" customHeight="1">
      <c r="A123" s="111" t="s">
        <v>270</v>
      </c>
      <c r="C123" s="118"/>
      <c r="E123" s="61"/>
      <c r="H123" s="61"/>
      <c r="I123" s="60"/>
      <c r="K123" s="62"/>
      <c r="O123" s="60"/>
      <c r="P123" s="61"/>
      <c r="Q123" s="62"/>
      <c r="R123" s="61"/>
      <c r="S123" s="62"/>
      <c r="T123" s="61"/>
      <c r="U123" s="62"/>
      <c r="V123" s="61"/>
      <c r="W123" s="62"/>
      <c r="X123" s="61"/>
      <c r="Y123" s="62"/>
      <c r="Z123" s="61"/>
      <c r="AA123" s="62"/>
    </row>
    <row r="124" spans="1:27" ht="16.5" customHeight="1">
      <c r="C124" s="118"/>
      <c r="E124" s="61"/>
      <c r="H124" s="61"/>
      <c r="I124" s="60"/>
      <c r="K124" s="62"/>
      <c r="O124" s="60"/>
      <c r="P124" s="61"/>
      <c r="Q124" s="62"/>
      <c r="R124" s="61"/>
      <c r="S124" s="62"/>
      <c r="T124" s="61"/>
      <c r="U124" s="62"/>
      <c r="V124" s="61"/>
      <c r="W124" s="62"/>
      <c r="X124" s="61"/>
      <c r="Y124" s="62"/>
      <c r="Z124" s="61"/>
      <c r="AA124" s="62"/>
    </row>
    <row r="125" spans="1:27" ht="16.5" customHeight="1">
      <c r="C125" s="118"/>
      <c r="E125" s="61"/>
      <c r="H125" s="61"/>
      <c r="I125" s="60"/>
      <c r="K125" s="62"/>
      <c r="O125" s="60"/>
      <c r="P125" s="61"/>
      <c r="Q125" s="62"/>
      <c r="R125" s="61"/>
      <c r="S125" s="62"/>
      <c r="T125" s="61"/>
      <c r="U125" s="62"/>
      <c r="V125" s="61"/>
      <c r="W125" s="62"/>
      <c r="X125" s="61"/>
      <c r="Y125" s="62"/>
      <c r="Z125" s="61"/>
      <c r="AA125" s="62"/>
    </row>
    <row r="126" spans="1:27" ht="16.5" customHeight="1">
      <c r="C126" s="118"/>
      <c r="E126" s="61"/>
      <c r="H126" s="61"/>
      <c r="I126" s="60"/>
      <c r="K126" s="62"/>
      <c r="O126" s="60"/>
      <c r="P126" s="61"/>
      <c r="Q126" s="62"/>
      <c r="R126" s="61"/>
      <c r="S126" s="62"/>
      <c r="T126" s="61"/>
      <c r="U126" s="62"/>
      <c r="V126" s="61"/>
      <c r="W126" s="62"/>
      <c r="X126" s="61"/>
      <c r="Y126" s="62"/>
      <c r="Z126" s="61"/>
      <c r="AA126" s="62"/>
    </row>
    <row r="127" spans="1:27" ht="16.5" customHeight="1">
      <c r="C127" s="118"/>
      <c r="E127" s="61"/>
      <c r="H127" s="61"/>
      <c r="I127" s="60"/>
      <c r="K127" s="62"/>
      <c r="O127" s="60"/>
      <c r="P127" s="61"/>
      <c r="Q127" s="62"/>
      <c r="R127" s="61"/>
      <c r="S127" s="62"/>
      <c r="T127" s="61"/>
      <c r="U127" s="62"/>
      <c r="V127" s="61"/>
      <c r="W127" s="62"/>
      <c r="X127" s="61"/>
      <c r="Y127" s="62"/>
      <c r="Z127" s="61"/>
      <c r="AA127" s="62"/>
    </row>
    <row r="128" spans="1:27" ht="16.5" customHeight="1">
      <c r="C128" s="118"/>
      <c r="E128" s="61"/>
      <c r="H128" s="61"/>
      <c r="I128" s="60"/>
      <c r="K128" s="62"/>
      <c r="O128" s="60"/>
      <c r="P128" s="61"/>
      <c r="Q128" s="62"/>
      <c r="R128" s="61"/>
      <c r="S128" s="62"/>
      <c r="T128" s="61"/>
      <c r="U128" s="62"/>
      <c r="V128" s="61"/>
      <c r="W128" s="62"/>
      <c r="X128" s="61"/>
      <c r="Y128" s="62"/>
      <c r="Z128" s="61"/>
      <c r="AA128" s="62"/>
    </row>
    <row r="129" spans="3:27" ht="16.5" customHeight="1">
      <c r="C129" s="118"/>
      <c r="E129" s="61"/>
      <c r="H129" s="61"/>
      <c r="I129" s="60"/>
      <c r="K129" s="62"/>
      <c r="O129" s="60"/>
      <c r="P129" s="61"/>
      <c r="Q129" s="62"/>
      <c r="R129" s="61"/>
      <c r="S129" s="62"/>
      <c r="T129" s="61"/>
      <c r="U129" s="62"/>
      <c r="V129" s="61"/>
      <c r="W129" s="62"/>
      <c r="X129" s="61"/>
      <c r="Y129" s="62"/>
      <c r="Z129" s="61"/>
      <c r="AA129" s="62"/>
    </row>
    <row r="130" spans="3:27" ht="16.5" customHeight="1">
      <c r="C130" s="118"/>
      <c r="E130" s="61"/>
      <c r="H130" s="61"/>
      <c r="I130" s="60"/>
      <c r="K130" s="62"/>
      <c r="O130" s="60"/>
      <c r="P130" s="61"/>
      <c r="Q130" s="62"/>
      <c r="R130" s="61"/>
      <c r="S130" s="62"/>
      <c r="T130" s="61"/>
      <c r="U130" s="62"/>
      <c r="V130" s="61"/>
      <c r="W130" s="62"/>
      <c r="X130" s="61"/>
      <c r="Y130" s="62"/>
      <c r="Z130" s="61"/>
      <c r="AA130" s="62"/>
    </row>
    <row r="131" spans="3:27" ht="16.5" customHeight="1">
      <c r="C131" s="118"/>
      <c r="E131" s="61"/>
      <c r="H131" s="61"/>
      <c r="I131" s="60"/>
      <c r="K131" s="62"/>
      <c r="O131" s="60"/>
      <c r="P131" s="61"/>
      <c r="Q131" s="62"/>
      <c r="R131" s="61"/>
      <c r="S131" s="62"/>
      <c r="T131" s="61"/>
      <c r="U131" s="62"/>
      <c r="V131" s="61"/>
      <c r="W131" s="62"/>
      <c r="X131" s="61"/>
      <c r="Y131" s="62"/>
      <c r="Z131" s="61"/>
      <c r="AA131" s="62"/>
    </row>
    <row r="132" spans="3:27" ht="16.5" customHeight="1">
      <c r="C132" s="118"/>
      <c r="E132" s="61"/>
      <c r="H132" s="61"/>
      <c r="I132" s="60"/>
      <c r="K132" s="62"/>
      <c r="O132" s="60"/>
      <c r="P132" s="61"/>
      <c r="Q132" s="62"/>
      <c r="R132" s="61"/>
      <c r="S132" s="62"/>
      <c r="T132" s="61"/>
      <c r="U132" s="62"/>
      <c r="V132" s="61"/>
      <c r="W132" s="62"/>
      <c r="X132" s="61"/>
      <c r="Y132" s="62"/>
      <c r="Z132" s="61"/>
      <c r="AA132" s="62"/>
    </row>
    <row r="133" spans="3:27" ht="16.5" customHeight="1">
      <c r="C133" s="118"/>
      <c r="E133" s="61"/>
      <c r="H133" s="61"/>
      <c r="I133" s="60"/>
      <c r="K133" s="62"/>
      <c r="O133" s="60"/>
      <c r="P133" s="61"/>
      <c r="Q133" s="62"/>
      <c r="R133" s="61"/>
      <c r="S133" s="62"/>
      <c r="T133" s="61"/>
      <c r="U133" s="62"/>
      <c r="V133" s="61"/>
      <c r="W133" s="62"/>
      <c r="X133" s="61"/>
      <c r="Y133" s="62"/>
      <c r="Z133" s="61"/>
      <c r="AA133" s="62"/>
    </row>
    <row r="134" spans="3:27" ht="16.5" customHeight="1">
      <c r="C134" s="118"/>
      <c r="E134" s="61"/>
      <c r="H134" s="61"/>
      <c r="I134" s="60"/>
      <c r="K134" s="62"/>
      <c r="O134" s="60"/>
      <c r="P134" s="61"/>
      <c r="Q134" s="62"/>
      <c r="R134" s="61"/>
      <c r="S134" s="62"/>
      <c r="T134" s="61"/>
      <c r="U134" s="62"/>
      <c r="V134" s="61"/>
      <c r="W134" s="62"/>
      <c r="X134" s="61"/>
      <c r="Y134" s="62"/>
      <c r="Z134" s="61"/>
      <c r="AA134" s="62"/>
    </row>
    <row r="135" spans="3:27" ht="16.5" customHeight="1">
      <c r="C135" s="118"/>
      <c r="E135" s="61"/>
      <c r="H135" s="61"/>
      <c r="I135" s="60"/>
      <c r="K135" s="62"/>
      <c r="O135" s="60"/>
      <c r="P135" s="61"/>
      <c r="Q135" s="62"/>
      <c r="R135" s="61"/>
      <c r="S135" s="62"/>
      <c r="T135" s="61"/>
      <c r="U135" s="62"/>
      <c r="V135" s="61"/>
      <c r="W135" s="62"/>
      <c r="X135" s="61"/>
      <c r="Y135" s="62"/>
      <c r="Z135" s="61"/>
      <c r="AA135" s="62"/>
    </row>
    <row r="136" spans="3:27" ht="16.5" customHeight="1">
      <c r="C136" s="118"/>
      <c r="E136" s="61"/>
      <c r="H136" s="61"/>
      <c r="I136" s="60"/>
      <c r="K136" s="62"/>
      <c r="O136" s="60"/>
      <c r="P136" s="61"/>
      <c r="Q136" s="62"/>
      <c r="R136" s="61"/>
      <c r="S136" s="62"/>
      <c r="T136" s="61"/>
      <c r="U136" s="62"/>
      <c r="V136" s="61"/>
      <c r="W136" s="62"/>
      <c r="X136" s="61"/>
      <c r="Y136" s="62"/>
      <c r="Z136" s="61"/>
      <c r="AA136" s="62"/>
    </row>
    <row r="137" spans="3:27" ht="16.5" customHeight="1">
      <c r="C137" s="118"/>
      <c r="E137" s="61"/>
      <c r="H137" s="61"/>
      <c r="I137" s="60"/>
      <c r="K137" s="62"/>
      <c r="O137" s="60"/>
      <c r="P137" s="61"/>
      <c r="Q137" s="62"/>
      <c r="R137" s="61"/>
      <c r="S137" s="62"/>
      <c r="T137" s="61"/>
      <c r="U137" s="62"/>
      <c r="V137" s="61"/>
      <c r="W137" s="62"/>
      <c r="X137" s="61"/>
      <c r="Y137" s="62"/>
      <c r="Z137" s="61"/>
      <c r="AA137" s="62"/>
    </row>
    <row r="138" spans="3:27" ht="16.5" customHeight="1">
      <c r="C138" s="118"/>
      <c r="E138" s="61"/>
      <c r="H138" s="61"/>
      <c r="I138" s="60"/>
      <c r="K138" s="62"/>
      <c r="O138" s="60"/>
      <c r="P138" s="61"/>
      <c r="Q138" s="62"/>
      <c r="R138" s="61"/>
      <c r="S138" s="62"/>
      <c r="T138" s="61"/>
      <c r="U138" s="62"/>
      <c r="V138" s="61"/>
      <c r="W138" s="62"/>
      <c r="X138" s="61"/>
      <c r="Y138" s="62"/>
      <c r="Z138" s="61"/>
      <c r="AA138" s="62"/>
    </row>
    <row r="139" spans="3:27" ht="16.5" customHeight="1">
      <c r="C139" s="118"/>
      <c r="E139" s="61"/>
      <c r="H139" s="61"/>
      <c r="I139" s="60"/>
      <c r="K139" s="62"/>
      <c r="O139" s="60"/>
      <c r="P139" s="61"/>
      <c r="Q139" s="62"/>
      <c r="R139" s="61"/>
      <c r="S139" s="62"/>
      <c r="T139" s="61"/>
      <c r="U139" s="62"/>
      <c r="V139" s="61"/>
      <c r="W139" s="62"/>
      <c r="X139" s="61"/>
      <c r="Y139" s="62"/>
      <c r="Z139" s="61"/>
      <c r="AA139" s="62"/>
    </row>
    <row r="140" spans="3:27" ht="16.5" customHeight="1">
      <c r="C140" s="118"/>
      <c r="E140" s="61"/>
      <c r="H140" s="61"/>
      <c r="I140" s="60"/>
      <c r="K140" s="62"/>
      <c r="O140" s="60"/>
      <c r="P140" s="61"/>
      <c r="Q140" s="62"/>
      <c r="R140" s="61"/>
      <c r="S140" s="62"/>
      <c r="T140" s="61"/>
      <c r="U140" s="62"/>
      <c r="V140" s="61"/>
      <c r="W140" s="62"/>
      <c r="X140" s="61"/>
      <c r="Y140" s="62"/>
      <c r="Z140" s="61"/>
      <c r="AA140" s="62"/>
    </row>
    <row r="141" spans="3:27" ht="16.5" customHeight="1">
      <c r="C141" s="118"/>
      <c r="E141" s="61"/>
      <c r="H141" s="61"/>
      <c r="I141" s="60"/>
      <c r="K141" s="62"/>
      <c r="O141" s="60"/>
      <c r="P141" s="61"/>
      <c r="Q141" s="62"/>
      <c r="R141" s="61"/>
      <c r="S141" s="62"/>
      <c r="T141" s="61"/>
      <c r="U141" s="62"/>
      <c r="V141" s="61"/>
      <c r="W141" s="62"/>
      <c r="X141" s="61"/>
      <c r="Y141" s="62"/>
      <c r="Z141" s="61"/>
      <c r="AA141" s="62"/>
    </row>
    <row r="142" spans="3:27" ht="16.5" customHeight="1">
      <c r="C142" s="118"/>
      <c r="E142" s="61"/>
      <c r="H142" s="61"/>
      <c r="I142" s="60"/>
      <c r="K142" s="62"/>
      <c r="O142" s="60"/>
      <c r="P142" s="61"/>
      <c r="Q142" s="62"/>
      <c r="R142" s="61"/>
      <c r="S142" s="62"/>
      <c r="T142" s="61"/>
      <c r="U142" s="62"/>
      <c r="V142" s="61"/>
      <c r="W142" s="62"/>
      <c r="X142" s="61"/>
      <c r="Y142" s="62"/>
      <c r="Z142" s="61"/>
      <c r="AA142" s="62"/>
    </row>
    <row r="143" spans="3:27" ht="16.5" customHeight="1">
      <c r="C143" s="118"/>
      <c r="E143" s="61"/>
      <c r="H143" s="61"/>
      <c r="I143" s="60"/>
      <c r="K143" s="62"/>
      <c r="O143" s="60"/>
      <c r="P143" s="61"/>
      <c r="Q143" s="62"/>
      <c r="R143" s="61"/>
      <c r="S143" s="62"/>
      <c r="T143" s="61"/>
      <c r="U143" s="62"/>
      <c r="V143" s="61"/>
      <c r="W143" s="62"/>
      <c r="X143" s="61"/>
      <c r="Y143" s="62"/>
      <c r="Z143" s="61"/>
      <c r="AA143" s="62"/>
    </row>
    <row r="144" spans="3:27" ht="16.5" customHeight="1">
      <c r="C144" s="118"/>
      <c r="E144" s="61"/>
      <c r="H144" s="61"/>
      <c r="I144" s="60"/>
      <c r="K144" s="62"/>
      <c r="O144" s="60"/>
      <c r="P144" s="61"/>
      <c r="Q144" s="62"/>
      <c r="R144" s="61"/>
      <c r="S144" s="62"/>
      <c r="T144" s="61"/>
      <c r="U144" s="62"/>
      <c r="V144" s="61"/>
      <c r="W144" s="62"/>
      <c r="X144" s="61"/>
      <c r="Y144" s="62"/>
      <c r="Z144" s="61"/>
      <c r="AA144" s="62"/>
    </row>
    <row r="145" spans="3:27" ht="16.5" customHeight="1">
      <c r="C145" s="118"/>
      <c r="E145" s="61"/>
      <c r="H145" s="61"/>
      <c r="I145" s="60"/>
      <c r="K145" s="62"/>
      <c r="O145" s="60"/>
      <c r="P145" s="61"/>
      <c r="Q145" s="62"/>
      <c r="R145" s="61"/>
      <c r="S145" s="62"/>
      <c r="T145" s="61"/>
      <c r="U145" s="62"/>
      <c r="V145" s="61"/>
      <c r="W145" s="62"/>
      <c r="X145" s="61"/>
      <c r="Y145" s="62"/>
      <c r="Z145" s="61"/>
      <c r="AA145" s="62"/>
    </row>
    <row r="146" spans="3:27" ht="16.5" customHeight="1">
      <c r="C146" s="118"/>
      <c r="E146" s="61"/>
      <c r="H146" s="61"/>
      <c r="I146" s="60"/>
      <c r="K146" s="62"/>
      <c r="O146" s="60"/>
      <c r="P146" s="61"/>
      <c r="Q146" s="62"/>
      <c r="R146" s="61"/>
      <c r="S146" s="62"/>
      <c r="T146" s="61"/>
      <c r="U146" s="62"/>
      <c r="V146" s="61"/>
      <c r="W146" s="62"/>
      <c r="X146" s="61"/>
      <c r="Y146" s="62"/>
      <c r="Z146" s="61"/>
      <c r="AA146" s="62"/>
    </row>
    <row r="147" spans="3:27" ht="16.5" customHeight="1">
      <c r="C147" s="118"/>
      <c r="E147" s="61"/>
      <c r="H147" s="61"/>
      <c r="I147" s="60"/>
      <c r="K147" s="62"/>
      <c r="O147" s="60"/>
      <c r="P147" s="61"/>
      <c r="Q147" s="62"/>
      <c r="R147" s="61"/>
      <c r="S147" s="62"/>
      <c r="T147" s="61"/>
      <c r="U147" s="62"/>
      <c r="V147" s="61"/>
      <c r="W147" s="62"/>
      <c r="X147" s="61"/>
      <c r="Y147" s="62"/>
      <c r="Z147" s="61"/>
      <c r="AA147" s="62"/>
    </row>
    <row r="148" spans="3:27" ht="16.5" customHeight="1">
      <c r="C148" s="118"/>
      <c r="E148" s="61"/>
      <c r="H148" s="61"/>
      <c r="I148" s="60"/>
      <c r="K148" s="62"/>
      <c r="O148" s="60"/>
      <c r="P148" s="61"/>
      <c r="Q148" s="62"/>
      <c r="R148" s="61"/>
      <c r="S148" s="62"/>
      <c r="T148" s="61"/>
      <c r="U148" s="62"/>
      <c r="V148" s="61"/>
      <c r="W148" s="62"/>
      <c r="X148" s="61"/>
      <c r="Y148" s="62"/>
      <c r="Z148" s="61"/>
      <c r="AA148" s="62"/>
    </row>
    <row r="149" spans="3:27" ht="16.5" customHeight="1">
      <c r="C149" s="118"/>
      <c r="E149" s="61"/>
      <c r="H149" s="61"/>
      <c r="I149" s="60"/>
      <c r="K149" s="62"/>
      <c r="O149" s="60"/>
      <c r="P149" s="61"/>
      <c r="Q149" s="62"/>
      <c r="R149" s="61"/>
      <c r="S149" s="62"/>
      <c r="T149" s="61"/>
      <c r="U149" s="62"/>
      <c r="V149" s="61"/>
      <c r="W149" s="62"/>
      <c r="X149" s="61"/>
      <c r="Y149" s="62"/>
      <c r="Z149" s="61"/>
      <c r="AA149" s="62"/>
    </row>
    <row r="150" spans="3:27" ht="16.5" customHeight="1">
      <c r="C150" s="118"/>
      <c r="E150" s="61"/>
      <c r="H150" s="61"/>
      <c r="I150" s="60"/>
      <c r="K150" s="62"/>
      <c r="O150" s="60"/>
      <c r="P150" s="61"/>
      <c r="Q150" s="62"/>
      <c r="R150" s="61"/>
      <c r="S150" s="62"/>
      <c r="T150" s="61"/>
      <c r="U150" s="62"/>
      <c r="V150" s="61"/>
      <c r="W150" s="62"/>
      <c r="X150" s="61"/>
      <c r="Y150" s="62"/>
      <c r="Z150" s="61"/>
      <c r="AA150" s="62"/>
    </row>
    <row r="151" spans="3:27" ht="16.5" customHeight="1">
      <c r="C151" s="118"/>
      <c r="E151" s="61"/>
      <c r="H151" s="61"/>
      <c r="I151" s="60"/>
      <c r="K151" s="62"/>
      <c r="O151" s="60"/>
      <c r="P151" s="61"/>
      <c r="Q151" s="62"/>
      <c r="R151" s="61"/>
      <c r="S151" s="62"/>
      <c r="T151" s="61"/>
      <c r="U151" s="62"/>
      <c r="V151" s="61"/>
      <c r="W151" s="62"/>
      <c r="X151" s="61"/>
      <c r="Y151" s="62"/>
      <c r="Z151" s="61"/>
      <c r="AA151" s="62"/>
    </row>
    <row r="152" spans="3:27" ht="16.5" customHeight="1">
      <c r="C152" s="118"/>
      <c r="E152" s="61"/>
      <c r="H152" s="61"/>
      <c r="I152" s="60"/>
      <c r="K152" s="62"/>
      <c r="O152" s="60"/>
      <c r="P152" s="61"/>
      <c r="Q152" s="62"/>
      <c r="R152" s="61"/>
      <c r="S152" s="62"/>
      <c r="T152" s="61"/>
      <c r="U152" s="62"/>
      <c r="V152" s="61"/>
      <c r="W152" s="62"/>
      <c r="X152" s="61"/>
      <c r="Y152" s="62"/>
      <c r="Z152" s="61"/>
      <c r="AA152" s="62"/>
    </row>
    <row r="153" spans="3:27" ht="16.5" customHeight="1">
      <c r="C153" s="118"/>
      <c r="E153" s="61"/>
      <c r="H153" s="61"/>
      <c r="I153" s="60"/>
      <c r="K153" s="62"/>
      <c r="O153" s="60"/>
      <c r="P153" s="61"/>
      <c r="Q153" s="62"/>
      <c r="R153" s="61"/>
      <c r="S153" s="62"/>
      <c r="T153" s="61"/>
      <c r="U153" s="62"/>
      <c r="V153" s="61"/>
      <c r="W153" s="62"/>
      <c r="X153" s="61"/>
      <c r="Y153" s="62"/>
      <c r="Z153" s="61"/>
      <c r="AA153" s="62"/>
    </row>
    <row r="154" spans="3:27" ht="16.5" customHeight="1">
      <c r="C154" s="118"/>
      <c r="E154" s="61"/>
      <c r="H154" s="61"/>
      <c r="I154" s="60"/>
      <c r="K154" s="62"/>
      <c r="O154" s="60"/>
      <c r="P154" s="61"/>
      <c r="Q154" s="62"/>
      <c r="R154" s="61"/>
      <c r="S154" s="62"/>
      <c r="T154" s="61"/>
      <c r="U154" s="62"/>
      <c r="V154" s="61"/>
      <c r="W154" s="62"/>
      <c r="X154" s="61"/>
      <c r="Y154" s="62"/>
      <c r="Z154" s="61"/>
      <c r="AA154" s="62"/>
    </row>
    <row r="155" spans="3:27" ht="16.5" customHeight="1">
      <c r="C155" s="118"/>
      <c r="E155" s="61"/>
      <c r="H155" s="61"/>
      <c r="I155" s="60"/>
      <c r="K155" s="62"/>
      <c r="O155" s="60"/>
      <c r="P155" s="61"/>
      <c r="Q155" s="62"/>
      <c r="R155" s="61"/>
      <c r="S155" s="62"/>
      <c r="T155" s="61"/>
      <c r="U155" s="62"/>
      <c r="V155" s="61"/>
      <c r="W155" s="62"/>
      <c r="X155" s="61"/>
      <c r="Y155" s="62"/>
      <c r="Z155" s="61"/>
      <c r="AA155" s="62"/>
    </row>
    <row r="156" spans="3:27" ht="16.5" customHeight="1">
      <c r="C156" s="118"/>
      <c r="E156" s="61"/>
      <c r="H156" s="61"/>
      <c r="I156" s="60"/>
      <c r="K156" s="62"/>
      <c r="O156" s="60"/>
      <c r="P156" s="61"/>
      <c r="Q156" s="62"/>
      <c r="R156" s="61"/>
      <c r="S156" s="62"/>
      <c r="T156" s="61"/>
      <c r="U156" s="62"/>
      <c r="V156" s="61"/>
      <c r="W156" s="62"/>
      <c r="X156" s="61"/>
      <c r="Y156" s="62"/>
      <c r="Z156" s="61"/>
      <c r="AA156" s="62"/>
    </row>
    <row r="157" spans="3:27" ht="16.5" customHeight="1">
      <c r="C157" s="118"/>
      <c r="E157" s="61"/>
      <c r="H157" s="61"/>
      <c r="I157" s="60"/>
      <c r="K157" s="62"/>
      <c r="O157" s="60"/>
      <c r="P157" s="61"/>
      <c r="Q157" s="62"/>
      <c r="R157" s="61"/>
      <c r="S157" s="62"/>
      <c r="T157" s="61"/>
      <c r="U157" s="62"/>
      <c r="V157" s="61"/>
      <c r="W157" s="62"/>
      <c r="X157" s="61"/>
      <c r="Y157" s="62"/>
      <c r="Z157" s="61"/>
      <c r="AA157" s="62"/>
    </row>
    <row r="158" spans="3:27" ht="16.5" customHeight="1">
      <c r="C158" s="118"/>
      <c r="E158" s="61"/>
      <c r="H158" s="61"/>
      <c r="I158" s="60"/>
      <c r="K158" s="62"/>
      <c r="O158" s="60"/>
      <c r="P158" s="61"/>
      <c r="Q158" s="62"/>
      <c r="R158" s="61"/>
      <c r="S158" s="62"/>
      <c r="T158" s="61"/>
      <c r="U158" s="62"/>
      <c r="V158" s="61"/>
      <c r="W158" s="62"/>
      <c r="X158" s="61"/>
      <c r="Y158" s="62"/>
      <c r="Z158" s="61"/>
      <c r="AA158" s="62"/>
    </row>
    <row r="159" spans="3:27" ht="16.5" customHeight="1">
      <c r="C159" s="118"/>
      <c r="E159" s="61"/>
      <c r="H159" s="61"/>
      <c r="I159" s="60"/>
      <c r="K159" s="62"/>
      <c r="O159" s="60"/>
      <c r="P159" s="61"/>
      <c r="Q159" s="62"/>
      <c r="R159" s="61"/>
      <c r="S159" s="62"/>
      <c r="T159" s="61"/>
      <c r="U159" s="62"/>
      <c r="V159" s="61"/>
      <c r="W159" s="62"/>
      <c r="X159" s="61"/>
      <c r="Y159" s="62"/>
      <c r="Z159" s="61"/>
      <c r="AA159" s="62"/>
    </row>
    <row r="160" spans="3:27" ht="16.5" customHeight="1">
      <c r="C160" s="118"/>
      <c r="E160" s="61"/>
      <c r="H160" s="61"/>
      <c r="I160" s="60"/>
      <c r="K160" s="62"/>
      <c r="O160" s="60"/>
      <c r="P160" s="61"/>
      <c r="Q160" s="62"/>
      <c r="R160" s="61"/>
      <c r="S160" s="62"/>
      <c r="T160" s="61"/>
      <c r="U160" s="62"/>
      <c r="V160" s="61"/>
      <c r="W160" s="62"/>
      <c r="X160" s="61"/>
      <c r="Y160" s="62"/>
      <c r="Z160" s="61"/>
      <c r="AA160" s="62"/>
    </row>
    <row r="161" spans="3:27" ht="16.5" customHeight="1">
      <c r="C161" s="118"/>
      <c r="E161" s="61"/>
      <c r="H161" s="61"/>
      <c r="I161" s="60"/>
      <c r="K161" s="62"/>
      <c r="O161" s="60"/>
      <c r="P161" s="61"/>
      <c r="Q161" s="62"/>
      <c r="R161" s="61"/>
      <c r="S161" s="62"/>
      <c r="T161" s="61"/>
      <c r="U161" s="62"/>
      <c r="V161" s="61"/>
      <c r="W161" s="62"/>
      <c r="X161" s="61"/>
      <c r="Y161" s="62"/>
      <c r="Z161" s="61"/>
      <c r="AA161" s="62"/>
    </row>
    <row r="162" spans="3:27" ht="16.5" customHeight="1">
      <c r="C162" s="118"/>
      <c r="E162" s="61"/>
      <c r="H162" s="61"/>
      <c r="I162" s="60"/>
      <c r="K162" s="62"/>
      <c r="O162" s="60"/>
      <c r="P162" s="61"/>
      <c r="Q162" s="62"/>
      <c r="R162" s="61"/>
      <c r="S162" s="62"/>
      <c r="T162" s="61"/>
      <c r="U162" s="62"/>
      <c r="V162" s="61"/>
      <c r="W162" s="62"/>
      <c r="X162" s="61"/>
      <c r="Y162" s="62"/>
      <c r="Z162" s="61"/>
      <c r="AA162" s="62"/>
    </row>
    <row r="163" spans="3:27" ht="16.5" customHeight="1">
      <c r="C163" s="118"/>
      <c r="E163" s="61"/>
      <c r="H163" s="61"/>
      <c r="I163" s="60"/>
      <c r="K163" s="62"/>
      <c r="O163" s="60"/>
      <c r="P163" s="61"/>
      <c r="Q163" s="62"/>
      <c r="R163" s="61"/>
      <c r="S163" s="62"/>
      <c r="T163" s="61"/>
      <c r="U163" s="62"/>
      <c r="V163" s="61"/>
      <c r="W163" s="62"/>
      <c r="X163" s="61"/>
      <c r="Y163" s="62"/>
      <c r="Z163" s="61"/>
      <c r="AA163" s="62"/>
    </row>
    <row r="164" spans="3:27" ht="16.5" customHeight="1">
      <c r="C164" s="118"/>
      <c r="E164" s="61"/>
      <c r="H164" s="61"/>
      <c r="I164" s="60"/>
      <c r="K164" s="62"/>
      <c r="O164" s="60"/>
      <c r="P164" s="61"/>
      <c r="Q164" s="62"/>
      <c r="R164" s="61"/>
      <c r="S164" s="62"/>
      <c r="T164" s="61"/>
      <c r="U164" s="62"/>
      <c r="V164" s="61"/>
      <c r="W164" s="62"/>
      <c r="X164" s="61"/>
      <c r="Y164" s="62"/>
      <c r="Z164" s="61"/>
      <c r="AA164" s="62"/>
    </row>
    <row r="165" spans="3:27" ht="16.5" customHeight="1">
      <c r="C165" s="118"/>
      <c r="E165" s="61"/>
      <c r="H165" s="61"/>
      <c r="I165" s="60"/>
      <c r="K165" s="62"/>
      <c r="O165" s="60"/>
      <c r="P165" s="61"/>
      <c r="Q165" s="62"/>
      <c r="R165" s="61"/>
      <c r="S165" s="62"/>
      <c r="T165" s="61"/>
      <c r="U165" s="62"/>
      <c r="V165" s="61"/>
      <c r="W165" s="62"/>
      <c r="X165" s="61"/>
      <c r="Y165" s="62"/>
      <c r="Z165" s="61"/>
      <c r="AA165" s="62"/>
    </row>
    <row r="166" spans="3:27" ht="16.5" customHeight="1">
      <c r="C166" s="118"/>
      <c r="E166" s="61"/>
      <c r="H166" s="61"/>
      <c r="I166" s="60"/>
      <c r="K166" s="62"/>
      <c r="O166" s="60"/>
      <c r="P166" s="61"/>
      <c r="Q166" s="62"/>
      <c r="R166" s="61"/>
      <c r="S166" s="62"/>
      <c r="T166" s="61"/>
      <c r="U166" s="62"/>
      <c r="V166" s="61"/>
      <c r="W166" s="62"/>
      <c r="X166" s="61"/>
      <c r="Y166" s="62"/>
      <c r="Z166" s="61"/>
      <c r="AA166" s="62"/>
    </row>
    <row r="167" spans="3:27" ht="16.5" customHeight="1">
      <c r="C167" s="118"/>
      <c r="E167" s="61"/>
      <c r="H167" s="61"/>
      <c r="I167" s="60"/>
      <c r="K167" s="62"/>
      <c r="O167" s="60"/>
      <c r="P167" s="61"/>
      <c r="Q167" s="62"/>
      <c r="R167" s="61"/>
      <c r="S167" s="62"/>
      <c r="T167" s="61"/>
      <c r="U167" s="62"/>
      <c r="V167" s="61"/>
      <c r="W167" s="62"/>
      <c r="X167" s="61"/>
      <c r="Y167" s="62"/>
      <c r="Z167" s="61"/>
      <c r="AA167" s="62"/>
    </row>
    <row r="168" spans="3:27" ht="16.5" customHeight="1">
      <c r="C168" s="118"/>
      <c r="E168" s="61"/>
      <c r="H168" s="61"/>
      <c r="I168" s="60"/>
      <c r="K168" s="62"/>
      <c r="O168" s="60"/>
      <c r="P168" s="61"/>
      <c r="Q168" s="62"/>
      <c r="R168" s="61"/>
      <c r="S168" s="62"/>
      <c r="T168" s="61"/>
      <c r="U168" s="62"/>
      <c r="V168" s="61"/>
      <c r="W168" s="62"/>
      <c r="X168" s="61"/>
      <c r="Y168" s="62"/>
      <c r="Z168" s="61"/>
      <c r="AA168" s="62"/>
    </row>
    <row r="169" spans="3:27" ht="16.5" customHeight="1">
      <c r="C169" s="118"/>
      <c r="E169" s="61"/>
      <c r="H169" s="61"/>
      <c r="I169" s="60"/>
      <c r="K169" s="62"/>
      <c r="O169" s="60"/>
      <c r="P169" s="61"/>
      <c r="Q169" s="62"/>
      <c r="R169" s="61"/>
      <c r="S169" s="62"/>
      <c r="T169" s="61"/>
      <c r="U169" s="62"/>
      <c r="V169" s="61"/>
      <c r="W169" s="62"/>
      <c r="X169" s="61"/>
      <c r="Y169" s="62"/>
      <c r="Z169" s="61"/>
      <c r="AA169" s="62"/>
    </row>
    <row r="170" spans="3:27" ht="16.5" customHeight="1">
      <c r="C170" s="118"/>
      <c r="E170" s="61"/>
      <c r="H170" s="61"/>
      <c r="I170" s="60"/>
      <c r="K170" s="62"/>
      <c r="O170" s="60"/>
      <c r="P170" s="61"/>
      <c r="Q170" s="62"/>
      <c r="R170" s="61"/>
      <c r="S170" s="62"/>
      <c r="T170" s="61"/>
      <c r="U170" s="62"/>
      <c r="V170" s="61"/>
      <c r="W170" s="62"/>
      <c r="X170" s="61"/>
      <c r="Y170" s="62"/>
      <c r="Z170" s="61"/>
      <c r="AA170" s="62"/>
    </row>
    <row r="171" spans="3:27" ht="16.5" customHeight="1">
      <c r="C171" s="118"/>
      <c r="E171" s="61"/>
      <c r="H171" s="61"/>
      <c r="I171" s="60"/>
      <c r="K171" s="62"/>
      <c r="O171" s="60"/>
      <c r="P171" s="61"/>
      <c r="Q171" s="62"/>
      <c r="R171" s="61"/>
      <c r="S171" s="62"/>
      <c r="T171" s="61"/>
      <c r="U171" s="62"/>
      <c r="V171" s="61"/>
      <c r="W171" s="62"/>
      <c r="X171" s="61"/>
      <c r="Y171" s="62"/>
      <c r="Z171" s="61"/>
      <c r="AA171" s="62"/>
    </row>
    <row r="172" spans="3:27" ht="16.5" customHeight="1">
      <c r="C172" s="118"/>
      <c r="E172" s="61"/>
      <c r="H172" s="61"/>
      <c r="I172" s="60"/>
      <c r="K172" s="62"/>
      <c r="O172" s="60"/>
      <c r="P172" s="61"/>
      <c r="Q172" s="62"/>
      <c r="R172" s="61"/>
      <c r="S172" s="62"/>
      <c r="T172" s="61"/>
      <c r="U172" s="62"/>
      <c r="V172" s="61"/>
      <c r="W172" s="62"/>
      <c r="X172" s="61"/>
      <c r="Y172" s="62"/>
      <c r="Z172" s="61"/>
      <c r="AA172" s="62"/>
    </row>
    <row r="173" spans="3:27" ht="16.5" customHeight="1">
      <c r="C173" s="118"/>
      <c r="E173" s="61"/>
      <c r="H173" s="61"/>
      <c r="I173" s="60"/>
      <c r="K173" s="62"/>
      <c r="O173" s="60"/>
      <c r="P173" s="61"/>
      <c r="Q173" s="62"/>
      <c r="R173" s="61"/>
      <c r="S173" s="62"/>
      <c r="T173" s="61"/>
      <c r="U173" s="62"/>
      <c r="V173" s="61"/>
      <c r="W173" s="62"/>
      <c r="X173" s="61"/>
      <c r="Y173" s="62"/>
      <c r="Z173" s="61"/>
      <c r="AA173" s="62"/>
    </row>
    <row r="174" spans="3:27" ht="16.5" customHeight="1">
      <c r="C174" s="118"/>
      <c r="E174" s="61"/>
      <c r="H174" s="61"/>
      <c r="I174" s="60"/>
      <c r="K174" s="62"/>
      <c r="O174" s="60"/>
      <c r="P174" s="61"/>
      <c r="Q174" s="62"/>
      <c r="R174" s="61"/>
      <c r="S174" s="62"/>
      <c r="T174" s="61"/>
      <c r="U174" s="62"/>
      <c r="V174" s="61"/>
      <c r="W174" s="62"/>
      <c r="X174" s="61"/>
      <c r="Y174" s="62"/>
      <c r="Z174" s="61"/>
      <c r="AA174" s="62"/>
    </row>
    <row r="175" spans="3:27" ht="16.5" customHeight="1">
      <c r="C175" s="118"/>
      <c r="E175" s="61"/>
      <c r="H175" s="61"/>
      <c r="I175" s="60"/>
      <c r="K175" s="62"/>
      <c r="O175" s="60"/>
      <c r="P175" s="61"/>
      <c r="Q175" s="62"/>
      <c r="R175" s="61"/>
      <c r="S175" s="62"/>
      <c r="T175" s="61"/>
      <c r="U175" s="62"/>
      <c r="V175" s="61"/>
      <c r="W175" s="62"/>
      <c r="X175" s="61"/>
      <c r="Y175" s="62"/>
      <c r="Z175" s="61"/>
      <c r="AA175" s="62"/>
    </row>
    <row r="176" spans="3:27" ht="16.5" customHeight="1">
      <c r="C176" s="118"/>
      <c r="E176" s="61"/>
      <c r="H176" s="61"/>
      <c r="I176" s="60"/>
      <c r="K176" s="62"/>
      <c r="O176" s="60"/>
      <c r="P176" s="61"/>
      <c r="Q176" s="62"/>
      <c r="R176" s="61"/>
      <c r="S176" s="62"/>
      <c r="T176" s="61"/>
      <c r="U176" s="62"/>
      <c r="V176" s="61"/>
      <c r="W176" s="62"/>
      <c r="X176" s="61"/>
      <c r="Y176" s="62"/>
      <c r="Z176" s="61"/>
      <c r="AA176" s="62"/>
    </row>
    <row r="177" spans="3:27" ht="16.5" customHeight="1">
      <c r="C177" s="118"/>
      <c r="E177" s="61"/>
      <c r="H177" s="61"/>
      <c r="I177" s="60"/>
      <c r="K177" s="62"/>
      <c r="O177" s="60"/>
      <c r="P177" s="61"/>
      <c r="Q177" s="62"/>
      <c r="R177" s="61"/>
      <c r="S177" s="62"/>
      <c r="T177" s="61"/>
      <c r="U177" s="62"/>
      <c r="V177" s="61"/>
      <c r="W177" s="62"/>
      <c r="X177" s="61"/>
      <c r="Y177" s="62"/>
      <c r="Z177" s="61"/>
      <c r="AA177" s="62"/>
    </row>
    <row r="178" spans="3:27" ht="16.5" customHeight="1">
      <c r="C178" s="118"/>
      <c r="E178" s="61"/>
      <c r="H178" s="61"/>
      <c r="I178" s="60"/>
      <c r="K178" s="62"/>
      <c r="O178" s="60"/>
      <c r="P178" s="61"/>
      <c r="Q178" s="62"/>
      <c r="R178" s="61"/>
      <c r="S178" s="62"/>
      <c r="T178" s="61"/>
      <c r="U178" s="62"/>
      <c r="V178" s="61"/>
      <c r="W178" s="62"/>
      <c r="X178" s="61"/>
      <c r="Y178" s="62"/>
      <c r="Z178" s="61"/>
      <c r="AA178" s="62"/>
    </row>
    <row r="179" spans="3:27" ht="16.5" customHeight="1">
      <c r="C179" s="118"/>
      <c r="E179" s="61"/>
      <c r="H179" s="61"/>
      <c r="I179" s="60"/>
      <c r="K179" s="62"/>
      <c r="O179" s="60"/>
      <c r="P179" s="61"/>
      <c r="Q179" s="62"/>
      <c r="R179" s="61"/>
      <c r="S179" s="62"/>
      <c r="T179" s="61"/>
      <c r="U179" s="62"/>
      <c r="V179" s="61"/>
      <c r="W179" s="62"/>
      <c r="X179" s="61"/>
      <c r="Y179" s="62"/>
      <c r="Z179" s="61"/>
      <c r="AA179" s="62"/>
    </row>
    <row r="180" spans="3:27" ht="16.5" customHeight="1">
      <c r="C180" s="118"/>
      <c r="E180" s="61"/>
      <c r="H180" s="61"/>
      <c r="I180" s="60"/>
      <c r="K180" s="62"/>
      <c r="O180" s="60"/>
      <c r="P180" s="61"/>
      <c r="Q180" s="62"/>
      <c r="R180" s="61"/>
      <c r="S180" s="62"/>
      <c r="T180" s="61"/>
      <c r="U180" s="62"/>
      <c r="V180" s="61"/>
      <c r="W180" s="62"/>
      <c r="X180" s="61"/>
      <c r="Y180" s="62"/>
      <c r="Z180" s="61"/>
      <c r="AA180" s="62"/>
    </row>
    <row r="181" spans="3:27" ht="16.5" customHeight="1">
      <c r="C181" s="118"/>
      <c r="E181" s="61"/>
      <c r="H181" s="61"/>
      <c r="I181" s="60"/>
      <c r="K181" s="62"/>
      <c r="O181" s="60"/>
      <c r="P181" s="61"/>
      <c r="Q181" s="62"/>
      <c r="R181" s="61"/>
      <c r="S181" s="62"/>
      <c r="T181" s="61"/>
      <c r="U181" s="62"/>
      <c r="V181" s="61"/>
      <c r="W181" s="62"/>
      <c r="X181" s="61"/>
      <c r="Y181" s="62"/>
      <c r="Z181" s="61"/>
      <c r="AA181" s="62"/>
    </row>
    <row r="182" spans="3:27" ht="16.5" customHeight="1">
      <c r="C182" s="118"/>
      <c r="E182" s="61"/>
      <c r="H182" s="61"/>
      <c r="I182" s="60"/>
      <c r="K182" s="62"/>
      <c r="O182" s="60"/>
      <c r="P182" s="61"/>
      <c r="Q182" s="62"/>
      <c r="R182" s="61"/>
      <c r="S182" s="62"/>
      <c r="T182" s="61"/>
      <c r="U182" s="62"/>
      <c r="V182" s="61"/>
      <c r="W182" s="62"/>
      <c r="X182" s="61"/>
      <c r="Y182" s="62"/>
      <c r="Z182" s="61"/>
      <c r="AA182" s="62"/>
    </row>
    <row r="183" spans="3:27" ht="16.5" customHeight="1">
      <c r="C183" s="118"/>
      <c r="E183" s="61"/>
      <c r="H183" s="61"/>
      <c r="I183" s="60"/>
      <c r="K183" s="62"/>
      <c r="O183" s="60"/>
      <c r="P183" s="61"/>
      <c r="Q183" s="62"/>
      <c r="R183" s="61"/>
      <c r="S183" s="62"/>
      <c r="T183" s="61"/>
      <c r="U183" s="62"/>
      <c r="V183" s="61"/>
      <c r="W183" s="62"/>
      <c r="X183" s="61"/>
      <c r="Y183" s="62"/>
      <c r="Z183" s="61"/>
      <c r="AA183" s="62"/>
    </row>
    <row r="184" spans="3:27" ht="16.5" customHeight="1">
      <c r="C184" s="118"/>
      <c r="E184" s="61"/>
      <c r="H184" s="61"/>
      <c r="I184" s="60"/>
      <c r="K184" s="62"/>
      <c r="O184" s="60"/>
      <c r="P184" s="61"/>
      <c r="Q184" s="62"/>
      <c r="R184" s="61"/>
      <c r="S184" s="62"/>
      <c r="T184" s="61"/>
      <c r="U184" s="62"/>
      <c r="V184" s="61"/>
      <c r="W184" s="62"/>
      <c r="X184" s="61"/>
      <c r="Y184" s="62"/>
      <c r="Z184" s="61"/>
      <c r="AA184" s="62"/>
    </row>
    <row r="185" spans="3:27" ht="16.5" customHeight="1">
      <c r="C185" s="118"/>
      <c r="E185" s="61"/>
      <c r="H185" s="61"/>
      <c r="I185" s="60"/>
      <c r="K185" s="62"/>
      <c r="O185" s="60"/>
      <c r="P185" s="61"/>
      <c r="Q185" s="62"/>
      <c r="R185" s="61"/>
      <c r="S185" s="62"/>
      <c r="T185" s="61"/>
      <c r="U185" s="62"/>
      <c r="V185" s="61"/>
      <c r="W185" s="62"/>
      <c r="X185" s="61"/>
      <c r="Y185" s="62"/>
      <c r="Z185" s="61"/>
      <c r="AA185" s="62"/>
    </row>
    <row r="186" spans="3:27" ht="16.5" customHeight="1">
      <c r="C186" s="118"/>
      <c r="E186" s="61"/>
      <c r="H186" s="61"/>
      <c r="I186" s="60"/>
      <c r="K186" s="62"/>
      <c r="O186" s="60"/>
      <c r="P186" s="61"/>
      <c r="Q186" s="62"/>
      <c r="R186" s="61"/>
      <c r="S186" s="62"/>
      <c r="T186" s="61"/>
      <c r="U186" s="62"/>
      <c r="V186" s="61"/>
      <c r="W186" s="62"/>
      <c r="X186" s="61"/>
      <c r="Y186" s="62"/>
      <c r="Z186" s="61"/>
      <c r="AA186" s="62"/>
    </row>
    <row r="187" spans="3:27" ht="16.5" customHeight="1">
      <c r="C187" s="118"/>
      <c r="E187" s="61"/>
      <c r="H187" s="61"/>
      <c r="I187" s="60"/>
      <c r="K187" s="62"/>
      <c r="O187" s="60"/>
      <c r="P187" s="61"/>
      <c r="Q187" s="62"/>
      <c r="R187" s="61"/>
      <c r="S187" s="62"/>
      <c r="T187" s="61"/>
      <c r="U187" s="62"/>
      <c r="V187" s="61"/>
      <c r="W187" s="62"/>
      <c r="X187" s="61"/>
      <c r="Y187" s="62"/>
      <c r="Z187" s="61"/>
      <c r="AA187" s="62"/>
    </row>
    <row r="188" spans="3:27" ht="16.5" customHeight="1">
      <c r="C188" s="118"/>
      <c r="E188" s="61"/>
      <c r="H188" s="61"/>
      <c r="I188" s="60"/>
      <c r="K188" s="62"/>
      <c r="O188" s="60"/>
      <c r="P188" s="61"/>
      <c r="Q188" s="62"/>
      <c r="R188" s="61"/>
      <c r="S188" s="62"/>
      <c r="T188" s="61"/>
      <c r="U188" s="62"/>
      <c r="V188" s="61"/>
      <c r="W188" s="62"/>
      <c r="X188" s="61"/>
      <c r="Y188" s="62"/>
      <c r="Z188" s="61"/>
      <c r="AA188" s="62"/>
    </row>
    <row r="189" spans="3:27" ht="16.5" customHeight="1">
      <c r="C189" s="118"/>
      <c r="E189" s="61"/>
      <c r="H189" s="61"/>
      <c r="I189" s="60"/>
      <c r="K189" s="62"/>
      <c r="O189" s="60"/>
      <c r="P189" s="61"/>
      <c r="Q189" s="62"/>
      <c r="R189" s="61"/>
      <c r="S189" s="62"/>
      <c r="T189" s="61"/>
      <c r="U189" s="62"/>
      <c r="V189" s="61"/>
      <c r="W189" s="62"/>
      <c r="X189" s="61"/>
      <c r="Y189" s="62"/>
      <c r="Z189" s="61"/>
      <c r="AA189" s="62"/>
    </row>
    <row r="190" spans="3:27" ht="16.5" customHeight="1">
      <c r="C190" s="118"/>
      <c r="E190" s="61"/>
      <c r="H190" s="61"/>
      <c r="I190" s="60"/>
      <c r="K190" s="62"/>
      <c r="O190" s="60"/>
      <c r="P190" s="61"/>
      <c r="Q190" s="62"/>
      <c r="R190" s="61"/>
      <c r="S190" s="62"/>
      <c r="T190" s="61"/>
      <c r="U190" s="62"/>
      <c r="V190" s="61"/>
      <c r="W190" s="62"/>
      <c r="X190" s="61"/>
      <c r="Y190" s="62"/>
      <c r="Z190" s="61"/>
      <c r="AA190" s="62"/>
    </row>
    <row r="191" spans="3:27" ht="16.5" customHeight="1">
      <c r="C191" s="118"/>
      <c r="E191" s="61"/>
      <c r="H191" s="61"/>
      <c r="I191" s="60"/>
      <c r="K191" s="62"/>
      <c r="O191" s="60"/>
      <c r="P191" s="61"/>
      <c r="Q191" s="62"/>
      <c r="R191" s="61"/>
      <c r="S191" s="62"/>
      <c r="T191" s="61"/>
      <c r="U191" s="62"/>
      <c r="V191" s="61"/>
      <c r="W191" s="62"/>
      <c r="X191" s="61"/>
      <c r="Y191" s="62"/>
      <c r="Z191" s="61"/>
      <c r="AA191" s="62"/>
    </row>
    <row r="192" spans="3:27" ht="16.5" customHeight="1">
      <c r="C192" s="118"/>
      <c r="E192" s="61"/>
      <c r="H192" s="61"/>
      <c r="I192" s="60"/>
      <c r="K192" s="62"/>
      <c r="O192" s="60"/>
      <c r="P192" s="61"/>
      <c r="Q192" s="62"/>
      <c r="R192" s="61"/>
      <c r="S192" s="62"/>
      <c r="T192" s="61"/>
      <c r="U192" s="62"/>
      <c r="V192" s="61"/>
      <c r="W192" s="62"/>
      <c r="X192" s="61"/>
      <c r="Y192" s="62"/>
      <c r="Z192" s="61"/>
      <c r="AA192" s="62"/>
    </row>
    <row r="193" spans="3:27" ht="16.5" customHeight="1">
      <c r="C193" s="118"/>
      <c r="E193" s="61"/>
      <c r="H193" s="61"/>
      <c r="I193" s="60"/>
      <c r="K193" s="62"/>
      <c r="O193" s="60"/>
      <c r="P193" s="61"/>
      <c r="Q193" s="62"/>
      <c r="R193" s="61"/>
      <c r="S193" s="62"/>
      <c r="T193" s="61"/>
      <c r="U193" s="62"/>
      <c r="V193" s="61"/>
      <c r="W193" s="62"/>
      <c r="X193" s="61"/>
      <c r="Y193" s="62"/>
      <c r="Z193" s="61"/>
      <c r="AA193" s="62"/>
    </row>
    <row r="194" spans="3:27" ht="16.5" customHeight="1">
      <c r="C194" s="118"/>
      <c r="E194" s="61"/>
      <c r="H194" s="61"/>
      <c r="I194" s="60"/>
      <c r="K194" s="62"/>
      <c r="O194" s="60"/>
      <c r="P194" s="61"/>
      <c r="Q194" s="62"/>
      <c r="R194" s="61"/>
      <c r="S194" s="62"/>
      <c r="T194" s="61"/>
      <c r="U194" s="62"/>
      <c r="V194" s="61"/>
      <c r="W194" s="62"/>
      <c r="X194" s="61"/>
      <c r="Y194" s="62"/>
      <c r="Z194" s="61"/>
      <c r="AA194" s="62"/>
    </row>
    <row r="195" spans="3:27" ht="16.5" customHeight="1">
      <c r="C195" s="118"/>
      <c r="E195" s="61"/>
      <c r="H195" s="61"/>
      <c r="I195" s="60"/>
      <c r="K195" s="62"/>
      <c r="O195" s="60"/>
      <c r="P195" s="61"/>
      <c r="Q195" s="62"/>
      <c r="R195" s="61"/>
      <c r="S195" s="62"/>
      <c r="T195" s="61"/>
      <c r="U195" s="62"/>
      <c r="V195" s="61"/>
      <c r="W195" s="62"/>
      <c r="X195" s="61"/>
      <c r="Y195" s="62"/>
      <c r="Z195" s="61"/>
      <c r="AA195" s="62"/>
    </row>
    <row r="196" spans="3:27" ht="16.5" customHeight="1">
      <c r="C196" s="118"/>
      <c r="E196" s="61"/>
      <c r="H196" s="61"/>
      <c r="I196" s="60"/>
      <c r="K196" s="62"/>
      <c r="O196" s="60"/>
      <c r="P196" s="61"/>
      <c r="Q196" s="62"/>
      <c r="R196" s="61"/>
      <c r="S196" s="62"/>
      <c r="T196" s="61"/>
      <c r="U196" s="62"/>
      <c r="V196" s="61"/>
      <c r="W196" s="62"/>
      <c r="X196" s="61"/>
      <c r="Y196" s="62"/>
      <c r="Z196" s="61"/>
      <c r="AA196" s="62"/>
    </row>
    <row r="197" spans="3:27" ht="16.5" customHeight="1">
      <c r="C197" s="118"/>
      <c r="E197" s="61"/>
      <c r="H197" s="61"/>
      <c r="I197" s="60"/>
      <c r="K197" s="62"/>
      <c r="O197" s="60"/>
      <c r="P197" s="61"/>
      <c r="Q197" s="62"/>
      <c r="R197" s="61"/>
      <c r="S197" s="62"/>
      <c r="T197" s="61"/>
      <c r="U197" s="62"/>
      <c r="V197" s="61"/>
      <c r="W197" s="62"/>
      <c r="X197" s="61"/>
      <c r="Y197" s="62"/>
      <c r="Z197" s="61"/>
      <c r="AA197" s="62"/>
    </row>
    <row r="198" spans="3:27" ht="16.5" customHeight="1">
      <c r="C198" s="118"/>
      <c r="E198" s="61"/>
      <c r="H198" s="61"/>
      <c r="I198" s="60"/>
      <c r="K198" s="62"/>
      <c r="O198" s="60"/>
      <c r="P198" s="61"/>
      <c r="Q198" s="62"/>
      <c r="R198" s="61"/>
      <c r="S198" s="62"/>
      <c r="T198" s="61"/>
      <c r="U198" s="62"/>
      <c r="V198" s="61"/>
      <c r="W198" s="62"/>
      <c r="X198" s="61"/>
      <c r="Y198" s="62"/>
      <c r="Z198" s="61"/>
      <c r="AA198" s="62"/>
    </row>
    <row r="199" spans="3:27" ht="16.5" customHeight="1">
      <c r="C199" s="118"/>
      <c r="E199" s="61"/>
      <c r="H199" s="61"/>
      <c r="I199" s="60"/>
      <c r="K199" s="62"/>
      <c r="O199" s="60"/>
      <c r="P199" s="61"/>
      <c r="Q199" s="62"/>
      <c r="R199" s="61"/>
      <c r="S199" s="62"/>
      <c r="T199" s="61"/>
      <c r="U199" s="62"/>
      <c r="V199" s="61"/>
      <c r="W199" s="62"/>
      <c r="X199" s="61"/>
      <c r="Y199" s="62"/>
      <c r="Z199" s="61"/>
      <c r="AA199" s="62"/>
    </row>
    <row r="200" spans="3:27" ht="16.5" customHeight="1">
      <c r="C200" s="118"/>
      <c r="E200" s="61"/>
      <c r="H200" s="61"/>
      <c r="I200" s="60"/>
      <c r="K200" s="62"/>
      <c r="O200" s="60"/>
      <c r="P200" s="61"/>
      <c r="Q200" s="62"/>
      <c r="R200" s="61"/>
      <c r="S200" s="62"/>
      <c r="T200" s="61"/>
      <c r="U200" s="62"/>
      <c r="V200" s="61"/>
      <c r="W200" s="62"/>
      <c r="X200" s="61"/>
      <c r="Y200" s="62"/>
      <c r="Z200" s="61"/>
      <c r="AA200" s="62"/>
    </row>
    <row r="201" spans="3:27" ht="16.5" customHeight="1">
      <c r="C201" s="118"/>
      <c r="E201" s="61"/>
      <c r="H201" s="61"/>
      <c r="I201" s="60"/>
      <c r="K201" s="62"/>
      <c r="O201" s="60"/>
      <c r="P201" s="61"/>
      <c r="Q201" s="62"/>
      <c r="R201" s="61"/>
      <c r="S201" s="62"/>
      <c r="T201" s="61"/>
      <c r="U201" s="62"/>
      <c r="V201" s="61"/>
      <c r="W201" s="62"/>
      <c r="X201" s="61"/>
      <c r="Y201" s="62"/>
      <c r="Z201" s="61"/>
      <c r="AA201" s="62"/>
    </row>
    <row r="202" spans="3:27" ht="16.5" customHeight="1">
      <c r="C202" s="118"/>
      <c r="E202" s="61"/>
      <c r="H202" s="61"/>
      <c r="I202" s="60"/>
      <c r="K202" s="62"/>
      <c r="O202" s="60"/>
      <c r="P202" s="61"/>
      <c r="Q202" s="62"/>
      <c r="R202" s="61"/>
      <c r="S202" s="62"/>
      <c r="T202" s="61"/>
      <c r="U202" s="62"/>
      <c r="V202" s="61"/>
      <c r="W202" s="62"/>
      <c r="X202" s="61"/>
      <c r="Y202" s="62"/>
      <c r="Z202" s="61"/>
      <c r="AA202" s="62"/>
    </row>
    <row r="203" spans="3:27" ht="16.5" customHeight="1">
      <c r="C203" s="118"/>
      <c r="E203" s="61"/>
      <c r="H203" s="61"/>
      <c r="I203" s="60"/>
      <c r="K203" s="62"/>
      <c r="O203" s="60"/>
      <c r="P203" s="61"/>
      <c r="Q203" s="62"/>
      <c r="R203" s="61"/>
      <c r="S203" s="62"/>
      <c r="T203" s="61"/>
      <c r="U203" s="62"/>
      <c r="V203" s="61"/>
      <c r="W203" s="62"/>
      <c r="X203" s="61"/>
      <c r="Y203" s="62"/>
      <c r="Z203" s="61"/>
      <c r="AA203" s="62"/>
    </row>
    <row r="204" spans="3:27" ht="16.5" customHeight="1">
      <c r="C204" s="118"/>
      <c r="E204" s="61"/>
      <c r="H204" s="61"/>
      <c r="I204" s="60"/>
      <c r="K204" s="62"/>
      <c r="O204" s="60"/>
      <c r="P204" s="61"/>
      <c r="Q204" s="62"/>
      <c r="R204" s="61"/>
      <c r="S204" s="62"/>
      <c r="T204" s="61"/>
      <c r="U204" s="62"/>
      <c r="V204" s="61"/>
      <c r="W204" s="62"/>
      <c r="X204" s="61"/>
      <c r="Y204" s="62"/>
      <c r="Z204" s="61"/>
      <c r="AA204" s="62"/>
    </row>
    <row r="205" spans="3:27" ht="16.5" customHeight="1">
      <c r="C205" s="118"/>
      <c r="E205" s="61"/>
      <c r="H205" s="61"/>
      <c r="I205" s="60"/>
      <c r="K205" s="62"/>
      <c r="O205" s="60"/>
      <c r="P205" s="61"/>
      <c r="Q205" s="62"/>
      <c r="R205" s="61"/>
      <c r="S205" s="62"/>
      <c r="T205" s="61"/>
      <c r="U205" s="62"/>
      <c r="V205" s="61"/>
      <c r="W205" s="62"/>
      <c r="X205" s="61"/>
      <c r="Y205" s="62"/>
      <c r="Z205" s="61"/>
      <c r="AA205" s="62"/>
    </row>
    <row r="206" spans="3:27" ht="16.5" customHeight="1">
      <c r="C206" s="118"/>
      <c r="E206" s="61"/>
      <c r="H206" s="61"/>
      <c r="I206" s="60"/>
      <c r="K206" s="62"/>
      <c r="O206" s="60"/>
      <c r="P206" s="61"/>
      <c r="Q206" s="62"/>
      <c r="R206" s="61"/>
      <c r="S206" s="62"/>
      <c r="T206" s="61"/>
      <c r="U206" s="62"/>
      <c r="V206" s="61"/>
      <c r="W206" s="62"/>
      <c r="X206" s="61"/>
      <c r="Y206" s="62"/>
      <c r="Z206" s="61"/>
      <c r="AA206" s="62"/>
    </row>
    <row r="207" spans="3:27" ht="16.5" customHeight="1">
      <c r="C207" s="118"/>
      <c r="E207" s="61"/>
      <c r="H207" s="61"/>
      <c r="I207" s="60"/>
      <c r="K207" s="62"/>
      <c r="O207" s="60"/>
      <c r="P207" s="61"/>
      <c r="Q207" s="62"/>
      <c r="R207" s="61"/>
      <c r="S207" s="62"/>
      <c r="T207" s="61"/>
      <c r="U207" s="62"/>
      <c r="V207" s="61"/>
      <c r="W207" s="62"/>
      <c r="X207" s="61"/>
      <c r="Y207" s="62"/>
      <c r="Z207" s="61"/>
      <c r="AA207" s="62"/>
    </row>
    <row r="208" spans="3:27" ht="16.5" customHeight="1">
      <c r="C208" s="118"/>
      <c r="E208" s="61"/>
      <c r="H208" s="61"/>
      <c r="I208" s="60"/>
      <c r="K208" s="62"/>
      <c r="O208" s="60"/>
      <c r="P208" s="61"/>
      <c r="Q208" s="62"/>
      <c r="R208" s="61"/>
      <c r="S208" s="62"/>
      <c r="T208" s="61"/>
      <c r="U208" s="62"/>
      <c r="V208" s="61"/>
      <c r="W208" s="62"/>
      <c r="X208" s="61"/>
      <c r="Y208" s="62"/>
      <c r="Z208" s="61"/>
      <c r="AA208" s="62"/>
    </row>
    <row r="209" spans="3:27" ht="16.5" customHeight="1">
      <c r="C209" s="118"/>
      <c r="E209" s="61"/>
      <c r="H209" s="61"/>
      <c r="I209" s="60"/>
      <c r="K209" s="62"/>
      <c r="O209" s="60"/>
      <c r="P209" s="61"/>
      <c r="Q209" s="62"/>
      <c r="R209" s="61"/>
      <c r="S209" s="62"/>
      <c r="T209" s="61"/>
      <c r="U209" s="62"/>
      <c r="V209" s="61"/>
      <c r="W209" s="62"/>
      <c r="X209" s="61"/>
      <c r="Y209" s="62"/>
      <c r="Z209" s="61"/>
      <c r="AA209" s="62"/>
    </row>
    <row r="210" spans="3:27" ht="16.5" customHeight="1">
      <c r="C210" s="118"/>
      <c r="E210" s="61"/>
      <c r="H210" s="61"/>
      <c r="I210" s="60"/>
      <c r="K210" s="62"/>
      <c r="O210" s="60"/>
      <c r="P210" s="61"/>
      <c r="Q210" s="62"/>
      <c r="R210" s="61"/>
      <c r="S210" s="62"/>
      <c r="T210" s="61"/>
      <c r="U210" s="62"/>
      <c r="V210" s="61"/>
      <c r="W210" s="62"/>
      <c r="X210" s="61"/>
      <c r="Y210" s="62"/>
      <c r="Z210" s="61"/>
      <c r="AA210" s="62"/>
    </row>
    <row r="211" spans="3:27" ht="16.5" customHeight="1">
      <c r="C211" s="118"/>
      <c r="E211" s="61"/>
      <c r="H211" s="61"/>
      <c r="I211" s="60"/>
      <c r="K211" s="62"/>
      <c r="O211" s="60"/>
      <c r="P211" s="61"/>
      <c r="Q211" s="62"/>
      <c r="R211" s="61"/>
      <c r="S211" s="62"/>
      <c r="T211" s="61"/>
      <c r="U211" s="62"/>
      <c r="V211" s="61"/>
      <c r="W211" s="62"/>
      <c r="X211" s="61"/>
      <c r="Y211" s="62"/>
      <c r="Z211" s="61"/>
      <c r="AA211" s="62"/>
    </row>
    <row r="212" spans="3:27" ht="16.5" customHeight="1">
      <c r="C212" s="118"/>
      <c r="E212" s="61"/>
      <c r="H212" s="61"/>
      <c r="I212" s="60"/>
      <c r="K212" s="62"/>
      <c r="O212" s="60"/>
      <c r="P212" s="61"/>
      <c r="Q212" s="62"/>
      <c r="R212" s="61"/>
      <c r="S212" s="62"/>
      <c r="T212" s="61"/>
      <c r="U212" s="62"/>
      <c r="V212" s="61"/>
      <c r="W212" s="62"/>
      <c r="X212" s="61"/>
      <c r="Y212" s="62"/>
      <c r="Z212" s="61"/>
      <c r="AA212" s="62"/>
    </row>
    <row r="213" spans="3:27" ht="16.5" customHeight="1">
      <c r="C213" s="118"/>
      <c r="E213" s="61"/>
      <c r="H213" s="61"/>
      <c r="I213" s="60"/>
      <c r="K213" s="62"/>
      <c r="O213" s="60"/>
      <c r="P213" s="61"/>
      <c r="Q213" s="62"/>
      <c r="R213" s="61"/>
      <c r="S213" s="62"/>
      <c r="T213" s="61"/>
      <c r="U213" s="62"/>
      <c r="V213" s="61"/>
      <c r="W213" s="62"/>
      <c r="X213" s="61"/>
      <c r="Y213" s="62"/>
      <c r="Z213" s="61"/>
      <c r="AA213" s="62"/>
    </row>
    <row r="214" spans="3:27" ht="16.5" customHeight="1">
      <c r="C214" s="118"/>
      <c r="E214" s="61"/>
      <c r="H214" s="61"/>
      <c r="I214" s="60"/>
      <c r="K214" s="62"/>
      <c r="O214" s="60"/>
      <c r="P214" s="61"/>
      <c r="Q214" s="62"/>
      <c r="R214" s="61"/>
      <c r="S214" s="62"/>
      <c r="T214" s="61"/>
      <c r="U214" s="62"/>
      <c r="V214" s="61"/>
      <c r="W214" s="62"/>
      <c r="X214" s="61"/>
      <c r="Y214" s="62"/>
      <c r="Z214" s="61"/>
      <c r="AA214" s="62"/>
    </row>
    <row r="215" spans="3:27" ht="16.5" customHeight="1">
      <c r="C215" s="118"/>
      <c r="E215" s="61"/>
      <c r="H215" s="61"/>
      <c r="I215" s="60"/>
      <c r="K215" s="62"/>
      <c r="O215" s="60"/>
      <c r="P215" s="61"/>
      <c r="Q215" s="62"/>
      <c r="R215" s="61"/>
      <c r="S215" s="62"/>
      <c r="T215" s="61"/>
      <c r="U215" s="62"/>
      <c r="V215" s="61"/>
      <c r="W215" s="62"/>
      <c r="X215" s="61"/>
      <c r="Y215" s="62"/>
      <c r="Z215" s="61"/>
      <c r="AA215" s="62"/>
    </row>
    <row r="216" spans="3:27" ht="16.5" customHeight="1">
      <c r="C216" s="118"/>
      <c r="E216" s="61"/>
      <c r="H216" s="61"/>
      <c r="I216" s="60"/>
      <c r="K216" s="62"/>
      <c r="O216" s="60"/>
      <c r="P216" s="61"/>
      <c r="Q216" s="62"/>
      <c r="R216" s="61"/>
      <c r="S216" s="62"/>
      <c r="T216" s="61"/>
      <c r="U216" s="62"/>
      <c r="V216" s="61"/>
      <c r="W216" s="62"/>
      <c r="X216" s="61"/>
      <c r="Y216" s="62"/>
      <c r="Z216" s="61"/>
      <c r="AA216" s="62"/>
    </row>
    <row r="217" spans="3:27" ht="16.5" customHeight="1">
      <c r="C217" s="118"/>
      <c r="E217" s="61"/>
      <c r="H217" s="61"/>
      <c r="I217" s="60"/>
      <c r="K217" s="62"/>
      <c r="O217" s="60"/>
      <c r="P217" s="61"/>
      <c r="Q217" s="62"/>
      <c r="R217" s="61"/>
      <c r="S217" s="62"/>
      <c r="T217" s="61"/>
      <c r="U217" s="62"/>
      <c r="V217" s="61"/>
      <c r="W217" s="62"/>
      <c r="X217" s="61"/>
      <c r="Y217" s="62"/>
      <c r="Z217" s="61"/>
      <c r="AA217" s="62"/>
    </row>
    <row r="218" spans="3:27" ht="16.5" customHeight="1">
      <c r="C218" s="118"/>
      <c r="E218" s="61"/>
      <c r="H218" s="61"/>
      <c r="I218" s="60"/>
      <c r="K218" s="62"/>
      <c r="O218" s="60"/>
      <c r="P218" s="61"/>
      <c r="Q218" s="62"/>
      <c r="R218" s="61"/>
      <c r="S218" s="62"/>
      <c r="T218" s="61"/>
      <c r="U218" s="62"/>
      <c r="V218" s="61"/>
      <c r="W218" s="62"/>
      <c r="X218" s="61"/>
      <c r="Y218" s="62"/>
      <c r="Z218" s="61"/>
      <c r="AA218" s="62"/>
    </row>
    <row r="219" spans="3:27" ht="16.5" customHeight="1">
      <c r="C219" s="118"/>
      <c r="E219" s="61"/>
      <c r="H219" s="61"/>
      <c r="I219" s="60"/>
      <c r="K219" s="62"/>
      <c r="O219" s="60"/>
      <c r="P219" s="61"/>
      <c r="Q219" s="62"/>
      <c r="R219" s="61"/>
      <c r="S219" s="62"/>
      <c r="T219" s="61"/>
      <c r="U219" s="62"/>
      <c r="V219" s="61"/>
      <c r="W219" s="62"/>
      <c r="X219" s="61"/>
      <c r="Y219" s="62"/>
      <c r="Z219" s="61"/>
      <c r="AA219" s="62"/>
    </row>
    <row r="220" spans="3:27" ht="16.5" customHeight="1">
      <c r="C220" s="118"/>
      <c r="E220" s="61"/>
      <c r="H220" s="61"/>
      <c r="I220" s="60"/>
      <c r="K220" s="62"/>
      <c r="O220" s="60"/>
      <c r="P220" s="61"/>
      <c r="Q220" s="62"/>
      <c r="R220" s="61"/>
      <c r="S220" s="62"/>
      <c r="T220" s="61"/>
      <c r="U220" s="62"/>
      <c r="V220" s="61"/>
      <c r="W220" s="62"/>
      <c r="X220" s="61"/>
      <c r="Y220" s="62"/>
      <c r="Z220" s="61"/>
      <c r="AA220" s="62"/>
    </row>
    <row r="221" spans="3:27" ht="16.5" customHeight="1">
      <c r="C221" s="118"/>
      <c r="E221" s="61"/>
      <c r="H221" s="61"/>
      <c r="I221" s="60"/>
      <c r="K221" s="62"/>
      <c r="O221" s="60"/>
      <c r="P221" s="61"/>
      <c r="Q221" s="62"/>
      <c r="R221" s="61"/>
      <c r="S221" s="62"/>
      <c r="T221" s="61"/>
      <c r="U221" s="62"/>
      <c r="V221" s="61"/>
      <c r="W221" s="62"/>
      <c r="X221" s="61"/>
      <c r="Y221" s="62"/>
      <c r="Z221" s="61"/>
      <c r="AA221" s="62"/>
    </row>
    <row r="222" spans="3:27" ht="16.5" customHeight="1">
      <c r="C222" s="118"/>
      <c r="E222" s="61"/>
      <c r="H222" s="61"/>
      <c r="I222" s="60"/>
      <c r="K222" s="62"/>
      <c r="O222" s="60"/>
      <c r="P222" s="61"/>
      <c r="Q222" s="62"/>
      <c r="R222" s="61"/>
      <c r="S222" s="62"/>
      <c r="T222" s="61"/>
      <c r="U222" s="62"/>
      <c r="V222" s="61"/>
      <c r="W222" s="62"/>
      <c r="X222" s="61"/>
      <c r="Y222" s="62"/>
      <c r="Z222" s="61"/>
      <c r="AA222" s="62"/>
    </row>
    <row r="223" spans="3:27" ht="16.5" customHeight="1">
      <c r="C223" s="118"/>
      <c r="E223" s="61"/>
      <c r="H223" s="61"/>
      <c r="I223" s="60"/>
      <c r="K223" s="62"/>
      <c r="O223" s="60"/>
      <c r="P223" s="61"/>
      <c r="Q223" s="62"/>
      <c r="R223" s="61"/>
      <c r="S223" s="62"/>
      <c r="T223" s="61"/>
      <c r="U223" s="62"/>
      <c r="V223" s="61"/>
      <c r="W223" s="62"/>
      <c r="X223" s="61"/>
      <c r="Y223" s="62"/>
      <c r="Z223" s="61"/>
      <c r="AA223" s="62"/>
    </row>
    <row r="224" spans="3:27" ht="16.5" customHeight="1">
      <c r="C224" s="118"/>
      <c r="E224" s="61"/>
      <c r="H224" s="61"/>
      <c r="I224" s="60"/>
      <c r="K224" s="62"/>
      <c r="O224" s="60"/>
      <c r="P224" s="61"/>
      <c r="Q224" s="62"/>
      <c r="R224" s="61"/>
      <c r="S224" s="62"/>
      <c r="T224" s="61"/>
      <c r="U224" s="62"/>
      <c r="V224" s="61"/>
      <c r="W224" s="62"/>
      <c r="X224" s="61"/>
      <c r="Y224" s="62"/>
      <c r="Z224" s="61"/>
      <c r="AA224" s="62"/>
    </row>
    <row r="225" spans="3:27" ht="16.5" customHeight="1">
      <c r="C225" s="118"/>
      <c r="E225" s="61"/>
      <c r="H225" s="61"/>
      <c r="I225" s="60"/>
      <c r="K225" s="62"/>
      <c r="O225" s="60"/>
      <c r="P225" s="61"/>
      <c r="Q225" s="62"/>
      <c r="R225" s="61"/>
      <c r="S225" s="62"/>
      <c r="T225" s="61"/>
      <c r="U225" s="62"/>
      <c r="V225" s="61"/>
      <c r="W225" s="62"/>
      <c r="X225" s="61"/>
      <c r="Y225" s="62"/>
      <c r="Z225" s="61"/>
      <c r="AA225" s="62"/>
    </row>
    <row r="226" spans="3:27" ht="16.5" customHeight="1">
      <c r="C226" s="118"/>
      <c r="E226" s="61"/>
      <c r="H226" s="61"/>
      <c r="I226" s="60"/>
      <c r="K226" s="62"/>
      <c r="O226" s="60"/>
      <c r="P226" s="61"/>
      <c r="Q226" s="62"/>
      <c r="R226" s="61"/>
      <c r="S226" s="62"/>
      <c r="T226" s="61"/>
      <c r="U226" s="62"/>
      <c r="V226" s="61"/>
      <c r="W226" s="62"/>
      <c r="X226" s="61"/>
      <c r="Y226" s="62"/>
      <c r="Z226" s="61"/>
      <c r="AA226" s="62"/>
    </row>
    <row r="227" spans="3:27" ht="16.5" customHeight="1">
      <c r="C227" s="118"/>
      <c r="E227" s="61"/>
      <c r="H227" s="61"/>
      <c r="I227" s="60"/>
      <c r="K227" s="62"/>
      <c r="O227" s="60"/>
      <c r="P227" s="61"/>
      <c r="Q227" s="62"/>
      <c r="R227" s="61"/>
      <c r="S227" s="62"/>
      <c r="T227" s="61"/>
      <c r="U227" s="62"/>
      <c r="V227" s="61"/>
      <c r="W227" s="62"/>
      <c r="X227" s="61"/>
      <c r="Y227" s="62"/>
      <c r="Z227" s="61"/>
      <c r="AA227" s="62"/>
    </row>
    <row r="228" spans="3:27" ht="16.5" customHeight="1">
      <c r="C228" s="118"/>
      <c r="E228" s="61"/>
      <c r="H228" s="61"/>
      <c r="I228" s="60"/>
      <c r="K228" s="62"/>
      <c r="O228" s="60"/>
      <c r="P228" s="61"/>
      <c r="Q228" s="62"/>
      <c r="R228" s="61"/>
      <c r="S228" s="62"/>
      <c r="T228" s="61"/>
      <c r="U228" s="62"/>
      <c r="V228" s="61"/>
      <c r="W228" s="62"/>
      <c r="X228" s="61"/>
      <c r="Y228" s="62"/>
      <c r="Z228" s="61"/>
      <c r="AA228" s="62"/>
    </row>
    <row r="229" spans="3:27" ht="16.5" customHeight="1">
      <c r="C229" s="118"/>
      <c r="E229" s="61"/>
      <c r="H229" s="61"/>
      <c r="I229" s="60"/>
      <c r="K229" s="62"/>
      <c r="O229" s="60"/>
      <c r="P229" s="61"/>
      <c r="Q229" s="62"/>
      <c r="R229" s="61"/>
      <c r="S229" s="62"/>
      <c r="T229" s="61"/>
      <c r="U229" s="62"/>
      <c r="V229" s="61"/>
      <c r="W229" s="62"/>
      <c r="X229" s="61"/>
      <c r="Y229" s="62"/>
      <c r="Z229" s="61"/>
      <c r="AA229" s="62"/>
    </row>
    <row r="230" spans="3:27" ht="16.5" customHeight="1">
      <c r="C230" s="118"/>
      <c r="E230" s="61"/>
      <c r="H230" s="61"/>
      <c r="I230" s="60"/>
      <c r="K230" s="62"/>
      <c r="O230" s="60"/>
      <c r="P230" s="61"/>
      <c r="Q230" s="62"/>
      <c r="R230" s="61"/>
      <c r="S230" s="62"/>
      <c r="T230" s="61"/>
      <c r="U230" s="62"/>
      <c r="V230" s="61"/>
      <c r="W230" s="62"/>
      <c r="X230" s="61"/>
      <c r="Y230" s="62"/>
      <c r="Z230" s="61"/>
      <c r="AA230" s="62"/>
    </row>
    <row r="231" spans="3:27" ht="16.5" customHeight="1">
      <c r="C231" s="118"/>
      <c r="E231" s="61"/>
      <c r="H231" s="61"/>
      <c r="I231" s="60"/>
      <c r="K231" s="62"/>
      <c r="O231" s="60"/>
      <c r="P231" s="61"/>
      <c r="Q231" s="62"/>
      <c r="R231" s="61"/>
      <c r="S231" s="62"/>
      <c r="T231" s="61"/>
      <c r="U231" s="62"/>
      <c r="V231" s="61"/>
      <c r="W231" s="62"/>
      <c r="X231" s="61"/>
      <c r="Y231" s="62"/>
      <c r="Z231" s="61"/>
      <c r="AA231" s="62"/>
    </row>
    <row r="232" spans="3:27" ht="16.5" customHeight="1">
      <c r="C232" s="118"/>
      <c r="E232" s="61"/>
      <c r="H232" s="61"/>
      <c r="I232" s="60"/>
      <c r="K232" s="62"/>
      <c r="O232" s="60"/>
      <c r="P232" s="61"/>
      <c r="Q232" s="62"/>
      <c r="R232" s="61"/>
      <c r="S232" s="62"/>
      <c r="T232" s="61"/>
      <c r="U232" s="62"/>
      <c r="V232" s="61"/>
      <c r="W232" s="62"/>
      <c r="X232" s="61"/>
      <c r="Y232" s="62"/>
      <c r="Z232" s="61"/>
      <c r="AA232" s="62"/>
    </row>
    <row r="233" spans="3:27" ht="16.5" customHeight="1">
      <c r="C233" s="118"/>
      <c r="E233" s="61"/>
      <c r="H233" s="61"/>
      <c r="I233" s="60"/>
      <c r="K233" s="62"/>
      <c r="O233" s="60"/>
      <c r="P233" s="61"/>
      <c r="Q233" s="62"/>
      <c r="R233" s="61"/>
      <c r="S233" s="62"/>
      <c r="T233" s="61"/>
      <c r="U233" s="62"/>
      <c r="V233" s="61"/>
      <c r="W233" s="62"/>
      <c r="X233" s="61"/>
      <c r="Y233" s="62"/>
      <c r="Z233" s="61"/>
      <c r="AA233" s="62"/>
    </row>
    <row r="234" spans="3:27" ht="16.5" customHeight="1">
      <c r="C234" s="118"/>
      <c r="E234" s="61"/>
      <c r="H234" s="61"/>
      <c r="I234" s="60"/>
      <c r="K234" s="62"/>
      <c r="O234" s="60"/>
      <c r="P234" s="61"/>
      <c r="Q234" s="62"/>
      <c r="R234" s="61"/>
      <c r="S234" s="62"/>
      <c r="T234" s="61"/>
      <c r="U234" s="62"/>
      <c r="V234" s="61"/>
      <c r="W234" s="62"/>
      <c r="X234" s="61"/>
      <c r="Y234" s="62"/>
      <c r="Z234" s="61"/>
      <c r="AA234" s="62"/>
    </row>
    <row r="235" spans="3:27" ht="16.5" customHeight="1">
      <c r="C235" s="118"/>
      <c r="E235" s="61"/>
      <c r="H235" s="61"/>
      <c r="I235" s="60"/>
      <c r="K235" s="62"/>
      <c r="O235" s="60"/>
      <c r="P235" s="61"/>
      <c r="Q235" s="62"/>
      <c r="R235" s="61"/>
      <c r="S235" s="62"/>
      <c r="T235" s="61"/>
      <c r="U235" s="62"/>
      <c r="V235" s="61"/>
      <c r="W235" s="62"/>
      <c r="X235" s="61"/>
      <c r="Y235" s="62"/>
      <c r="Z235" s="61"/>
      <c r="AA235" s="62"/>
    </row>
    <row r="236" spans="3:27" ht="16.5" customHeight="1">
      <c r="C236" s="118"/>
      <c r="E236" s="61"/>
      <c r="H236" s="61"/>
      <c r="I236" s="60"/>
      <c r="K236" s="62"/>
      <c r="O236" s="60"/>
      <c r="P236" s="61"/>
      <c r="Q236" s="62"/>
      <c r="R236" s="61"/>
      <c r="S236" s="62"/>
      <c r="T236" s="61"/>
      <c r="U236" s="62"/>
      <c r="V236" s="61"/>
      <c r="W236" s="62"/>
      <c r="X236" s="61"/>
      <c r="Y236" s="62"/>
      <c r="Z236" s="61"/>
      <c r="AA236" s="62"/>
    </row>
    <row r="237" spans="3:27" ht="16.5" customHeight="1">
      <c r="C237" s="118"/>
      <c r="E237" s="61"/>
      <c r="H237" s="61"/>
      <c r="I237" s="60"/>
      <c r="K237" s="62"/>
      <c r="O237" s="60"/>
      <c r="P237" s="61"/>
      <c r="Q237" s="62"/>
      <c r="R237" s="61"/>
      <c r="S237" s="62"/>
      <c r="T237" s="61"/>
      <c r="U237" s="62"/>
      <c r="V237" s="61"/>
      <c r="W237" s="62"/>
      <c r="X237" s="61"/>
      <c r="Y237" s="62"/>
      <c r="Z237" s="61"/>
      <c r="AA237" s="62"/>
    </row>
    <row r="238" spans="3:27" ht="16.5" customHeight="1">
      <c r="C238" s="118"/>
      <c r="E238" s="61"/>
      <c r="H238" s="61"/>
      <c r="I238" s="60"/>
      <c r="K238" s="62"/>
      <c r="O238" s="60"/>
      <c r="P238" s="61"/>
      <c r="Q238" s="62"/>
      <c r="R238" s="61"/>
      <c r="S238" s="62"/>
      <c r="T238" s="61"/>
      <c r="U238" s="62"/>
      <c r="V238" s="61"/>
      <c r="W238" s="62"/>
      <c r="X238" s="61"/>
      <c r="Y238" s="62"/>
      <c r="Z238" s="61"/>
      <c r="AA238" s="62"/>
    </row>
    <row r="239" spans="3:27" ht="16.5" customHeight="1">
      <c r="C239" s="118"/>
      <c r="E239" s="61"/>
      <c r="H239" s="61"/>
      <c r="I239" s="60"/>
      <c r="K239" s="62"/>
      <c r="O239" s="60"/>
      <c r="P239" s="61"/>
      <c r="Q239" s="62"/>
      <c r="R239" s="61"/>
      <c r="S239" s="62"/>
      <c r="T239" s="61"/>
      <c r="U239" s="62"/>
      <c r="V239" s="61"/>
      <c r="W239" s="62"/>
      <c r="X239" s="61"/>
      <c r="Y239" s="62"/>
      <c r="Z239" s="61"/>
      <c r="AA239" s="62"/>
    </row>
    <row r="240" spans="3:27" ht="16.5" customHeight="1">
      <c r="C240" s="118"/>
      <c r="E240" s="61"/>
      <c r="H240" s="61"/>
      <c r="I240" s="60"/>
      <c r="K240" s="62"/>
      <c r="O240" s="60"/>
      <c r="P240" s="61"/>
      <c r="Q240" s="62"/>
      <c r="R240" s="61"/>
      <c r="S240" s="62"/>
      <c r="T240" s="61"/>
      <c r="U240" s="62"/>
      <c r="V240" s="61"/>
      <c r="W240" s="62"/>
      <c r="X240" s="61"/>
      <c r="Y240" s="62"/>
      <c r="Z240" s="61"/>
      <c r="AA240" s="62"/>
    </row>
    <row r="241" spans="3:27" ht="16.5" customHeight="1">
      <c r="C241" s="118"/>
      <c r="E241" s="61"/>
      <c r="H241" s="61"/>
      <c r="I241" s="60"/>
      <c r="K241" s="62"/>
      <c r="O241" s="60"/>
      <c r="P241" s="61"/>
      <c r="Q241" s="62"/>
      <c r="R241" s="61"/>
      <c r="S241" s="62"/>
      <c r="T241" s="61"/>
      <c r="U241" s="62"/>
      <c r="V241" s="61"/>
      <c r="W241" s="62"/>
      <c r="X241" s="61"/>
      <c r="Y241" s="62"/>
      <c r="Z241" s="61"/>
      <c r="AA241" s="62"/>
    </row>
    <row r="242" spans="3:27" ht="16.5" customHeight="1">
      <c r="C242" s="118"/>
      <c r="E242" s="61"/>
      <c r="H242" s="61"/>
      <c r="I242" s="60"/>
      <c r="K242" s="62"/>
      <c r="O242" s="60"/>
      <c r="P242" s="61"/>
      <c r="Q242" s="62"/>
      <c r="R242" s="61"/>
      <c r="S242" s="62"/>
      <c r="T242" s="61"/>
      <c r="U242" s="62"/>
      <c r="V242" s="61"/>
      <c r="W242" s="62"/>
      <c r="X242" s="61"/>
      <c r="Y242" s="62"/>
      <c r="Z242" s="61"/>
      <c r="AA242" s="62"/>
    </row>
    <row r="243" spans="3:27" ht="16.5" customHeight="1">
      <c r="C243" s="118"/>
      <c r="E243" s="61"/>
      <c r="H243" s="61"/>
      <c r="I243" s="60"/>
      <c r="K243" s="62"/>
      <c r="O243" s="60"/>
      <c r="P243" s="61"/>
      <c r="Q243" s="62"/>
      <c r="R243" s="61"/>
      <c r="S243" s="62"/>
      <c r="T243" s="61"/>
      <c r="U243" s="62"/>
      <c r="V243" s="61"/>
      <c r="W243" s="62"/>
      <c r="X243" s="61"/>
      <c r="Y243" s="62"/>
      <c r="Z243" s="61"/>
      <c r="AA243" s="62"/>
    </row>
    <row r="244" spans="3:27" ht="16.5" customHeight="1">
      <c r="C244" s="118"/>
      <c r="E244" s="61"/>
      <c r="H244" s="61"/>
      <c r="I244" s="60"/>
      <c r="K244" s="62"/>
      <c r="O244" s="60"/>
      <c r="P244" s="61"/>
      <c r="Q244" s="62"/>
      <c r="R244" s="61"/>
      <c r="S244" s="62"/>
      <c r="T244" s="61"/>
      <c r="U244" s="62"/>
      <c r="V244" s="61"/>
      <c r="W244" s="62"/>
      <c r="X244" s="61"/>
      <c r="Y244" s="62"/>
      <c r="Z244" s="61"/>
      <c r="AA244" s="62"/>
    </row>
    <row r="245" spans="3:27" ht="16.5" customHeight="1">
      <c r="C245" s="118"/>
      <c r="E245" s="61"/>
      <c r="H245" s="61"/>
      <c r="I245" s="60"/>
      <c r="K245" s="62"/>
      <c r="O245" s="60"/>
      <c r="P245" s="61"/>
      <c r="Q245" s="62"/>
      <c r="R245" s="61"/>
      <c r="S245" s="62"/>
      <c r="T245" s="61"/>
      <c r="U245" s="62"/>
      <c r="V245" s="61"/>
      <c r="W245" s="62"/>
      <c r="X245" s="61"/>
      <c r="Y245" s="62"/>
      <c r="Z245" s="61"/>
      <c r="AA245" s="62"/>
    </row>
    <row r="246" spans="3:27" ht="16.5" customHeight="1">
      <c r="C246" s="118"/>
      <c r="E246" s="61"/>
      <c r="H246" s="61"/>
      <c r="I246" s="60"/>
      <c r="K246" s="62"/>
      <c r="O246" s="60"/>
      <c r="P246" s="61"/>
      <c r="Q246" s="62"/>
      <c r="R246" s="61"/>
      <c r="S246" s="62"/>
      <c r="T246" s="61"/>
      <c r="U246" s="62"/>
      <c r="V246" s="61"/>
      <c r="W246" s="62"/>
      <c r="X246" s="61"/>
      <c r="Y246" s="62"/>
      <c r="Z246" s="61"/>
      <c r="AA246" s="62"/>
    </row>
    <row r="247" spans="3:27" ht="16.5" customHeight="1">
      <c r="C247" s="118"/>
      <c r="E247" s="61"/>
      <c r="H247" s="61"/>
      <c r="I247" s="60"/>
      <c r="K247" s="62"/>
      <c r="O247" s="60"/>
      <c r="P247" s="61"/>
      <c r="Q247" s="62"/>
      <c r="R247" s="61"/>
      <c r="S247" s="62"/>
      <c r="T247" s="61"/>
      <c r="U247" s="62"/>
      <c r="V247" s="61"/>
      <c r="W247" s="62"/>
      <c r="X247" s="61"/>
      <c r="Y247" s="62"/>
      <c r="Z247" s="61"/>
      <c r="AA247" s="62"/>
    </row>
    <row r="248" spans="3:27" ht="16.5" customHeight="1">
      <c r="C248" s="118"/>
      <c r="E248" s="61"/>
      <c r="H248" s="61"/>
      <c r="I248" s="60"/>
      <c r="K248" s="62"/>
      <c r="O248" s="60"/>
      <c r="P248" s="61"/>
      <c r="Q248" s="62"/>
      <c r="R248" s="61"/>
      <c r="S248" s="62"/>
      <c r="T248" s="61"/>
      <c r="U248" s="62"/>
      <c r="V248" s="61"/>
      <c r="W248" s="62"/>
      <c r="X248" s="61"/>
      <c r="Y248" s="62"/>
      <c r="Z248" s="61"/>
      <c r="AA248" s="62"/>
    </row>
    <row r="249" spans="3:27" ht="16.5" customHeight="1">
      <c r="C249" s="118"/>
      <c r="E249" s="61"/>
      <c r="H249" s="61"/>
      <c r="I249" s="60"/>
      <c r="K249" s="62"/>
      <c r="O249" s="60"/>
      <c r="P249" s="61"/>
      <c r="Q249" s="62"/>
      <c r="R249" s="61"/>
      <c r="S249" s="62"/>
      <c r="T249" s="61"/>
      <c r="U249" s="62"/>
      <c r="V249" s="61"/>
      <c r="W249" s="62"/>
      <c r="X249" s="61"/>
      <c r="Y249" s="62"/>
      <c r="Z249" s="61"/>
      <c r="AA249" s="62"/>
    </row>
    <row r="250" spans="3:27" ht="16.5" customHeight="1">
      <c r="C250" s="118"/>
      <c r="E250" s="61"/>
      <c r="H250" s="61"/>
      <c r="I250" s="60"/>
      <c r="K250" s="62"/>
      <c r="O250" s="60"/>
      <c r="P250" s="61"/>
      <c r="Q250" s="62"/>
      <c r="R250" s="61"/>
      <c r="S250" s="62"/>
      <c r="T250" s="61"/>
      <c r="U250" s="62"/>
      <c r="V250" s="61"/>
      <c r="W250" s="62"/>
      <c r="X250" s="61"/>
      <c r="Y250" s="62"/>
      <c r="Z250" s="61"/>
      <c r="AA250" s="62"/>
    </row>
    <row r="251" spans="3:27" ht="16.5" customHeight="1">
      <c r="C251" s="118"/>
      <c r="E251" s="61"/>
      <c r="H251" s="61"/>
      <c r="I251" s="60"/>
      <c r="K251" s="62"/>
      <c r="O251" s="60"/>
      <c r="P251" s="61"/>
      <c r="Q251" s="62"/>
      <c r="R251" s="61"/>
      <c r="S251" s="62"/>
      <c r="T251" s="61"/>
      <c r="U251" s="62"/>
      <c r="V251" s="61"/>
      <c r="W251" s="62"/>
      <c r="X251" s="61"/>
      <c r="Y251" s="62"/>
      <c r="Z251" s="61"/>
      <c r="AA251" s="62"/>
    </row>
    <row r="252" spans="3:27" ht="16.5" customHeight="1">
      <c r="C252" s="118"/>
      <c r="E252" s="61"/>
      <c r="H252" s="61"/>
      <c r="I252" s="60"/>
      <c r="K252" s="62"/>
      <c r="O252" s="60"/>
      <c r="P252" s="61"/>
      <c r="Q252" s="62"/>
      <c r="R252" s="61"/>
      <c r="S252" s="62"/>
      <c r="T252" s="61"/>
      <c r="U252" s="62"/>
      <c r="V252" s="61"/>
      <c r="W252" s="62"/>
      <c r="X252" s="61"/>
      <c r="Y252" s="62"/>
      <c r="Z252" s="61"/>
      <c r="AA252" s="62"/>
    </row>
    <row r="253" spans="3:27" ht="16.5" customHeight="1">
      <c r="C253" s="118"/>
      <c r="E253" s="61"/>
      <c r="H253" s="61"/>
      <c r="I253" s="60"/>
      <c r="K253" s="62"/>
      <c r="O253" s="60"/>
      <c r="P253" s="61"/>
      <c r="Q253" s="62"/>
      <c r="R253" s="61"/>
      <c r="S253" s="62"/>
      <c r="T253" s="61"/>
      <c r="U253" s="62"/>
      <c r="V253" s="61"/>
      <c r="W253" s="62"/>
      <c r="X253" s="61"/>
      <c r="Y253" s="62"/>
      <c r="Z253" s="61"/>
      <c r="AA253" s="62"/>
    </row>
    <row r="254" spans="3:27" ht="16.5" customHeight="1">
      <c r="C254" s="118"/>
      <c r="E254" s="61"/>
      <c r="H254" s="61"/>
      <c r="I254" s="60"/>
      <c r="K254" s="62"/>
      <c r="O254" s="60"/>
      <c r="P254" s="61"/>
      <c r="Q254" s="62"/>
      <c r="R254" s="61"/>
      <c r="S254" s="62"/>
      <c r="T254" s="61"/>
      <c r="U254" s="62"/>
      <c r="V254" s="61"/>
      <c r="W254" s="62"/>
      <c r="X254" s="61"/>
      <c r="Y254" s="62"/>
      <c r="Z254" s="61"/>
      <c r="AA254" s="62"/>
    </row>
    <row r="255" spans="3:27" ht="16.5" customHeight="1">
      <c r="C255" s="118"/>
      <c r="E255" s="61"/>
      <c r="H255" s="61"/>
      <c r="I255" s="60"/>
      <c r="K255" s="62"/>
      <c r="O255" s="60"/>
      <c r="P255" s="61"/>
      <c r="Q255" s="62"/>
      <c r="R255" s="61"/>
      <c r="S255" s="62"/>
      <c r="T255" s="61"/>
      <c r="U255" s="62"/>
      <c r="V255" s="61"/>
      <c r="W255" s="62"/>
      <c r="X255" s="61"/>
      <c r="Y255" s="62"/>
      <c r="Z255" s="61"/>
      <c r="AA255" s="62"/>
    </row>
    <row r="256" spans="3:27" ht="16.5" customHeight="1">
      <c r="C256" s="118"/>
      <c r="E256" s="61"/>
      <c r="H256" s="61"/>
      <c r="I256" s="60"/>
      <c r="K256" s="62"/>
      <c r="O256" s="60"/>
      <c r="P256" s="61"/>
      <c r="Q256" s="62"/>
      <c r="R256" s="61"/>
      <c r="S256" s="62"/>
      <c r="T256" s="61"/>
      <c r="U256" s="62"/>
      <c r="V256" s="61"/>
      <c r="W256" s="62"/>
      <c r="X256" s="61"/>
      <c r="Y256" s="62"/>
      <c r="Z256" s="61"/>
      <c r="AA256" s="62"/>
    </row>
    <row r="257" spans="3:27" ht="16.5" customHeight="1">
      <c r="C257" s="118"/>
      <c r="E257" s="61"/>
      <c r="H257" s="61"/>
      <c r="I257" s="60"/>
      <c r="K257" s="62"/>
      <c r="O257" s="60"/>
      <c r="P257" s="61"/>
      <c r="Q257" s="62"/>
      <c r="R257" s="61"/>
      <c r="S257" s="62"/>
      <c r="T257" s="61"/>
      <c r="U257" s="62"/>
      <c r="V257" s="61"/>
      <c r="W257" s="62"/>
      <c r="X257" s="61"/>
      <c r="Y257" s="62"/>
      <c r="Z257" s="61"/>
      <c r="AA257" s="62"/>
    </row>
    <row r="258" spans="3:27" ht="16.5" customHeight="1">
      <c r="C258" s="118"/>
      <c r="E258" s="61"/>
      <c r="H258" s="61"/>
      <c r="I258" s="60"/>
      <c r="K258" s="62"/>
      <c r="O258" s="60"/>
      <c r="P258" s="61"/>
      <c r="Q258" s="62"/>
      <c r="R258" s="61"/>
      <c r="S258" s="62"/>
      <c r="T258" s="61"/>
      <c r="U258" s="62"/>
      <c r="V258" s="61"/>
      <c r="W258" s="62"/>
      <c r="X258" s="61"/>
      <c r="Y258" s="62"/>
      <c r="Z258" s="61"/>
      <c r="AA258" s="62"/>
    </row>
    <row r="259" spans="3:27" ht="16.5" customHeight="1">
      <c r="C259" s="118"/>
      <c r="E259" s="61"/>
      <c r="H259" s="61"/>
      <c r="I259" s="60"/>
      <c r="K259" s="62"/>
      <c r="O259" s="60"/>
      <c r="P259" s="61"/>
      <c r="Q259" s="62"/>
      <c r="R259" s="61"/>
      <c r="S259" s="62"/>
      <c r="T259" s="61"/>
      <c r="U259" s="62"/>
      <c r="V259" s="61"/>
      <c r="W259" s="62"/>
      <c r="X259" s="61"/>
      <c r="Y259" s="62"/>
      <c r="Z259" s="61"/>
      <c r="AA259" s="62"/>
    </row>
    <row r="260" spans="3:27" ht="16.5" customHeight="1">
      <c r="C260" s="118"/>
      <c r="E260" s="61"/>
      <c r="H260" s="61"/>
      <c r="I260" s="60"/>
      <c r="K260" s="62"/>
      <c r="O260" s="60"/>
      <c r="P260" s="61"/>
      <c r="Q260" s="62"/>
      <c r="R260" s="61"/>
      <c r="S260" s="62"/>
      <c r="T260" s="61"/>
      <c r="U260" s="62"/>
      <c r="V260" s="61"/>
      <c r="W260" s="62"/>
      <c r="X260" s="61"/>
      <c r="Y260" s="62"/>
      <c r="Z260" s="61"/>
      <c r="AA260" s="62"/>
    </row>
    <row r="261" spans="3:27" ht="16.5" customHeight="1">
      <c r="C261" s="118"/>
      <c r="E261" s="61"/>
      <c r="H261" s="61"/>
      <c r="I261" s="60"/>
      <c r="K261" s="62"/>
      <c r="O261" s="60"/>
      <c r="P261" s="61"/>
      <c r="Q261" s="62"/>
      <c r="R261" s="61"/>
      <c r="S261" s="62"/>
      <c r="T261" s="61"/>
      <c r="U261" s="62"/>
      <c r="V261" s="61"/>
      <c r="W261" s="62"/>
      <c r="X261" s="61"/>
      <c r="Y261" s="62"/>
      <c r="Z261" s="61"/>
      <c r="AA261" s="62"/>
    </row>
    <row r="262" spans="3:27" ht="16.5" customHeight="1">
      <c r="C262" s="118"/>
      <c r="E262" s="61"/>
      <c r="H262" s="61"/>
      <c r="I262" s="60"/>
      <c r="K262" s="62"/>
      <c r="O262" s="60"/>
      <c r="P262" s="61"/>
      <c r="Q262" s="62"/>
      <c r="R262" s="61"/>
      <c r="S262" s="62"/>
      <c r="T262" s="61"/>
      <c r="U262" s="62"/>
      <c r="V262" s="61"/>
      <c r="W262" s="62"/>
      <c r="X262" s="61"/>
      <c r="Y262" s="62"/>
      <c r="Z262" s="61"/>
      <c r="AA262" s="62"/>
    </row>
    <row r="263" spans="3:27" ht="16.5" customHeight="1">
      <c r="C263" s="118"/>
      <c r="E263" s="61"/>
      <c r="H263" s="61"/>
      <c r="I263" s="60"/>
      <c r="K263" s="62"/>
      <c r="O263" s="60"/>
      <c r="P263" s="61"/>
      <c r="Q263" s="62"/>
      <c r="R263" s="61"/>
      <c r="S263" s="62"/>
      <c r="T263" s="61"/>
      <c r="U263" s="62"/>
      <c r="V263" s="61"/>
      <c r="W263" s="62"/>
      <c r="X263" s="61"/>
      <c r="Y263" s="62"/>
      <c r="Z263" s="61"/>
      <c r="AA263" s="62"/>
    </row>
    <row r="264" spans="3:27" ht="16.5" customHeight="1">
      <c r="C264" s="118"/>
      <c r="E264" s="61"/>
      <c r="H264" s="61"/>
      <c r="I264" s="60"/>
      <c r="K264" s="62"/>
      <c r="O264" s="60"/>
      <c r="P264" s="61"/>
      <c r="Q264" s="62"/>
      <c r="R264" s="61"/>
      <c r="S264" s="62"/>
      <c r="T264" s="61"/>
      <c r="U264" s="62"/>
      <c r="V264" s="61"/>
      <c r="W264" s="62"/>
      <c r="X264" s="61"/>
      <c r="Y264" s="62"/>
      <c r="Z264" s="61"/>
      <c r="AA264" s="62"/>
    </row>
    <row r="265" spans="3:27" ht="16.5" customHeight="1">
      <c r="C265" s="118"/>
      <c r="E265" s="61"/>
      <c r="H265" s="61"/>
      <c r="I265" s="60"/>
      <c r="K265" s="62"/>
      <c r="O265" s="60"/>
      <c r="P265" s="61"/>
      <c r="Q265" s="62"/>
      <c r="R265" s="61"/>
      <c r="S265" s="62"/>
      <c r="T265" s="61"/>
      <c r="U265" s="62"/>
      <c r="V265" s="61"/>
      <c r="W265" s="62"/>
      <c r="X265" s="61"/>
      <c r="Y265" s="62"/>
      <c r="Z265" s="61"/>
      <c r="AA265" s="62"/>
    </row>
    <row r="266" spans="3:27" ht="16.5" customHeight="1">
      <c r="C266" s="118"/>
      <c r="E266" s="61"/>
      <c r="H266" s="61"/>
      <c r="I266" s="60"/>
      <c r="K266" s="62"/>
      <c r="O266" s="60"/>
      <c r="P266" s="61"/>
      <c r="Q266" s="62"/>
      <c r="R266" s="61"/>
      <c r="S266" s="62"/>
      <c r="T266" s="61"/>
      <c r="U266" s="62"/>
      <c r="V266" s="61"/>
      <c r="W266" s="62"/>
      <c r="X266" s="61"/>
      <c r="Y266" s="62"/>
      <c r="Z266" s="61"/>
      <c r="AA266" s="62"/>
    </row>
    <row r="267" spans="3:27" ht="16.5" customHeight="1">
      <c r="C267" s="118"/>
      <c r="E267" s="61"/>
      <c r="H267" s="61"/>
      <c r="I267" s="60"/>
      <c r="K267" s="62"/>
      <c r="O267" s="60"/>
      <c r="P267" s="61"/>
      <c r="Q267" s="62"/>
      <c r="R267" s="61"/>
      <c r="S267" s="62"/>
      <c r="T267" s="61"/>
      <c r="U267" s="62"/>
      <c r="V267" s="61"/>
      <c r="W267" s="62"/>
      <c r="X267" s="61"/>
      <c r="Y267" s="62"/>
      <c r="Z267" s="61"/>
      <c r="AA267" s="62"/>
    </row>
    <row r="268" spans="3:27" ht="16.5" customHeight="1">
      <c r="C268" s="118"/>
      <c r="E268" s="61"/>
      <c r="H268" s="61"/>
      <c r="I268" s="60"/>
      <c r="K268" s="62"/>
      <c r="O268" s="60"/>
      <c r="P268" s="61"/>
      <c r="Q268" s="62"/>
      <c r="R268" s="61"/>
      <c r="S268" s="62"/>
      <c r="T268" s="61"/>
      <c r="U268" s="62"/>
      <c r="V268" s="61"/>
      <c r="W268" s="62"/>
      <c r="X268" s="61"/>
      <c r="Y268" s="62"/>
      <c r="Z268" s="61"/>
      <c r="AA268" s="62"/>
    </row>
    <row r="269" spans="3:27" ht="16.5" customHeight="1">
      <c r="C269" s="118"/>
      <c r="E269" s="61"/>
      <c r="H269" s="61"/>
      <c r="I269" s="60"/>
      <c r="K269" s="62"/>
      <c r="O269" s="60"/>
      <c r="P269" s="61"/>
      <c r="Q269" s="62"/>
      <c r="R269" s="61"/>
      <c r="S269" s="62"/>
      <c r="T269" s="61"/>
      <c r="U269" s="62"/>
      <c r="V269" s="61"/>
      <c r="W269" s="62"/>
      <c r="X269" s="61"/>
      <c r="Y269" s="62"/>
      <c r="Z269" s="61"/>
      <c r="AA269" s="62"/>
    </row>
    <row r="270" spans="3:27" ht="16.5" customHeight="1">
      <c r="C270" s="118"/>
      <c r="E270" s="61"/>
      <c r="H270" s="61"/>
      <c r="I270" s="60"/>
      <c r="K270" s="62"/>
      <c r="O270" s="60"/>
      <c r="P270" s="61"/>
      <c r="Q270" s="62"/>
      <c r="R270" s="61"/>
      <c r="S270" s="62"/>
      <c r="T270" s="61"/>
      <c r="U270" s="62"/>
      <c r="V270" s="61"/>
      <c r="W270" s="62"/>
      <c r="X270" s="61"/>
      <c r="Y270" s="62"/>
      <c r="Z270" s="61"/>
      <c r="AA270" s="62"/>
    </row>
    <row r="271" spans="3:27" ht="16.5" customHeight="1">
      <c r="C271" s="118"/>
      <c r="E271" s="61"/>
      <c r="H271" s="61"/>
      <c r="I271" s="60"/>
      <c r="K271" s="62"/>
      <c r="O271" s="60"/>
      <c r="P271" s="61"/>
      <c r="Q271" s="62"/>
      <c r="R271" s="61"/>
      <c r="S271" s="62"/>
      <c r="T271" s="61"/>
      <c r="U271" s="62"/>
      <c r="V271" s="61"/>
      <c r="W271" s="62"/>
      <c r="X271" s="61"/>
      <c r="Y271" s="62"/>
      <c r="Z271" s="61"/>
      <c r="AA271" s="62"/>
    </row>
    <row r="272" spans="3:27" ht="16.5" customHeight="1">
      <c r="C272" s="118"/>
      <c r="E272" s="61"/>
      <c r="H272" s="61"/>
      <c r="I272" s="60"/>
      <c r="K272" s="62"/>
      <c r="O272" s="60"/>
      <c r="P272" s="61"/>
      <c r="Q272" s="62"/>
      <c r="R272" s="61"/>
      <c r="S272" s="62"/>
      <c r="T272" s="61"/>
      <c r="U272" s="62"/>
      <c r="V272" s="61"/>
      <c r="W272" s="62"/>
      <c r="X272" s="61"/>
      <c r="Y272" s="62"/>
      <c r="Z272" s="61"/>
      <c r="AA272" s="62"/>
    </row>
    <row r="273" spans="3:27" ht="16.5" customHeight="1">
      <c r="C273" s="118"/>
      <c r="E273" s="61"/>
      <c r="H273" s="61"/>
      <c r="I273" s="60"/>
      <c r="K273" s="62"/>
      <c r="O273" s="60"/>
      <c r="P273" s="61"/>
      <c r="Q273" s="62"/>
      <c r="R273" s="61"/>
      <c r="S273" s="62"/>
      <c r="T273" s="61"/>
      <c r="U273" s="62"/>
      <c r="V273" s="61"/>
      <c r="W273" s="62"/>
      <c r="X273" s="61"/>
      <c r="Y273" s="62"/>
      <c r="Z273" s="61"/>
      <c r="AA273" s="62"/>
    </row>
    <row r="274" spans="3:27" ht="16.5" customHeight="1">
      <c r="C274" s="118"/>
      <c r="E274" s="61"/>
      <c r="H274" s="61"/>
      <c r="I274" s="60"/>
      <c r="K274" s="62"/>
      <c r="O274" s="60"/>
      <c r="P274" s="61"/>
      <c r="Q274" s="62"/>
      <c r="R274" s="61"/>
      <c r="S274" s="62"/>
      <c r="T274" s="61"/>
      <c r="U274" s="62"/>
      <c r="V274" s="61"/>
      <c r="W274" s="62"/>
      <c r="X274" s="61"/>
      <c r="Y274" s="62"/>
      <c r="Z274" s="61"/>
      <c r="AA274" s="62"/>
    </row>
    <row r="275" spans="3:27" ht="16.5" customHeight="1">
      <c r="C275" s="118"/>
      <c r="E275" s="61"/>
      <c r="H275" s="61"/>
      <c r="I275" s="60"/>
      <c r="K275" s="62"/>
      <c r="O275" s="60"/>
      <c r="P275" s="61"/>
      <c r="Q275" s="62"/>
      <c r="R275" s="61"/>
      <c r="S275" s="62"/>
      <c r="T275" s="61"/>
      <c r="U275" s="62"/>
      <c r="V275" s="61"/>
      <c r="W275" s="62"/>
      <c r="X275" s="61"/>
      <c r="Y275" s="62"/>
      <c r="Z275" s="61"/>
      <c r="AA275" s="62"/>
    </row>
    <row r="276" spans="3:27" ht="16.5" customHeight="1">
      <c r="C276" s="118"/>
      <c r="E276" s="61"/>
      <c r="H276" s="61"/>
      <c r="I276" s="60"/>
      <c r="K276" s="62"/>
      <c r="O276" s="60"/>
      <c r="P276" s="61"/>
      <c r="Q276" s="62"/>
      <c r="R276" s="61"/>
      <c r="S276" s="62"/>
      <c r="T276" s="61"/>
      <c r="U276" s="62"/>
      <c r="V276" s="61"/>
      <c r="W276" s="62"/>
      <c r="X276" s="61"/>
      <c r="Y276" s="62"/>
      <c r="Z276" s="61"/>
      <c r="AA276" s="62"/>
    </row>
    <row r="277" spans="3:27" ht="16.5" customHeight="1">
      <c r="C277" s="118"/>
      <c r="E277" s="61"/>
      <c r="H277" s="61"/>
      <c r="I277" s="60"/>
      <c r="K277" s="62"/>
      <c r="O277" s="60"/>
      <c r="P277" s="61"/>
      <c r="Q277" s="62"/>
      <c r="R277" s="61"/>
      <c r="S277" s="62"/>
      <c r="T277" s="61"/>
      <c r="U277" s="62"/>
      <c r="V277" s="61"/>
      <c r="W277" s="62"/>
      <c r="X277" s="61"/>
      <c r="Y277" s="62"/>
      <c r="Z277" s="61"/>
      <c r="AA277" s="62"/>
    </row>
    <row r="278" spans="3:27" ht="16.5" customHeight="1">
      <c r="C278" s="118"/>
      <c r="E278" s="61"/>
      <c r="H278" s="61"/>
      <c r="I278" s="60"/>
      <c r="K278" s="62"/>
      <c r="O278" s="60"/>
      <c r="P278" s="61"/>
      <c r="Q278" s="62"/>
      <c r="R278" s="61"/>
      <c r="S278" s="62"/>
      <c r="T278" s="61"/>
      <c r="U278" s="62"/>
      <c r="V278" s="61"/>
      <c r="W278" s="62"/>
      <c r="X278" s="61"/>
      <c r="Y278" s="62"/>
      <c r="Z278" s="61"/>
      <c r="AA278" s="62"/>
    </row>
    <row r="279" spans="3:27" ht="16.5" customHeight="1">
      <c r="C279" s="118"/>
      <c r="E279" s="61"/>
      <c r="H279" s="61"/>
      <c r="I279" s="60"/>
      <c r="K279" s="62"/>
      <c r="O279" s="60"/>
      <c r="P279" s="61"/>
      <c r="Q279" s="62"/>
      <c r="R279" s="61"/>
      <c r="S279" s="62"/>
      <c r="T279" s="61"/>
      <c r="U279" s="62"/>
      <c r="V279" s="61"/>
      <c r="W279" s="62"/>
      <c r="X279" s="61"/>
      <c r="Y279" s="62"/>
      <c r="Z279" s="61"/>
      <c r="AA279" s="62"/>
    </row>
    <row r="280" spans="3:27" ht="16.5" customHeight="1">
      <c r="C280" s="118"/>
      <c r="E280" s="61"/>
      <c r="H280" s="61"/>
      <c r="I280" s="60"/>
      <c r="K280" s="62"/>
      <c r="O280" s="60"/>
      <c r="P280" s="61"/>
      <c r="Q280" s="62"/>
      <c r="R280" s="61"/>
      <c r="S280" s="62"/>
      <c r="T280" s="61"/>
      <c r="U280" s="62"/>
      <c r="V280" s="61"/>
      <c r="W280" s="62"/>
      <c r="X280" s="61"/>
      <c r="Y280" s="62"/>
      <c r="Z280" s="61"/>
      <c r="AA280" s="62"/>
    </row>
    <row r="281" spans="3:27" ht="16.5" customHeight="1">
      <c r="C281" s="118"/>
      <c r="E281" s="61"/>
      <c r="H281" s="61"/>
      <c r="I281" s="60"/>
      <c r="K281" s="62"/>
      <c r="O281" s="60"/>
      <c r="P281" s="61"/>
      <c r="Q281" s="62"/>
      <c r="R281" s="61"/>
      <c r="S281" s="62"/>
      <c r="T281" s="61"/>
      <c r="U281" s="62"/>
      <c r="V281" s="61"/>
      <c r="W281" s="62"/>
      <c r="X281" s="61"/>
      <c r="Y281" s="62"/>
      <c r="Z281" s="61"/>
      <c r="AA281" s="62"/>
    </row>
    <row r="282" spans="3:27" ht="16.5" customHeight="1">
      <c r="C282" s="118"/>
      <c r="E282" s="61"/>
      <c r="H282" s="61"/>
      <c r="I282" s="60"/>
      <c r="K282" s="62"/>
      <c r="O282" s="60"/>
      <c r="P282" s="61"/>
      <c r="Q282" s="62"/>
      <c r="R282" s="61"/>
      <c r="S282" s="62"/>
      <c r="T282" s="61"/>
      <c r="U282" s="62"/>
      <c r="V282" s="61"/>
      <c r="W282" s="62"/>
      <c r="X282" s="61"/>
      <c r="Y282" s="62"/>
      <c r="Z282" s="61"/>
      <c r="AA282" s="62"/>
    </row>
    <row r="283" spans="3:27" ht="16.5" customHeight="1">
      <c r="C283" s="118"/>
      <c r="E283" s="61"/>
      <c r="H283" s="61"/>
      <c r="I283" s="60"/>
      <c r="K283" s="62"/>
      <c r="O283" s="60"/>
      <c r="P283" s="61"/>
      <c r="Q283" s="62"/>
      <c r="R283" s="61"/>
      <c r="S283" s="62"/>
      <c r="T283" s="61"/>
      <c r="U283" s="62"/>
      <c r="V283" s="61"/>
      <c r="W283" s="62"/>
      <c r="X283" s="61"/>
      <c r="Y283" s="62"/>
      <c r="Z283" s="61"/>
      <c r="AA283" s="62"/>
    </row>
    <row r="284" spans="3:27" ht="16.5" customHeight="1">
      <c r="C284" s="118"/>
      <c r="E284" s="61"/>
      <c r="H284" s="61"/>
      <c r="I284" s="60"/>
      <c r="K284" s="62"/>
      <c r="O284" s="60"/>
      <c r="P284" s="61"/>
      <c r="Q284" s="62"/>
      <c r="R284" s="61"/>
      <c r="S284" s="62"/>
      <c r="T284" s="61"/>
      <c r="U284" s="62"/>
      <c r="V284" s="61"/>
      <c r="W284" s="62"/>
      <c r="X284" s="61"/>
      <c r="Y284" s="62"/>
      <c r="Z284" s="61"/>
      <c r="AA284" s="62"/>
    </row>
    <row r="285" spans="3:27" ht="16.5" customHeight="1">
      <c r="C285" s="118"/>
      <c r="E285" s="61"/>
      <c r="H285" s="61"/>
      <c r="I285" s="60"/>
      <c r="K285" s="62"/>
      <c r="O285" s="60"/>
      <c r="P285" s="61"/>
      <c r="Q285" s="62"/>
      <c r="R285" s="61"/>
      <c r="S285" s="62"/>
      <c r="T285" s="61"/>
      <c r="U285" s="62"/>
      <c r="V285" s="61"/>
      <c r="W285" s="62"/>
      <c r="X285" s="61"/>
      <c r="Y285" s="62"/>
      <c r="Z285" s="61"/>
      <c r="AA285" s="62"/>
    </row>
    <row r="286" spans="3:27" ht="16.5" customHeight="1">
      <c r="C286" s="118"/>
      <c r="E286" s="61"/>
      <c r="H286" s="61"/>
      <c r="I286" s="60"/>
      <c r="K286" s="62"/>
      <c r="O286" s="60"/>
      <c r="P286" s="61"/>
      <c r="Q286" s="62"/>
      <c r="R286" s="61"/>
      <c r="S286" s="62"/>
      <c r="T286" s="61"/>
      <c r="U286" s="62"/>
      <c r="V286" s="61"/>
      <c r="W286" s="62"/>
      <c r="X286" s="61"/>
      <c r="Y286" s="62"/>
      <c r="Z286" s="61"/>
      <c r="AA286" s="62"/>
    </row>
    <row r="287" spans="3:27" ht="16.5" customHeight="1">
      <c r="C287" s="118"/>
      <c r="E287" s="61"/>
      <c r="H287" s="61"/>
      <c r="I287" s="60"/>
      <c r="K287" s="62"/>
      <c r="O287" s="60"/>
      <c r="P287" s="61"/>
      <c r="Q287" s="62"/>
      <c r="R287" s="61"/>
      <c r="S287" s="62"/>
      <c r="T287" s="61"/>
      <c r="U287" s="62"/>
      <c r="V287" s="61"/>
      <c r="W287" s="62"/>
      <c r="X287" s="61"/>
      <c r="Y287" s="62"/>
      <c r="Z287" s="61"/>
      <c r="AA287" s="62"/>
    </row>
    <row r="288" spans="3:27" ht="16.5" customHeight="1">
      <c r="C288" s="118"/>
      <c r="E288" s="61"/>
      <c r="H288" s="61"/>
      <c r="I288" s="60"/>
      <c r="K288" s="62"/>
      <c r="O288" s="60"/>
      <c r="P288" s="61"/>
      <c r="Q288" s="62"/>
      <c r="R288" s="61"/>
      <c r="S288" s="62"/>
      <c r="T288" s="61"/>
      <c r="U288" s="62"/>
      <c r="V288" s="61"/>
      <c r="W288" s="62"/>
      <c r="X288" s="61"/>
      <c r="Y288" s="62"/>
      <c r="Z288" s="61"/>
      <c r="AA288" s="62"/>
    </row>
    <row r="289" spans="3:27" ht="16.5" customHeight="1">
      <c r="C289" s="118"/>
      <c r="E289" s="61"/>
      <c r="H289" s="61"/>
      <c r="I289" s="60"/>
      <c r="K289" s="62"/>
      <c r="O289" s="60"/>
      <c r="P289" s="61"/>
      <c r="Q289" s="62"/>
      <c r="R289" s="61"/>
      <c r="S289" s="62"/>
      <c r="T289" s="61"/>
      <c r="U289" s="62"/>
      <c r="V289" s="61"/>
      <c r="W289" s="62"/>
      <c r="X289" s="61"/>
      <c r="Y289" s="62"/>
      <c r="Z289" s="61"/>
      <c r="AA289" s="62"/>
    </row>
    <row r="290" spans="3:27" ht="16.5" customHeight="1">
      <c r="C290" s="118"/>
      <c r="E290" s="61"/>
      <c r="H290" s="61"/>
      <c r="I290" s="60"/>
      <c r="K290" s="62"/>
      <c r="O290" s="60"/>
      <c r="P290" s="61"/>
      <c r="Q290" s="62"/>
      <c r="R290" s="61"/>
      <c r="S290" s="62"/>
      <c r="T290" s="61"/>
      <c r="U290" s="62"/>
      <c r="V290" s="61"/>
      <c r="W290" s="62"/>
      <c r="X290" s="61"/>
      <c r="Y290" s="62"/>
      <c r="Z290" s="61"/>
      <c r="AA290" s="62"/>
    </row>
    <row r="291" spans="3:27" ht="16.5" customHeight="1">
      <c r="C291" s="118"/>
      <c r="E291" s="61"/>
      <c r="H291" s="61"/>
      <c r="I291" s="60"/>
      <c r="K291" s="62"/>
      <c r="O291" s="60"/>
      <c r="P291" s="61"/>
      <c r="Q291" s="62"/>
      <c r="R291" s="61"/>
      <c r="S291" s="62"/>
      <c r="T291" s="61"/>
      <c r="U291" s="62"/>
      <c r="V291" s="61"/>
      <c r="W291" s="62"/>
      <c r="X291" s="61"/>
      <c r="Y291" s="62"/>
      <c r="Z291" s="61"/>
      <c r="AA291" s="62"/>
    </row>
    <row r="292" spans="3:27" ht="16.5" customHeight="1">
      <c r="C292" s="118"/>
      <c r="E292" s="61"/>
      <c r="H292" s="61"/>
      <c r="I292" s="60"/>
      <c r="K292" s="62"/>
      <c r="O292" s="60"/>
      <c r="P292" s="61"/>
      <c r="Q292" s="62"/>
      <c r="R292" s="61"/>
      <c r="S292" s="62"/>
      <c r="T292" s="61"/>
      <c r="U292" s="62"/>
      <c r="V292" s="61"/>
      <c r="W292" s="62"/>
      <c r="X292" s="61"/>
      <c r="Y292" s="62"/>
      <c r="Z292" s="61"/>
      <c r="AA292" s="62"/>
    </row>
    <row r="293" spans="3:27" ht="16.5" customHeight="1">
      <c r="C293" s="118"/>
      <c r="E293" s="61"/>
      <c r="H293" s="61"/>
      <c r="I293" s="60"/>
      <c r="K293" s="62"/>
      <c r="O293" s="60"/>
      <c r="P293" s="61"/>
      <c r="Q293" s="62"/>
      <c r="R293" s="61"/>
      <c r="S293" s="62"/>
      <c r="T293" s="61"/>
      <c r="U293" s="62"/>
      <c r="V293" s="61"/>
      <c r="W293" s="62"/>
      <c r="X293" s="61"/>
      <c r="Y293" s="62"/>
      <c r="Z293" s="61"/>
      <c r="AA293" s="62"/>
    </row>
    <row r="294" spans="3:27" ht="16.5" customHeight="1">
      <c r="C294" s="118"/>
      <c r="E294" s="61"/>
      <c r="H294" s="61"/>
      <c r="I294" s="60"/>
      <c r="K294" s="62"/>
      <c r="O294" s="60"/>
      <c r="P294" s="61"/>
      <c r="Q294" s="62"/>
      <c r="R294" s="61"/>
      <c r="S294" s="62"/>
      <c r="T294" s="61"/>
      <c r="U294" s="62"/>
      <c r="V294" s="61"/>
      <c r="W294" s="62"/>
      <c r="X294" s="61"/>
      <c r="Y294" s="62"/>
      <c r="Z294" s="61"/>
      <c r="AA294" s="62"/>
    </row>
    <row r="295" spans="3:27" ht="16.5" customHeight="1">
      <c r="C295" s="118"/>
      <c r="E295" s="61"/>
      <c r="H295" s="61"/>
      <c r="I295" s="60"/>
      <c r="K295" s="62"/>
      <c r="O295" s="60"/>
      <c r="P295" s="61"/>
      <c r="Q295" s="62"/>
      <c r="R295" s="61"/>
      <c r="S295" s="62"/>
      <c r="T295" s="61"/>
      <c r="U295" s="62"/>
      <c r="V295" s="61"/>
      <c r="W295" s="62"/>
      <c r="X295" s="61"/>
      <c r="Y295" s="62"/>
      <c r="Z295" s="61"/>
      <c r="AA295" s="62"/>
    </row>
    <row r="296" spans="3:27" ht="16.5" customHeight="1">
      <c r="C296" s="118"/>
      <c r="E296" s="61"/>
      <c r="H296" s="61"/>
      <c r="I296" s="60"/>
      <c r="K296" s="62"/>
      <c r="O296" s="60"/>
      <c r="P296" s="61"/>
      <c r="Q296" s="62"/>
      <c r="R296" s="61"/>
      <c r="S296" s="62"/>
      <c r="T296" s="61"/>
      <c r="U296" s="62"/>
      <c r="V296" s="61"/>
      <c r="W296" s="62"/>
      <c r="X296" s="61"/>
      <c r="Y296" s="62"/>
      <c r="Z296" s="61"/>
      <c r="AA296" s="62"/>
    </row>
    <row r="297" spans="3:27" ht="16.5" customHeight="1">
      <c r="C297" s="118"/>
      <c r="E297" s="61"/>
      <c r="H297" s="61"/>
      <c r="I297" s="60"/>
      <c r="K297" s="62"/>
      <c r="O297" s="60"/>
      <c r="P297" s="61"/>
      <c r="Q297" s="62"/>
      <c r="R297" s="61"/>
      <c r="S297" s="62"/>
      <c r="T297" s="61"/>
      <c r="U297" s="62"/>
      <c r="V297" s="61"/>
      <c r="W297" s="62"/>
      <c r="X297" s="61"/>
      <c r="Y297" s="62"/>
      <c r="Z297" s="61"/>
      <c r="AA297" s="62"/>
    </row>
    <row r="298" spans="3:27" ht="16.5" customHeight="1">
      <c r="C298" s="118"/>
      <c r="E298" s="61"/>
      <c r="H298" s="61"/>
      <c r="I298" s="60"/>
      <c r="K298" s="62"/>
      <c r="O298" s="60"/>
      <c r="P298" s="61"/>
      <c r="Q298" s="62"/>
      <c r="R298" s="61"/>
      <c r="S298" s="62"/>
      <c r="T298" s="61"/>
      <c r="U298" s="62"/>
      <c r="V298" s="61"/>
      <c r="W298" s="62"/>
      <c r="X298" s="61"/>
      <c r="Y298" s="62"/>
      <c r="Z298" s="61"/>
      <c r="AA298" s="62"/>
    </row>
    <row r="299" spans="3:27" ht="16.5" customHeight="1">
      <c r="C299" s="118"/>
      <c r="E299" s="61"/>
      <c r="H299" s="61"/>
      <c r="I299" s="60"/>
      <c r="K299" s="62"/>
      <c r="O299" s="60"/>
      <c r="P299" s="61"/>
      <c r="Q299" s="62"/>
      <c r="R299" s="61"/>
      <c r="S299" s="62"/>
      <c r="T299" s="61"/>
      <c r="U299" s="62"/>
      <c r="V299" s="61"/>
      <c r="W299" s="62"/>
      <c r="X299" s="61"/>
      <c r="Y299" s="62"/>
      <c r="Z299" s="61"/>
      <c r="AA299" s="62"/>
    </row>
    <row r="300" spans="3:27" ht="16.5" customHeight="1">
      <c r="C300" s="118"/>
      <c r="E300" s="61"/>
      <c r="H300" s="61"/>
      <c r="I300" s="60"/>
      <c r="K300" s="62"/>
      <c r="O300" s="60"/>
      <c r="P300" s="61"/>
      <c r="Q300" s="62"/>
      <c r="R300" s="61"/>
      <c r="S300" s="62"/>
      <c r="T300" s="61"/>
      <c r="U300" s="62"/>
      <c r="V300" s="61"/>
      <c r="W300" s="62"/>
      <c r="X300" s="61"/>
      <c r="Y300" s="62"/>
      <c r="Z300" s="61"/>
      <c r="AA300" s="62"/>
    </row>
    <row r="301" spans="3:27" ht="16.5" customHeight="1">
      <c r="C301" s="118"/>
      <c r="E301" s="61"/>
      <c r="H301" s="61"/>
      <c r="I301" s="60"/>
      <c r="K301" s="62"/>
      <c r="O301" s="60"/>
      <c r="P301" s="61"/>
      <c r="Q301" s="62"/>
      <c r="R301" s="61"/>
      <c r="S301" s="62"/>
      <c r="T301" s="61"/>
      <c r="U301" s="62"/>
      <c r="V301" s="61"/>
      <c r="W301" s="62"/>
      <c r="X301" s="61"/>
      <c r="Y301" s="62"/>
      <c r="Z301" s="61"/>
      <c r="AA301" s="62"/>
    </row>
    <row r="302" spans="3:27" ht="16.5" customHeight="1">
      <c r="C302" s="118"/>
      <c r="E302" s="61"/>
      <c r="H302" s="61"/>
      <c r="I302" s="60"/>
      <c r="K302" s="62"/>
      <c r="O302" s="60"/>
      <c r="P302" s="61"/>
      <c r="Q302" s="62"/>
      <c r="R302" s="61"/>
      <c r="S302" s="62"/>
      <c r="T302" s="61"/>
      <c r="U302" s="62"/>
      <c r="V302" s="61"/>
      <c r="W302" s="62"/>
      <c r="X302" s="61"/>
      <c r="Y302" s="62"/>
      <c r="Z302" s="61"/>
      <c r="AA302" s="62"/>
    </row>
    <row r="303" spans="3:27" ht="16.5" customHeight="1">
      <c r="C303" s="118"/>
      <c r="E303" s="61"/>
      <c r="H303" s="61"/>
      <c r="I303" s="60"/>
      <c r="K303" s="62"/>
      <c r="O303" s="60"/>
      <c r="P303" s="61"/>
      <c r="Q303" s="62"/>
      <c r="R303" s="61"/>
      <c r="S303" s="62"/>
      <c r="T303" s="61"/>
      <c r="U303" s="62"/>
      <c r="V303" s="61"/>
      <c r="W303" s="62"/>
      <c r="X303" s="61"/>
      <c r="Y303" s="62"/>
      <c r="Z303" s="61"/>
      <c r="AA303" s="62"/>
    </row>
    <row r="304" spans="3:27" ht="16.5" customHeight="1">
      <c r="C304" s="118"/>
      <c r="E304" s="61"/>
      <c r="H304" s="61"/>
      <c r="I304" s="60"/>
      <c r="K304" s="62"/>
      <c r="O304" s="60"/>
      <c r="P304" s="61"/>
      <c r="Q304" s="62"/>
      <c r="R304" s="61"/>
      <c r="S304" s="62"/>
      <c r="T304" s="61"/>
      <c r="U304" s="62"/>
      <c r="V304" s="61"/>
      <c r="W304" s="62"/>
      <c r="X304" s="61"/>
      <c r="Y304" s="62"/>
      <c r="Z304" s="61"/>
      <c r="AA304" s="62"/>
    </row>
    <row r="305" spans="3:27" ht="16.5" customHeight="1">
      <c r="C305" s="118"/>
      <c r="E305" s="61"/>
      <c r="H305" s="61"/>
      <c r="I305" s="60"/>
      <c r="K305" s="62"/>
      <c r="O305" s="60"/>
      <c r="P305" s="61"/>
      <c r="Q305" s="62"/>
      <c r="R305" s="61"/>
      <c r="S305" s="62"/>
      <c r="T305" s="61"/>
      <c r="U305" s="62"/>
      <c r="V305" s="61"/>
      <c r="W305" s="62"/>
      <c r="X305" s="61"/>
      <c r="Y305" s="62"/>
      <c r="Z305" s="61"/>
      <c r="AA305" s="62"/>
    </row>
    <row r="306" spans="3:27" ht="16.5" customHeight="1">
      <c r="C306" s="118"/>
      <c r="E306" s="61"/>
      <c r="H306" s="61"/>
      <c r="I306" s="60"/>
      <c r="K306" s="62"/>
      <c r="O306" s="60"/>
      <c r="P306" s="61"/>
      <c r="Q306" s="62"/>
      <c r="R306" s="61"/>
      <c r="S306" s="62"/>
      <c r="T306" s="61"/>
      <c r="U306" s="62"/>
      <c r="V306" s="61"/>
      <c r="W306" s="62"/>
      <c r="X306" s="61"/>
      <c r="Y306" s="62"/>
      <c r="Z306" s="61"/>
      <c r="AA306" s="62"/>
    </row>
    <row r="307" spans="3:27" ht="16.5" customHeight="1">
      <c r="C307" s="118"/>
      <c r="E307" s="61"/>
      <c r="H307" s="61"/>
      <c r="I307" s="60"/>
      <c r="K307" s="62"/>
      <c r="O307" s="60"/>
      <c r="P307" s="61"/>
      <c r="Q307" s="62"/>
      <c r="R307" s="61"/>
      <c r="S307" s="62"/>
      <c r="T307" s="61"/>
      <c r="U307" s="62"/>
      <c r="V307" s="61"/>
      <c r="W307" s="62"/>
      <c r="X307" s="61"/>
      <c r="Y307" s="62"/>
      <c r="Z307" s="61"/>
      <c r="AA307" s="62"/>
    </row>
    <row r="308" spans="3:27" ht="16.5" customHeight="1">
      <c r="C308" s="118"/>
      <c r="E308" s="61"/>
      <c r="H308" s="61"/>
      <c r="I308" s="60"/>
      <c r="K308" s="62"/>
      <c r="O308" s="60"/>
      <c r="P308" s="61"/>
      <c r="Q308" s="62"/>
      <c r="R308" s="61"/>
      <c r="S308" s="62"/>
      <c r="T308" s="61"/>
      <c r="U308" s="62"/>
      <c r="V308" s="61"/>
      <c r="W308" s="62"/>
      <c r="X308" s="61"/>
      <c r="Y308" s="62"/>
      <c r="Z308" s="61"/>
      <c r="AA308" s="62"/>
    </row>
    <row r="309" spans="3:27" ht="16.5" customHeight="1">
      <c r="C309" s="118"/>
      <c r="E309" s="61"/>
      <c r="H309" s="61"/>
      <c r="I309" s="60"/>
      <c r="K309" s="62"/>
      <c r="O309" s="60"/>
      <c r="P309" s="61"/>
      <c r="Q309" s="62"/>
      <c r="R309" s="61"/>
      <c r="S309" s="62"/>
      <c r="T309" s="61"/>
      <c r="U309" s="62"/>
      <c r="V309" s="61"/>
      <c r="W309" s="62"/>
      <c r="X309" s="61"/>
      <c r="Y309" s="62"/>
      <c r="Z309" s="61"/>
      <c r="AA309" s="62"/>
    </row>
    <row r="310" spans="3:27" ht="16.5" customHeight="1">
      <c r="C310" s="118"/>
      <c r="E310" s="61"/>
      <c r="H310" s="61"/>
      <c r="I310" s="60"/>
      <c r="K310" s="62"/>
      <c r="O310" s="60"/>
      <c r="P310" s="61"/>
      <c r="Q310" s="62"/>
      <c r="R310" s="61"/>
      <c r="S310" s="62"/>
      <c r="T310" s="61"/>
      <c r="U310" s="62"/>
      <c r="V310" s="61"/>
      <c r="W310" s="62"/>
      <c r="X310" s="61"/>
      <c r="Y310" s="62"/>
      <c r="Z310" s="61"/>
      <c r="AA310" s="62"/>
    </row>
    <row r="311" spans="3:27" ht="16.5" customHeight="1">
      <c r="C311" s="118"/>
      <c r="E311" s="61"/>
      <c r="H311" s="61"/>
      <c r="I311" s="60"/>
      <c r="K311" s="62"/>
      <c r="O311" s="60"/>
      <c r="P311" s="61"/>
      <c r="Q311" s="62"/>
      <c r="R311" s="61"/>
      <c r="S311" s="62"/>
      <c r="T311" s="61"/>
      <c r="U311" s="62"/>
      <c r="V311" s="61"/>
      <c r="W311" s="62"/>
      <c r="X311" s="61"/>
      <c r="Y311" s="62"/>
      <c r="Z311" s="61"/>
      <c r="AA311" s="62"/>
    </row>
    <row r="312" spans="3:27" ht="16.5" customHeight="1">
      <c r="C312" s="118"/>
      <c r="E312" s="61"/>
      <c r="H312" s="61"/>
      <c r="I312" s="60"/>
      <c r="K312" s="62"/>
      <c r="O312" s="60"/>
      <c r="P312" s="61"/>
      <c r="Q312" s="62"/>
      <c r="R312" s="61"/>
      <c r="S312" s="62"/>
      <c r="T312" s="61"/>
      <c r="U312" s="62"/>
      <c r="V312" s="61"/>
      <c r="W312" s="62"/>
      <c r="X312" s="61"/>
      <c r="Y312" s="62"/>
      <c r="Z312" s="61"/>
      <c r="AA312" s="62"/>
    </row>
    <row r="313" spans="3:27" ht="16.5" customHeight="1">
      <c r="C313" s="118"/>
      <c r="E313" s="61"/>
      <c r="H313" s="61"/>
      <c r="I313" s="60"/>
      <c r="K313" s="62"/>
      <c r="O313" s="60"/>
      <c r="P313" s="61"/>
      <c r="Q313" s="62"/>
      <c r="R313" s="61"/>
      <c r="S313" s="62"/>
      <c r="T313" s="61"/>
      <c r="U313" s="62"/>
      <c r="V313" s="61"/>
      <c r="W313" s="62"/>
      <c r="X313" s="61"/>
      <c r="Y313" s="62"/>
      <c r="Z313" s="61"/>
      <c r="AA313" s="62"/>
    </row>
    <row r="314" spans="3:27" ht="16.5" customHeight="1">
      <c r="C314" s="118"/>
      <c r="E314" s="61"/>
      <c r="H314" s="61"/>
      <c r="I314" s="60"/>
      <c r="K314" s="62"/>
      <c r="O314" s="60"/>
      <c r="P314" s="61"/>
      <c r="Q314" s="62"/>
      <c r="R314" s="61"/>
      <c r="S314" s="62"/>
      <c r="T314" s="61"/>
      <c r="U314" s="62"/>
      <c r="V314" s="61"/>
      <c r="W314" s="62"/>
      <c r="X314" s="61"/>
      <c r="Y314" s="62"/>
      <c r="Z314" s="61"/>
      <c r="AA314" s="62"/>
    </row>
    <row r="315" spans="3:27" ht="16.5" customHeight="1">
      <c r="C315" s="118"/>
      <c r="E315" s="61"/>
      <c r="H315" s="61"/>
      <c r="I315" s="60"/>
      <c r="K315" s="62"/>
      <c r="O315" s="60"/>
      <c r="P315" s="61"/>
      <c r="Q315" s="62"/>
      <c r="R315" s="61"/>
      <c r="S315" s="62"/>
      <c r="T315" s="61"/>
      <c r="U315" s="62"/>
      <c r="V315" s="61"/>
      <c r="W315" s="62"/>
      <c r="X315" s="61"/>
      <c r="Y315" s="62"/>
      <c r="Z315" s="61"/>
      <c r="AA315" s="62"/>
    </row>
    <row r="316" spans="3:27" ht="16.5" customHeight="1">
      <c r="C316" s="118"/>
      <c r="E316" s="61"/>
      <c r="H316" s="61"/>
      <c r="I316" s="60"/>
      <c r="K316" s="62"/>
      <c r="O316" s="60"/>
      <c r="P316" s="61"/>
      <c r="Q316" s="62"/>
      <c r="R316" s="61"/>
      <c r="S316" s="62"/>
      <c r="T316" s="61"/>
      <c r="U316" s="62"/>
      <c r="V316" s="61"/>
      <c r="W316" s="62"/>
      <c r="X316" s="61"/>
      <c r="Y316" s="62"/>
      <c r="Z316" s="61"/>
      <c r="AA316" s="62"/>
    </row>
    <row r="317" spans="3:27" ht="16.5" customHeight="1">
      <c r="C317" s="118"/>
      <c r="E317" s="61"/>
      <c r="H317" s="61"/>
      <c r="I317" s="60"/>
      <c r="K317" s="62"/>
      <c r="O317" s="60"/>
      <c r="P317" s="61"/>
      <c r="Q317" s="62"/>
      <c r="R317" s="61"/>
      <c r="S317" s="62"/>
      <c r="T317" s="61"/>
      <c r="U317" s="62"/>
      <c r="V317" s="61"/>
      <c r="W317" s="62"/>
      <c r="X317" s="61"/>
      <c r="Y317" s="62"/>
      <c r="Z317" s="61"/>
      <c r="AA317" s="62"/>
    </row>
    <row r="318" spans="3:27" ht="16.5" customHeight="1">
      <c r="C318" s="118"/>
      <c r="E318" s="61"/>
      <c r="H318" s="61"/>
      <c r="I318" s="60"/>
      <c r="K318" s="62"/>
      <c r="O318" s="60"/>
      <c r="P318" s="61"/>
      <c r="Q318" s="62"/>
      <c r="R318" s="61"/>
      <c r="S318" s="62"/>
      <c r="T318" s="61"/>
      <c r="U318" s="62"/>
      <c r="V318" s="61"/>
      <c r="W318" s="62"/>
      <c r="X318" s="61"/>
      <c r="Y318" s="62"/>
      <c r="Z318" s="61"/>
      <c r="AA318" s="62"/>
    </row>
    <row r="319" spans="3:27" ht="16.5" customHeight="1">
      <c r="C319" s="118"/>
      <c r="E319" s="61"/>
      <c r="H319" s="61"/>
      <c r="I319" s="60"/>
      <c r="K319" s="62"/>
      <c r="O319" s="60"/>
      <c r="P319" s="61"/>
      <c r="Q319" s="62"/>
      <c r="R319" s="61"/>
      <c r="S319" s="62"/>
      <c r="T319" s="61"/>
      <c r="U319" s="62"/>
      <c r="V319" s="61"/>
      <c r="W319" s="62"/>
      <c r="X319" s="61"/>
      <c r="Y319" s="62"/>
      <c r="Z319" s="61"/>
      <c r="AA319" s="62"/>
    </row>
    <row r="320" spans="3:27" ht="16.5" customHeight="1">
      <c r="C320" s="118"/>
      <c r="E320" s="61"/>
      <c r="H320" s="61"/>
      <c r="I320" s="60"/>
      <c r="K320" s="62"/>
      <c r="O320" s="60"/>
      <c r="P320" s="61"/>
      <c r="Q320" s="62"/>
      <c r="R320" s="61"/>
      <c r="S320" s="62"/>
      <c r="T320" s="61"/>
      <c r="U320" s="62"/>
      <c r="V320" s="61"/>
      <c r="W320" s="62"/>
      <c r="X320" s="61"/>
      <c r="Y320" s="62"/>
      <c r="Z320" s="61"/>
      <c r="AA320" s="62"/>
    </row>
    <row r="321" spans="3:27" ht="16.5" customHeight="1">
      <c r="C321" s="118"/>
      <c r="E321" s="61"/>
      <c r="H321" s="61"/>
      <c r="I321" s="60"/>
      <c r="K321" s="62"/>
      <c r="O321" s="60"/>
      <c r="P321" s="61"/>
      <c r="Q321" s="62"/>
      <c r="R321" s="61"/>
      <c r="S321" s="62"/>
      <c r="T321" s="61"/>
      <c r="U321" s="62"/>
      <c r="V321" s="61"/>
      <c r="W321" s="62"/>
      <c r="X321" s="61"/>
      <c r="Y321" s="62"/>
      <c r="Z321" s="61"/>
      <c r="AA321" s="62"/>
    </row>
    <row r="322" spans="3:27" ht="16.5" customHeight="1">
      <c r="C322" s="118"/>
      <c r="E322" s="61"/>
      <c r="H322" s="61"/>
      <c r="I322" s="60"/>
      <c r="K322" s="62"/>
      <c r="O322" s="60"/>
      <c r="P322" s="61"/>
      <c r="Q322" s="62"/>
      <c r="R322" s="61"/>
      <c r="S322" s="62"/>
      <c r="T322" s="61"/>
      <c r="U322" s="62"/>
      <c r="V322" s="61"/>
      <c r="W322" s="62"/>
      <c r="X322" s="61"/>
      <c r="Y322" s="62"/>
      <c r="Z322" s="61"/>
      <c r="AA322" s="62"/>
    </row>
    <row r="323" spans="3:27" ht="16.5" customHeight="1">
      <c r="C323" s="118"/>
      <c r="E323" s="61"/>
      <c r="H323" s="61"/>
      <c r="I323" s="60"/>
      <c r="K323" s="62"/>
      <c r="O323" s="60"/>
      <c r="P323" s="61"/>
      <c r="Q323" s="62"/>
      <c r="R323" s="61"/>
      <c r="S323" s="62"/>
      <c r="T323" s="61"/>
      <c r="U323" s="62"/>
      <c r="V323" s="61"/>
      <c r="W323" s="62"/>
      <c r="X323" s="61"/>
      <c r="Y323" s="62"/>
      <c r="Z323" s="61"/>
      <c r="AA323" s="62"/>
    </row>
    <row r="324" spans="3:27" ht="16.5" customHeight="1">
      <c r="C324" s="118"/>
      <c r="E324" s="61"/>
      <c r="H324" s="61"/>
      <c r="I324" s="60"/>
      <c r="K324" s="62"/>
      <c r="O324" s="60"/>
      <c r="P324" s="61"/>
      <c r="Q324" s="62"/>
      <c r="R324" s="61"/>
      <c r="S324" s="62"/>
      <c r="T324" s="61"/>
      <c r="U324" s="62"/>
      <c r="V324" s="61"/>
      <c r="W324" s="62"/>
      <c r="X324" s="61"/>
      <c r="Y324" s="62"/>
      <c r="Z324" s="61"/>
      <c r="AA324" s="62"/>
    </row>
    <row r="325" spans="3:27" ht="16.5" customHeight="1">
      <c r="C325" s="118"/>
      <c r="E325" s="61"/>
      <c r="H325" s="61"/>
      <c r="I325" s="60"/>
      <c r="K325" s="62"/>
      <c r="O325" s="60"/>
      <c r="P325" s="61"/>
      <c r="Q325" s="62"/>
      <c r="R325" s="61"/>
      <c r="S325" s="62"/>
      <c r="T325" s="61"/>
      <c r="U325" s="62"/>
      <c r="V325" s="61"/>
      <c r="W325" s="62"/>
      <c r="X325" s="61"/>
      <c r="Y325" s="62"/>
      <c r="Z325" s="61"/>
      <c r="AA325" s="62"/>
    </row>
    <row r="326" spans="3:27" ht="16.5" customHeight="1">
      <c r="C326" s="118"/>
      <c r="E326" s="61"/>
      <c r="H326" s="61"/>
      <c r="I326" s="60"/>
      <c r="K326" s="62"/>
      <c r="O326" s="60"/>
      <c r="P326" s="61"/>
      <c r="Q326" s="62"/>
      <c r="R326" s="61"/>
      <c r="S326" s="62"/>
      <c r="T326" s="61"/>
      <c r="U326" s="62"/>
      <c r="V326" s="61"/>
      <c r="W326" s="62"/>
      <c r="X326" s="61"/>
      <c r="Y326" s="62"/>
      <c r="Z326" s="61"/>
      <c r="AA326" s="62"/>
    </row>
    <row r="327" spans="3:27" ht="16.5" customHeight="1">
      <c r="C327" s="118"/>
      <c r="E327" s="61"/>
      <c r="H327" s="61"/>
      <c r="I327" s="60"/>
      <c r="K327" s="62"/>
      <c r="O327" s="60"/>
      <c r="P327" s="61"/>
      <c r="Q327" s="62"/>
      <c r="R327" s="61"/>
      <c r="S327" s="62"/>
      <c r="T327" s="61"/>
      <c r="U327" s="62"/>
      <c r="V327" s="61"/>
      <c r="W327" s="62"/>
      <c r="X327" s="61"/>
      <c r="Y327" s="62"/>
      <c r="Z327" s="61"/>
      <c r="AA327" s="62"/>
    </row>
    <row r="328" spans="3:27" ht="16.5" customHeight="1">
      <c r="C328" s="118"/>
      <c r="E328" s="61"/>
      <c r="H328" s="61"/>
      <c r="I328" s="60"/>
      <c r="K328" s="62"/>
      <c r="O328" s="60"/>
      <c r="P328" s="61"/>
      <c r="Q328" s="62"/>
      <c r="R328" s="61"/>
      <c r="S328" s="62"/>
      <c r="T328" s="61"/>
      <c r="U328" s="62"/>
      <c r="V328" s="61"/>
      <c r="W328" s="62"/>
      <c r="X328" s="61"/>
      <c r="Y328" s="62"/>
      <c r="Z328" s="61"/>
      <c r="AA328" s="62"/>
    </row>
    <row r="329" spans="3:27" ht="16.5" customHeight="1">
      <c r="C329" s="118"/>
      <c r="E329" s="61"/>
      <c r="H329" s="61"/>
      <c r="I329" s="60"/>
      <c r="K329" s="62"/>
      <c r="O329" s="60"/>
      <c r="P329" s="61"/>
      <c r="Q329" s="62"/>
      <c r="R329" s="61"/>
      <c r="S329" s="62"/>
      <c r="T329" s="61"/>
      <c r="U329" s="62"/>
      <c r="V329" s="61"/>
      <c r="W329" s="62"/>
      <c r="X329" s="61"/>
      <c r="Y329" s="62"/>
      <c r="Z329" s="61"/>
      <c r="AA329" s="62"/>
    </row>
    <row r="330" spans="3:27" ht="16.5" customHeight="1">
      <c r="C330" s="118"/>
      <c r="E330" s="61"/>
      <c r="H330" s="61"/>
      <c r="I330" s="60"/>
      <c r="K330" s="62"/>
      <c r="O330" s="60"/>
      <c r="P330" s="61"/>
      <c r="Q330" s="62"/>
      <c r="R330" s="61"/>
      <c r="S330" s="62"/>
      <c r="T330" s="61"/>
      <c r="U330" s="62"/>
      <c r="V330" s="61"/>
      <c r="W330" s="62"/>
      <c r="X330" s="61"/>
      <c r="Y330" s="62"/>
      <c r="Z330" s="61"/>
      <c r="AA330" s="62"/>
    </row>
    <row r="331" spans="3:27" ht="16.5" customHeight="1">
      <c r="C331" s="118"/>
      <c r="E331" s="61"/>
      <c r="H331" s="61"/>
      <c r="I331" s="60"/>
      <c r="K331" s="62"/>
      <c r="O331" s="60"/>
      <c r="P331" s="61"/>
      <c r="Q331" s="62"/>
      <c r="R331" s="61"/>
      <c r="S331" s="62"/>
      <c r="T331" s="61"/>
      <c r="U331" s="62"/>
      <c r="V331" s="61"/>
      <c r="W331" s="62"/>
      <c r="X331" s="61"/>
      <c r="Y331" s="62"/>
      <c r="Z331" s="61"/>
      <c r="AA331" s="62"/>
    </row>
    <row r="332" spans="3:27" ht="16.5" customHeight="1">
      <c r="C332" s="118"/>
      <c r="E332" s="61"/>
      <c r="H332" s="61"/>
      <c r="I332" s="60"/>
      <c r="K332" s="62"/>
      <c r="O332" s="60"/>
      <c r="P332" s="61"/>
      <c r="Q332" s="62"/>
      <c r="R332" s="61"/>
      <c r="S332" s="62"/>
      <c r="T332" s="61"/>
      <c r="U332" s="62"/>
      <c r="V332" s="61"/>
      <c r="W332" s="62"/>
      <c r="X332" s="61"/>
      <c r="Y332" s="62"/>
      <c r="Z332" s="61"/>
      <c r="AA332" s="62"/>
    </row>
    <row r="333" spans="3:27" ht="16.5" customHeight="1">
      <c r="C333" s="118"/>
      <c r="E333" s="61"/>
      <c r="H333" s="61"/>
      <c r="I333" s="60"/>
      <c r="K333" s="62"/>
      <c r="O333" s="60"/>
      <c r="P333" s="61"/>
      <c r="Q333" s="62"/>
      <c r="R333" s="61"/>
      <c r="S333" s="62"/>
      <c r="T333" s="61"/>
      <c r="U333" s="62"/>
      <c r="V333" s="61"/>
      <c r="W333" s="62"/>
      <c r="X333" s="61"/>
      <c r="Y333" s="62"/>
      <c r="Z333" s="61"/>
      <c r="AA333" s="62"/>
    </row>
    <row r="334" spans="3:27" ht="16.5" customHeight="1">
      <c r="C334" s="118"/>
      <c r="E334" s="61"/>
      <c r="H334" s="61"/>
      <c r="I334" s="60"/>
      <c r="K334" s="62"/>
      <c r="O334" s="60"/>
      <c r="P334" s="61"/>
      <c r="Q334" s="62"/>
      <c r="R334" s="61"/>
      <c r="S334" s="62"/>
      <c r="T334" s="61"/>
      <c r="U334" s="62"/>
      <c r="V334" s="61"/>
      <c r="W334" s="62"/>
      <c r="X334" s="61"/>
      <c r="Y334" s="62"/>
      <c r="Z334" s="61"/>
      <c r="AA334" s="62"/>
    </row>
    <row r="335" spans="3:27" ht="16.5" customHeight="1">
      <c r="C335" s="118"/>
      <c r="E335" s="61"/>
      <c r="H335" s="61"/>
      <c r="I335" s="60"/>
      <c r="K335" s="62"/>
      <c r="O335" s="60"/>
      <c r="P335" s="61"/>
      <c r="Q335" s="62"/>
      <c r="R335" s="61"/>
      <c r="S335" s="62"/>
      <c r="T335" s="61"/>
      <c r="U335" s="62"/>
      <c r="V335" s="61"/>
      <c r="W335" s="62"/>
      <c r="X335" s="61"/>
      <c r="Y335" s="62"/>
      <c r="Z335" s="61"/>
      <c r="AA335" s="62"/>
    </row>
    <row r="336" spans="3:27" ht="16.5" customHeight="1">
      <c r="C336" s="118"/>
      <c r="E336" s="61"/>
      <c r="H336" s="61"/>
      <c r="I336" s="60"/>
      <c r="K336" s="62"/>
      <c r="O336" s="60"/>
      <c r="P336" s="61"/>
      <c r="Q336" s="62"/>
      <c r="R336" s="61"/>
      <c r="S336" s="62"/>
      <c r="T336" s="61"/>
      <c r="U336" s="62"/>
      <c r="V336" s="61"/>
      <c r="W336" s="62"/>
      <c r="X336" s="61"/>
      <c r="Y336" s="62"/>
      <c r="Z336" s="61"/>
      <c r="AA336" s="62"/>
    </row>
    <row r="337" spans="3:27" ht="16.5" customHeight="1">
      <c r="C337" s="118"/>
      <c r="E337" s="61"/>
      <c r="H337" s="61"/>
      <c r="I337" s="60"/>
      <c r="K337" s="62"/>
      <c r="O337" s="60"/>
      <c r="P337" s="61"/>
      <c r="Q337" s="62"/>
      <c r="R337" s="61"/>
      <c r="S337" s="62"/>
      <c r="T337" s="61"/>
      <c r="U337" s="62"/>
      <c r="V337" s="61"/>
      <c r="W337" s="62"/>
      <c r="X337" s="61"/>
      <c r="Y337" s="62"/>
      <c r="Z337" s="61"/>
      <c r="AA337" s="62"/>
    </row>
    <row r="338" spans="3:27" ht="16.5" customHeight="1">
      <c r="C338" s="118"/>
      <c r="E338" s="61"/>
      <c r="H338" s="61"/>
      <c r="I338" s="60"/>
      <c r="K338" s="62"/>
      <c r="O338" s="60"/>
      <c r="P338" s="61"/>
      <c r="Q338" s="62"/>
      <c r="R338" s="61"/>
      <c r="S338" s="62"/>
      <c r="T338" s="61"/>
      <c r="U338" s="62"/>
      <c r="V338" s="61"/>
      <c r="W338" s="62"/>
      <c r="X338" s="61"/>
      <c r="Y338" s="62"/>
      <c r="Z338" s="61"/>
      <c r="AA338" s="62"/>
    </row>
    <row r="339" spans="3:27" ht="16.5" customHeight="1">
      <c r="C339" s="118"/>
      <c r="E339" s="61"/>
      <c r="H339" s="61"/>
      <c r="I339" s="60"/>
      <c r="K339" s="62"/>
      <c r="O339" s="60"/>
      <c r="P339" s="61"/>
      <c r="Q339" s="62"/>
      <c r="R339" s="61"/>
      <c r="S339" s="62"/>
      <c r="T339" s="61"/>
      <c r="U339" s="62"/>
      <c r="V339" s="61"/>
      <c r="W339" s="62"/>
      <c r="X339" s="61"/>
      <c r="Y339" s="62"/>
      <c r="Z339" s="61"/>
      <c r="AA339" s="62"/>
    </row>
    <row r="340" spans="3:27" ht="16.5" customHeight="1">
      <c r="C340" s="118"/>
      <c r="E340" s="61"/>
      <c r="H340" s="61"/>
      <c r="I340" s="60"/>
      <c r="K340" s="62"/>
      <c r="O340" s="60"/>
      <c r="P340" s="61"/>
      <c r="Q340" s="62"/>
      <c r="R340" s="61"/>
      <c r="S340" s="62"/>
      <c r="T340" s="61"/>
      <c r="U340" s="62"/>
      <c r="V340" s="61"/>
      <c r="W340" s="62"/>
      <c r="X340" s="61"/>
      <c r="Y340" s="62"/>
      <c r="Z340" s="61"/>
      <c r="AA340" s="62"/>
    </row>
    <row r="341" spans="3:27" ht="16.5" customHeight="1">
      <c r="C341" s="118"/>
      <c r="E341" s="61"/>
      <c r="H341" s="61"/>
      <c r="I341" s="60"/>
      <c r="K341" s="62"/>
      <c r="O341" s="60"/>
      <c r="P341" s="61"/>
      <c r="Q341" s="62"/>
      <c r="R341" s="61"/>
      <c r="S341" s="62"/>
      <c r="T341" s="61"/>
      <c r="U341" s="62"/>
      <c r="V341" s="61"/>
      <c r="W341" s="62"/>
      <c r="X341" s="61"/>
      <c r="Y341" s="62"/>
      <c r="Z341" s="61"/>
      <c r="AA341" s="62"/>
    </row>
    <row r="342" spans="3:27" ht="16.5" customHeight="1">
      <c r="C342" s="118"/>
      <c r="E342" s="61"/>
      <c r="H342" s="61"/>
      <c r="I342" s="60"/>
      <c r="K342" s="62"/>
      <c r="O342" s="60"/>
      <c r="P342" s="61"/>
      <c r="Q342" s="62"/>
      <c r="R342" s="61"/>
      <c r="S342" s="62"/>
      <c r="T342" s="61"/>
      <c r="U342" s="62"/>
      <c r="V342" s="61"/>
      <c r="W342" s="62"/>
      <c r="X342" s="61"/>
      <c r="Y342" s="62"/>
      <c r="Z342" s="61"/>
      <c r="AA342" s="62"/>
    </row>
    <row r="343" spans="3:27" ht="16.5" customHeight="1">
      <c r="C343" s="118"/>
      <c r="E343" s="61"/>
      <c r="H343" s="61"/>
      <c r="I343" s="60"/>
      <c r="K343" s="62"/>
      <c r="O343" s="60"/>
      <c r="P343" s="61"/>
      <c r="Q343" s="62"/>
      <c r="R343" s="61"/>
      <c r="S343" s="62"/>
      <c r="T343" s="61"/>
      <c r="U343" s="62"/>
      <c r="V343" s="61"/>
      <c r="W343" s="62"/>
      <c r="X343" s="61"/>
      <c r="Y343" s="62"/>
      <c r="Z343" s="61"/>
      <c r="AA343" s="62"/>
    </row>
    <row r="344" spans="3:27" ht="16.5" customHeight="1">
      <c r="C344" s="118"/>
      <c r="E344" s="61"/>
      <c r="H344" s="61"/>
      <c r="I344" s="60"/>
      <c r="K344" s="62"/>
      <c r="O344" s="60"/>
      <c r="P344" s="61"/>
      <c r="Q344" s="62"/>
      <c r="R344" s="61"/>
      <c r="S344" s="62"/>
      <c r="T344" s="61"/>
      <c r="U344" s="62"/>
      <c r="V344" s="61"/>
      <c r="W344" s="62"/>
      <c r="X344" s="61"/>
      <c r="Y344" s="62"/>
      <c r="Z344" s="61"/>
      <c r="AA344" s="62"/>
    </row>
    <row r="345" spans="3:27" ht="16.5" customHeight="1">
      <c r="C345" s="118"/>
      <c r="E345" s="61"/>
      <c r="H345" s="61"/>
      <c r="I345" s="60"/>
      <c r="K345" s="62"/>
      <c r="O345" s="60"/>
      <c r="P345" s="61"/>
      <c r="Q345" s="62"/>
      <c r="R345" s="61"/>
      <c r="S345" s="62"/>
      <c r="T345" s="61"/>
      <c r="U345" s="62"/>
      <c r="V345" s="61"/>
      <c r="W345" s="62"/>
      <c r="X345" s="61"/>
      <c r="Y345" s="62"/>
      <c r="Z345" s="61"/>
      <c r="AA345" s="62"/>
    </row>
    <row r="346" spans="3:27" ht="16.5" customHeight="1">
      <c r="C346" s="118"/>
      <c r="E346" s="61"/>
      <c r="H346" s="61"/>
      <c r="I346" s="60"/>
      <c r="K346" s="62"/>
      <c r="O346" s="60"/>
      <c r="P346" s="61"/>
      <c r="Q346" s="62"/>
      <c r="R346" s="61"/>
      <c r="S346" s="62"/>
      <c r="T346" s="61"/>
      <c r="U346" s="62"/>
      <c r="V346" s="61"/>
      <c r="W346" s="62"/>
      <c r="X346" s="61"/>
      <c r="Y346" s="62"/>
      <c r="Z346" s="61"/>
      <c r="AA346" s="62"/>
    </row>
    <row r="347" spans="3:27" ht="16.5" customHeight="1">
      <c r="C347" s="118"/>
      <c r="E347" s="61"/>
      <c r="H347" s="61"/>
      <c r="I347" s="60"/>
      <c r="K347" s="62"/>
      <c r="O347" s="60"/>
      <c r="P347" s="61"/>
      <c r="Q347" s="62"/>
      <c r="R347" s="61"/>
      <c r="S347" s="62"/>
      <c r="T347" s="61"/>
      <c r="U347" s="62"/>
      <c r="V347" s="61"/>
      <c r="W347" s="62"/>
      <c r="X347" s="61"/>
      <c r="Y347" s="62"/>
      <c r="Z347" s="61"/>
      <c r="AA347" s="62"/>
    </row>
    <row r="348" spans="3:27" ht="16.5" customHeight="1">
      <c r="C348" s="118"/>
      <c r="E348" s="61"/>
      <c r="H348" s="61"/>
      <c r="I348" s="60"/>
      <c r="K348" s="62"/>
      <c r="O348" s="60"/>
      <c r="P348" s="61"/>
      <c r="Q348" s="62"/>
      <c r="R348" s="61"/>
      <c r="S348" s="62"/>
      <c r="T348" s="61"/>
      <c r="U348" s="62"/>
      <c r="V348" s="61"/>
      <c r="W348" s="62"/>
      <c r="X348" s="61"/>
      <c r="Y348" s="62"/>
      <c r="Z348" s="61"/>
      <c r="AA348" s="62"/>
    </row>
    <row r="349" spans="3:27" ht="16.5" customHeight="1">
      <c r="C349" s="118"/>
      <c r="E349" s="61"/>
      <c r="H349" s="61"/>
      <c r="I349" s="60"/>
      <c r="K349" s="62"/>
      <c r="O349" s="60"/>
      <c r="P349" s="61"/>
      <c r="Q349" s="62"/>
      <c r="R349" s="61"/>
      <c r="S349" s="62"/>
      <c r="T349" s="61"/>
      <c r="U349" s="62"/>
      <c r="V349" s="61"/>
      <c r="W349" s="62"/>
      <c r="X349" s="61"/>
      <c r="Y349" s="62"/>
      <c r="Z349" s="61"/>
      <c r="AA349" s="62"/>
    </row>
    <row r="350" spans="3:27" ht="16.5" customHeight="1">
      <c r="C350" s="118"/>
      <c r="E350" s="61"/>
      <c r="H350" s="61"/>
      <c r="I350" s="60"/>
      <c r="K350" s="62"/>
      <c r="O350" s="60"/>
      <c r="P350" s="61"/>
      <c r="Q350" s="62"/>
      <c r="R350" s="61"/>
      <c r="S350" s="62"/>
      <c r="T350" s="61"/>
      <c r="U350" s="62"/>
      <c r="V350" s="61"/>
      <c r="W350" s="62"/>
      <c r="X350" s="61"/>
      <c r="Y350" s="62"/>
      <c r="Z350" s="61"/>
      <c r="AA350" s="62"/>
    </row>
    <row r="351" spans="3:27" ht="16.5" customHeight="1">
      <c r="C351" s="118"/>
      <c r="E351" s="61"/>
      <c r="H351" s="61"/>
      <c r="I351" s="60"/>
      <c r="K351" s="62"/>
      <c r="O351" s="60"/>
      <c r="P351" s="61"/>
      <c r="Q351" s="62"/>
      <c r="R351" s="61"/>
      <c r="S351" s="62"/>
      <c r="T351" s="61"/>
      <c r="U351" s="62"/>
      <c r="V351" s="61"/>
      <c r="W351" s="62"/>
      <c r="X351" s="61"/>
      <c r="Y351" s="62"/>
      <c r="Z351" s="61"/>
      <c r="AA351" s="62"/>
    </row>
    <row r="352" spans="3:27" ht="16.5" customHeight="1">
      <c r="C352" s="118"/>
      <c r="E352" s="61"/>
      <c r="H352" s="61"/>
      <c r="I352" s="60"/>
      <c r="K352" s="62"/>
      <c r="O352" s="60"/>
      <c r="P352" s="61"/>
      <c r="Q352" s="62"/>
      <c r="R352" s="61"/>
      <c r="S352" s="62"/>
      <c r="T352" s="61"/>
      <c r="U352" s="62"/>
      <c r="V352" s="61"/>
      <c r="W352" s="62"/>
      <c r="X352" s="61"/>
      <c r="Y352" s="62"/>
      <c r="Z352" s="61"/>
      <c r="AA352" s="62"/>
    </row>
    <row r="353" spans="3:27" ht="16.5" customHeight="1">
      <c r="C353" s="118"/>
      <c r="E353" s="61"/>
      <c r="H353" s="61"/>
      <c r="I353" s="60"/>
      <c r="K353" s="62"/>
      <c r="O353" s="60"/>
      <c r="P353" s="61"/>
      <c r="Q353" s="62"/>
      <c r="R353" s="61"/>
      <c r="S353" s="62"/>
      <c r="T353" s="61"/>
      <c r="U353" s="62"/>
      <c r="V353" s="61"/>
      <c r="W353" s="62"/>
      <c r="X353" s="61"/>
      <c r="Y353" s="62"/>
      <c r="Z353" s="61"/>
      <c r="AA353" s="62"/>
    </row>
    <row r="354" spans="3:27" ht="16.5" customHeight="1">
      <c r="C354" s="118"/>
      <c r="E354" s="61"/>
      <c r="H354" s="61"/>
      <c r="I354" s="60"/>
      <c r="K354" s="62"/>
      <c r="O354" s="60"/>
      <c r="P354" s="61"/>
      <c r="Q354" s="62"/>
      <c r="R354" s="61"/>
      <c r="S354" s="62"/>
      <c r="T354" s="61"/>
      <c r="U354" s="62"/>
      <c r="V354" s="61"/>
      <c r="W354" s="62"/>
      <c r="X354" s="61"/>
      <c r="Y354" s="62"/>
      <c r="Z354" s="61"/>
      <c r="AA354" s="62"/>
    </row>
    <row r="355" spans="3:27" ht="16.5" customHeight="1">
      <c r="C355" s="118"/>
      <c r="E355" s="61"/>
      <c r="H355" s="61"/>
      <c r="I355" s="60"/>
      <c r="K355" s="62"/>
      <c r="O355" s="60"/>
      <c r="P355" s="61"/>
      <c r="Q355" s="62"/>
      <c r="R355" s="61"/>
      <c r="S355" s="62"/>
      <c r="T355" s="61"/>
      <c r="U355" s="62"/>
      <c r="V355" s="61"/>
      <c r="W355" s="62"/>
      <c r="X355" s="61"/>
      <c r="Y355" s="62"/>
      <c r="Z355" s="61"/>
      <c r="AA355" s="62"/>
    </row>
    <row r="356" spans="3:27" ht="16.5" customHeight="1">
      <c r="C356" s="118"/>
      <c r="E356" s="61"/>
      <c r="H356" s="61"/>
      <c r="I356" s="60"/>
      <c r="K356" s="62"/>
      <c r="O356" s="60"/>
      <c r="P356" s="61"/>
      <c r="Q356" s="62"/>
      <c r="R356" s="61"/>
      <c r="S356" s="62"/>
      <c r="T356" s="61"/>
      <c r="U356" s="62"/>
      <c r="V356" s="61"/>
      <c r="W356" s="62"/>
      <c r="X356" s="61"/>
      <c r="Y356" s="62"/>
      <c r="Z356" s="61"/>
      <c r="AA356" s="62"/>
    </row>
    <row r="357" spans="3:27" ht="16.5" customHeight="1">
      <c r="C357" s="118"/>
      <c r="E357" s="61"/>
      <c r="H357" s="61"/>
      <c r="I357" s="60"/>
      <c r="K357" s="62"/>
      <c r="O357" s="60"/>
      <c r="P357" s="61"/>
      <c r="Q357" s="62"/>
      <c r="R357" s="61"/>
      <c r="S357" s="62"/>
      <c r="T357" s="61"/>
      <c r="U357" s="62"/>
      <c r="V357" s="61"/>
      <c r="W357" s="62"/>
      <c r="X357" s="61"/>
      <c r="Y357" s="62"/>
      <c r="Z357" s="61"/>
      <c r="AA357" s="62"/>
    </row>
    <row r="358" spans="3:27" ht="16.5" customHeight="1">
      <c r="C358" s="118"/>
      <c r="E358" s="61"/>
      <c r="H358" s="61"/>
      <c r="I358" s="60"/>
      <c r="K358" s="62"/>
      <c r="O358" s="60"/>
      <c r="P358" s="61"/>
      <c r="Q358" s="62"/>
      <c r="R358" s="61"/>
      <c r="S358" s="62"/>
      <c r="T358" s="61"/>
      <c r="U358" s="62"/>
      <c r="V358" s="61"/>
      <c r="W358" s="62"/>
      <c r="X358" s="61"/>
      <c r="Y358" s="62"/>
      <c r="Z358" s="61"/>
      <c r="AA358" s="62"/>
    </row>
    <row r="359" spans="3:27" ht="16.5" customHeight="1">
      <c r="C359" s="118"/>
      <c r="E359" s="61"/>
      <c r="H359" s="61"/>
      <c r="I359" s="60"/>
      <c r="K359" s="62"/>
      <c r="O359" s="60"/>
      <c r="P359" s="61"/>
      <c r="Q359" s="62"/>
      <c r="R359" s="61"/>
      <c r="S359" s="62"/>
      <c r="T359" s="61"/>
      <c r="U359" s="62"/>
      <c r="V359" s="61"/>
      <c r="W359" s="62"/>
      <c r="X359" s="61"/>
      <c r="Y359" s="62"/>
      <c r="Z359" s="61"/>
      <c r="AA359" s="62"/>
    </row>
    <row r="360" spans="3:27" ht="16.5" customHeight="1">
      <c r="C360" s="118"/>
      <c r="E360" s="61"/>
      <c r="H360" s="61"/>
      <c r="I360" s="60"/>
      <c r="K360" s="62"/>
      <c r="O360" s="60"/>
      <c r="P360" s="61"/>
      <c r="Q360" s="62"/>
      <c r="R360" s="61"/>
      <c r="S360" s="62"/>
      <c r="T360" s="61"/>
      <c r="U360" s="62"/>
      <c r="V360" s="61"/>
      <c r="W360" s="62"/>
      <c r="X360" s="61"/>
      <c r="Y360" s="62"/>
      <c r="Z360" s="61"/>
      <c r="AA360" s="62"/>
    </row>
    <row r="361" spans="3:27" ht="16.5" customHeight="1">
      <c r="C361" s="118"/>
      <c r="E361" s="61"/>
      <c r="H361" s="61"/>
      <c r="I361" s="60"/>
      <c r="K361" s="62"/>
      <c r="O361" s="60"/>
      <c r="P361" s="61"/>
      <c r="Q361" s="62"/>
      <c r="R361" s="61"/>
      <c r="S361" s="62"/>
      <c r="T361" s="61"/>
      <c r="U361" s="62"/>
      <c r="V361" s="61"/>
      <c r="W361" s="62"/>
      <c r="X361" s="61"/>
      <c r="Y361" s="62"/>
      <c r="Z361" s="61"/>
      <c r="AA361" s="62"/>
    </row>
    <row r="362" spans="3:27" ht="16.5" customHeight="1">
      <c r="C362" s="118"/>
      <c r="E362" s="61"/>
      <c r="H362" s="61"/>
      <c r="I362" s="60"/>
      <c r="K362" s="62"/>
      <c r="O362" s="60"/>
      <c r="P362" s="61"/>
      <c r="Q362" s="62"/>
      <c r="R362" s="61"/>
      <c r="S362" s="62"/>
      <c r="T362" s="61"/>
      <c r="U362" s="62"/>
      <c r="V362" s="61"/>
      <c r="W362" s="62"/>
      <c r="X362" s="61"/>
      <c r="Y362" s="62"/>
      <c r="Z362" s="61"/>
      <c r="AA362" s="62"/>
    </row>
    <row r="363" spans="3:27" ht="16.5" customHeight="1">
      <c r="C363" s="118"/>
      <c r="E363" s="61"/>
      <c r="H363" s="61"/>
      <c r="I363" s="60"/>
      <c r="K363" s="62"/>
      <c r="O363" s="60"/>
      <c r="P363" s="61"/>
      <c r="Q363" s="62"/>
      <c r="R363" s="61"/>
      <c r="S363" s="62"/>
      <c r="T363" s="61"/>
      <c r="U363" s="62"/>
      <c r="V363" s="61"/>
      <c r="W363" s="62"/>
      <c r="X363" s="61"/>
      <c r="Y363" s="62"/>
      <c r="Z363" s="61"/>
      <c r="AA363" s="62"/>
    </row>
    <row r="364" spans="3:27" ht="16.5" customHeight="1">
      <c r="C364" s="118"/>
      <c r="E364" s="61"/>
      <c r="H364" s="61"/>
      <c r="I364" s="60"/>
      <c r="K364" s="62"/>
      <c r="O364" s="60"/>
      <c r="P364" s="61"/>
      <c r="Q364" s="62"/>
      <c r="R364" s="61"/>
      <c r="S364" s="62"/>
      <c r="T364" s="61"/>
      <c r="U364" s="62"/>
      <c r="V364" s="61"/>
      <c r="W364" s="62"/>
      <c r="X364" s="61"/>
      <c r="Y364" s="62"/>
      <c r="Z364" s="61"/>
      <c r="AA364" s="62"/>
    </row>
    <row r="365" spans="3:27" ht="16.5" customHeight="1">
      <c r="C365" s="118"/>
      <c r="E365" s="61"/>
      <c r="H365" s="61"/>
      <c r="I365" s="60"/>
      <c r="K365" s="62"/>
      <c r="O365" s="60"/>
      <c r="P365" s="61"/>
      <c r="Q365" s="62"/>
      <c r="R365" s="61"/>
      <c r="S365" s="62"/>
      <c r="T365" s="61"/>
      <c r="U365" s="62"/>
      <c r="V365" s="61"/>
      <c r="W365" s="62"/>
      <c r="X365" s="61"/>
      <c r="Y365" s="62"/>
      <c r="Z365" s="61"/>
      <c r="AA365" s="62"/>
    </row>
    <row r="366" spans="3:27" ht="16.5" customHeight="1">
      <c r="C366" s="118"/>
      <c r="E366" s="61"/>
      <c r="H366" s="61"/>
      <c r="I366" s="60"/>
      <c r="K366" s="62"/>
      <c r="O366" s="60"/>
      <c r="P366" s="61"/>
      <c r="Q366" s="62"/>
      <c r="R366" s="61"/>
      <c r="S366" s="62"/>
      <c r="T366" s="61"/>
      <c r="U366" s="62"/>
      <c r="V366" s="61"/>
      <c r="W366" s="62"/>
      <c r="X366" s="61"/>
      <c r="Y366" s="62"/>
      <c r="Z366" s="61"/>
      <c r="AA366" s="62"/>
    </row>
    <row r="367" spans="3:27" ht="16.5" customHeight="1">
      <c r="C367" s="118"/>
      <c r="E367" s="61"/>
      <c r="H367" s="61"/>
      <c r="I367" s="60"/>
      <c r="K367" s="62"/>
      <c r="O367" s="60"/>
      <c r="P367" s="61"/>
      <c r="Q367" s="62"/>
      <c r="R367" s="61"/>
      <c r="S367" s="62"/>
      <c r="T367" s="61"/>
      <c r="U367" s="62"/>
      <c r="V367" s="61"/>
      <c r="W367" s="62"/>
      <c r="X367" s="61"/>
      <c r="Y367" s="62"/>
      <c r="Z367" s="61"/>
      <c r="AA367" s="62"/>
    </row>
    <row r="368" spans="3:27" ht="16.5" customHeight="1">
      <c r="C368" s="118"/>
      <c r="E368" s="61"/>
      <c r="H368" s="61"/>
      <c r="I368" s="60"/>
      <c r="K368" s="62"/>
      <c r="O368" s="60"/>
      <c r="P368" s="61"/>
      <c r="Q368" s="62"/>
      <c r="R368" s="61"/>
      <c r="S368" s="62"/>
      <c r="T368" s="61"/>
      <c r="U368" s="62"/>
      <c r="V368" s="61"/>
      <c r="W368" s="62"/>
      <c r="X368" s="61"/>
      <c r="Y368" s="62"/>
      <c r="Z368" s="61"/>
      <c r="AA368" s="62"/>
    </row>
    <row r="369" spans="3:27" ht="16.5" customHeight="1">
      <c r="C369" s="118"/>
      <c r="E369" s="61"/>
      <c r="H369" s="61"/>
      <c r="I369" s="60"/>
      <c r="K369" s="62"/>
      <c r="O369" s="60"/>
      <c r="P369" s="61"/>
      <c r="Q369" s="62"/>
      <c r="R369" s="61"/>
      <c r="S369" s="62"/>
      <c r="T369" s="61"/>
      <c r="U369" s="62"/>
      <c r="V369" s="61"/>
      <c r="W369" s="62"/>
      <c r="X369" s="61"/>
      <c r="Y369" s="62"/>
      <c r="Z369" s="61"/>
      <c r="AA369" s="62"/>
    </row>
    <row r="370" spans="3:27" ht="16.5" customHeight="1">
      <c r="C370" s="118"/>
      <c r="E370" s="61"/>
      <c r="H370" s="61"/>
      <c r="I370" s="60"/>
      <c r="K370" s="62"/>
      <c r="O370" s="60"/>
      <c r="P370" s="61"/>
      <c r="Q370" s="62"/>
      <c r="R370" s="61"/>
      <c r="S370" s="62"/>
      <c r="T370" s="61"/>
      <c r="U370" s="62"/>
      <c r="V370" s="61"/>
      <c r="W370" s="62"/>
      <c r="X370" s="61"/>
      <c r="Y370" s="62"/>
      <c r="Z370" s="61"/>
      <c r="AA370" s="62"/>
    </row>
    <row r="371" spans="3:27" ht="16.5" customHeight="1">
      <c r="C371" s="118"/>
      <c r="E371" s="61"/>
      <c r="H371" s="61"/>
      <c r="I371" s="60"/>
      <c r="K371" s="62"/>
      <c r="O371" s="60"/>
      <c r="P371" s="61"/>
      <c r="Q371" s="62"/>
      <c r="R371" s="61"/>
      <c r="S371" s="62"/>
      <c r="T371" s="61"/>
      <c r="U371" s="62"/>
      <c r="V371" s="61"/>
      <c r="W371" s="62"/>
      <c r="X371" s="61"/>
      <c r="Y371" s="62"/>
      <c r="Z371" s="61"/>
      <c r="AA371" s="62"/>
    </row>
    <row r="372" spans="3:27" ht="16.5" customHeight="1">
      <c r="C372" s="118"/>
      <c r="E372" s="61"/>
      <c r="H372" s="61"/>
      <c r="I372" s="60"/>
      <c r="K372" s="62"/>
      <c r="O372" s="60"/>
      <c r="P372" s="61"/>
      <c r="Q372" s="62"/>
      <c r="R372" s="61"/>
      <c r="S372" s="62"/>
      <c r="T372" s="61"/>
      <c r="U372" s="62"/>
      <c r="V372" s="61"/>
      <c r="W372" s="62"/>
      <c r="X372" s="61"/>
      <c r="Y372" s="62"/>
      <c r="Z372" s="61"/>
      <c r="AA372" s="62"/>
    </row>
    <row r="373" spans="3:27" ht="16.5" customHeight="1">
      <c r="C373" s="118"/>
      <c r="E373" s="61"/>
      <c r="H373" s="61"/>
      <c r="I373" s="60"/>
      <c r="K373" s="62"/>
      <c r="O373" s="60"/>
      <c r="P373" s="61"/>
      <c r="Q373" s="62"/>
      <c r="R373" s="61"/>
      <c r="S373" s="62"/>
      <c r="T373" s="61"/>
      <c r="U373" s="62"/>
      <c r="V373" s="61"/>
      <c r="W373" s="62"/>
      <c r="X373" s="61"/>
      <c r="Y373" s="62"/>
      <c r="Z373" s="61"/>
      <c r="AA373" s="62"/>
    </row>
    <row r="374" spans="3:27" ht="16.5" customHeight="1">
      <c r="C374" s="118"/>
      <c r="E374" s="61"/>
      <c r="H374" s="61"/>
      <c r="I374" s="60"/>
      <c r="K374" s="62"/>
      <c r="O374" s="60"/>
      <c r="P374" s="61"/>
      <c r="Q374" s="62"/>
      <c r="R374" s="61"/>
      <c r="S374" s="62"/>
      <c r="T374" s="61"/>
      <c r="U374" s="62"/>
      <c r="V374" s="61"/>
      <c r="W374" s="62"/>
      <c r="X374" s="61"/>
      <c r="Y374" s="62"/>
      <c r="Z374" s="61"/>
      <c r="AA374" s="62"/>
    </row>
    <row r="375" spans="3:27" ht="16.5" customHeight="1">
      <c r="C375" s="118"/>
      <c r="E375" s="61"/>
      <c r="H375" s="61"/>
      <c r="I375" s="60"/>
      <c r="K375" s="62"/>
      <c r="O375" s="60"/>
      <c r="P375" s="61"/>
      <c r="Q375" s="62"/>
      <c r="R375" s="61"/>
      <c r="S375" s="62"/>
      <c r="T375" s="61"/>
      <c r="U375" s="62"/>
      <c r="V375" s="61"/>
      <c r="W375" s="62"/>
      <c r="X375" s="61"/>
      <c r="Y375" s="62"/>
      <c r="Z375" s="61"/>
      <c r="AA375" s="62"/>
    </row>
    <row r="376" spans="3:27" ht="16.5" customHeight="1">
      <c r="C376" s="118"/>
      <c r="E376" s="61"/>
      <c r="H376" s="61"/>
      <c r="I376" s="60"/>
      <c r="K376" s="62"/>
      <c r="O376" s="60"/>
      <c r="P376" s="61"/>
      <c r="Q376" s="62"/>
      <c r="R376" s="61"/>
      <c r="S376" s="62"/>
      <c r="T376" s="61"/>
      <c r="U376" s="62"/>
      <c r="V376" s="61"/>
      <c r="W376" s="62"/>
      <c r="X376" s="61"/>
      <c r="Y376" s="62"/>
      <c r="Z376" s="61"/>
      <c r="AA376" s="62"/>
    </row>
    <row r="377" spans="3:27" ht="16.5" customHeight="1">
      <c r="C377" s="118"/>
      <c r="E377" s="61"/>
      <c r="H377" s="61"/>
      <c r="I377" s="60"/>
      <c r="K377" s="62"/>
      <c r="O377" s="60"/>
      <c r="P377" s="61"/>
      <c r="Q377" s="62"/>
      <c r="R377" s="61"/>
      <c r="S377" s="62"/>
      <c r="T377" s="61"/>
      <c r="U377" s="62"/>
      <c r="V377" s="61"/>
      <c r="W377" s="62"/>
      <c r="X377" s="61"/>
      <c r="Y377" s="62"/>
      <c r="Z377" s="61"/>
      <c r="AA377" s="62"/>
    </row>
    <row r="378" spans="3:27" ht="16.5" customHeight="1">
      <c r="C378" s="118"/>
      <c r="E378" s="61"/>
      <c r="H378" s="61"/>
      <c r="I378" s="60"/>
      <c r="K378" s="62"/>
      <c r="O378" s="60"/>
      <c r="P378" s="61"/>
      <c r="Q378" s="62"/>
      <c r="R378" s="61"/>
      <c r="S378" s="62"/>
      <c r="T378" s="61"/>
      <c r="U378" s="62"/>
      <c r="V378" s="61"/>
      <c r="W378" s="62"/>
      <c r="X378" s="61"/>
      <c r="Y378" s="62"/>
      <c r="Z378" s="61"/>
      <c r="AA378" s="62"/>
    </row>
    <row r="379" spans="3:27" ht="16.5" customHeight="1">
      <c r="C379" s="118"/>
      <c r="E379" s="61"/>
      <c r="H379" s="61"/>
      <c r="I379" s="60"/>
      <c r="K379" s="62"/>
      <c r="O379" s="60"/>
      <c r="P379" s="61"/>
      <c r="Q379" s="62"/>
      <c r="R379" s="61"/>
      <c r="S379" s="62"/>
      <c r="T379" s="61"/>
      <c r="U379" s="62"/>
      <c r="V379" s="61"/>
      <c r="W379" s="62"/>
      <c r="X379" s="61"/>
      <c r="Y379" s="62"/>
      <c r="Z379" s="61"/>
      <c r="AA379" s="62"/>
    </row>
    <row r="380" spans="3:27" ht="16.5" customHeight="1">
      <c r="C380" s="118"/>
      <c r="E380" s="61"/>
      <c r="H380" s="61"/>
      <c r="I380" s="60"/>
      <c r="K380" s="62"/>
      <c r="O380" s="60"/>
      <c r="P380" s="61"/>
      <c r="Q380" s="62"/>
      <c r="R380" s="61"/>
      <c r="S380" s="62"/>
      <c r="T380" s="61"/>
      <c r="U380" s="62"/>
      <c r="V380" s="61"/>
      <c r="W380" s="62"/>
      <c r="X380" s="61"/>
      <c r="Y380" s="62"/>
      <c r="Z380" s="61"/>
      <c r="AA380" s="62"/>
    </row>
    <row r="381" spans="3:27" ht="16.5" customHeight="1">
      <c r="C381" s="118"/>
      <c r="E381" s="61"/>
      <c r="H381" s="61"/>
      <c r="I381" s="60"/>
      <c r="K381" s="62"/>
      <c r="O381" s="60"/>
      <c r="P381" s="61"/>
      <c r="Q381" s="62"/>
      <c r="R381" s="61"/>
      <c r="S381" s="62"/>
      <c r="T381" s="61"/>
      <c r="U381" s="62"/>
      <c r="V381" s="61"/>
      <c r="W381" s="62"/>
      <c r="X381" s="61"/>
      <c r="Y381" s="62"/>
      <c r="Z381" s="61"/>
      <c r="AA381" s="62"/>
    </row>
    <row r="382" spans="3:27" ht="16.5" customHeight="1">
      <c r="C382" s="118"/>
      <c r="E382" s="61"/>
      <c r="H382" s="61"/>
      <c r="I382" s="60"/>
      <c r="K382" s="62"/>
      <c r="O382" s="60"/>
      <c r="P382" s="61"/>
      <c r="Q382" s="62"/>
      <c r="R382" s="61"/>
      <c r="S382" s="62"/>
      <c r="T382" s="61"/>
      <c r="U382" s="62"/>
      <c r="V382" s="61"/>
      <c r="W382" s="62"/>
      <c r="X382" s="61"/>
      <c r="Y382" s="62"/>
      <c r="Z382" s="61"/>
      <c r="AA382" s="62"/>
    </row>
    <row r="383" spans="3:27" ht="16.5" customHeight="1">
      <c r="C383" s="118"/>
      <c r="E383" s="61"/>
      <c r="H383" s="61"/>
      <c r="I383" s="60"/>
      <c r="K383" s="62"/>
      <c r="O383" s="60"/>
      <c r="P383" s="61"/>
      <c r="Q383" s="62"/>
      <c r="R383" s="61"/>
      <c r="S383" s="62"/>
      <c r="T383" s="61"/>
      <c r="U383" s="62"/>
      <c r="V383" s="61"/>
      <c r="W383" s="62"/>
      <c r="X383" s="61"/>
      <c r="Y383" s="62"/>
      <c r="Z383" s="61"/>
      <c r="AA383" s="62"/>
    </row>
    <row r="384" spans="3:27" ht="16.5" customHeight="1">
      <c r="C384" s="118"/>
      <c r="E384" s="61"/>
      <c r="H384" s="61"/>
      <c r="I384" s="60"/>
      <c r="K384" s="62"/>
      <c r="O384" s="60"/>
      <c r="P384" s="61"/>
      <c r="Q384" s="62"/>
      <c r="R384" s="61"/>
      <c r="S384" s="62"/>
      <c r="T384" s="61"/>
      <c r="U384" s="62"/>
      <c r="V384" s="61"/>
      <c r="W384" s="62"/>
      <c r="X384" s="61"/>
      <c r="Y384" s="62"/>
      <c r="Z384" s="61"/>
      <c r="AA384" s="62"/>
    </row>
    <row r="385" spans="3:27" ht="16.5" customHeight="1">
      <c r="C385" s="118"/>
      <c r="E385" s="61"/>
      <c r="H385" s="61"/>
      <c r="I385" s="60"/>
      <c r="K385" s="62"/>
      <c r="O385" s="60"/>
      <c r="P385" s="61"/>
      <c r="Q385" s="62"/>
      <c r="R385" s="61"/>
      <c r="S385" s="62"/>
      <c r="T385" s="61"/>
      <c r="U385" s="62"/>
      <c r="V385" s="61"/>
      <c r="W385" s="62"/>
      <c r="X385" s="61"/>
      <c r="Y385" s="62"/>
      <c r="Z385" s="61"/>
      <c r="AA385" s="62"/>
    </row>
    <row r="386" spans="3:27" ht="16.5" customHeight="1">
      <c r="C386" s="118"/>
      <c r="E386" s="61"/>
      <c r="H386" s="61"/>
      <c r="I386" s="60"/>
      <c r="K386" s="62"/>
      <c r="O386" s="60"/>
      <c r="P386" s="61"/>
      <c r="Q386" s="62"/>
      <c r="R386" s="61"/>
      <c r="S386" s="62"/>
      <c r="T386" s="61"/>
      <c r="U386" s="62"/>
      <c r="V386" s="61"/>
      <c r="W386" s="62"/>
      <c r="X386" s="61"/>
      <c r="Y386" s="62"/>
      <c r="Z386" s="61"/>
      <c r="AA386" s="62"/>
    </row>
    <row r="387" spans="3:27" ht="16.5" customHeight="1">
      <c r="C387" s="118"/>
      <c r="E387" s="61"/>
      <c r="H387" s="61"/>
      <c r="I387" s="60"/>
      <c r="K387" s="62"/>
      <c r="O387" s="60"/>
      <c r="P387" s="61"/>
      <c r="Q387" s="62"/>
      <c r="R387" s="61"/>
      <c r="S387" s="62"/>
      <c r="T387" s="61"/>
      <c r="U387" s="62"/>
      <c r="V387" s="61"/>
      <c r="W387" s="62"/>
      <c r="X387" s="61"/>
      <c r="Y387" s="62"/>
      <c r="Z387" s="61"/>
      <c r="AA387" s="62"/>
    </row>
    <row r="388" spans="3:27" ht="16.5" customHeight="1">
      <c r="C388" s="118"/>
      <c r="E388" s="61"/>
      <c r="H388" s="61"/>
      <c r="I388" s="60"/>
      <c r="K388" s="62"/>
      <c r="O388" s="60"/>
      <c r="P388" s="61"/>
      <c r="Q388" s="62"/>
      <c r="R388" s="61"/>
      <c r="S388" s="62"/>
      <c r="T388" s="61"/>
      <c r="U388" s="62"/>
      <c r="V388" s="61"/>
      <c r="W388" s="62"/>
      <c r="X388" s="61"/>
      <c r="Y388" s="62"/>
      <c r="Z388" s="61"/>
      <c r="AA388" s="62"/>
    </row>
    <row r="389" spans="3:27" ht="16.5" customHeight="1">
      <c r="C389" s="118"/>
      <c r="E389" s="61"/>
      <c r="H389" s="61"/>
      <c r="I389" s="60"/>
      <c r="K389" s="62"/>
      <c r="O389" s="60"/>
      <c r="P389" s="61"/>
      <c r="Q389" s="62"/>
      <c r="R389" s="61"/>
      <c r="S389" s="62"/>
      <c r="T389" s="61"/>
      <c r="U389" s="62"/>
      <c r="V389" s="61"/>
      <c r="W389" s="62"/>
      <c r="X389" s="61"/>
      <c r="Y389" s="62"/>
      <c r="Z389" s="61"/>
      <c r="AA389" s="62"/>
    </row>
    <row r="390" spans="3:27" ht="16.5" customHeight="1">
      <c r="C390" s="118"/>
      <c r="E390" s="61"/>
      <c r="H390" s="61"/>
      <c r="I390" s="60"/>
      <c r="K390" s="62"/>
      <c r="O390" s="60"/>
      <c r="P390" s="61"/>
      <c r="Q390" s="62"/>
      <c r="R390" s="61"/>
      <c r="S390" s="62"/>
      <c r="T390" s="61"/>
      <c r="U390" s="62"/>
      <c r="V390" s="61"/>
      <c r="W390" s="62"/>
      <c r="X390" s="61"/>
      <c r="Y390" s="62"/>
      <c r="Z390" s="61"/>
      <c r="AA390" s="62"/>
    </row>
    <row r="391" spans="3:27" ht="16.5" customHeight="1">
      <c r="C391" s="118"/>
      <c r="E391" s="61"/>
      <c r="H391" s="61"/>
      <c r="I391" s="60"/>
      <c r="K391" s="62"/>
      <c r="O391" s="60"/>
      <c r="P391" s="61"/>
      <c r="Q391" s="62"/>
      <c r="R391" s="61"/>
      <c r="S391" s="62"/>
      <c r="T391" s="61"/>
      <c r="U391" s="62"/>
      <c r="V391" s="61"/>
      <c r="W391" s="62"/>
      <c r="X391" s="61"/>
      <c r="Y391" s="62"/>
      <c r="Z391" s="61"/>
      <c r="AA391" s="62"/>
    </row>
    <row r="392" spans="3:27" ht="16.5" customHeight="1">
      <c r="C392" s="118"/>
      <c r="E392" s="61"/>
      <c r="H392" s="61"/>
      <c r="I392" s="60"/>
      <c r="K392" s="62"/>
      <c r="O392" s="60"/>
      <c r="P392" s="61"/>
      <c r="Q392" s="62"/>
      <c r="R392" s="61"/>
      <c r="S392" s="62"/>
      <c r="T392" s="61"/>
      <c r="U392" s="62"/>
      <c r="V392" s="61"/>
      <c r="W392" s="62"/>
      <c r="X392" s="61"/>
      <c r="Y392" s="62"/>
      <c r="Z392" s="61"/>
      <c r="AA392" s="62"/>
    </row>
    <row r="393" spans="3:27" ht="16.5" customHeight="1">
      <c r="C393" s="118"/>
      <c r="E393" s="61"/>
      <c r="H393" s="61"/>
      <c r="I393" s="60"/>
      <c r="K393" s="62"/>
      <c r="O393" s="60"/>
      <c r="P393" s="61"/>
      <c r="Q393" s="62"/>
      <c r="R393" s="61"/>
      <c r="S393" s="62"/>
      <c r="T393" s="61"/>
      <c r="U393" s="62"/>
      <c r="V393" s="61"/>
      <c r="W393" s="62"/>
      <c r="X393" s="61"/>
      <c r="Y393" s="62"/>
      <c r="Z393" s="61"/>
      <c r="AA393" s="62"/>
    </row>
    <row r="394" spans="3:27" ht="16.5" customHeight="1">
      <c r="C394" s="118"/>
      <c r="E394" s="61"/>
      <c r="H394" s="61"/>
      <c r="I394" s="60"/>
      <c r="K394" s="62"/>
      <c r="O394" s="60"/>
      <c r="P394" s="61"/>
      <c r="Q394" s="62"/>
      <c r="R394" s="61"/>
      <c r="S394" s="62"/>
      <c r="T394" s="61"/>
      <c r="U394" s="62"/>
      <c r="V394" s="61"/>
      <c r="W394" s="62"/>
      <c r="X394" s="61"/>
      <c r="Y394" s="62"/>
      <c r="Z394" s="61"/>
      <c r="AA394" s="62"/>
    </row>
    <row r="395" spans="3:27" ht="16.5" customHeight="1">
      <c r="C395" s="118"/>
      <c r="E395" s="61"/>
      <c r="H395" s="61"/>
      <c r="I395" s="60"/>
      <c r="K395" s="62"/>
      <c r="O395" s="60"/>
      <c r="P395" s="61"/>
      <c r="Q395" s="62"/>
      <c r="R395" s="61"/>
      <c r="S395" s="62"/>
      <c r="T395" s="61"/>
      <c r="U395" s="62"/>
      <c r="V395" s="61"/>
      <c r="W395" s="62"/>
      <c r="X395" s="61"/>
      <c r="Y395" s="62"/>
      <c r="Z395" s="61"/>
      <c r="AA395" s="62"/>
    </row>
    <row r="396" spans="3:27" ht="16.5" customHeight="1">
      <c r="C396" s="118"/>
      <c r="E396" s="61"/>
      <c r="H396" s="61"/>
      <c r="I396" s="60"/>
      <c r="K396" s="62"/>
      <c r="O396" s="60"/>
      <c r="P396" s="61"/>
      <c r="Q396" s="62"/>
      <c r="R396" s="61"/>
      <c r="S396" s="62"/>
      <c r="T396" s="61"/>
      <c r="U396" s="62"/>
      <c r="V396" s="61"/>
      <c r="W396" s="62"/>
      <c r="X396" s="61"/>
      <c r="Y396" s="62"/>
      <c r="Z396" s="61"/>
      <c r="AA396" s="62"/>
    </row>
    <row r="397" spans="3:27" ht="16.5" customHeight="1">
      <c r="C397" s="118"/>
      <c r="E397" s="61"/>
      <c r="H397" s="61"/>
      <c r="I397" s="60"/>
      <c r="K397" s="62"/>
      <c r="O397" s="60"/>
      <c r="P397" s="61"/>
      <c r="Q397" s="62"/>
      <c r="R397" s="61"/>
      <c r="S397" s="62"/>
      <c r="T397" s="61"/>
      <c r="U397" s="62"/>
      <c r="V397" s="61"/>
      <c r="W397" s="62"/>
      <c r="X397" s="61"/>
      <c r="Y397" s="62"/>
      <c r="Z397" s="61"/>
      <c r="AA397" s="62"/>
    </row>
    <row r="398" spans="3:27" ht="16.5" customHeight="1">
      <c r="C398" s="118"/>
      <c r="E398" s="61"/>
      <c r="H398" s="61"/>
      <c r="I398" s="60"/>
      <c r="K398" s="62"/>
      <c r="O398" s="60"/>
      <c r="P398" s="61"/>
      <c r="Q398" s="62"/>
      <c r="R398" s="61"/>
      <c r="S398" s="62"/>
      <c r="T398" s="61"/>
      <c r="U398" s="62"/>
      <c r="V398" s="61"/>
      <c r="W398" s="62"/>
      <c r="X398" s="61"/>
      <c r="Y398" s="62"/>
      <c r="Z398" s="61"/>
      <c r="AA398" s="62"/>
    </row>
    <row r="399" spans="3:27" ht="16.5" customHeight="1">
      <c r="C399" s="118"/>
      <c r="E399" s="61"/>
      <c r="H399" s="61"/>
      <c r="I399" s="60"/>
      <c r="K399" s="62"/>
      <c r="O399" s="60"/>
      <c r="P399" s="61"/>
      <c r="Q399" s="62"/>
      <c r="R399" s="61"/>
      <c r="S399" s="62"/>
      <c r="T399" s="61"/>
      <c r="U399" s="62"/>
      <c r="V399" s="61"/>
      <c r="W399" s="62"/>
      <c r="X399" s="61"/>
      <c r="Y399" s="62"/>
      <c r="Z399" s="61"/>
      <c r="AA399" s="62"/>
    </row>
    <row r="400" spans="3:27" ht="16.5" customHeight="1">
      <c r="C400" s="118"/>
      <c r="E400" s="61"/>
      <c r="H400" s="61"/>
      <c r="I400" s="60"/>
      <c r="K400" s="62"/>
      <c r="O400" s="60"/>
      <c r="P400" s="61"/>
      <c r="Q400" s="62"/>
      <c r="R400" s="61"/>
      <c r="S400" s="62"/>
      <c r="T400" s="61"/>
      <c r="U400" s="62"/>
      <c r="V400" s="61"/>
      <c r="W400" s="62"/>
      <c r="X400" s="61"/>
      <c r="Y400" s="62"/>
      <c r="Z400" s="61"/>
      <c r="AA400" s="62"/>
    </row>
    <row r="401" spans="3:27" ht="16.5" customHeight="1">
      <c r="C401" s="118"/>
      <c r="E401" s="61"/>
      <c r="H401" s="61"/>
      <c r="I401" s="60"/>
      <c r="K401" s="62"/>
      <c r="O401" s="60"/>
      <c r="P401" s="61"/>
      <c r="Q401" s="62"/>
      <c r="R401" s="61"/>
      <c r="S401" s="62"/>
      <c r="T401" s="61"/>
      <c r="U401" s="62"/>
      <c r="V401" s="61"/>
      <c r="W401" s="62"/>
      <c r="X401" s="61"/>
      <c r="Y401" s="62"/>
      <c r="Z401" s="61"/>
      <c r="AA401" s="62"/>
    </row>
    <row r="402" spans="3:27" ht="16.5" customHeight="1">
      <c r="C402" s="118"/>
      <c r="E402" s="61"/>
      <c r="H402" s="61"/>
      <c r="I402" s="60"/>
      <c r="K402" s="62"/>
      <c r="O402" s="60"/>
      <c r="P402" s="61"/>
      <c r="Q402" s="62"/>
      <c r="R402" s="61"/>
      <c r="S402" s="62"/>
      <c r="T402" s="61"/>
      <c r="U402" s="62"/>
      <c r="V402" s="61"/>
      <c r="W402" s="62"/>
      <c r="X402" s="61"/>
      <c r="Y402" s="62"/>
      <c r="Z402" s="61"/>
      <c r="AA402" s="62"/>
    </row>
    <row r="403" spans="3:27" ht="16.5" customHeight="1">
      <c r="C403" s="118"/>
      <c r="E403" s="61"/>
      <c r="H403" s="61"/>
      <c r="I403" s="60"/>
      <c r="K403" s="62"/>
      <c r="O403" s="60"/>
      <c r="P403" s="61"/>
      <c r="Q403" s="62"/>
      <c r="R403" s="61"/>
      <c r="S403" s="62"/>
      <c r="T403" s="61"/>
      <c r="U403" s="62"/>
      <c r="V403" s="61"/>
      <c r="W403" s="62"/>
      <c r="X403" s="61"/>
      <c r="Y403" s="62"/>
      <c r="Z403" s="61"/>
      <c r="AA403" s="62"/>
    </row>
    <row r="404" spans="3:27" ht="16.5" customHeight="1">
      <c r="C404" s="118"/>
      <c r="E404" s="61"/>
      <c r="H404" s="61"/>
      <c r="I404" s="60"/>
      <c r="K404" s="62"/>
      <c r="O404" s="60"/>
      <c r="P404" s="61"/>
      <c r="Q404" s="62"/>
      <c r="R404" s="61"/>
      <c r="S404" s="62"/>
      <c r="T404" s="61"/>
      <c r="U404" s="62"/>
      <c r="V404" s="61"/>
      <c r="W404" s="62"/>
      <c r="X404" s="61"/>
      <c r="Y404" s="62"/>
      <c r="Z404" s="61"/>
      <c r="AA404" s="62"/>
    </row>
    <row r="405" spans="3:27" ht="16.5" customHeight="1">
      <c r="C405" s="118"/>
      <c r="E405" s="61"/>
      <c r="H405" s="61"/>
      <c r="I405" s="60"/>
      <c r="K405" s="62"/>
      <c r="O405" s="60"/>
      <c r="P405" s="61"/>
      <c r="Q405" s="62"/>
      <c r="R405" s="61"/>
      <c r="S405" s="62"/>
      <c r="T405" s="61"/>
      <c r="U405" s="62"/>
      <c r="V405" s="61"/>
      <c r="W405" s="62"/>
      <c r="X405" s="61"/>
      <c r="Y405" s="62"/>
      <c r="Z405" s="61"/>
      <c r="AA405" s="62"/>
    </row>
    <row r="406" spans="3:27" ht="16.5" customHeight="1">
      <c r="C406" s="118"/>
      <c r="E406" s="61"/>
      <c r="H406" s="61"/>
      <c r="I406" s="60"/>
      <c r="K406" s="62"/>
      <c r="O406" s="60"/>
      <c r="P406" s="61"/>
      <c r="Q406" s="62"/>
      <c r="R406" s="61"/>
      <c r="S406" s="62"/>
      <c r="T406" s="61"/>
      <c r="U406" s="62"/>
      <c r="V406" s="61"/>
      <c r="W406" s="62"/>
      <c r="X406" s="61"/>
      <c r="Y406" s="62"/>
      <c r="Z406" s="61"/>
      <c r="AA406" s="62"/>
    </row>
    <row r="407" spans="3:27" ht="16.5" customHeight="1">
      <c r="C407" s="118"/>
      <c r="E407" s="61"/>
      <c r="H407" s="61"/>
      <c r="I407" s="60"/>
      <c r="K407" s="62"/>
      <c r="O407" s="60"/>
      <c r="P407" s="61"/>
      <c r="Q407" s="62"/>
      <c r="R407" s="61"/>
      <c r="S407" s="62"/>
      <c r="T407" s="61"/>
      <c r="U407" s="62"/>
      <c r="V407" s="61"/>
      <c r="W407" s="62"/>
      <c r="X407" s="61"/>
      <c r="Y407" s="62"/>
      <c r="Z407" s="61"/>
      <c r="AA407" s="62"/>
    </row>
    <row r="408" spans="3:27" ht="16.5" customHeight="1">
      <c r="C408" s="118"/>
      <c r="E408" s="61"/>
      <c r="H408" s="61"/>
      <c r="I408" s="60"/>
      <c r="K408" s="62"/>
      <c r="O408" s="60"/>
      <c r="P408" s="61"/>
      <c r="Q408" s="62"/>
      <c r="R408" s="61"/>
      <c r="S408" s="62"/>
      <c r="T408" s="61"/>
      <c r="U408" s="62"/>
      <c r="V408" s="61"/>
      <c r="W408" s="62"/>
      <c r="X408" s="61"/>
      <c r="Y408" s="62"/>
      <c r="Z408" s="61"/>
      <c r="AA408" s="62"/>
    </row>
    <row r="409" spans="3:27" ht="16.5" customHeight="1">
      <c r="C409" s="118"/>
      <c r="E409" s="61"/>
      <c r="H409" s="61"/>
      <c r="I409" s="60"/>
      <c r="K409" s="62"/>
      <c r="O409" s="60"/>
      <c r="P409" s="61"/>
      <c r="Q409" s="62"/>
      <c r="R409" s="61"/>
      <c r="S409" s="62"/>
      <c r="T409" s="61"/>
      <c r="U409" s="62"/>
      <c r="V409" s="61"/>
      <c r="W409" s="62"/>
      <c r="X409" s="61"/>
      <c r="Y409" s="62"/>
      <c r="Z409" s="61"/>
      <c r="AA409" s="62"/>
    </row>
    <row r="410" spans="3:27" ht="16.5" customHeight="1">
      <c r="C410" s="118"/>
      <c r="E410" s="61"/>
      <c r="H410" s="61"/>
      <c r="I410" s="60"/>
      <c r="K410" s="62"/>
      <c r="O410" s="60"/>
      <c r="P410" s="61"/>
      <c r="Q410" s="62"/>
      <c r="R410" s="61"/>
      <c r="S410" s="62"/>
      <c r="T410" s="61"/>
      <c r="U410" s="62"/>
      <c r="V410" s="61"/>
      <c r="W410" s="62"/>
      <c r="X410" s="61"/>
      <c r="Y410" s="62"/>
      <c r="Z410" s="61"/>
      <c r="AA410" s="62"/>
    </row>
    <row r="411" spans="3:27" ht="16.5" customHeight="1">
      <c r="C411" s="118"/>
      <c r="E411" s="61"/>
      <c r="H411" s="61"/>
      <c r="I411" s="60"/>
      <c r="K411" s="62"/>
      <c r="O411" s="60"/>
      <c r="P411" s="61"/>
      <c r="Q411" s="62"/>
      <c r="R411" s="61"/>
      <c r="S411" s="62"/>
      <c r="T411" s="61"/>
      <c r="U411" s="62"/>
      <c r="V411" s="61"/>
      <c r="W411" s="62"/>
      <c r="X411" s="61"/>
      <c r="Y411" s="62"/>
      <c r="Z411" s="61"/>
      <c r="AA411" s="62"/>
    </row>
    <row r="412" spans="3:27" ht="16.5" customHeight="1">
      <c r="C412" s="118"/>
      <c r="E412" s="61"/>
      <c r="H412" s="61"/>
      <c r="I412" s="60"/>
      <c r="K412" s="62"/>
      <c r="O412" s="60"/>
      <c r="P412" s="61"/>
      <c r="Q412" s="62"/>
      <c r="R412" s="61"/>
      <c r="S412" s="62"/>
      <c r="T412" s="61"/>
      <c r="U412" s="62"/>
      <c r="V412" s="61"/>
      <c r="W412" s="62"/>
      <c r="X412" s="61"/>
      <c r="Y412" s="62"/>
      <c r="Z412" s="61"/>
      <c r="AA412" s="62"/>
    </row>
    <row r="413" spans="3:27" ht="16.5" customHeight="1">
      <c r="C413" s="118"/>
      <c r="E413" s="61"/>
      <c r="H413" s="61"/>
      <c r="I413" s="60"/>
      <c r="K413" s="62"/>
      <c r="O413" s="60"/>
      <c r="P413" s="61"/>
      <c r="Q413" s="62"/>
      <c r="R413" s="61"/>
      <c r="S413" s="62"/>
      <c r="T413" s="61"/>
      <c r="U413" s="62"/>
      <c r="V413" s="61"/>
      <c r="W413" s="62"/>
      <c r="X413" s="61"/>
      <c r="Y413" s="62"/>
      <c r="Z413" s="61"/>
      <c r="AA413" s="62"/>
    </row>
    <row r="414" spans="3:27" ht="16.5" customHeight="1">
      <c r="C414" s="118"/>
      <c r="E414" s="61"/>
      <c r="H414" s="61"/>
      <c r="I414" s="60"/>
      <c r="K414" s="62"/>
      <c r="O414" s="60"/>
      <c r="P414" s="61"/>
      <c r="Q414" s="62"/>
      <c r="R414" s="61"/>
      <c r="S414" s="62"/>
      <c r="T414" s="61"/>
      <c r="U414" s="62"/>
      <c r="V414" s="61"/>
      <c r="W414" s="62"/>
      <c r="X414" s="61"/>
      <c r="Y414" s="62"/>
      <c r="Z414" s="61"/>
      <c r="AA414" s="62"/>
    </row>
    <row r="415" spans="3:27" ht="16.5" customHeight="1">
      <c r="C415" s="118"/>
      <c r="E415" s="61"/>
      <c r="H415" s="61"/>
      <c r="I415" s="60"/>
      <c r="K415" s="62"/>
      <c r="O415" s="60"/>
      <c r="P415" s="61"/>
      <c r="Q415" s="62"/>
      <c r="R415" s="61"/>
      <c r="S415" s="62"/>
      <c r="T415" s="61"/>
      <c r="U415" s="62"/>
      <c r="V415" s="61"/>
      <c r="W415" s="62"/>
      <c r="X415" s="61"/>
      <c r="Y415" s="62"/>
      <c r="Z415" s="61"/>
      <c r="AA415" s="62"/>
    </row>
    <row r="416" spans="3:27" ht="16.5" customHeight="1">
      <c r="C416" s="118"/>
      <c r="E416" s="61"/>
      <c r="H416" s="61"/>
      <c r="I416" s="60"/>
      <c r="K416" s="62"/>
      <c r="O416" s="60"/>
      <c r="P416" s="61"/>
      <c r="Q416" s="62"/>
      <c r="R416" s="61"/>
      <c r="S416" s="62"/>
      <c r="T416" s="61"/>
      <c r="U416" s="62"/>
      <c r="V416" s="61"/>
      <c r="W416" s="62"/>
      <c r="X416" s="61"/>
      <c r="Y416" s="62"/>
      <c r="Z416" s="61"/>
      <c r="AA416" s="62"/>
    </row>
    <row r="417" spans="3:27" ht="16.5" customHeight="1">
      <c r="C417" s="118"/>
      <c r="E417" s="61"/>
      <c r="H417" s="61"/>
      <c r="I417" s="60"/>
      <c r="K417" s="62"/>
      <c r="O417" s="60"/>
      <c r="P417" s="61"/>
      <c r="Q417" s="62"/>
      <c r="R417" s="61"/>
      <c r="S417" s="62"/>
      <c r="T417" s="61"/>
      <c r="U417" s="62"/>
      <c r="V417" s="61"/>
      <c r="W417" s="62"/>
      <c r="X417" s="61"/>
      <c r="Y417" s="62"/>
      <c r="Z417" s="61"/>
      <c r="AA417" s="62"/>
    </row>
    <row r="418" spans="3:27" ht="16.5" customHeight="1">
      <c r="C418" s="118"/>
      <c r="E418" s="61"/>
      <c r="H418" s="61"/>
      <c r="I418" s="60"/>
      <c r="K418" s="62"/>
      <c r="O418" s="60"/>
      <c r="P418" s="61"/>
      <c r="Q418" s="62"/>
      <c r="R418" s="61"/>
      <c r="S418" s="62"/>
      <c r="T418" s="61"/>
      <c r="U418" s="62"/>
      <c r="V418" s="61"/>
      <c r="W418" s="62"/>
      <c r="X418" s="61"/>
      <c r="Y418" s="62"/>
      <c r="Z418" s="61"/>
      <c r="AA418" s="62"/>
    </row>
    <row r="419" spans="3:27" ht="16.5" customHeight="1">
      <c r="C419" s="118"/>
      <c r="E419" s="61"/>
      <c r="H419" s="61"/>
      <c r="I419" s="60"/>
      <c r="K419" s="62"/>
      <c r="O419" s="60"/>
      <c r="P419" s="61"/>
      <c r="Q419" s="62"/>
      <c r="R419" s="61"/>
      <c r="S419" s="62"/>
      <c r="T419" s="61"/>
      <c r="U419" s="62"/>
      <c r="V419" s="61"/>
      <c r="W419" s="62"/>
      <c r="X419" s="61"/>
      <c r="Y419" s="62"/>
      <c r="Z419" s="61"/>
      <c r="AA419" s="62"/>
    </row>
    <row r="420" spans="3:27" ht="16.5" customHeight="1">
      <c r="C420" s="118"/>
      <c r="E420" s="61"/>
      <c r="H420" s="61"/>
      <c r="I420" s="60"/>
      <c r="K420" s="62"/>
      <c r="O420" s="60"/>
      <c r="P420" s="61"/>
      <c r="Q420" s="62"/>
      <c r="R420" s="61"/>
      <c r="S420" s="62"/>
      <c r="T420" s="61"/>
      <c r="U420" s="62"/>
      <c r="V420" s="61"/>
      <c r="W420" s="62"/>
      <c r="X420" s="61"/>
      <c r="Y420" s="62"/>
      <c r="Z420" s="61"/>
      <c r="AA420" s="62"/>
    </row>
    <row r="421" spans="3:27" ht="16.5" customHeight="1">
      <c r="C421" s="118"/>
      <c r="E421" s="61"/>
      <c r="H421" s="61"/>
      <c r="I421" s="60"/>
      <c r="K421" s="62"/>
      <c r="O421" s="60"/>
      <c r="P421" s="61"/>
      <c r="Q421" s="62"/>
      <c r="R421" s="61"/>
      <c r="S421" s="62"/>
      <c r="T421" s="61"/>
      <c r="U421" s="62"/>
      <c r="V421" s="61"/>
      <c r="W421" s="62"/>
      <c r="X421" s="61"/>
      <c r="Y421" s="62"/>
      <c r="Z421" s="61"/>
      <c r="AA421" s="62"/>
    </row>
    <row r="422" spans="3:27" ht="16.5" customHeight="1">
      <c r="C422" s="118"/>
      <c r="E422" s="61"/>
      <c r="H422" s="61"/>
      <c r="I422" s="60"/>
      <c r="K422" s="62"/>
      <c r="O422" s="60"/>
      <c r="P422" s="61"/>
      <c r="Q422" s="62"/>
      <c r="R422" s="61"/>
      <c r="S422" s="62"/>
      <c r="T422" s="61"/>
      <c r="U422" s="62"/>
      <c r="V422" s="61"/>
      <c r="W422" s="62"/>
      <c r="X422" s="61"/>
      <c r="Y422" s="62"/>
      <c r="Z422" s="61"/>
      <c r="AA422" s="62"/>
    </row>
    <row r="423" spans="3:27" ht="16.5" customHeight="1">
      <c r="C423" s="118"/>
      <c r="E423" s="61"/>
      <c r="H423" s="61"/>
      <c r="I423" s="60"/>
      <c r="K423" s="62"/>
      <c r="O423" s="60"/>
      <c r="P423" s="61"/>
      <c r="Q423" s="62"/>
      <c r="R423" s="61"/>
      <c r="S423" s="62"/>
      <c r="T423" s="61"/>
      <c r="U423" s="62"/>
      <c r="V423" s="61"/>
      <c r="W423" s="62"/>
      <c r="X423" s="61"/>
      <c r="Y423" s="62"/>
      <c r="Z423" s="61"/>
      <c r="AA423" s="62"/>
    </row>
    <row r="424" spans="3:27" ht="16.5" customHeight="1">
      <c r="C424" s="118"/>
      <c r="E424" s="61"/>
      <c r="H424" s="61"/>
      <c r="I424" s="60"/>
      <c r="K424" s="62"/>
      <c r="O424" s="60"/>
      <c r="P424" s="61"/>
      <c r="Q424" s="62"/>
      <c r="R424" s="61"/>
      <c r="S424" s="62"/>
      <c r="T424" s="61"/>
      <c r="U424" s="62"/>
      <c r="V424" s="61"/>
      <c r="W424" s="62"/>
      <c r="X424" s="61"/>
      <c r="Y424" s="62"/>
      <c r="Z424" s="61"/>
      <c r="AA424" s="62"/>
    </row>
    <row r="425" spans="3:27" ht="16.5" customHeight="1">
      <c r="C425" s="118"/>
      <c r="E425" s="61"/>
      <c r="H425" s="61"/>
      <c r="I425" s="60"/>
      <c r="K425" s="62"/>
      <c r="O425" s="60"/>
      <c r="P425" s="61"/>
      <c r="Q425" s="62"/>
      <c r="R425" s="61"/>
      <c r="S425" s="62"/>
      <c r="T425" s="61"/>
      <c r="U425" s="62"/>
      <c r="V425" s="61"/>
      <c r="W425" s="62"/>
      <c r="X425" s="61"/>
      <c r="Y425" s="62"/>
      <c r="Z425" s="61"/>
      <c r="AA425" s="62"/>
    </row>
    <row r="426" spans="3:27" ht="16.5" customHeight="1">
      <c r="C426" s="118"/>
      <c r="E426" s="61"/>
      <c r="H426" s="61"/>
      <c r="I426" s="60"/>
      <c r="K426" s="62"/>
      <c r="O426" s="60"/>
      <c r="P426" s="61"/>
      <c r="Q426" s="62"/>
      <c r="R426" s="61"/>
      <c r="S426" s="62"/>
      <c r="T426" s="61"/>
      <c r="U426" s="62"/>
      <c r="V426" s="61"/>
      <c r="W426" s="62"/>
      <c r="X426" s="61"/>
      <c r="Y426" s="62"/>
      <c r="Z426" s="61"/>
      <c r="AA426" s="62"/>
    </row>
    <row r="427" spans="3:27" ht="16.5" customHeight="1">
      <c r="C427" s="118"/>
      <c r="E427" s="61"/>
      <c r="H427" s="61"/>
      <c r="I427" s="60"/>
      <c r="K427" s="62"/>
      <c r="O427" s="60"/>
      <c r="P427" s="61"/>
      <c r="Q427" s="62"/>
      <c r="R427" s="61"/>
      <c r="S427" s="62"/>
      <c r="T427" s="61"/>
      <c r="U427" s="62"/>
      <c r="V427" s="61"/>
      <c r="W427" s="62"/>
      <c r="X427" s="61"/>
      <c r="Y427" s="62"/>
      <c r="Z427" s="61"/>
      <c r="AA427" s="62"/>
    </row>
    <row r="428" spans="3:27" ht="16.5" customHeight="1">
      <c r="C428" s="118"/>
      <c r="E428" s="61"/>
      <c r="H428" s="61"/>
      <c r="I428" s="60"/>
      <c r="K428" s="62"/>
      <c r="O428" s="60"/>
      <c r="P428" s="61"/>
      <c r="Q428" s="62"/>
      <c r="R428" s="61"/>
      <c r="S428" s="62"/>
      <c r="T428" s="61"/>
      <c r="U428" s="62"/>
      <c r="V428" s="61"/>
      <c r="W428" s="62"/>
      <c r="X428" s="61"/>
      <c r="Y428" s="62"/>
      <c r="Z428" s="61"/>
      <c r="AA428" s="62"/>
    </row>
    <row r="429" spans="3:27" ht="16.5" customHeight="1">
      <c r="C429" s="118"/>
      <c r="E429" s="61"/>
      <c r="H429" s="61"/>
      <c r="I429" s="60"/>
      <c r="K429" s="62"/>
      <c r="O429" s="60"/>
      <c r="P429" s="61"/>
      <c r="Q429" s="62"/>
      <c r="R429" s="61"/>
      <c r="S429" s="62"/>
      <c r="T429" s="61"/>
      <c r="U429" s="62"/>
      <c r="V429" s="61"/>
      <c r="W429" s="62"/>
      <c r="X429" s="61"/>
      <c r="Y429" s="62"/>
      <c r="Z429" s="61"/>
      <c r="AA429" s="62"/>
    </row>
    <row r="430" spans="3:27" ht="16.5" customHeight="1">
      <c r="C430" s="118"/>
      <c r="E430" s="61"/>
      <c r="H430" s="61"/>
      <c r="I430" s="60"/>
      <c r="K430" s="62"/>
      <c r="O430" s="60"/>
      <c r="P430" s="61"/>
      <c r="Q430" s="62"/>
      <c r="R430" s="61"/>
      <c r="S430" s="62"/>
      <c r="T430" s="61"/>
      <c r="U430" s="62"/>
      <c r="V430" s="61"/>
      <c r="W430" s="62"/>
      <c r="X430" s="61"/>
      <c r="Y430" s="62"/>
      <c r="Z430" s="61"/>
      <c r="AA430" s="62"/>
    </row>
    <row r="431" spans="3:27" ht="16.5" customHeight="1">
      <c r="C431" s="118"/>
      <c r="E431" s="61"/>
      <c r="H431" s="61"/>
      <c r="I431" s="60"/>
      <c r="K431" s="62"/>
      <c r="O431" s="60"/>
      <c r="P431" s="61"/>
      <c r="Q431" s="62"/>
      <c r="R431" s="61"/>
      <c r="S431" s="62"/>
      <c r="T431" s="61"/>
      <c r="U431" s="62"/>
      <c r="V431" s="61"/>
      <c r="W431" s="62"/>
      <c r="X431" s="61"/>
      <c r="Y431" s="62"/>
      <c r="Z431" s="61"/>
      <c r="AA431" s="62"/>
    </row>
    <row r="432" spans="3:27" ht="16.5" customHeight="1">
      <c r="C432" s="118"/>
      <c r="E432" s="61"/>
      <c r="H432" s="61"/>
      <c r="I432" s="60"/>
      <c r="K432" s="62"/>
      <c r="O432" s="60"/>
      <c r="P432" s="61"/>
      <c r="Q432" s="62"/>
      <c r="R432" s="61"/>
      <c r="S432" s="62"/>
      <c r="T432" s="61"/>
      <c r="U432" s="62"/>
      <c r="V432" s="61"/>
      <c r="W432" s="62"/>
      <c r="X432" s="61"/>
      <c r="Y432" s="62"/>
      <c r="Z432" s="61"/>
      <c r="AA432" s="62"/>
    </row>
    <row r="433" spans="3:27" ht="16.5" customHeight="1">
      <c r="C433" s="118"/>
      <c r="E433" s="61"/>
      <c r="H433" s="61"/>
      <c r="I433" s="60"/>
      <c r="K433" s="62"/>
      <c r="O433" s="60"/>
      <c r="P433" s="61"/>
      <c r="Q433" s="62"/>
      <c r="R433" s="61"/>
      <c r="S433" s="62"/>
      <c r="T433" s="61"/>
      <c r="U433" s="62"/>
      <c r="V433" s="61"/>
      <c r="W433" s="62"/>
      <c r="X433" s="61"/>
      <c r="Y433" s="62"/>
      <c r="Z433" s="61"/>
      <c r="AA433" s="62"/>
    </row>
    <row r="434" spans="3:27" ht="16.5" customHeight="1">
      <c r="C434" s="118"/>
      <c r="E434" s="61"/>
      <c r="H434" s="61"/>
      <c r="I434" s="60"/>
      <c r="K434" s="62"/>
      <c r="O434" s="60"/>
      <c r="P434" s="61"/>
      <c r="Q434" s="62"/>
      <c r="R434" s="61"/>
      <c r="S434" s="62"/>
      <c r="T434" s="61"/>
      <c r="U434" s="62"/>
      <c r="V434" s="61"/>
      <c r="W434" s="62"/>
      <c r="X434" s="61"/>
      <c r="Y434" s="62"/>
      <c r="Z434" s="61"/>
      <c r="AA434" s="62"/>
    </row>
    <row r="435" spans="3:27" ht="16.5" customHeight="1">
      <c r="C435" s="118"/>
      <c r="E435" s="61"/>
      <c r="H435" s="61"/>
      <c r="I435" s="60"/>
      <c r="K435" s="62"/>
      <c r="O435" s="60"/>
      <c r="P435" s="61"/>
      <c r="Q435" s="62"/>
      <c r="R435" s="61"/>
      <c r="S435" s="62"/>
      <c r="T435" s="61"/>
      <c r="U435" s="62"/>
      <c r="V435" s="61"/>
      <c r="W435" s="62"/>
      <c r="X435" s="61"/>
      <c r="Y435" s="62"/>
      <c r="Z435" s="61"/>
      <c r="AA435" s="62"/>
    </row>
    <row r="436" spans="3:27" ht="16.5" customHeight="1">
      <c r="C436" s="118"/>
      <c r="E436" s="61"/>
      <c r="H436" s="61"/>
      <c r="I436" s="60"/>
      <c r="K436" s="62"/>
      <c r="O436" s="60"/>
      <c r="P436" s="61"/>
      <c r="Q436" s="62"/>
      <c r="R436" s="61"/>
      <c r="S436" s="62"/>
      <c r="T436" s="61"/>
      <c r="U436" s="62"/>
      <c r="V436" s="61"/>
      <c r="W436" s="62"/>
      <c r="X436" s="61"/>
      <c r="Y436" s="62"/>
      <c r="Z436" s="61"/>
      <c r="AA436" s="62"/>
    </row>
    <row r="437" spans="3:27" ht="16.5" customHeight="1">
      <c r="C437" s="118"/>
      <c r="E437" s="61"/>
      <c r="H437" s="61"/>
      <c r="I437" s="60"/>
      <c r="K437" s="62"/>
      <c r="O437" s="60"/>
      <c r="P437" s="61"/>
      <c r="Q437" s="62"/>
      <c r="R437" s="61"/>
      <c r="S437" s="62"/>
      <c r="T437" s="61"/>
      <c r="U437" s="62"/>
      <c r="V437" s="61"/>
      <c r="W437" s="62"/>
      <c r="X437" s="61"/>
      <c r="Y437" s="62"/>
      <c r="Z437" s="61"/>
      <c r="AA437" s="62"/>
    </row>
    <row r="438" spans="3:27" ht="16.5" customHeight="1">
      <c r="C438" s="118"/>
      <c r="E438" s="61"/>
      <c r="H438" s="61"/>
      <c r="I438" s="60"/>
      <c r="K438" s="62"/>
      <c r="O438" s="60"/>
      <c r="P438" s="61"/>
      <c r="Q438" s="62"/>
      <c r="R438" s="61"/>
      <c r="S438" s="62"/>
      <c r="T438" s="61"/>
      <c r="U438" s="62"/>
      <c r="V438" s="61"/>
      <c r="W438" s="62"/>
      <c r="X438" s="61"/>
      <c r="Y438" s="62"/>
      <c r="Z438" s="61"/>
      <c r="AA438" s="62"/>
    </row>
    <row r="439" spans="3:27" ht="16.5" customHeight="1">
      <c r="C439" s="118"/>
      <c r="E439" s="61"/>
      <c r="H439" s="61"/>
      <c r="I439" s="60"/>
      <c r="K439" s="62"/>
      <c r="O439" s="60"/>
      <c r="P439" s="61"/>
      <c r="Q439" s="62"/>
      <c r="R439" s="61"/>
      <c r="S439" s="62"/>
      <c r="T439" s="61"/>
      <c r="U439" s="62"/>
      <c r="V439" s="61"/>
      <c r="W439" s="62"/>
      <c r="X439" s="61"/>
      <c r="Y439" s="62"/>
      <c r="Z439" s="61"/>
      <c r="AA439" s="62"/>
    </row>
    <row r="440" spans="3:27" ht="16.5" customHeight="1">
      <c r="C440" s="118"/>
      <c r="E440" s="61"/>
      <c r="H440" s="61"/>
      <c r="I440" s="60"/>
      <c r="K440" s="62"/>
      <c r="O440" s="60"/>
      <c r="P440" s="61"/>
      <c r="Q440" s="62"/>
      <c r="R440" s="61"/>
      <c r="S440" s="62"/>
      <c r="T440" s="61"/>
      <c r="U440" s="62"/>
      <c r="V440" s="61"/>
      <c r="W440" s="62"/>
      <c r="X440" s="61"/>
      <c r="Y440" s="62"/>
      <c r="Z440" s="61"/>
      <c r="AA440" s="62"/>
    </row>
    <row r="441" spans="3:27" ht="16.5" customHeight="1">
      <c r="C441" s="118"/>
      <c r="E441" s="61"/>
      <c r="H441" s="61"/>
      <c r="I441" s="60"/>
      <c r="K441" s="62"/>
      <c r="O441" s="60"/>
      <c r="P441" s="61"/>
      <c r="Q441" s="62"/>
      <c r="R441" s="61"/>
      <c r="S441" s="62"/>
      <c r="T441" s="61"/>
      <c r="U441" s="62"/>
      <c r="V441" s="61"/>
      <c r="W441" s="62"/>
      <c r="X441" s="61"/>
      <c r="Y441" s="62"/>
      <c r="Z441" s="61"/>
      <c r="AA441" s="62"/>
    </row>
    <row r="442" spans="3:27" ht="16.5" customHeight="1">
      <c r="C442" s="118"/>
      <c r="E442" s="61"/>
      <c r="H442" s="61"/>
      <c r="I442" s="60"/>
      <c r="K442" s="62"/>
      <c r="O442" s="60"/>
      <c r="P442" s="61"/>
      <c r="Q442" s="62"/>
      <c r="R442" s="61"/>
      <c r="S442" s="62"/>
      <c r="T442" s="61"/>
      <c r="U442" s="62"/>
      <c r="V442" s="61"/>
      <c r="W442" s="62"/>
      <c r="X442" s="61"/>
      <c r="Y442" s="62"/>
      <c r="Z442" s="61"/>
      <c r="AA442" s="62"/>
    </row>
    <row r="443" spans="3:27" ht="16.5" customHeight="1">
      <c r="C443" s="118"/>
      <c r="E443" s="61"/>
      <c r="H443" s="61"/>
      <c r="I443" s="60"/>
      <c r="K443" s="62"/>
      <c r="O443" s="60"/>
      <c r="P443" s="61"/>
      <c r="Q443" s="62"/>
      <c r="R443" s="61"/>
      <c r="S443" s="62"/>
      <c r="T443" s="61"/>
      <c r="U443" s="62"/>
      <c r="V443" s="61"/>
      <c r="W443" s="62"/>
      <c r="X443" s="61"/>
      <c r="Y443" s="62"/>
      <c r="Z443" s="61"/>
      <c r="AA443" s="62"/>
    </row>
    <row r="444" spans="3:27" ht="16.5" customHeight="1">
      <c r="C444" s="118"/>
      <c r="E444" s="61"/>
      <c r="H444" s="61"/>
      <c r="I444" s="60"/>
      <c r="K444" s="62"/>
      <c r="O444" s="60"/>
      <c r="P444" s="61"/>
      <c r="Q444" s="62"/>
      <c r="R444" s="61"/>
      <c r="S444" s="62"/>
      <c r="T444" s="61"/>
      <c r="U444" s="62"/>
      <c r="V444" s="61"/>
      <c r="W444" s="62"/>
      <c r="X444" s="61"/>
      <c r="Y444" s="62"/>
      <c r="Z444" s="61"/>
      <c r="AA444" s="62"/>
    </row>
    <row r="445" spans="3:27" ht="16.5" customHeight="1">
      <c r="C445" s="118"/>
      <c r="E445" s="61"/>
      <c r="H445" s="61"/>
      <c r="I445" s="60"/>
      <c r="K445" s="62"/>
      <c r="O445" s="60"/>
      <c r="P445" s="61"/>
      <c r="Q445" s="62"/>
      <c r="R445" s="61"/>
      <c r="S445" s="62"/>
      <c r="T445" s="61"/>
      <c r="U445" s="62"/>
      <c r="V445" s="61"/>
      <c r="W445" s="62"/>
      <c r="X445" s="61"/>
      <c r="Y445" s="62"/>
      <c r="Z445" s="61"/>
      <c r="AA445" s="62"/>
    </row>
    <row r="446" spans="3:27" ht="16.5" customHeight="1">
      <c r="C446" s="118"/>
      <c r="E446" s="61"/>
      <c r="H446" s="61"/>
      <c r="I446" s="60"/>
      <c r="K446" s="62"/>
      <c r="O446" s="60"/>
      <c r="P446" s="61"/>
      <c r="Q446" s="62"/>
      <c r="R446" s="61"/>
      <c r="S446" s="62"/>
      <c r="T446" s="61"/>
      <c r="U446" s="62"/>
      <c r="V446" s="61"/>
      <c r="W446" s="62"/>
      <c r="X446" s="61"/>
      <c r="Y446" s="62"/>
      <c r="Z446" s="61"/>
      <c r="AA446" s="62"/>
    </row>
    <row r="447" spans="3:27" ht="16.5" customHeight="1">
      <c r="C447" s="118"/>
      <c r="E447" s="61"/>
      <c r="H447" s="61"/>
      <c r="I447" s="60"/>
      <c r="K447" s="62"/>
      <c r="O447" s="60"/>
      <c r="P447" s="61"/>
      <c r="Q447" s="62"/>
      <c r="R447" s="61"/>
      <c r="S447" s="62"/>
      <c r="T447" s="61"/>
      <c r="U447" s="62"/>
      <c r="V447" s="61"/>
      <c r="W447" s="62"/>
      <c r="X447" s="61"/>
      <c r="Y447" s="62"/>
      <c r="Z447" s="61"/>
      <c r="AA447" s="62"/>
    </row>
    <row r="448" spans="3:27" ht="16.5" customHeight="1">
      <c r="C448" s="118"/>
      <c r="E448" s="61"/>
      <c r="H448" s="61"/>
      <c r="I448" s="60"/>
      <c r="K448" s="62"/>
      <c r="O448" s="60"/>
      <c r="P448" s="61"/>
      <c r="Q448" s="62"/>
      <c r="R448" s="61"/>
      <c r="S448" s="62"/>
      <c r="T448" s="61"/>
      <c r="U448" s="62"/>
      <c r="V448" s="61"/>
      <c r="W448" s="62"/>
      <c r="X448" s="61"/>
      <c r="Y448" s="62"/>
      <c r="Z448" s="61"/>
      <c r="AA448" s="62"/>
    </row>
    <row r="449" spans="3:27" ht="16.5" customHeight="1">
      <c r="C449" s="118"/>
      <c r="E449" s="61"/>
      <c r="H449" s="61"/>
      <c r="I449" s="60"/>
      <c r="K449" s="62"/>
      <c r="O449" s="60"/>
      <c r="P449" s="61"/>
      <c r="Q449" s="62"/>
      <c r="R449" s="61"/>
      <c r="S449" s="62"/>
      <c r="T449" s="61"/>
      <c r="U449" s="62"/>
      <c r="V449" s="61"/>
      <c r="W449" s="62"/>
      <c r="X449" s="61"/>
      <c r="Y449" s="62"/>
      <c r="Z449" s="61"/>
      <c r="AA449" s="62"/>
    </row>
    <row r="450" spans="3:27" ht="16.5" customHeight="1">
      <c r="C450" s="118"/>
      <c r="E450" s="61"/>
      <c r="H450" s="61"/>
      <c r="I450" s="60"/>
      <c r="K450" s="62"/>
      <c r="O450" s="60"/>
      <c r="P450" s="61"/>
      <c r="Q450" s="62"/>
      <c r="R450" s="61"/>
      <c r="S450" s="62"/>
      <c r="T450" s="61"/>
      <c r="U450" s="62"/>
      <c r="V450" s="61"/>
      <c r="W450" s="62"/>
      <c r="X450" s="61"/>
      <c r="Y450" s="62"/>
      <c r="Z450" s="61"/>
      <c r="AA450" s="62"/>
    </row>
    <row r="451" spans="3:27" ht="16.5" customHeight="1">
      <c r="C451" s="118"/>
      <c r="E451" s="61"/>
      <c r="H451" s="61"/>
      <c r="I451" s="60"/>
      <c r="K451" s="62"/>
      <c r="O451" s="60"/>
      <c r="P451" s="61"/>
      <c r="Q451" s="62"/>
      <c r="R451" s="61"/>
      <c r="S451" s="62"/>
      <c r="T451" s="61"/>
      <c r="U451" s="62"/>
      <c r="V451" s="61"/>
      <c r="W451" s="62"/>
      <c r="X451" s="61"/>
      <c r="Y451" s="62"/>
      <c r="Z451" s="61"/>
      <c r="AA451" s="62"/>
    </row>
    <row r="452" spans="3:27" ht="16.5" customHeight="1">
      <c r="C452" s="118"/>
      <c r="E452" s="61"/>
      <c r="H452" s="61"/>
      <c r="I452" s="60"/>
      <c r="K452" s="62"/>
      <c r="O452" s="60"/>
      <c r="P452" s="61"/>
      <c r="Q452" s="62"/>
      <c r="R452" s="61"/>
      <c r="S452" s="62"/>
      <c r="T452" s="61"/>
      <c r="U452" s="62"/>
      <c r="V452" s="61"/>
      <c r="W452" s="62"/>
      <c r="X452" s="61"/>
      <c r="Y452" s="62"/>
      <c r="Z452" s="61"/>
      <c r="AA452" s="62"/>
    </row>
    <row r="453" spans="3:27" ht="16.5" customHeight="1">
      <c r="C453" s="118"/>
      <c r="E453" s="61"/>
      <c r="H453" s="61"/>
      <c r="I453" s="60"/>
      <c r="K453" s="62"/>
      <c r="O453" s="60"/>
      <c r="P453" s="61"/>
      <c r="Q453" s="62"/>
      <c r="R453" s="61"/>
      <c r="S453" s="62"/>
      <c r="T453" s="61"/>
      <c r="U453" s="62"/>
      <c r="V453" s="61"/>
      <c r="W453" s="62"/>
      <c r="X453" s="61"/>
      <c r="Y453" s="62"/>
      <c r="Z453" s="61"/>
      <c r="AA453" s="62"/>
    </row>
    <row r="454" spans="3:27" ht="16.5" customHeight="1">
      <c r="C454" s="118"/>
      <c r="E454" s="61"/>
      <c r="H454" s="61"/>
      <c r="I454" s="60"/>
      <c r="K454" s="62"/>
      <c r="O454" s="60"/>
      <c r="P454" s="61"/>
      <c r="Q454" s="62"/>
      <c r="R454" s="61"/>
      <c r="S454" s="62"/>
      <c r="T454" s="61"/>
      <c r="U454" s="62"/>
      <c r="V454" s="61"/>
      <c r="W454" s="62"/>
      <c r="X454" s="61"/>
      <c r="Y454" s="62"/>
      <c r="Z454" s="61"/>
      <c r="AA454" s="62"/>
    </row>
    <row r="455" spans="3:27" ht="16.5" customHeight="1">
      <c r="C455" s="118"/>
      <c r="E455" s="61"/>
      <c r="H455" s="61"/>
      <c r="I455" s="60"/>
      <c r="K455" s="62"/>
      <c r="O455" s="60"/>
      <c r="P455" s="61"/>
      <c r="Q455" s="62"/>
      <c r="R455" s="61"/>
      <c r="S455" s="62"/>
      <c r="T455" s="61"/>
      <c r="U455" s="62"/>
      <c r="V455" s="61"/>
      <c r="W455" s="62"/>
      <c r="X455" s="61"/>
      <c r="Y455" s="62"/>
      <c r="Z455" s="61"/>
      <c r="AA455" s="62"/>
    </row>
    <row r="456" spans="3:27" ht="16.5" customHeight="1">
      <c r="C456" s="118"/>
      <c r="E456" s="61"/>
      <c r="H456" s="61"/>
      <c r="I456" s="60"/>
      <c r="K456" s="62"/>
      <c r="O456" s="60"/>
      <c r="P456" s="61"/>
      <c r="Q456" s="62"/>
      <c r="R456" s="61"/>
      <c r="S456" s="62"/>
      <c r="T456" s="61"/>
      <c r="U456" s="62"/>
      <c r="V456" s="61"/>
      <c r="W456" s="62"/>
      <c r="X456" s="61"/>
      <c r="Y456" s="62"/>
      <c r="Z456" s="61"/>
      <c r="AA456" s="62"/>
    </row>
    <row r="457" spans="3:27" ht="16.5" customHeight="1">
      <c r="C457" s="118"/>
      <c r="E457" s="61"/>
      <c r="H457" s="61"/>
      <c r="I457" s="60"/>
      <c r="K457" s="62"/>
      <c r="O457" s="60"/>
      <c r="P457" s="61"/>
      <c r="Q457" s="62"/>
      <c r="R457" s="61"/>
      <c r="S457" s="62"/>
      <c r="T457" s="61"/>
      <c r="U457" s="62"/>
      <c r="V457" s="61"/>
      <c r="W457" s="62"/>
      <c r="X457" s="61"/>
      <c r="Y457" s="62"/>
      <c r="Z457" s="61"/>
      <c r="AA457" s="62"/>
    </row>
    <row r="458" spans="3:27" ht="16.5" customHeight="1">
      <c r="C458" s="118"/>
      <c r="E458" s="61"/>
      <c r="H458" s="61"/>
      <c r="I458" s="60"/>
      <c r="K458" s="62"/>
      <c r="O458" s="60"/>
      <c r="P458" s="61"/>
      <c r="Q458" s="62"/>
      <c r="R458" s="61"/>
      <c r="S458" s="62"/>
      <c r="T458" s="61"/>
      <c r="U458" s="62"/>
      <c r="V458" s="61"/>
      <c r="W458" s="62"/>
      <c r="X458" s="61"/>
      <c r="Y458" s="62"/>
      <c r="Z458" s="61"/>
      <c r="AA458" s="62"/>
    </row>
    <row r="459" spans="3:27" ht="16.5" customHeight="1">
      <c r="C459" s="118"/>
      <c r="E459" s="61"/>
      <c r="H459" s="61"/>
      <c r="I459" s="60"/>
      <c r="K459" s="62"/>
      <c r="O459" s="60"/>
      <c r="P459" s="61"/>
      <c r="Q459" s="62"/>
      <c r="R459" s="61"/>
      <c r="S459" s="62"/>
      <c r="T459" s="61"/>
      <c r="U459" s="62"/>
      <c r="V459" s="61"/>
      <c r="W459" s="62"/>
      <c r="X459" s="61"/>
      <c r="Y459" s="62"/>
      <c r="Z459" s="61"/>
      <c r="AA459" s="62"/>
    </row>
    <row r="460" spans="3:27" ht="16.5" customHeight="1">
      <c r="C460" s="118"/>
      <c r="E460" s="61"/>
      <c r="H460" s="61"/>
      <c r="I460" s="60"/>
      <c r="K460" s="62"/>
      <c r="O460" s="60"/>
      <c r="P460" s="61"/>
      <c r="Q460" s="62"/>
      <c r="R460" s="61"/>
      <c r="S460" s="62"/>
      <c r="T460" s="61"/>
      <c r="U460" s="62"/>
      <c r="V460" s="61"/>
      <c r="W460" s="62"/>
      <c r="X460" s="61"/>
      <c r="Y460" s="62"/>
      <c r="Z460" s="61"/>
      <c r="AA460" s="62"/>
    </row>
    <row r="461" spans="3:27" ht="16.5" customHeight="1">
      <c r="C461" s="118"/>
      <c r="E461" s="61"/>
      <c r="H461" s="61"/>
      <c r="I461" s="60"/>
      <c r="K461" s="62"/>
      <c r="O461" s="60"/>
      <c r="P461" s="61"/>
      <c r="Q461" s="62"/>
      <c r="R461" s="61"/>
      <c r="S461" s="62"/>
      <c r="T461" s="61"/>
      <c r="U461" s="62"/>
      <c r="V461" s="61"/>
      <c r="W461" s="62"/>
      <c r="X461" s="61"/>
      <c r="Y461" s="62"/>
      <c r="Z461" s="61"/>
      <c r="AA461" s="62"/>
    </row>
    <row r="462" spans="3:27" ht="16.5" customHeight="1">
      <c r="C462" s="118"/>
      <c r="E462" s="61"/>
      <c r="H462" s="61"/>
      <c r="I462" s="60"/>
      <c r="K462" s="62"/>
      <c r="O462" s="60"/>
      <c r="P462" s="61"/>
      <c r="Q462" s="62"/>
      <c r="R462" s="61"/>
      <c r="S462" s="62"/>
      <c r="T462" s="61"/>
      <c r="U462" s="62"/>
      <c r="V462" s="61"/>
      <c r="W462" s="62"/>
      <c r="X462" s="61"/>
      <c r="Y462" s="62"/>
      <c r="Z462" s="61"/>
      <c r="AA462" s="62"/>
    </row>
    <row r="463" spans="3:27" ht="16.5" customHeight="1">
      <c r="C463" s="118"/>
      <c r="E463" s="61"/>
      <c r="H463" s="61"/>
      <c r="I463" s="60"/>
      <c r="K463" s="62"/>
      <c r="O463" s="60"/>
      <c r="P463" s="61"/>
      <c r="Q463" s="62"/>
      <c r="R463" s="61"/>
      <c r="S463" s="62"/>
      <c r="T463" s="61"/>
      <c r="U463" s="62"/>
      <c r="V463" s="61"/>
      <c r="W463" s="62"/>
      <c r="X463" s="61"/>
      <c r="Y463" s="62"/>
      <c r="Z463" s="61"/>
      <c r="AA463" s="62"/>
    </row>
    <row r="464" spans="3:27" ht="16.5" customHeight="1">
      <c r="C464" s="118"/>
      <c r="E464" s="61"/>
      <c r="H464" s="61"/>
      <c r="I464" s="60"/>
      <c r="K464" s="62"/>
      <c r="O464" s="60"/>
      <c r="P464" s="61"/>
      <c r="Q464" s="62"/>
      <c r="R464" s="61"/>
      <c r="S464" s="62"/>
      <c r="T464" s="61"/>
      <c r="U464" s="62"/>
      <c r="V464" s="61"/>
      <c r="W464" s="62"/>
      <c r="X464" s="61"/>
      <c r="Y464" s="62"/>
      <c r="Z464" s="61"/>
      <c r="AA464" s="62"/>
    </row>
    <row r="465" spans="3:27" ht="16.5" customHeight="1">
      <c r="C465" s="118"/>
      <c r="E465" s="61"/>
      <c r="H465" s="61"/>
      <c r="I465" s="60"/>
      <c r="K465" s="62"/>
      <c r="O465" s="60"/>
      <c r="P465" s="61"/>
      <c r="Q465" s="62"/>
      <c r="R465" s="61"/>
      <c r="S465" s="62"/>
      <c r="T465" s="61"/>
      <c r="U465" s="62"/>
      <c r="V465" s="61"/>
      <c r="W465" s="62"/>
      <c r="X465" s="61"/>
      <c r="Y465" s="62"/>
      <c r="Z465" s="61"/>
      <c r="AA465" s="62"/>
    </row>
    <row r="466" spans="3:27" ht="16.5" customHeight="1">
      <c r="C466" s="118"/>
      <c r="E466" s="61"/>
      <c r="H466" s="61"/>
      <c r="I466" s="60"/>
      <c r="K466" s="62"/>
      <c r="O466" s="60"/>
      <c r="P466" s="61"/>
      <c r="Q466" s="62"/>
      <c r="R466" s="61"/>
      <c r="S466" s="62"/>
      <c r="T466" s="61"/>
      <c r="U466" s="62"/>
      <c r="V466" s="61"/>
      <c r="W466" s="62"/>
      <c r="X466" s="61"/>
      <c r="Y466" s="62"/>
      <c r="Z466" s="61"/>
      <c r="AA466" s="62"/>
    </row>
    <row r="467" spans="3:27" ht="16.5" customHeight="1">
      <c r="C467" s="118"/>
      <c r="E467" s="61"/>
      <c r="H467" s="61"/>
      <c r="I467" s="60"/>
      <c r="K467" s="62"/>
      <c r="O467" s="60"/>
      <c r="P467" s="61"/>
      <c r="Q467" s="62"/>
      <c r="R467" s="61"/>
      <c r="S467" s="62"/>
      <c r="T467" s="61"/>
      <c r="U467" s="62"/>
      <c r="V467" s="61"/>
      <c r="W467" s="62"/>
      <c r="X467" s="61"/>
      <c r="Y467" s="62"/>
      <c r="Z467" s="61"/>
      <c r="AA467" s="62"/>
    </row>
    <row r="468" spans="3:27" ht="16.5" customHeight="1">
      <c r="C468" s="118"/>
      <c r="E468" s="61"/>
      <c r="H468" s="61"/>
      <c r="I468" s="60"/>
      <c r="K468" s="62"/>
      <c r="O468" s="60"/>
      <c r="P468" s="61"/>
      <c r="Q468" s="62"/>
      <c r="R468" s="61"/>
      <c r="S468" s="62"/>
      <c r="T468" s="61"/>
      <c r="U468" s="62"/>
      <c r="V468" s="61"/>
      <c r="W468" s="62"/>
      <c r="X468" s="61"/>
      <c r="Y468" s="62"/>
      <c r="Z468" s="61"/>
      <c r="AA468" s="62"/>
    </row>
    <row r="469" spans="3:27" ht="16.5" customHeight="1">
      <c r="C469" s="118"/>
      <c r="E469" s="61"/>
      <c r="H469" s="61"/>
      <c r="I469" s="60"/>
      <c r="K469" s="62"/>
      <c r="O469" s="60"/>
      <c r="P469" s="61"/>
      <c r="Q469" s="62"/>
      <c r="R469" s="61"/>
      <c r="S469" s="62"/>
      <c r="T469" s="61"/>
      <c r="U469" s="62"/>
      <c r="V469" s="61"/>
      <c r="W469" s="62"/>
      <c r="X469" s="61"/>
      <c r="Y469" s="62"/>
      <c r="Z469" s="61"/>
      <c r="AA469" s="62"/>
    </row>
    <row r="470" spans="3:27" ht="16.5" customHeight="1">
      <c r="C470" s="118"/>
      <c r="E470" s="61"/>
      <c r="H470" s="61"/>
      <c r="I470" s="60"/>
      <c r="K470" s="62"/>
      <c r="O470" s="60"/>
      <c r="P470" s="61"/>
      <c r="Q470" s="62"/>
      <c r="R470" s="61"/>
      <c r="S470" s="62"/>
      <c r="T470" s="61"/>
      <c r="U470" s="62"/>
      <c r="V470" s="61"/>
      <c r="W470" s="62"/>
      <c r="X470" s="61"/>
      <c r="Y470" s="62"/>
      <c r="Z470" s="61"/>
      <c r="AA470" s="62"/>
    </row>
    <row r="471" spans="3:27" ht="16.5" customHeight="1">
      <c r="C471" s="118"/>
      <c r="E471" s="61"/>
      <c r="H471" s="61"/>
      <c r="I471" s="60"/>
      <c r="K471" s="62"/>
      <c r="O471" s="60"/>
      <c r="P471" s="61"/>
      <c r="Q471" s="62"/>
      <c r="R471" s="61"/>
      <c r="S471" s="62"/>
      <c r="T471" s="61"/>
      <c r="U471" s="62"/>
      <c r="V471" s="61"/>
      <c r="W471" s="62"/>
      <c r="X471" s="61"/>
      <c r="Y471" s="62"/>
      <c r="Z471" s="61"/>
      <c r="AA471" s="62"/>
    </row>
    <row r="472" spans="3:27" ht="16.5" customHeight="1">
      <c r="C472" s="118"/>
      <c r="E472" s="61"/>
      <c r="H472" s="61"/>
      <c r="I472" s="60"/>
      <c r="K472" s="62"/>
      <c r="O472" s="60"/>
      <c r="P472" s="61"/>
      <c r="Q472" s="62"/>
      <c r="R472" s="61"/>
      <c r="S472" s="62"/>
      <c r="T472" s="61"/>
      <c r="U472" s="62"/>
      <c r="V472" s="61"/>
      <c r="W472" s="62"/>
      <c r="X472" s="61"/>
      <c r="Y472" s="62"/>
      <c r="Z472" s="61"/>
      <c r="AA472" s="62"/>
    </row>
    <row r="473" spans="3:27" ht="16.5" customHeight="1">
      <c r="C473" s="118"/>
      <c r="E473" s="61"/>
      <c r="H473" s="61"/>
      <c r="I473" s="60"/>
      <c r="K473" s="62"/>
      <c r="O473" s="60"/>
      <c r="P473" s="61"/>
      <c r="Q473" s="62"/>
      <c r="R473" s="61"/>
      <c r="S473" s="62"/>
      <c r="T473" s="61"/>
      <c r="U473" s="62"/>
      <c r="V473" s="61"/>
      <c r="W473" s="62"/>
      <c r="X473" s="61"/>
      <c r="Y473" s="62"/>
      <c r="Z473" s="61"/>
      <c r="AA473" s="62"/>
    </row>
    <row r="474" spans="3:27" ht="16.5" customHeight="1">
      <c r="C474" s="118"/>
      <c r="E474" s="61"/>
      <c r="H474" s="61"/>
      <c r="I474" s="60"/>
      <c r="K474" s="62"/>
      <c r="O474" s="60"/>
      <c r="P474" s="61"/>
      <c r="Q474" s="62"/>
      <c r="R474" s="61"/>
      <c r="S474" s="62"/>
      <c r="T474" s="61"/>
      <c r="U474" s="62"/>
      <c r="V474" s="61"/>
      <c r="W474" s="62"/>
      <c r="X474" s="61"/>
      <c r="Y474" s="62"/>
      <c r="Z474" s="61"/>
      <c r="AA474" s="62"/>
    </row>
    <row r="475" spans="3:27" ht="16.5" customHeight="1">
      <c r="C475" s="118"/>
      <c r="E475" s="61"/>
      <c r="H475" s="61"/>
      <c r="I475" s="60"/>
      <c r="K475" s="62"/>
      <c r="O475" s="60"/>
      <c r="P475" s="61"/>
      <c r="Q475" s="62"/>
      <c r="R475" s="61"/>
      <c r="S475" s="62"/>
      <c r="T475" s="61"/>
      <c r="U475" s="62"/>
      <c r="V475" s="61"/>
      <c r="W475" s="62"/>
      <c r="X475" s="61"/>
      <c r="Y475" s="62"/>
      <c r="Z475" s="61"/>
      <c r="AA475" s="62"/>
    </row>
    <row r="476" spans="3:27" ht="16.5" customHeight="1">
      <c r="C476" s="118"/>
      <c r="E476" s="61"/>
      <c r="H476" s="61"/>
      <c r="I476" s="60"/>
      <c r="K476" s="62"/>
      <c r="O476" s="60"/>
      <c r="P476" s="61"/>
      <c r="Q476" s="62"/>
      <c r="R476" s="61"/>
      <c r="S476" s="62"/>
      <c r="T476" s="61"/>
      <c r="U476" s="62"/>
      <c r="V476" s="61"/>
      <c r="W476" s="62"/>
      <c r="X476" s="61"/>
      <c r="Y476" s="62"/>
      <c r="Z476" s="61"/>
      <c r="AA476" s="62"/>
    </row>
    <row r="477" spans="3:27" ht="16.5" customHeight="1">
      <c r="C477" s="118"/>
      <c r="E477" s="61"/>
      <c r="H477" s="61"/>
      <c r="I477" s="60"/>
      <c r="K477" s="62"/>
      <c r="O477" s="60"/>
      <c r="P477" s="61"/>
      <c r="Q477" s="62"/>
      <c r="R477" s="61"/>
      <c r="S477" s="62"/>
      <c r="T477" s="61"/>
      <c r="U477" s="62"/>
      <c r="V477" s="61"/>
      <c r="W477" s="62"/>
      <c r="X477" s="61"/>
      <c r="Y477" s="62"/>
      <c r="Z477" s="61"/>
      <c r="AA477" s="62"/>
    </row>
    <row r="478" spans="3:27" ht="16.5" customHeight="1">
      <c r="C478" s="118"/>
      <c r="E478" s="61"/>
      <c r="H478" s="61"/>
      <c r="I478" s="60"/>
      <c r="K478" s="62"/>
      <c r="O478" s="60"/>
      <c r="P478" s="61"/>
      <c r="Q478" s="62"/>
      <c r="R478" s="61"/>
      <c r="S478" s="62"/>
      <c r="T478" s="61"/>
      <c r="U478" s="62"/>
      <c r="V478" s="61"/>
      <c r="W478" s="62"/>
      <c r="X478" s="61"/>
      <c r="Y478" s="62"/>
      <c r="Z478" s="61"/>
      <c r="AA478" s="62"/>
    </row>
    <row r="479" spans="3:27" ht="16.5" customHeight="1">
      <c r="C479" s="118"/>
      <c r="E479" s="61"/>
      <c r="H479" s="61"/>
      <c r="I479" s="60"/>
      <c r="K479" s="62"/>
      <c r="O479" s="60"/>
      <c r="P479" s="61"/>
      <c r="Q479" s="62"/>
      <c r="R479" s="61"/>
      <c r="S479" s="62"/>
      <c r="T479" s="61"/>
      <c r="U479" s="62"/>
      <c r="V479" s="61"/>
      <c r="W479" s="62"/>
      <c r="X479" s="61"/>
      <c r="Y479" s="62"/>
      <c r="Z479" s="61"/>
      <c r="AA479" s="62"/>
    </row>
    <row r="480" spans="3:27" ht="16.5" customHeight="1">
      <c r="C480" s="118"/>
      <c r="E480" s="61"/>
      <c r="H480" s="61"/>
      <c r="I480" s="60"/>
      <c r="K480" s="62"/>
      <c r="O480" s="60"/>
      <c r="P480" s="61"/>
      <c r="Q480" s="62"/>
      <c r="R480" s="61"/>
      <c r="S480" s="62"/>
      <c r="T480" s="61"/>
      <c r="U480" s="62"/>
      <c r="V480" s="61"/>
      <c r="W480" s="62"/>
      <c r="X480" s="61"/>
      <c r="Y480" s="62"/>
      <c r="Z480" s="61"/>
      <c r="AA480" s="62"/>
    </row>
    <row r="481" spans="3:27" ht="16.5" customHeight="1">
      <c r="C481" s="118"/>
      <c r="E481" s="61"/>
      <c r="H481" s="61"/>
      <c r="I481" s="60"/>
      <c r="K481" s="62"/>
      <c r="O481" s="60"/>
      <c r="P481" s="61"/>
      <c r="Q481" s="62"/>
      <c r="R481" s="61"/>
      <c r="S481" s="62"/>
      <c r="T481" s="61"/>
      <c r="U481" s="62"/>
      <c r="V481" s="61"/>
      <c r="W481" s="62"/>
      <c r="X481" s="61"/>
      <c r="Y481" s="62"/>
      <c r="Z481" s="61"/>
      <c r="AA481" s="62"/>
    </row>
    <row r="482" spans="3:27" ht="16.5" customHeight="1">
      <c r="C482" s="118"/>
      <c r="E482" s="61"/>
      <c r="H482" s="61"/>
      <c r="I482" s="60"/>
      <c r="K482" s="62"/>
      <c r="O482" s="60"/>
      <c r="P482" s="61"/>
      <c r="Q482" s="62"/>
      <c r="R482" s="61"/>
      <c r="S482" s="62"/>
      <c r="T482" s="61"/>
      <c r="U482" s="62"/>
      <c r="V482" s="61"/>
      <c r="W482" s="62"/>
      <c r="X482" s="61"/>
      <c r="Y482" s="62"/>
      <c r="Z482" s="61"/>
      <c r="AA482" s="62"/>
    </row>
    <row r="483" spans="3:27" ht="16.5" customHeight="1">
      <c r="C483" s="118"/>
      <c r="E483" s="61"/>
      <c r="H483" s="61"/>
      <c r="I483" s="60"/>
      <c r="K483" s="62"/>
      <c r="O483" s="60"/>
      <c r="P483" s="61"/>
      <c r="Q483" s="62"/>
      <c r="R483" s="61"/>
      <c r="S483" s="62"/>
      <c r="T483" s="61"/>
      <c r="U483" s="62"/>
      <c r="V483" s="61"/>
      <c r="W483" s="62"/>
      <c r="X483" s="61"/>
      <c r="Y483" s="62"/>
      <c r="Z483" s="61"/>
      <c r="AA483" s="62"/>
    </row>
    <row r="484" spans="3:27" ht="16.5" customHeight="1">
      <c r="C484" s="118"/>
      <c r="E484" s="61"/>
      <c r="H484" s="61"/>
      <c r="I484" s="60"/>
      <c r="K484" s="62"/>
      <c r="O484" s="60"/>
      <c r="P484" s="61"/>
      <c r="Q484" s="62"/>
      <c r="R484" s="61"/>
      <c r="S484" s="62"/>
      <c r="T484" s="61"/>
      <c r="U484" s="62"/>
      <c r="V484" s="61"/>
      <c r="W484" s="62"/>
      <c r="X484" s="61"/>
      <c r="Y484" s="62"/>
      <c r="Z484" s="61"/>
      <c r="AA484" s="62"/>
    </row>
    <row r="485" spans="3:27" ht="16.5" customHeight="1">
      <c r="C485" s="118"/>
      <c r="E485" s="61"/>
      <c r="H485" s="61"/>
      <c r="I485" s="60"/>
      <c r="K485" s="62"/>
      <c r="O485" s="60"/>
      <c r="P485" s="61"/>
      <c r="Q485" s="62"/>
      <c r="R485" s="61"/>
      <c r="S485" s="62"/>
      <c r="T485" s="61"/>
      <c r="U485" s="62"/>
      <c r="V485" s="61"/>
      <c r="W485" s="62"/>
      <c r="X485" s="61"/>
      <c r="Y485" s="62"/>
      <c r="Z485" s="61"/>
      <c r="AA485" s="62"/>
    </row>
    <row r="486" spans="3:27" ht="16.5" customHeight="1">
      <c r="C486" s="118"/>
      <c r="E486" s="61"/>
      <c r="H486" s="61"/>
      <c r="I486" s="60"/>
      <c r="K486" s="62"/>
      <c r="O486" s="60"/>
      <c r="P486" s="61"/>
      <c r="Q486" s="62"/>
      <c r="R486" s="61"/>
      <c r="S486" s="62"/>
      <c r="T486" s="61"/>
      <c r="U486" s="62"/>
      <c r="V486" s="61"/>
      <c r="W486" s="62"/>
      <c r="X486" s="61"/>
      <c r="Y486" s="62"/>
      <c r="Z486" s="61"/>
      <c r="AA486" s="62"/>
    </row>
    <row r="487" spans="3:27" ht="16.5" customHeight="1">
      <c r="C487" s="118"/>
      <c r="E487" s="61"/>
      <c r="H487" s="61"/>
      <c r="I487" s="60"/>
      <c r="K487" s="62"/>
      <c r="O487" s="60"/>
      <c r="P487" s="61"/>
      <c r="Q487" s="62"/>
      <c r="R487" s="61"/>
      <c r="S487" s="62"/>
      <c r="T487" s="61"/>
      <c r="U487" s="62"/>
      <c r="V487" s="61"/>
      <c r="W487" s="62"/>
      <c r="X487" s="61"/>
      <c r="Y487" s="62"/>
      <c r="Z487" s="61"/>
      <c r="AA487" s="62"/>
    </row>
    <row r="488" spans="3:27" ht="16.5" customHeight="1">
      <c r="C488" s="118"/>
      <c r="E488" s="61"/>
      <c r="H488" s="61"/>
      <c r="I488" s="60"/>
      <c r="K488" s="62"/>
      <c r="O488" s="60"/>
      <c r="P488" s="61"/>
      <c r="Q488" s="62"/>
      <c r="R488" s="61"/>
      <c r="S488" s="62"/>
      <c r="T488" s="61"/>
      <c r="U488" s="62"/>
      <c r="V488" s="61"/>
      <c r="W488" s="62"/>
      <c r="X488" s="61"/>
      <c r="Y488" s="62"/>
      <c r="Z488" s="61"/>
      <c r="AA488" s="62"/>
    </row>
    <row r="489" spans="3:27" ht="16.5" customHeight="1">
      <c r="C489" s="118"/>
      <c r="E489" s="61"/>
      <c r="H489" s="61"/>
      <c r="I489" s="60"/>
      <c r="K489" s="62"/>
      <c r="O489" s="60"/>
      <c r="P489" s="61"/>
      <c r="Q489" s="62"/>
      <c r="R489" s="61"/>
      <c r="S489" s="62"/>
      <c r="T489" s="61"/>
      <c r="U489" s="62"/>
      <c r="V489" s="61"/>
      <c r="W489" s="62"/>
      <c r="X489" s="61"/>
      <c r="Y489" s="62"/>
      <c r="Z489" s="61"/>
      <c r="AA489" s="62"/>
    </row>
    <row r="490" spans="3:27" ht="16.5" customHeight="1">
      <c r="C490" s="118"/>
      <c r="E490" s="61"/>
      <c r="H490" s="61"/>
      <c r="I490" s="60"/>
      <c r="K490" s="62"/>
      <c r="O490" s="60"/>
      <c r="P490" s="61"/>
      <c r="Q490" s="62"/>
      <c r="R490" s="61"/>
      <c r="S490" s="62"/>
      <c r="T490" s="61"/>
      <c r="U490" s="62"/>
      <c r="V490" s="61"/>
      <c r="W490" s="62"/>
      <c r="X490" s="61"/>
      <c r="Y490" s="62"/>
      <c r="Z490" s="61"/>
      <c r="AA490" s="62"/>
    </row>
    <row r="491" spans="3:27" ht="16.5" customHeight="1">
      <c r="C491" s="118"/>
      <c r="E491" s="61"/>
      <c r="H491" s="61"/>
      <c r="I491" s="60"/>
      <c r="K491" s="62"/>
      <c r="O491" s="60"/>
      <c r="P491" s="61"/>
      <c r="Q491" s="62"/>
      <c r="R491" s="61"/>
      <c r="S491" s="62"/>
      <c r="T491" s="61"/>
      <c r="U491" s="62"/>
      <c r="V491" s="61"/>
      <c r="W491" s="62"/>
      <c r="X491" s="61"/>
      <c r="Y491" s="62"/>
      <c r="Z491" s="61"/>
      <c r="AA491" s="62"/>
    </row>
    <row r="492" spans="3:27" ht="16.5" customHeight="1">
      <c r="C492" s="118"/>
      <c r="E492" s="61"/>
      <c r="H492" s="61"/>
      <c r="I492" s="60"/>
      <c r="K492" s="62"/>
      <c r="O492" s="60"/>
      <c r="P492" s="61"/>
      <c r="Q492" s="62"/>
      <c r="R492" s="61"/>
      <c r="S492" s="62"/>
      <c r="T492" s="61"/>
      <c r="U492" s="62"/>
      <c r="V492" s="61"/>
      <c r="W492" s="62"/>
      <c r="X492" s="61"/>
      <c r="Y492" s="62"/>
      <c r="Z492" s="61"/>
      <c r="AA492" s="62"/>
    </row>
    <row r="493" spans="3:27" ht="16.5" customHeight="1">
      <c r="C493" s="118"/>
      <c r="E493" s="61"/>
      <c r="H493" s="61"/>
      <c r="I493" s="60"/>
      <c r="K493" s="62"/>
      <c r="O493" s="60"/>
      <c r="P493" s="61"/>
      <c r="Q493" s="62"/>
      <c r="R493" s="61"/>
      <c r="S493" s="62"/>
      <c r="T493" s="61"/>
      <c r="U493" s="62"/>
      <c r="V493" s="61"/>
      <c r="W493" s="62"/>
      <c r="X493" s="61"/>
      <c r="Y493" s="62"/>
      <c r="Z493" s="61"/>
      <c r="AA493" s="62"/>
    </row>
    <row r="494" spans="3:27" ht="16.5" customHeight="1">
      <c r="C494" s="118"/>
      <c r="E494" s="61"/>
      <c r="H494" s="61"/>
      <c r="I494" s="60"/>
      <c r="K494" s="62"/>
      <c r="O494" s="60"/>
      <c r="P494" s="61"/>
      <c r="Q494" s="62"/>
      <c r="R494" s="61"/>
      <c r="S494" s="62"/>
      <c r="T494" s="61"/>
      <c r="U494" s="62"/>
      <c r="V494" s="61"/>
      <c r="W494" s="62"/>
      <c r="X494" s="61"/>
      <c r="Y494" s="62"/>
      <c r="Z494" s="61"/>
      <c r="AA494" s="62"/>
    </row>
    <row r="495" spans="3:27" ht="16.5" customHeight="1">
      <c r="C495" s="118"/>
      <c r="E495" s="61"/>
      <c r="H495" s="61"/>
      <c r="I495" s="60"/>
      <c r="K495" s="62"/>
      <c r="O495" s="60"/>
      <c r="P495" s="61"/>
      <c r="Q495" s="62"/>
      <c r="R495" s="61"/>
      <c r="S495" s="62"/>
      <c r="T495" s="61"/>
      <c r="U495" s="62"/>
      <c r="V495" s="61"/>
      <c r="W495" s="62"/>
      <c r="X495" s="61"/>
      <c r="Y495" s="62"/>
      <c r="Z495" s="61"/>
      <c r="AA495" s="62"/>
    </row>
    <row r="496" spans="3:27" ht="16.5" customHeight="1">
      <c r="C496" s="118"/>
      <c r="E496" s="61"/>
      <c r="H496" s="61"/>
      <c r="I496" s="60"/>
      <c r="K496" s="62"/>
      <c r="O496" s="60"/>
      <c r="P496" s="61"/>
      <c r="Q496" s="62"/>
      <c r="R496" s="61"/>
      <c r="S496" s="62"/>
      <c r="T496" s="61"/>
      <c r="U496" s="62"/>
      <c r="V496" s="61"/>
      <c r="W496" s="62"/>
      <c r="X496" s="61"/>
      <c r="Y496" s="62"/>
      <c r="Z496" s="61"/>
      <c r="AA496" s="62"/>
    </row>
    <row r="497" spans="3:27" ht="16.5" customHeight="1">
      <c r="C497" s="118"/>
      <c r="E497" s="61"/>
      <c r="H497" s="61"/>
      <c r="I497" s="60"/>
      <c r="K497" s="62"/>
      <c r="O497" s="60"/>
      <c r="P497" s="61"/>
      <c r="Q497" s="62"/>
      <c r="R497" s="61"/>
      <c r="S497" s="62"/>
      <c r="T497" s="61"/>
      <c r="U497" s="62"/>
      <c r="V497" s="61"/>
      <c r="W497" s="62"/>
      <c r="X497" s="61"/>
      <c r="Y497" s="62"/>
      <c r="Z497" s="61"/>
      <c r="AA497" s="62"/>
    </row>
    <row r="498" spans="3:27" ht="16.5" customHeight="1">
      <c r="C498" s="118"/>
      <c r="E498" s="61"/>
      <c r="H498" s="61"/>
      <c r="I498" s="60"/>
      <c r="K498" s="62"/>
      <c r="O498" s="60"/>
      <c r="P498" s="61"/>
      <c r="Q498" s="62"/>
      <c r="R498" s="61"/>
      <c r="S498" s="62"/>
      <c r="T498" s="61"/>
      <c r="U498" s="62"/>
      <c r="V498" s="61"/>
      <c r="W498" s="62"/>
      <c r="X498" s="61"/>
      <c r="Y498" s="62"/>
      <c r="Z498" s="61"/>
      <c r="AA498" s="62"/>
    </row>
    <row r="499" spans="3:27" ht="16.5" customHeight="1">
      <c r="C499" s="118"/>
      <c r="E499" s="61"/>
      <c r="H499" s="61"/>
      <c r="I499" s="60"/>
      <c r="K499" s="62"/>
      <c r="O499" s="60"/>
      <c r="P499" s="61"/>
      <c r="Q499" s="62"/>
      <c r="R499" s="61"/>
      <c r="S499" s="62"/>
      <c r="T499" s="61"/>
      <c r="U499" s="62"/>
      <c r="V499" s="61"/>
      <c r="W499" s="62"/>
      <c r="X499" s="61"/>
      <c r="Y499" s="62"/>
      <c r="Z499" s="61"/>
      <c r="AA499" s="62"/>
    </row>
    <row r="500" spans="3:27" ht="16.5" customHeight="1">
      <c r="C500" s="118"/>
      <c r="E500" s="61"/>
      <c r="H500" s="61"/>
      <c r="I500" s="60"/>
      <c r="K500" s="62"/>
      <c r="O500" s="60"/>
      <c r="P500" s="61"/>
      <c r="Q500" s="62"/>
      <c r="R500" s="61"/>
      <c r="S500" s="62"/>
      <c r="T500" s="61"/>
      <c r="U500" s="62"/>
      <c r="V500" s="61"/>
      <c r="W500" s="62"/>
      <c r="X500" s="61"/>
      <c r="Y500" s="62"/>
      <c r="Z500" s="61"/>
      <c r="AA500" s="62"/>
    </row>
    <row r="501" spans="3:27" ht="16.5" customHeight="1">
      <c r="C501" s="118"/>
      <c r="E501" s="61"/>
      <c r="H501" s="61"/>
      <c r="I501" s="60"/>
      <c r="K501" s="62"/>
      <c r="O501" s="60"/>
      <c r="P501" s="61"/>
      <c r="Q501" s="62"/>
      <c r="R501" s="61"/>
      <c r="S501" s="62"/>
      <c r="T501" s="61"/>
      <c r="U501" s="62"/>
      <c r="V501" s="61"/>
      <c r="W501" s="62"/>
      <c r="X501" s="61"/>
      <c r="Y501" s="62"/>
      <c r="Z501" s="61"/>
      <c r="AA501" s="62"/>
    </row>
    <row r="502" spans="3:27" ht="16.5" customHeight="1">
      <c r="C502" s="118"/>
      <c r="E502" s="61"/>
      <c r="H502" s="61"/>
      <c r="I502" s="60"/>
      <c r="K502" s="62"/>
      <c r="O502" s="60"/>
      <c r="P502" s="61"/>
      <c r="Q502" s="62"/>
      <c r="R502" s="61"/>
      <c r="S502" s="62"/>
      <c r="T502" s="61"/>
      <c r="U502" s="62"/>
      <c r="V502" s="61"/>
      <c r="W502" s="62"/>
      <c r="X502" s="61"/>
      <c r="Y502" s="62"/>
      <c r="Z502" s="61"/>
      <c r="AA502" s="62"/>
    </row>
    <row r="503" spans="3:27" ht="16.5" customHeight="1">
      <c r="C503" s="118"/>
      <c r="E503" s="61"/>
      <c r="H503" s="61"/>
      <c r="I503" s="60"/>
      <c r="K503" s="62"/>
      <c r="O503" s="60"/>
      <c r="P503" s="61"/>
      <c r="Q503" s="62"/>
      <c r="R503" s="61"/>
      <c r="S503" s="62"/>
      <c r="T503" s="61"/>
      <c r="U503" s="62"/>
      <c r="V503" s="61"/>
      <c r="W503" s="62"/>
      <c r="X503" s="61"/>
      <c r="Y503" s="62"/>
      <c r="Z503" s="61"/>
      <c r="AA503" s="62"/>
    </row>
    <row r="504" spans="3:27" ht="16.5" customHeight="1">
      <c r="C504" s="118"/>
      <c r="E504" s="61"/>
      <c r="H504" s="61"/>
      <c r="I504" s="60"/>
      <c r="K504" s="62"/>
      <c r="O504" s="60"/>
      <c r="P504" s="61"/>
      <c r="Q504" s="62"/>
      <c r="R504" s="61"/>
      <c r="S504" s="62"/>
      <c r="T504" s="61"/>
      <c r="U504" s="62"/>
      <c r="V504" s="61"/>
      <c r="W504" s="62"/>
      <c r="X504" s="61"/>
      <c r="Y504" s="62"/>
      <c r="Z504" s="61"/>
      <c r="AA504" s="62"/>
    </row>
    <row r="505" spans="3:27" ht="16.5" customHeight="1">
      <c r="C505" s="118"/>
      <c r="E505" s="61"/>
      <c r="H505" s="61"/>
      <c r="I505" s="60"/>
      <c r="K505" s="62"/>
      <c r="O505" s="60"/>
      <c r="P505" s="61"/>
      <c r="Q505" s="62"/>
      <c r="R505" s="61"/>
      <c r="S505" s="62"/>
      <c r="T505" s="61"/>
      <c r="U505" s="62"/>
      <c r="V505" s="61"/>
      <c r="W505" s="62"/>
      <c r="X505" s="61"/>
      <c r="Y505" s="62"/>
      <c r="Z505" s="61"/>
      <c r="AA505" s="62"/>
    </row>
    <row r="506" spans="3:27" ht="16.5" customHeight="1">
      <c r="C506" s="118"/>
      <c r="E506" s="61"/>
      <c r="H506" s="61"/>
      <c r="I506" s="60"/>
      <c r="K506" s="62"/>
      <c r="O506" s="60"/>
      <c r="P506" s="61"/>
      <c r="Q506" s="62"/>
      <c r="R506" s="61"/>
      <c r="S506" s="62"/>
      <c r="T506" s="61"/>
      <c r="U506" s="62"/>
      <c r="V506" s="61"/>
      <c r="W506" s="62"/>
      <c r="X506" s="61"/>
      <c r="Y506" s="62"/>
      <c r="Z506" s="61"/>
      <c r="AA506" s="62"/>
    </row>
    <row r="507" spans="3:27" ht="16.5" customHeight="1">
      <c r="C507" s="118"/>
      <c r="E507" s="61"/>
      <c r="H507" s="61"/>
      <c r="I507" s="60"/>
      <c r="K507" s="62"/>
      <c r="O507" s="60"/>
      <c r="P507" s="61"/>
      <c r="Q507" s="62"/>
      <c r="R507" s="61"/>
      <c r="S507" s="62"/>
      <c r="T507" s="61"/>
      <c r="U507" s="62"/>
      <c r="V507" s="61"/>
      <c r="W507" s="62"/>
      <c r="X507" s="61"/>
      <c r="Y507" s="62"/>
      <c r="Z507" s="61"/>
      <c r="AA507" s="62"/>
    </row>
    <row r="508" spans="3:27" ht="16.5" customHeight="1">
      <c r="C508" s="118"/>
      <c r="E508" s="61"/>
      <c r="H508" s="61"/>
      <c r="I508" s="60"/>
      <c r="K508" s="62"/>
      <c r="O508" s="60"/>
      <c r="P508" s="61"/>
      <c r="Q508" s="62"/>
      <c r="R508" s="61"/>
      <c r="S508" s="62"/>
      <c r="T508" s="61"/>
      <c r="U508" s="62"/>
      <c r="V508" s="61"/>
      <c r="W508" s="62"/>
      <c r="X508" s="61"/>
      <c r="Y508" s="62"/>
      <c r="Z508" s="61"/>
      <c r="AA508" s="62"/>
    </row>
    <row r="509" spans="3:27" ht="16.5" customHeight="1">
      <c r="C509" s="118"/>
      <c r="E509" s="61"/>
      <c r="H509" s="61"/>
      <c r="I509" s="60"/>
      <c r="K509" s="62"/>
      <c r="O509" s="60"/>
      <c r="P509" s="61"/>
      <c r="Q509" s="62"/>
      <c r="R509" s="61"/>
      <c r="S509" s="62"/>
      <c r="T509" s="61"/>
      <c r="U509" s="62"/>
      <c r="V509" s="61"/>
      <c r="W509" s="62"/>
      <c r="X509" s="61"/>
      <c r="Y509" s="62"/>
      <c r="Z509" s="61"/>
      <c r="AA509" s="62"/>
    </row>
    <row r="510" spans="3:27" ht="16.5" customHeight="1">
      <c r="C510" s="118"/>
      <c r="E510" s="61"/>
      <c r="H510" s="61"/>
      <c r="I510" s="60"/>
      <c r="K510" s="62"/>
      <c r="O510" s="60"/>
      <c r="P510" s="61"/>
      <c r="Q510" s="62"/>
      <c r="R510" s="61"/>
      <c r="S510" s="62"/>
      <c r="T510" s="61"/>
      <c r="U510" s="62"/>
      <c r="V510" s="61"/>
      <c r="W510" s="62"/>
      <c r="X510" s="61"/>
      <c r="Y510" s="62"/>
      <c r="Z510" s="61"/>
      <c r="AA510" s="62"/>
    </row>
    <row r="511" spans="3:27" ht="16.5" customHeight="1">
      <c r="C511" s="118"/>
      <c r="E511" s="61"/>
      <c r="H511" s="61"/>
      <c r="I511" s="60"/>
      <c r="K511" s="62"/>
      <c r="O511" s="60"/>
      <c r="P511" s="61"/>
      <c r="Q511" s="62"/>
      <c r="R511" s="61"/>
      <c r="S511" s="62"/>
      <c r="T511" s="61"/>
      <c r="U511" s="62"/>
      <c r="V511" s="61"/>
      <c r="W511" s="62"/>
      <c r="X511" s="61"/>
      <c r="Y511" s="62"/>
      <c r="Z511" s="61"/>
      <c r="AA511" s="62"/>
    </row>
    <row r="512" spans="3:27" ht="16.5" customHeight="1">
      <c r="C512" s="118"/>
      <c r="E512" s="61"/>
      <c r="H512" s="61"/>
      <c r="I512" s="60"/>
      <c r="K512" s="62"/>
      <c r="O512" s="60"/>
      <c r="P512" s="61"/>
      <c r="Q512" s="62"/>
      <c r="R512" s="61"/>
      <c r="S512" s="62"/>
      <c r="T512" s="61"/>
      <c r="U512" s="62"/>
      <c r="V512" s="61"/>
      <c r="W512" s="62"/>
      <c r="X512" s="61"/>
      <c r="Y512" s="62"/>
      <c r="Z512" s="61"/>
      <c r="AA512" s="62"/>
    </row>
    <row r="513" spans="3:27" ht="16.5" customHeight="1">
      <c r="C513" s="118"/>
      <c r="E513" s="61"/>
      <c r="H513" s="61"/>
      <c r="I513" s="60"/>
      <c r="K513" s="62"/>
      <c r="O513" s="60"/>
      <c r="P513" s="61"/>
      <c r="Q513" s="62"/>
      <c r="R513" s="61"/>
      <c r="S513" s="62"/>
      <c r="T513" s="61"/>
      <c r="U513" s="62"/>
      <c r="V513" s="61"/>
      <c r="W513" s="62"/>
      <c r="X513" s="61"/>
      <c r="Y513" s="62"/>
      <c r="Z513" s="61"/>
      <c r="AA513" s="62"/>
    </row>
    <row r="514" spans="3:27" ht="16.5" customHeight="1">
      <c r="C514" s="118"/>
      <c r="E514" s="61"/>
      <c r="H514" s="61"/>
      <c r="I514" s="60"/>
      <c r="K514" s="62"/>
      <c r="O514" s="60"/>
      <c r="P514" s="61"/>
      <c r="Q514" s="62"/>
      <c r="R514" s="61"/>
      <c r="S514" s="62"/>
      <c r="T514" s="61"/>
      <c r="U514" s="62"/>
      <c r="V514" s="61"/>
      <c r="W514" s="62"/>
      <c r="X514" s="61"/>
      <c r="Y514" s="62"/>
      <c r="Z514" s="61"/>
      <c r="AA514" s="62"/>
    </row>
    <row r="515" spans="3:27" ht="16.5" customHeight="1">
      <c r="C515" s="118"/>
      <c r="E515" s="61"/>
      <c r="H515" s="61"/>
      <c r="I515" s="60"/>
      <c r="K515" s="62"/>
      <c r="O515" s="60"/>
      <c r="P515" s="61"/>
      <c r="Q515" s="62"/>
      <c r="R515" s="61"/>
      <c r="S515" s="62"/>
      <c r="T515" s="61"/>
      <c r="U515" s="62"/>
      <c r="V515" s="61"/>
      <c r="W515" s="62"/>
      <c r="X515" s="61"/>
      <c r="Y515" s="62"/>
      <c r="Z515" s="61"/>
      <c r="AA515" s="62"/>
    </row>
    <row r="516" spans="3:27" ht="16.5" customHeight="1">
      <c r="C516" s="118"/>
      <c r="E516" s="61"/>
      <c r="H516" s="61"/>
      <c r="I516" s="60"/>
      <c r="K516" s="62"/>
      <c r="O516" s="60"/>
      <c r="P516" s="61"/>
      <c r="Q516" s="62"/>
      <c r="R516" s="61"/>
      <c r="S516" s="62"/>
      <c r="T516" s="61"/>
      <c r="U516" s="62"/>
      <c r="V516" s="61"/>
      <c r="W516" s="62"/>
      <c r="X516" s="61"/>
      <c r="Y516" s="62"/>
      <c r="Z516" s="61"/>
      <c r="AA516" s="62"/>
    </row>
    <row r="517" spans="3:27" ht="16.5" customHeight="1">
      <c r="C517" s="118"/>
      <c r="E517" s="61"/>
      <c r="H517" s="61"/>
      <c r="I517" s="60"/>
      <c r="K517" s="62"/>
      <c r="O517" s="60"/>
      <c r="P517" s="61"/>
      <c r="Q517" s="62"/>
      <c r="R517" s="61"/>
      <c r="S517" s="62"/>
      <c r="T517" s="61"/>
      <c r="U517" s="62"/>
      <c r="V517" s="61"/>
      <c r="W517" s="62"/>
      <c r="X517" s="61"/>
      <c r="Y517" s="62"/>
      <c r="Z517" s="61"/>
      <c r="AA517" s="62"/>
    </row>
    <row r="518" spans="3:27" ht="16.5" customHeight="1">
      <c r="C518" s="118"/>
      <c r="E518" s="61"/>
      <c r="H518" s="61"/>
      <c r="I518" s="60"/>
      <c r="K518" s="62"/>
      <c r="O518" s="60"/>
      <c r="P518" s="61"/>
      <c r="Q518" s="62"/>
      <c r="R518" s="61"/>
      <c r="S518" s="62"/>
      <c r="T518" s="61"/>
      <c r="U518" s="62"/>
      <c r="V518" s="61"/>
      <c r="W518" s="62"/>
      <c r="X518" s="61"/>
      <c r="Y518" s="62"/>
      <c r="Z518" s="61"/>
      <c r="AA518" s="62"/>
    </row>
    <row r="519" spans="3:27" ht="16.5" customHeight="1">
      <c r="C519" s="118"/>
      <c r="E519" s="61"/>
      <c r="H519" s="61"/>
      <c r="I519" s="60"/>
      <c r="K519" s="62"/>
      <c r="O519" s="60"/>
      <c r="P519" s="61"/>
      <c r="Q519" s="62"/>
      <c r="R519" s="61"/>
      <c r="S519" s="62"/>
      <c r="T519" s="61"/>
      <c r="U519" s="62"/>
      <c r="V519" s="61"/>
      <c r="W519" s="62"/>
      <c r="X519" s="61"/>
      <c r="Y519" s="62"/>
      <c r="Z519" s="61"/>
      <c r="AA519" s="62"/>
    </row>
    <row r="520" spans="3:27" ht="16.5" customHeight="1">
      <c r="C520" s="118"/>
      <c r="E520" s="61"/>
      <c r="H520" s="61"/>
      <c r="I520" s="60"/>
      <c r="K520" s="62"/>
      <c r="O520" s="60"/>
      <c r="P520" s="61"/>
      <c r="Q520" s="62"/>
      <c r="R520" s="61"/>
      <c r="S520" s="62"/>
      <c r="T520" s="61"/>
      <c r="U520" s="62"/>
      <c r="V520" s="61"/>
      <c r="W520" s="62"/>
      <c r="X520" s="61"/>
      <c r="Y520" s="62"/>
      <c r="Z520" s="61"/>
      <c r="AA520" s="62"/>
    </row>
    <row r="521" spans="3:27" ht="16.5" customHeight="1">
      <c r="C521" s="118"/>
      <c r="E521" s="61"/>
      <c r="H521" s="61"/>
      <c r="I521" s="60"/>
      <c r="K521" s="62"/>
      <c r="O521" s="60"/>
      <c r="P521" s="61"/>
      <c r="Q521" s="62"/>
      <c r="R521" s="61"/>
      <c r="S521" s="62"/>
      <c r="T521" s="61"/>
      <c r="U521" s="62"/>
      <c r="V521" s="61"/>
      <c r="W521" s="62"/>
      <c r="X521" s="61"/>
      <c r="Y521" s="62"/>
      <c r="Z521" s="61"/>
      <c r="AA521" s="62"/>
    </row>
    <row r="522" spans="3:27" ht="16.5" customHeight="1">
      <c r="C522" s="118"/>
      <c r="E522" s="61"/>
      <c r="H522" s="61"/>
      <c r="I522" s="60"/>
      <c r="K522" s="62"/>
      <c r="O522" s="60"/>
      <c r="P522" s="61"/>
      <c r="Q522" s="62"/>
      <c r="R522" s="61"/>
      <c r="S522" s="62"/>
      <c r="T522" s="61"/>
      <c r="U522" s="62"/>
      <c r="V522" s="61"/>
      <c r="W522" s="62"/>
      <c r="X522" s="61"/>
      <c r="Y522" s="62"/>
      <c r="Z522" s="61"/>
      <c r="AA522" s="62"/>
    </row>
    <row r="523" spans="3:27" ht="16.5" customHeight="1">
      <c r="C523" s="118"/>
      <c r="E523" s="61"/>
      <c r="H523" s="61"/>
      <c r="I523" s="60"/>
      <c r="K523" s="62"/>
      <c r="O523" s="60"/>
      <c r="P523" s="61"/>
      <c r="Q523" s="62"/>
      <c r="R523" s="61"/>
      <c r="S523" s="62"/>
      <c r="T523" s="61"/>
      <c r="U523" s="62"/>
      <c r="V523" s="61"/>
      <c r="W523" s="62"/>
      <c r="X523" s="61"/>
      <c r="Y523" s="62"/>
      <c r="Z523" s="61"/>
      <c r="AA523" s="62"/>
    </row>
    <row r="524" spans="3:27" ht="16.5" customHeight="1">
      <c r="C524" s="118"/>
      <c r="E524" s="61"/>
      <c r="H524" s="61"/>
      <c r="I524" s="60"/>
      <c r="K524" s="62"/>
      <c r="O524" s="60"/>
      <c r="P524" s="61"/>
      <c r="Q524" s="62"/>
      <c r="R524" s="61"/>
      <c r="S524" s="62"/>
      <c r="T524" s="61"/>
      <c r="U524" s="62"/>
      <c r="V524" s="61"/>
      <c r="W524" s="62"/>
      <c r="X524" s="61"/>
      <c r="Y524" s="62"/>
      <c r="Z524" s="61"/>
      <c r="AA524" s="62"/>
    </row>
    <row r="525" spans="3:27" ht="16.5" customHeight="1">
      <c r="C525" s="118"/>
      <c r="E525" s="61"/>
      <c r="H525" s="61"/>
      <c r="I525" s="60"/>
      <c r="K525" s="62"/>
      <c r="O525" s="60"/>
      <c r="P525" s="61"/>
      <c r="Q525" s="62"/>
      <c r="R525" s="61"/>
      <c r="S525" s="62"/>
      <c r="T525" s="61"/>
      <c r="U525" s="62"/>
      <c r="V525" s="61"/>
      <c r="W525" s="62"/>
      <c r="X525" s="61"/>
      <c r="Y525" s="62"/>
      <c r="Z525" s="61"/>
      <c r="AA525" s="62"/>
    </row>
    <row r="526" spans="3:27" ht="16.5" customHeight="1">
      <c r="C526" s="118"/>
      <c r="E526" s="61"/>
      <c r="H526" s="61"/>
      <c r="I526" s="60"/>
      <c r="K526" s="62"/>
      <c r="O526" s="60"/>
      <c r="P526" s="61"/>
      <c r="Q526" s="62"/>
      <c r="R526" s="61"/>
      <c r="S526" s="62"/>
      <c r="T526" s="61"/>
      <c r="U526" s="62"/>
      <c r="V526" s="61"/>
      <c r="W526" s="62"/>
      <c r="X526" s="61"/>
      <c r="Y526" s="62"/>
      <c r="Z526" s="61"/>
      <c r="AA526" s="62"/>
    </row>
    <row r="527" spans="3:27" ht="16.5" customHeight="1">
      <c r="C527" s="118"/>
      <c r="E527" s="61"/>
      <c r="H527" s="61"/>
      <c r="I527" s="60"/>
      <c r="K527" s="62"/>
      <c r="O527" s="60"/>
      <c r="P527" s="61"/>
      <c r="Q527" s="62"/>
      <c r="R527" s="61"/>
      <c r="S527" s="62"/>
      <c r="T527" s="61"/>
      <c r="U527" s="62"/>
      <c r="V527" s="61"/>
      <c r="W527" s="62"/>
      <c r="X527" s="61"/>
      <c r="Y527" s="62"/>
      <c r="Z527" s="61"/>
      <c r="AA527" s="62"/>
    </row>
    <row r="528" spans="3:27" ht="16.5" customHeight="1">
      <c r="C528" s="118"/>
      <c r="E528" s="61"/>
      <c r="H528" s="61"/>
      <c r="I528" s="60"/>
      <c r="K528" s="62"/>
      <c r="O528" s="60"/>
      <c r="P528" s="61"/>
      <c r="Q528" s="62"/>
      <c r="R528" s="61"/>
      <c r="S528" s="62"/>
      <c r="T528" s="61"/>
      <c r="U528" s="62"/>
      <c r="V528" s="61"/>
      <c r="W528" s="62"/>
      <c r="X528" s="61"/>
      <c r="Y528" s="62"/>
      <c r="Z528" s="61"/>
      <c r="AA528" s="62"/>
    </row>
    <row r="529" spans="3:27" ht="16.5" customHeight="1">
      <c r="C529" s="118"/>
      <c r="E529" s="61"/>
      <c r="H529" s="61"/>
      <c r="I529" s="60"/>
      <c r="K529" s="62"/>
      <c r="O529" s="60"/>
      <c r="P529" s="61"/>
      <c r="Q529" s="62"/>
      <c r="R529" s="61"/>
      <c r="S529" s="62"/>
      <c r="T529" s="61"/>
      <c r="U529" s="62"/>
      <c r="V529" s="61"/>
      <c r="W529" s="62"/>
      <c r="X529" s="61"/>
      <c r="Y529" s="62"/>
      <c r="Z529" s="61"/>
      <c r="AA529" s="62"/>
    </row>
    <row r="530" spans="3:27" ht="16.5" customHeight="1">
      <c r="C530" s="118"/>
      <c r="E530" s="61"/>
      <c r="H530" s="61"/>
      <c r="I530" s="60"/>
      <c r="K530" s="62"/>
      <c r="O530" s="60"/>
      <c r="P530" s="61"/>
      <c r="Q530" s="62"/>
      <c r="R530" s="61"/>
      <c r="S530" s="62"/>
      <c r="T530" s="61"/>
      <c r="U530" s="62"/>
      <c r="V530" s="61"/>
      <c r="W530" s="62"/>
      <c r="X530" s="61"/>
      <c r="Y530" s="62"/>
      <c r="Z530" s="61"/>
      <c r="AA530" s="62"/>
    </row>
    <row r="531" spans="3:27" ht="16.5" customHeight="1">
      <c r="C531" s="118"/>
      <c r="E531" s="61"/>
      <c r="H531" s="61"/>
      <c r="I531" s="60"/>
      <c r="K531" s="62"/>
      <c r="O531" s="60"/>
      <c r="P531" s="61"/>
      <c r="Q531" s="62"/>
      <c r="R531" s="61"/>
      <c r="S531" s="62"/>
      <c r="T531" s="61"/>
      <c r="U531" s="62"/>
      <c r="V531" s="61"/>
      <c r="W531" s="62"/>
      <c r="X531" s="61"/>
      <c r="Y531" s="62"/>
      <c r="Z531" s="61"/>
      <c r="AA531" s="62"/>
    </row>
    <row r="532" spans="3:27" ht="16.5" customHeight="1">
      <c r="C532" s="118"/>
      <c r="E532" s="61"/>
      <c r="H532" s="61"/>
      <c r="I532" s="60"/>
      <c r="K532" s="62"/>
      <c r="O532" s="60"/>
      <c r="P532" s="61"/>
      <c r="Q532" s="62"/>
      <c r="R532" s="61"/>
      <c r="S532" s="62"/>
      <c r="T532" s="61"/>
      <c r="U532" s="62"/>
      <c r="V532" s="61"/>
      <c r="W532" s="62"/>
      <c r="X532" s="61"/>
      <c r="Y532" s="62"/>
      <c r="Z532" s="61"/>
      <c r="AA532" s="62"/>
    </row>
    <row r="533" spans="3:27" ht="16.5" customHeight="1">
      <c r="C533" s="118"/>
      <c r="E533" s="61"/>
      <c r="H533" s="61"/>
      <c r="I533" s="60"/>
      <c r="K533" s="62"/>
      <c r="O533" s="60"/>
      <c r="P533" s="61"/>
      <c r="Q533" s="62"/>
      <c r="R533" s="61"/>
      <c r="S533" s="62"/>
      <c r="T533" s="61"/>
      <c r="U533" s="62"/>
      <c r="V533" s="61"/>
      <c r="W533" s="62"/>
      <c r="X533" s="61"/>
      <c r="Y533" s="62"/>
      <c r="Z533" s="61"/>
      <c r="AA533" s="62"/>
    </row>
    <row r="534" spans="3:27" ht="16.5" customHeight="1">
      <c r="C534" s="118"/>
      <c r="E534" s="61"/>
      <c r="H534" s="61"/>
      <c r="I534" s="60"/>
      <c r="K534" s="62"/>
      <c r="O534" s="60"/>
      <c r="P534" s="61"/>
      <c r="Q534" s="62"/>
      <c r="R534" s="61"/>
      <c r="S534" s="62"/>
      <c r="T534" s="61"/>
      <c r="U534" s="62"/>
      <c r="V534" s="61"/>
      <c r="W534" s="62"/>
      <c r="X534" s="61"/>
      <c r="Y534" s="62"/>
      <c r="Z534" s="61"/>
      <c r="AA534" s="62"/>
    </row>
    <row r="535" spans="3:27" ht="16.5" customHeight="1">
      <c r="C535" s="118"/>
      <c r="E535" s="61"/>
      <c r="H535" s="61"/>
      <c r="I535" s="60"/>
      <c r="K535" s="62"/>
      <c r="O535" s="60"/>
      <c r="P535" s="61"/>
      <c r="Q535" s="62"/>
      <c r="R535" s="61"/>
      <c r="S535" s="62"/>
      <c r="T535" s="61"/>
      <c r="U535" s="62"/>
      <c r="V535" s="61"/>
      <c r="W535" s="62"/>
      <c r="X535" s="61"/>
      <c r="Y535" s="62"/>
      <c r="Z535" s="61"/>
      <c r="AA535" s="62"/>
    </row>
    <row r="536" spans="3:27" ht="16.5" customHeight="1">
      <c r="C536" s="118"/>
      <c r="E536" s="61"/>
      <c r="H536" s="61"/>
      <c r="I536" s="60"/>
      <c r="K536" s="62"/>
      <c r="O536" s="60"/>
      <c r="P536" s="61"/>
      <c r="Q536" s="62"/>
      <c r="R536" s="61"/>
      <c r="S536" s="62"/>
      <c r="T536" s="61"/>
      <c r="U536" s="62"/>
      <c r="V536" s="61"/>
      <c r="W536" s="62"/>
      <c r="X536" s="61"/>
      <c r="Y536" s="62"/>
      <c r="Z536" s="61"/>
      <c r="AA536" s="62"/>
    </row>
    <row r="537" spans="3:27" ht="16.5" customHeight="1">
      <c r="C537" s="118"/>
      <c r="E537" s="61"/>
      <c r="H537" s="61"/>
      <c r="I537" s="60"/>
      <c r="K537" s="62"/>
      <c r="O537" s="60"/>
      <c r="P537" s="61"/>
      <c r="Q537" s="62"/>
      <c r="R537" s="61"/>
      <c r="S537" s="62"/>
      <c r="T537" s="61"/>
      <c r="U537" s="62"/>
      <c r="V537" s="61"/>
      <c r="W537" s="62"/>
      <c r="X537" s="61"/>
      <c r="Y537" s="62"/>
      <c r="Z537" s="61"/>
      <c r="AA537" s="62"/>
    </row>
    <row r="538" spans="3:27" ht="16.5" customHeight="1">
      <c r="C538" s="118"/>
      <c r="E538" s="61"/>
      <c r="H538" s="61"/>
      <c r="I538" s="60"/>
      <c r="K538" s="62"/>
      <c r="O538" s="60"/>
      <c r="P538" s="61"/>
      <c r="Q538" s="62"/>
      <c r="R538" s="61"/>
      <c r="S538" s="62"/>
      <c r="T538" s="61"/>
      <c r="U538" s="62"/>
      <c r="V538" s="61"/>
      <c r="W538" s="62"/>
      <c r="X538" s="61"/>
      <c r="Y538" s="62"/>
      <c r="Z538" s="61"/>
      <c r="AA538" s="62"/>
    </row>
    <row r="539" spans="3:27" ht="16.5" customHeight="1">
      <c r="C539" s="118"/>
      <c r="E539" s="61"/>
      <c r="H539" s="61"/>
      <c r="I539" s="60"/>
      <c r="K539" s="62"/>
      <c r="O539" s="60"/>
      <c r="P539" s="61"/>
      <c r="Q539" s="62"/>
      <c r="R539" s="61"/>
      <c r="S539" s="62"/>
      <c r="T539" s="61"/>
      <c r="U539" s="62"/>
      <c r="V539" s="61"/>
      <c r="W539" s="62"/>
      <c r="X539" s="61"/>
      <c r="Y539" s="62"/>
      <c r="Z539" s="61"/>
      <c r="AA539" s="62"/>
    </row>
    <row r="540" spans="3:27" ht="16.5" customHeight="1">
      <c r="C540" s="118"/>
      <c r="E540" s="61"/>
      <c r="H540" s="61"/>
      <c r="I540" s="60"/>
      <c r="K540" s="62"/>
      <c r="O540" s="60"/>
      <c r="P540" s="61"/>
      <c r="Q540" s="62"/>
      <c r="R540" s="61"/>
      <c r="S540" s="62"/>
      <c r="T540" s="61"/>
      <c r="U540" s="62"/>
      <c r="V540" s="61"/>
      <c r="W540" s="62"/>
      <c r="X540" s="61"/>
      <c r="Y540" s="62"/>
      <c r="Z540" s="61"/>
      <c r="AA540" s="62"/>
    </row>
    <row r="541" spans="3:27" ht="16.5" customHeight="1">
      <c r="C541" s="118"/>
      <c r="E541" s="61"/>
      <c r="H541" s="61"/>
      <c r="I541" s="60"/>
      <c r="K541" s="62"/>
      <c r="O541" s="60"/>
      <c r="P541" s="61"/>
      <c r="Q541" s="62"/>
      <c r="R541" s="61"/>
      <c r="S541" s="62"/>
      <c r="T541" s="61"/>
      <c r="U541" s="62"/>
      <c r="V541" s="61"/>
      <c r="W541" s="62"/>
      <c r="X541" s="61"/>
      <c r="Y541" s="62"/>
      <c r="Z541" s="61"/>
      <c r="AA541" s="62"/>
    </row>
    <row r="542" spans="3:27" ht="16.5" customHeight="1">
      <c r="C542" s="118"/>
      <c r="E542" s="61"/>
      <c r="H542" s="61"/>
      <c r="I542" s="60"/>
      <c r="K542" s="62"/>
      <c r="O542" s="60"/>
      <c r="P542" s="61"/>
      <c r="Q542" s="62"/>
      <c r="R542" s="61"/>
      <c r="S542" s="62"/>
      <c r="T542" s="61"/>
      <c r="U542" s="62"/>
      <c r="V542" s="61"/>
      <c r="W542" s="62"/>
      <c r="X542" s="61"/>
      <c r="Y542" s="62"/>
      <c r="Z542" s="61"/>
      <c r="AA542" s="62"/>
    </row>
    <row r="543" spans="3:27" ht="16.5" customHeight="1">
      <c r="C543" s="118"/>
      <c r="E543" s="61"/>
      <c r="H543" s="61"/>
      <c r="I543" s="60"/>
      <c r="K543" s="62"/>
      <c r="O543" s="60"/>
      <c r="P543" s="61"/>
      <c r="Q543" s="62"/>
      <c r="R543" s="61"/>
      <c r="S543" s="62"/>
      <c r="T543" s="61"/>
      <c r="U543" s="62"/>
      <c r="V543" s="61"/>
      <c r="W543" s="62"/>
      <c r="X543" s="61"/>
      <c r="Y543" s="62"/>
      <c r="Z543" s="61"/>
      <c r="AA543" s="62"/>
    </row>
    <row r="544" spans="3:27" ht="16.5" customHeight="1">
      <c r="C544" s="118"/>
      <c r="E544" s="61"/>
      <c r="H544" s="61"/>
      <c r="I544" s="60"/>
      <c r="K544" s="62"/>
      <c r="O544" s="60"/>
      <c r="P544" s="61"/>
      <c r="Q544" s="62"/>
      <c r="R544" s="61"/>
      <c r="S544" s="62"/>
      <c r="T544" s="61"/>
      <c r="U544" s="62"/>
      <c r="V544" s="61"/>
      <c r="W544" s="62"/>
      <c r="X544" s="61"/>
      <c r="Y544" s="62"/>
      <c r="Z544" s="61"/>
      <c r="AA544" s="62"/>
    </row>
    <row r="545" spans="3:27" ht="16.5" customHeight="1">
      <c r="C545" s="118"/>
      <c r="E545" s="61"/>
      <c r="H545" s="61"/>
      <c r="I545" s="60"/>
      <c r="K545" s="62"/>
      <c r="O545" s="60"/>
      <c r="P545" s="61"/>
      <c r="Q545" s="62"/>
      <c r="R545" s="61"/>
      <c r="S545" s="62"/>
      <c r="T545" s="61"/>
      <c r="U545" s="62"/>
      <c r="V545" s="61"/>
      <c r="W545" s="62"/>
      <c r="X545" s="61"/>
      <c r="Y545" s="62"/>
      <c r="Z545" s="61"/>
      <c r="AA545" s="62"/>
    </row>
    <row r="546" spans="3:27" ht="16.5" customHeight="1">
      <c r="C546" s="118"/>
      <c r="E546" s="61"/>
      <c r="H546" s="61"/>
      <c r="I546" s="60"/>
      <c r="K546" s="62"/>
      <c r="O546" s="60"/>
      <c r="P546" s="61"/>
      <c r="Q546" s="62"/>
      <c r="R546" s="61"/>
      <c r="S546" s="62"/>
      <c r="T546" s="61"/>
      <c r="U546" s="62"/>
      <c r="V546" s="61"/>
      <c r="W546" s="62"/>
      <c r="X546" s="61"/>
      <c r="Y546" s="62"/>
      <c r="Z546" s="61"/>
      <c r="AA546" s="62"/>
    </row>
    <row r="547" spans="3:27" ht="16.5" customHeight="1">
      <c r="C547" s="118"/>
      <c r="E547" s="61"/>
      <c r="H547" s="61"/>
      <c r="I547" s="60"/>
      <c r="K547" s="62"/>
      <c r="O547" s="60"/>
      <c r="P547" s="61"/>
      <c r="Q547" s="62"/>
      <c r="R547" s="61"/>
      <c r="S547" s="62"/>
      <c r="T547" s="61"/>
      <c r="U547" s="62"/>
      <c r="V547" s="61"/>
      <c r="W547" s="62"/>
      <c r="X547" s="61"/>
      <c r="Y547" s="62"/>
      <c r="Z547" s="61"/>
      <c r="AA547" s="62"/>
    </row>
    <row r="548" spans="3:27" ht="16.5" customHeight="1">
      <c r="C548" s="118"/>
      <c r="E548" s="61"/>
      <c r="H548" s="61"/>
      <c r="I548" s="60"/>
      <c r="K548" s="62"/>
      <c r="O548" s="60"/>
      <c r="P548" s="61"/>
      <c r="Q548" s="62"/>
      <c r="R548" s="61"/>
      <c r="S548" s="62"/>
      <c r="T548" s="61"/>
      <c r="U548" s="62"/>
      <c r="V548" s="61"/>
      <c r="W548" s="62"/>
      <c r="X548" s="61"/>
      <c r="Y548" s="62"/>
      <c r="Z548" s="61"/>
      <c r="AA548" s="62"/>
    </row>
    <row r="549" spans="3:27" ht="16.5" customHeight="1">
      <c r="C549" s="118"/>
      <c r="E549" s="61"/>
      <c r="H549" s="61"/>
      <c r="I549" s="60"/>
      <c r="K549" s="62"/>
      <c r="O549" s="60"/>
      <c r="P549" s="61"/>
      <c r="Q549" s="62"/>
      <c r="R549" s="61"/>
      <c r="S549" s="62"/>
      <c r="T549" s="61"/>
      <c r="U549" s="62"/>
      <c r="V549" s="61"/>
      <c r="W549" s="62"/>
      <c r="X549" s="61"/>
      <c r="Y549" s="62"/>
      <c r="Z549" s="61"/>
      <c r="AA549" s="62"/>
    </row>
    <row r="550" spans="3:27" ht="16.5" customHeight="1">
      <c r="C550" s="118"/>
      <c r="E550" s="61"/>
      <c r="H550" s="61"/>
      <c r="I550" s="60"/>
      <c r="K550" s="62"/>
      <c r="O550" s="60"/>
      <c r="P550" s="61"/>
      <c r="Q550" s="62"/>
      <c r="R550" s="61"/>
      <c r="S550" s="62"/>
      <c r="T550" s="61"/>
      <c r="U550" s="62"/>
      <c r="V550" s="61"/>
      <c r="W550" s="62"/>
      <c r="X550" s="61"/>
      <c r="Y550" s="62"/>
      <c r="Z550" s="61"/>
      <c r="AA550" s="62"/>
    </row>
    <row r="551" spans="3:27" ht="16.5" customHeight="1">
      <c r="C551" s="118"/>
      <c r="E551" s="61"/>
      <c r="H551" s="61"/>
      <c r="I551" s="60"/>
      <c r="K551" s="62"/>
      <c r="O551" s="60"/>
      <c r="P551" s="61"/>
      <c r="Q551" s="62"/>
      <c r="R551" s="61"/>
      <c r="S551" s="62"/>
      <c r="T551" s="61"/>
      <c r="U551" s="62"/>
      <c r="V551" s="61"/>
      <c r="W551" s="62"/>
      <c r="X551" s="61"/>
      <c r="Y551" s="62"/>
      <c r="Z551" s="61"/>
      <c r="AA551" s="62"/>
    </row>
    <row r="552" spans="3:27" ht="16.5" customHeight="1">
      <c r="C552" s="118"/>
      <c r="E552" s="61"/>
      <c r="H552" s="61"/>
      <c r="I552" s="60"/>
      <c r="K552" s="62"/>
      <c r="O552" s="60"/>
      <c r="P552" s="61"/>
      <c r="Q552" s="62"/>
      <c r="R552" s="61"/>
      <c r="S552" s="62"/>
      <c r="T552" s="61"/>
      <c r="U552" s="62"/>
      <c r="V552" s="61"/>
      <c r="W552" s="62"/>
      <c r="X552" s="61"/>
      <c r="Y552" s="62"/>
      <c r="Z552" s="61"/>
      <c r="AA552" s="62"/>
    </row>
    <row r="553" spans="3:27" ht="16.5" customHeight="1">
      <c r="C553" s="118"/>
      <c r="E553" s="61"/>
      <c r="H553" s="61"/>
      <c r="I553" s="60"/>
      <c r="K553" s="62"/>
      <c r="O553" s="60"/>
      <c r="P553" s="61"/>
      <c r="Q553" s="62"/>
      <c r="R553" s="61"/>
      <c r="S553" s="62"/>
      <c r="T553" s="61"/>
      <c r="U553" s="62"/>
      <c r="V553" s="61"/>
      <c r="W553" s="62"/>
      <c r="X553" s="61"/>
      <c r="Y553" s="62"/>
      <c r="Z553" s="61"/>
      <c r="AA553" s="62"/>
    </row>
    <row r="554" spans="3:27" ht="16.5" customHeight="1">
      <c r="C554" s="118"/>
      <c r="E554" s="61"/>
      <c r="H554" s="61"/>
      <c r="I554" s="60"/>
      <c r="K554" s="62"/>
      <c r="O554" s="60"/>
      <c r="P554" s="61"/>
      <c r="Q554" s="62"/>
      <c r="R554" s="61"/>
      <c r="S554" s="62"/>
      <c r="T554" s="61"/>
      <c r="U554" s="62"/>
      <c r="V554" s="61"/>
      <c r="W554" s="62"/>
      <c r="X554" s="61"/>
      <c r="Y554" s="62"/>
      <c r="Z554" s="61"/>
      <c r="AA554" s="62"/>
    </row>
    <row r="555" spans="3:27" ht="16.5" customHeight="1">
      <c r="C555" s="118"/>
      <c r="E555" s="61"/>
      <c r="H555" s="61"/>
      <c r="I555" s="60"/>
      <c r="K555" s="62"/>
      <c r="O555" s="60"/>
      <c r="P555" s="61"/>
      <c r="Q555" s="62"/>
      <c r="R555" s="61"/>
      <c r="S555" s="62"/>
      <c r="T555" s="61"/>
      <c r="U555" s="62"/>
      <c r="V555" s="61"/>
      <c r="W555" s="62"/>
      <c r="X555" s="61"/>
      <c r="Y555" s="62"/>
      <c r="Z555" s="61"/>
      <c r="AA555" s="62"/>
    </row>
    <row r="556" spans="3:27" ht="16.5" customHeight="1">
      <c r="C556" s="118"/>
      <c r="E556" s="61"/>
      <c r="H556" s="61"/>
      <c r="I556" s="60"/>
      <c r="K556" s="62"/>
      <c r="O556" s="60"/>
      <c r="P556" s="61"/>
      <c r="Q556" s="62"/>
      <c r="R556" s="61"/>
      <c r="S556" s="62"/>
      <c r="T556" s="61"/>
      <c r="U556" s="62"/>
      <c r="V556" s="61"/>
      <c r="W556" s="62"/>
      <c r="X556" s="61"/>
      <c r="Y556" s="62"/>
      <c r="Z556" s="61"/>
      <c r="AA556" s="62"/>
    </row>
    <row r="557" spans="3:27" ht="16.5" customHeight="1">
      <c r="C557" s="118"/>
      <c r="E557" s="61"/>
      <c r="H557" s="61"/>
      <c r="I557" s="60"/>
      <c r="K557" s="62"/>
      <c r="O557" s="60"/>
      <c r="P557" s="61"/>
      <c r="Q557" s="62"/>
      <c r="R557" s="61"/>
      <c r="S557" s="62"/>
      <c r="T557" s="61"/>
      <c r="U557" s="62"/>
      <c r="V557" s="61"/>
      <c r="W557" s="62"/>
      <c r="X557" s="61"/>
      <c r="Y557" s="62"/>
      <c r="Z557" s="61"/>
      <c r="AA557" s="62"/>
    </row>
    <row r="558" spans="3:27" ht="16.5" customHeight="1">
      <c r="C558" s="118"/>
      <c r="E558" s="61"/>
      <c r="H558" s="61"/>
      <c r="I558" s="60"/>
      <c r="K558" s="62"/>
      <c r="O558" s="60"/>
      <c r="P558" s="61"/>
      <c r="Q558" s="62"/>
      <c r="R558" s="61"/>
      <c r="S558" s="62"/>
      <c r="T558" s="61"/>
      <c r="U558" s="62"/>
      <c r="V558" s="61"/>
      <c r="W558" s="62"/>
      <c r="X558" s="61"/>
      <c r="Y558" s="62"/>
      <c r="Z558" s="61"/>
      <c r="AA558" s="62"/>
    </row>
    <row r="559" spans="3:27" ht="16.5" customHeight="1">
      <c r="C559" s="118"/>
      <c r="E559" s="61"/>
      <c r="H559" s="61"/>
      <c r="I559" s="60"/>
      <c r="K559" s="62"/>
      <c r="O559" s="60"/>
      <c r="P559" s="61"/>
      <c r="Q559" s="62"/>
      <c r="R559" s="61"/>
      <c r="S559" s="62"/>
      <c r="T559" s="61"/>
      <c r="U559" s="62"/>
      <c r="V559" s="61"/>
      <c r="W559" s="62"/>
      <c r="X559" s="61"/>
      <c r="Y559" s="62"/>
      <c r="Z559" s="61"/>
      <c r="AA559" s="62"/>
    </row>
    <row r="560" spans="3:27" ht="16.5" customHeight="1">
      <c r="C560" s="118"/>
      <c r="E560" s="61"/>
      <c r="H560" s="61"/>
      <c r="I560" s="60"/>
      <c r="K560" s="62"/>
      <c r="O560" s="60"/>
      <c r="P560" s="61"/>
      <c r="Q560" s="62"/>
      <c r="R560" s="61"/>
      <c r="S560" s="62"/>
      <c r="T560" s="61"/>
      <c r="U560" s="62"/>
      <c r="V560" s="61"/>
      <c r="W560" s="62"/>
      <c r="X560" s="61"/>
      <c r="Y560" s="62"/>
      <c r="Z560" s="61"/>
      <c r="AA560" s="62"/>
    </row>
    <row r="561" spans="3:27" ht="16.5" customHeight="1">
      <c r="C561" s="118"/>
      <c r="E561" s="61"/>
      <c r="H561" s="61"/>
      <c r="I561" s="60"/>
      <c r="K561" s="62"/>
      <c r="O561" s="60"/>
      <c r="P561" s="61"/>
      <c r="Q561" s="62"/>
      <c r="R561" s="61"/>
      <c r="S561" s="62"/>
      <c r="T561" s="61"/>
      <c r="U561" s="62"/>
      <c r="V561" s="61"/>
      <c r="W561" s="62"/>
      <c r="X561" s="61"/>
      <c r="Y561" s="62"/>
      <c r="Z561" s="61"/>
      <c r="AA561" s="62"/>
    </row>
    <row r="562" spans="3:27" ht="16.5" customHeight="1">
      <c r="C562" s="118"/>
      <c r="E562" s="61"/>
      <c r="H562" s="61"/>
      <c r="I562" s="60"/>
      <c r="K562" s="62"/>
      <c r="O562" s="60"/>
      <c r="P562" s="61"/>
      <c r="Q562" s="62"/>
      <c r="R562" s="61"/>
      <c r="S562" s="62"/>
      <c r="T562" s="61"/>
      <c r="U562" s="62"/>
      <c r="V562" s="61"/>
      <c r="W562" s="62"/>
      <c r="X562" s="61"/>
      <c r="Y562" s="62"/>
      <c r="Z562" s="61"/>
      <c r="AA562" s="62"/>
    </row>
    <row r="563" spans="3:27" ht="16.5" customHeight="1">
      <c r="C563" s="118"/>
      <c r="E563" s="61"/>
      <c r="H563" s="61"/>
      <c r="I563" s="60"/>
      <c r="K563" s="62"/>
      <c r="O563" s="60"/>
      <c r="P563" s="61"/>
      <c r="Q563" s="62"/>
      <c r="R563" s="61"/>
      <c r="S563" s="62"/>
      <c r="T563" s="61"/>
      <c r="U563" s="62"/>
      <c r="V563" s="61"/>
      <c r="W563" s="62"/>
      <c r="X563" s="61"/>
      <c r="Y563" s="62"/>
      <c r="Z563" s="61"/>
      <c r="AA563" s="62"/>
    </row>
    <row r="564" spans="3:27" ht="16.5" customHeight="1">
      <c r="C564" s="118"/>
      <c r="E564" s="61"/>
      <c r="H564" s="61"/>
      <c r="I564" s="60"/>
      <c r="K564" s="62"/>
      <c r="O564" s="60"/>
      <c r="P564" s="61"/>
      <c r="Q564" s="62"/>
      <c r="R564" s="61"/>
      <c r="S564" s="62"/>
      <c r="T564" s="61"/>
      <c r="U564" s="62"/>
      <c r="V564" s="61"/>
      <c r="W564" s="62"/>
      <c r="X564" s="61"/>
      <c r="Y564" s="62"/>
      <c r="Z564" s="61"/>
      <c r="AA564" s="62"/>
    </row>
    <row r="565" spans="3:27" ht="16.5" customHeight="1">
      <c r="C565" s="118"/>
      <c r="E565" s="61"/>
      <c r="H565" s="61"/>
      <c r="I565" s="60"/>
      <c r="K565" s="62"/>
      <c r="O565" s="60"/>
      <c r="P565" s="61"/>
      <c r="Q565" s="62"/>
      <c r="R565" s="61"/>
      <c r="S565" s="62"/>
      <c r="T565" s="61"/>
      <c r="U565" s="62"/>
      <c r="V565" s="61"/>
      <c r="W565" s="62"/>
      <c r="X565" s="61"/>
      <c r="Y565" s="62"/>
      <c r="Z565" s="61"/>
      <c r="AA565" s="62"/>
    </row>
    <row r="566" spans="3:27" ht="16.5" customHeight="1">
      <c r="C566" s="118"/>
      <c r="E566" s="61"/>
      <c r="H566" s="61"/>
      <c r="I566" s="60"/>
      <c r="K566" s="62"/>
      <c r="O566" s="60"/>
      <c r="P566" s="61"/>
      <c r="Q566" s="62"/>
      <c r="R566" s="61"/>
      <c r="S566" s="62"/>
      <c r="T566" s="61"/>
      <c r="U566" s="62"/>
      <c r="V566" s="61"/>
      <c r="W566" s="62"/>
      <c r="X566" s="61"/>
      <c r="Y566" s="62"/>
      <c r="Z566" s="61"/>
      <c r="AA566" s="62"/>
    </row>
    <row r="567" spans="3:27" ht="16.5" customHeight="1">
      <c r="C567" s="118"/>
      <c r="E567" s="61"/>
      <c r="H567" s="61"/>
      <c r="I567" s="60"/>
      <c r="K567" s="62"/>
      <c r="O567" s="60"/>
      <c r="P567" s="61"/>
      <c r="Q567" s="62"/>
      <c r="R567" s="61"/>
      <c r="S567" s="62"/>
      <c r="T567" s="61"/>
      <c r="U567" s="62"/>
      <c r="V567" s="61"/>
      <c r="W567" s="62"/>
      <c r="X567" s="61"/>
      <c r="Y567" s="62"/>
      <c r="Z567" s="61"/>
      <c r="AA567" s="62"/>
    </row>
    <row r="568" spans="3:27" ht="16.5" customHeight="1">
      <c r="C568" s="118"/>
      <c r="E568" s="61"/>
      <c r="H568" s="61"/>
      <c r="I568" s="60"/>
      <c r="K568" s="62"/>
      <c r="O568" s="60"/>
      <c r="P568" s="61"/>
      <c r="Q568" s="62"/>
      <c r="R568" s="61"/>
      <c r="S568" s="62"/>
      <c r="T568" s="61"/>
      <c r="U568" s="62"/>
      <c r="V568" s="61"/>
      <c r="W568" s="62"/>
      <c r="X568" s="61"/>
      <c r="Y568" s="62"/>
      <c r="Z568" s="61"/>
      <c r="AA568" s="62"/>
    </row>
    <row r="569" spans="3:27" ht="16.5" customHeight="1">
      <c r="C569" s="118"/>
      <c r="E569" s="61"/>
      <c r="H569" s="61"/>
      <c r="I569" s="60"/>
      <c r="K569" s="62"/>
      <c r="O569" s="60"/>
      <c r="P569" s="61"/>
      <c r="Q569" s="62"/>
      <c r="R569" s="61"/>
      <c r="S569" s="62"/>
      <c r="T569" s="61"/>
      <c r="U569" s="62"/>
      <c r="V569" s="61"/>
      <c r="W569" s="62"/>
      <c r="X569" s="61"/>
      <c r="Y569" s="62"/>
      <c r="Z569" s="61"/>
      <c r="AA569" s="62"/>
    </row>
    <row r="570" spans="3:27" ht="16.5" customHeight="1">
      <c r="C570" s="118"/>
      <c r="E570" s="61"/>
      <c r="H570" s="61"/>
      <c r="I570" s="60"/>
      <c r="K570" s="62"/>
      <c r="O570" s="60"/>
      <c r="P570" s="61"/>
      <c r="Q570" s="62"/>
      <c r="R570" s="61"/>
      <c r="S570" s="62"/>
      <c r="T570" s="61"/>
      <c r="U570" s="62"/>
      <c r="V570" s="61"/>
      <c r="W570" s="62"/>
      <c r="X570" s="61"/>
      <c r="Y570" s="62"/>
      <c r="Z570" s="61"/>
      <c r="AA570" s="62"/>
    </row>
    <row r="571" spans="3:27" ht="16.5" customHeight="1">
      <c r="C571" s="118"/>
      <c r="E571" s="61"/>
      <c r="H571" s="61"/>
      <c r="I571" s="60"/>
      <c r="K571" s="62"/>
      <c r="O571" s="60"/>
      <c r="P571" s="61"/>
      <c r="Q571" s="62"/>
      <c r="R571" s="61"/>
      <c r="S571" s="62"/>
      <c r="T571" s="61"/>
      <c r="U571" s="62"/>
      <c r="V571" s="61"/>
      <c r="W571" s="62"/>
      <c r="X571" s="61"/>
      <c r="Y571" s="62"/>
      <c r="Z571" s="61"/>
      <c r="AA571" s="62"/>
    </row>
    <row r="572" spans="3:27" ht="16.5" customHeight="1">
      <c r="C572" s="118"/>
      <c r="E572" s="61"/>
      <c r="H572" s="61"/>
      <c r="I572" s="60"/>
      <c r="K572" s="62"/>
      <c r="O572" s="60"/>
      <c r="P572" s="61"/>
      <c r="Q572" s="62"/>
      <c r="R572" s="61"/>
      <c r="S572" s="62"/>
      <c r="T572" s="61"/>
      <c r="U572" s="62"/>
      <c r="V572" s="61"/>
      <c r="W572" s="62"/>
      <c r="X572" s="61"/>
      <c r="Y572" s="62"/>
      <c r="Z572" s="61"/>
      <c r="AA572" s="62"/>
    </row>
    <row r="573" spans="3:27" ht="16.5" customHeight="1">
      <c r="C573" s="118"/>
      <c r="E573" s="61"/>
      <c r="H573" s="61"/>
      <c r="I573" s="60"/>
      <c r="K573" s="62"/>
      <c r="O573" s="60"/>
      <c r="P573" s="61"/>
      <c r="Q573" s="62"/>
      <c r="R573" s="61"/>
      <c r="S573" s="62"/>
      <c r="T573" s="61"/>
      <c r="U573" s="62"/>
      <c r="V573" s="61"/>
      <c r="W573" s="62"/>
      <c r="X573" s="61"/>
      <c r="Y573" s="62"/>
      <c r="Z573" s="61"/>
      <c r="AA573" s="62"/>
    </row>
    <row r="574" spans="3:27" ht="16.5" customHeight="1">
      <c r="C574" s="118"/>
      <c r="E574" s="61"/>
      <c r="H574" s="61"/>
      <c r="I574" s="60"/>
      <c r="K574" s="62"/>
      <c r="O574" s="60"/>
      <c r="P574" s="61"/>
      <c r="Q574" s="62"/>
      <c r="R574" s="61"/>
      <c r="S574" s="62"/>
      <c r="T574" s="61"/>
      <c r="U574" s="62"/>
      <c r="V574" s="61"/>
      <c r="W574" s="62"/>
      <c r="X574" s="61"/>
      <c r="Y574" s="62"/>
      <c r="Z574" s="61"/>
      <c r="AA574" s="62"/>
    </row>
    <row r="575" spans="3:27" ht="16.5" customHeight="1">
      <c r="C575" s="118"/>
      <c r="E575" s="61"/>
      <c r="H575" s="61"/>
      <c r="I575" s="60"/>
      <c r="K575" s="62"/>
      <c r="O575" s="60"/>
      <c r="P575" s="61"/>
      <c r="Q575" s="62"/>
      <c r="R575" s="61"/>
      <c r="S575" s="62"/>
      <c r="T575" s="61"/>
      <c r="U575" s="62"/>
      <c r="V575" s="61"/>
      <c r="W575" s="62"/>
      <c r="X575" s="61"/>
      <c r="Y575" s="62"/>
      <c r="Z575" s="61"/>
      <c r="AA575" s="62"/>
    </row>
    <row r="576" spans="3:27" ht="16.5" customHeight="1">
      <c r="C576" s="118"/>
      <c r="E576" s="61"/>
      <c r="H576" s="61"/>
      <c r="I576" s="60"/>
      <c r="K576" s="62"/>
      <c r="O576" s="60"/>
      <c r="P576" s="61"/>
      <c r="Q576" s="62"/>
      <c r="R576" s="61"/>
      <c r="S576" s="62"/>
      <c r="T576" s="61"/>
      <c r="U576" s="62"/>
      <c r="V576" s="61"/>
      <c r="W576" s="62"/>
      <c r="X576" s="61"/>
      <c r="Y576" s="62"/>
      <c r="Z576" s="61"/>
      <c r="AA576" s="62"/>
    </row>
    <row r="577" spans="3:27" ht="16.5" customHeight="1">
      <c r="C577" s="118"/>
      <c r="E577" s="61"/>
      <c r="H577" s="61"/>
      <c r="I577" s="60"/>
      <c r="K577" s="62"/>
      <c r="O577" s="60"/>
      <c r="P577" s="61"/>
      <c r="Q577" s="62"/>
      <c r="R577" s="61"/>
      <c r="S577" s="62"/>
      <c r="T577" s="61"/>
      <c r="U577" s="62"/>
      <c r="V577" s="61"/>
      <c r="W577" s="62"/>
      <c r="X577" s="61"/>
      <c r="Y577" s="62"/>
      <c r="Z577" s="61"/>
      <c r="AA577" s="62"/>
    </row>
    <row r="578" spans="3:27" ht="16.5" customHeight="1">
      <c r="C578" s="118"/>
      <c r="E578" s="61"/>
      <c r="H578" s="61"/>
      <c r="I578" s="60"/>
      <c r="K578" s="62"/>
      <c r="O578" s="60"/>
      <c r="P578" s="61"/>
      <c r="Q578" s="62"/>
      <c r="R578" s="61"/>
      <c r="S578" s="62"/>
      <c r="T578" s="61"/>
      <c r="U578" s="62"/>
      <c r="V578" s="61"/>
      <c r="W578" s="62"/>
      <c r="X578" s="61"/>
      <c r="Y578" s="62"/>
      <c r="Z578" s="61"/>
      <c r="AA578" s="62"/>
    </row>
    <row r="579" spans="3:27" ht="16.5" customHeight="1">
      <c r="C579" s="118"/>
      <c r="E579" s="61"/>
      <c r="H579" s="61"/>
      <c r="I579" s="60"/>
      <c r="K579" s="62"/>
      <c r="O579" s="60"/>
      <c r="P579" s="61"/>
      <c r="Q579" s="62"/>
      <c r="R579" s="61"/>
      <c r="S579" s="62"/>
      <c r="T579" s="61"/>
      <c r="U579" s="62"/>
      <c r="V579" s="61"/>
      <c r="W579" s="62"/>
      <c r="X579" s="61"/>
      <c r="Y579" s="62"/>
      <c r="Z579" s="61"/>
      <c r="AA579" s="62"/>
    </row>
    <row r="580" spans="3:27" ht="16.5" customHeight="1">
      <c r="C580" s="118"/>
      <c r="E580" s="61"/>
      <c r="H580" s="61"/>
      <c r="I580" s="60"/>
      <c r="K580" s="62"/>
      <c r="O580" s="60"/>
      <c r="P580" s="61"/>
      <c r="Q580" s="62"/>
      <c r="R580" s="61"/>
      <c r="S580" s="62"/>
      <c r="T580" s="61"/>
      <c r="U580" s="62"/>
      <c r="V580" s="61"/>
      <c r="W580" s="62"/>
      <c r="X580" s="61"/>
      <c r="Y580" s="62"/>
      <c r="Z580" s="61"/>
      <c r="AA580" s="62"/>
    </row>
    <row r="581" spans="3:27" ht="16.5" customHeight="1">
      <c r="C581" s="118"/>
      <c r="E581" s="61"/>
      <c r="H581" s="61"/>
      <c r="I581" s="60"/>
      <c r="K581" s="62"/>
      <c r="O581" s="60"/>
      <c r="P581" s="61"/>
      <c r="Q581" s="62"/>
      <c r="R581" s="61"/>
      <c r="S581" s="62"/>
      <c r="T581" s="61"/>
      <c r="U581" s="62"/>
      <c r="V581" s="61"/>
      <c r="W581" s="62"/>
      <c r="X581" s="61"/>
      <c r="Y581" s="62"/>
      <c r="Z581" s="61"/>
      <c r="AA581" s="62"/>
    </row>
    <row r="582" spans="3:27" ht="16.5" customHeight="1">
      <c r="C582" s="118"/>
      <c r="E582" s="61"/>
      <c r="H582" s="61"/>
      <c r="I582" s="60"/>
      <c r="K582" s="62"/>
      <c r="O582" s="60"/>
      <c r="P582" s="61"/>
      <c r="Q582" s="62"/>
      <c r="R582" s="61"/>
      <c r="S582" s="62"/>
      <c r="T582" s="61"/>
      <c r="U582" s="62"/>
      <c r="V582" s="61"/>
      <c r="W582" s="62"/>
      <c r="X582" s="61"/>
      <c r="Y582" s="62"/>
      <c r="Z582" s="61"/>
      <c r="AA582" s="62"/>
    </row>
    <row r="583" spans="3:27" ht="16.5" customHeight="1">
      <c r="C583" s="118"/>
      <c r="E583" s="61"/>
      <c r="H583" s="61"/>
      <c r="I583" s="60"/>
      <c r="K583" s="62"/>
      <c r="O583" s="60"/>
      <c r="P583" s="61"/>
      <c r="Q583" s="62"/>
      <c r="R583" s="61"/>
      <c r="S583" s="62"/>
      <c r="T583" s="61"/>
      <c r="U583" s="62"/>
      <c r="V583" s="61"/>
      <c r="W583" s="62"/>
      <c r="X583" s="61"/>
      <c r="Y583" s="62"/>
      <c r="Z583" s="61"/>
      <c r="AA583" s="62"/>
    </row>
    <row r="584" spans="3:27" ht="16.5" customHeight="1">
      <c r="C584" s="118"/>
      <c r="E584" s="61"/>
      <c r="H584" s="61"/>
      <c r="I584" s="60"/>
      <c r="K584" s="62"/>
      <c r="O584" s="60"/>
      <c r="P584" s="61"/>
      <c r="Q584" s="62"/>
      <c r="R584" s="61"/>
      <c r="S584" s="62"/>
      <c r="T584" s="61"/>
      <c r="U584" s="62"/>
      <c r="V584" s="61"/>
      <c r="W584" s="62"/>
      <c r="X584" s="61"/>
      <c r="Y584" s="62"/>
      <c r="Z584" s="61"/>
      <c r="AA584" s="62"/>
    </row>
    <row r="585" spans="3:27" ht="16.5" customHeight="1">
      <c r="C585" s="118"/>
      <c r="E585" s="61"/>
      <c r="H585" s="61"/>
      <c r="I585" s="60"/>
      <c r="K585" s="62"/>
      <c r="O585" s="60"/>
      <c r="P585" s="61"/>
      <c r="Q585" s="62"/>
      <c r="R585" s="61"/>
      <c r="S585" s="62"/>
      <c r="T585" s="61"/>
      <c r="U585" s="62"/>
      <c r="V585" s="61"/>
      <c r="W585" s="62"/>
      <c r="X585" s="61"/>
      <c r="Y585" s="62"/>
      <c r="Z585" s="61"/>
      <c r="AA585" s="62"/>
    </row>
    <row r="586" spans="3:27" ht="16.5" customHeight="1">
      <c r="C586" s="118"/>
      <c r="E586" s="61"/>
      <c r="H586" s="61"/>
      <c r="I586" s="60"/>
      <c r="K586" s="62"/>
      <c r="O586" s="60"/>
      <c r="P586" s="61"/>
      <c r="Q586" s="62"/>
      <c r="R586" s="61"/>
      <c r="S586" s="62"/>
      <c r="T586" s="61"/>
      <c r="U586" s="62"/>
      <c r="V586" s="61"/>
      <c r="W586" s="62"/>
      <c r="X586" s="61"/>
      <c r="Y586" s="62"/>
      <c r="Z586" s="61"/>
      <c r="AA586" s="62"/>
    </row>
    <row r="587" spans="3:27" ht="16.5" customHeight="1">
      <c r="C587" s="118"/>
      <c r="E587" s="61"/>
      <c r="H587" s="61"/>
      <c r="I587" s="60"/>
      <c r="K587" s="62"/>
      <c r="O587" s="60"/>
      <c r="P587" s="61"/>
      <c r="Q587" s="62"/>
      <c r="R587" s="61"/>
      <c r="S587" s="62"/>
      <c r="T587" s="61"/>
      <c r="U587" s="62"/>
      <c r="V587" s="61"/>
      <c r="W587" s="62"/>
      <c r="X587" s="61"/>
      <c r="Y587" s="62"/>
      <c r="Z587" s="61"/>
      <c r="AA587" s="62"/>
    </row>
    <row r="588" spans="3:27" ht="16.5" customHeight="1">
      <c r="C588" s="118"/>
      <c r="E588" s="61"/>
      <c r="H588" s="61"/>
      <c r="I588" s="60"/>
      <c r="K588" s="62"/>
      <c r="O588" s="60"/>
      <c r="P588" s="61"/>
      <c r="Q588" s="62"/>
      <c r="R588" s="61"/>
      <c r="S588" s="62"/>
      <c r="T588" s="61"/>
      <c r="U588" s="62"/>
      <c r="V588" s="61"/>
      <c r="W588" s="62"/>
      <c r="X588" s="61"/>
      <c r="Y588" s="62"/>
      <c r="Z588" s="61"/>
      <c r="AA588" s="62"/>
    </row>
    <row r="589" spans="3:27" ht="16.5" customHeight="1">
      <c r="C589" s="118"/>
      <c r="E589" s="61"/>
      <c r="H589" s="61"/>
      <c r="I589" s="60"/>
      <c r="K589" s="62"/>
      <c r="O589" s="60"/>
      <c r="P589" s="61"/>
      <c r="Q589" s="62"/>
      <c r="R589" s="61"/>
      <c r="S589" s="62"/>
      <c r="T589" s="61"/>
      <c r="U589" s="62"/>
      <c r="V589" s="61"/>
      <c r="W589" s="62"/>
      <c r="X589" s="61"/>
      <c r="Y589" s="62"/>
      <c r="Z589" s="61"/>
      <c r="AA589" s="62"/>
    </row>
    <row r="590" spans="3:27" ht="16.5" customHeight="1">
      <c r="C590" s="118"/>
      <c r="E590" s="61"/>
      <c r="H590" s="61"/>
      <c r="I590" s="60"/>
      <c r="K590" s="62"/>
      <c r="O590" s="60"/>
      <c r="P590" s="61"/>
      <c r="Q590" s="62"/>
      <c r="R590" s="61"/>
      <c r="S590" s="62"/>
      <c r="T590" s="61"/>
      <c r="U590" s="62"/>
      <c r="V590" s="61"/>
      <c r="W590" s="62"/>
      <c r="X590" s="61"/>
      <c r="Y590" s="62"/>
      <c r="Z590" s="61"/>
      <c r="AA590" s="62"/>
    </row>
    <row r="591" spans="3:27" ht="16.5" customHeight="1">
      <c r="C591" s="118"/>
      <c r="E591" s="61"/>
      <c r="H591" s="61"/>
      <c r="I591" s="60"/>
      <c r="K591" s="62"/>
      <c r="O591" s="60"/>
      <c r="P591" s="61"/>
      <c r="Q591" s="62"/>
      <c r="R591" s="61"/>
      <c r="S591" s="62"/>
      <c r="T591" s="61"/>
      <c r="U591" s="62"/>
      <c r="V591" s="61"/>
      <c r="W591" s="62"/>
      <c r="X591" s="61"/>
      <c r="Y591" s="62"/>
      <c r="Z591" s="61"/>
      <c r="AA591" s="62"/>
    </row>
    <row r="592" spans="3:27" ht="16.5" customHeight="1">
      <c r="C592" s="118"/>
      <c r="E592" s="61"/>
      <c r="H592" s="61"/>
      <c r="I592" s="60"/>
      <c r="K592" s="62"/>
      <c r="O592" s="60"/>
      <c r="P592" s="61"/>
      <c r="Q592" s="62"/>
      <c r="R592" s="61"/>
      <c r="S592" s="62"/>
      <c r="T592" s="61"/>
      <c r="U592" s="62"/>
      <c r="V592" s="61"/>
      <c r="W592" s="62"/>
      <c r="X592" s="61"/>
      <c r="Y592" s="62"/>
      <c r="Z592" s="61"/>
      <c r="AA592" s="62"/>
    </row>
    <row r="593" spans="3:27" ht="16.5" customHeight="1">
      <c r="C593" s="118"/>
      <c r="E593" s="61"/>
      <c r="H593" s="61"/>
      <c r="I593" s="60"/>
      <c r="K593" s="62"/>
      <c r="O593" s="60"/>
      <c r="P593" s="61"/>
      <c r="Q593" s="62"/>
      <c r="R593" s="61"/>
      <c r="S593" s="62"/>
      <c r="T593" s="61"/>
      <c r="U593" s="62"/>
      <c r="V593" s="61"/>
      <c r="W593" s="62"/>
      <c r="X593" s="61"/>
      <c r="Y593" s="62"/>
      <c r="Z593" s="61"/>
      <c r="AA593" s="62"/>
    </row>
    <row r="594" spans="3:27" ht="16.5" customHeight="1">
      <c r="C594" s="118"/>
      <c r="E594" s="61"/>
      <c r="H594" s="61"/>
      <c r="I594" s="60"/>
      <c r="K594" s="62"/>
      <c r="O594" s="60"/>
      <c r="P594" s="61"/>
      <c r="Q594" s="62"/>
      <c r="R594" s="61"/>
      <c r="S594" s="62"/>
      <c r="T594" s="61"/>
      <c r="U594" s="62"/>
      <c r="V594" s="61"/>
      <c r="W594" s="62"/>
      <c r="X594" s="61"/>
      <c r="Y594" s="62"/>
      <c r="Z594" s="61"/>
      <c r="AA594" s="62"/>
    </row>
    <row r="595" spans="3:27" ht="16.5" customHeight="1">
      <c r="C595" s="118"/>
      <c r="E595" s="61"/>
      <c r="H595" s="61"/>
      <c r="I595" s="60"/>
      <c r="K595" s="62"/>
      <c r="O595" s="60"/>
      <c r="P595" s="61"/>
      <c r="Q595" s="62"/>
      <c r="R595" s="61"/>
      <c r="S595" s="62"/>
      <c r="T595" s="61"/>
      <c r="U595" s="62"/>
      <c r="V595" s="61"/>
      <c r="W595" s="62"/>
      <c r="X595" s="61"/>
      <c r="Y595" s="62"/>
      <c r="Z595" s="61"/>
      <c r="AA595" s="62"/>
    </row>
    <row r="596" spans="3:27" ht="16.5" customHeight="1">
      <c r="C596" s="118"/>
      <c r="E596" s="61"/>
      <c r="H596" s="61"/>
      <c r="I596" s="60"/>
      <c r="K596" s="62"/>
      <c r="O596" s="60"/>
      <c r="P596" s="61"/>
      <c r="Q596" s="62"/>
      <c r="R596" s="61"/>
      <c r="S596" s="62"/>
      <c r="T596" s="61"/>
      <c r="U596" s="62"/>
      <c r="V596" s="61"/>
      <c r="W596" s="62"/>
      <c r="X596" s="61"/>
      <c r="Y596" s="62"/>
      <c r="Z596" s="61"/>
      <c r="AA596" s="62"/>
    </row>
    <row r="597" spans="3:27" ht="16.5" customHeight="1">
      <c r="C597" s="118"/>
      <c r="E597" s="61"/>
      <c r="H597" s="61"/>
      <c r="I597" s="60"/>
      <c r="K597" s="62"/>
      <c r="O597" s="60"/>
      <c r="P597" s="61"/>
      <c r="Q597" s="62"/>
      <c r="R597" s="61"/>
      <c r="S597" s="62"/>
      <c r="T597" s="61"/>
      <c r="U597" s="62"/>
      <c r="V597" s="61"/>
      <c r="W597" s="62"/>
      <c r="X597" s="61"/>
      <c r="Y597" s="62"/>
      <c r="Z597" s="61"/>
      <c r="AA597" s="62"/>
    </row>
    <row r="598" spans="3:27" ht="16.5" customHeight="1">
      <c r="C598" s="118"/>
      <c r="E598" s="61"/>
      <c r="H598" s="61"/>
      <c r="I598" s="60"/>
      <c r="K598" s="62"/>
      <c r="O598" s="60"/>
      <c r="P598" s="61"/>
      <c r="Q598" s="62"/>
      <c r="R598" s="61"/>
      <c r="S598" s="62"/>
      <c r="T598" s="61"/>
      <c r="U598" s="62"/>
      <c r="V598" s="61"/>
      <c r="W598" s="62"/>
      <c r="X598" s="61"/>
      <c r="Y598" s="62"/>
      <c r="Z598" s="61"/>
      <c r="AA598" s="62"/>
    </row>
    <row r="599" spans="3:27" ht="16.5" customHeight="1">
      <c r="C599" s="118"/>
      <c r="E599" s="61"/>
      <c r="H599" s="61"/>
      <c r="I599" s="60"/>
      <c r="K599" s="62"/>
      <c r="O599" s="60"/>
      <c r="P599" s="61"/>
      <c r="Q599" s="62"/>
      <c r="R599" s="61"/>
      <c r="S599" s="62"/>
      <c r="T599" s="61"/>
      <c r="U599" s="62"/>
      <c r="V599" s="61"/>
      <c r="W599" s="62"/>
      <c r="X599" s="61"/>
      <c r="Y599" s="62"/>
      <c r="Z599" s="61"/>
      <c r="AA599" s="62"/>
    </row>
    <row r="600" spans="3:27" ht="16.5" customHeight="1">
      <c r="C600" s="118"/>
      <c r="E600" s="61"/>
      <c r="H600" s="61"/>
      <c r="I600" s="60"/>
      <c r="K600" s="62"/>
      <c r="O600" s="60"/>
      <c r="P600" s="61"/>
      <c r="Q600" s="62"/>
      <c r="R600" s="61"/>
      <c r="S600" s="62"/>
      <c r="T600" s="61"/>
      <c r="U600" s="62"/>
      <c r="V600" s="61"/>
      <c r="W600" s="62"/>
      <c r="X600" s="61"/>
      <c r="Y600" s="62"/>
      <c r="Z600" s="61"/>
      <c r="AA600" s="62"/>
    </row>
    <row r="601" spans="3:27" ht="16.5" customHeight="1">
      <c r="C601" s="118"/>
      <c r="E601" s="61"/>
      <c r="H601" s="61"/>
      <c r="I601" s="60"/>
      <c r="K601" s="62"/>
      <c r="O601" s="60"/>
      <c r="P601" s="61"/>
      <c r="Q601" s="62"/>
      <c r="R601" s="61"/>
      <c r="S601" s="62"/>
      <c r="T601" s="61"/>
      <c r="U601" s="62"/>
      <c r="V601" s="61"/>
      <c r="W601" s="62"/>
      <c r="X601" s="61"/>
      <c r="Y601" s="62"/>
      <c r="Z601" s="61"/>
      <c r="AA601" s="62"/>
    </row>
    <row r="602" spans="3:27" ht="16.5" customHeight="1">
      <c r="C602" s="118"/>
      <c r="E602" s="61"/>
      <c r="H602" s="61"/>
      <c r="I602" s="60"/>
      <c r="K602" s="62"/>
      <c r="O602" s="60"/>
      <c r="P602" s="61"/>
      <c r="Q602" s="62"/>
      <c r="R602" s="61"/>
      <c r="S602" s="62"/>
      <c r="T602" s="61"/>
      <c r="U602" s="62"/>
      <c r="V602" s="61"/>
      <c r="W602" s="62"/>
      <c r="X602" s="61"/>
      <c r="Y602" s="62"/>
      <c r="Z602" s="61"/>
      <c r="AA602" s="62"/>
    </row>
    <row r="603" spans="3:27" ht="16.5" customHeight="1">
      <c r="C603" s="118"/>
      <c r="E603" s="61"/>
      <c r="H603" s="61"/>
      <c r="I603" s="60"/>
      <c r="K603" s="62"/>
      <c r="O603" s="60"/>
      <c r="P603" s="61"/>
      <c r="Q603" s="62"/>
      <c r="R603" s="61"/>
      <c r="S603" s="62"/>
      <c r="T603" s="61"/>
      <c r="U603" s="62"/>
      <c r="V603" s="61"/>
      <c r="W603" s="62"/>
      <c r="X603" s="61"/>
      <c r="Y603" s="62"/>
      <c r="Z603" s="61"/>
      <c r="AA603" s="62"/>
    </row>
    <row r="604" spans="3:27" ht="16.5" customHeight="1">
      <c r="C604" s="118"/>
      <c r="E604" s="61"/>
      <c r="H604" s="61"/>
      <c r="I604" s="60"/>
      <c r="K604" s="62"/>
      <c r="O604" s="60"/>
      <c r="P604" s="61"/>
      <c r="Q604" s="62"/>
      <c r="R604" s="61"/>
      <c r="S604" s="62"/>
      <c r="T604" s="61"/>
      <c r="U604" s="62"/>
      <c r="V604" s="61"/>
      <c r="W604" s="62"/>
      <c r="X604" s="61"/>
      <c r="Y604" s="62"/>
      <c r="Z604" s="61"/>
      <c r="AA604" s="62"/>
    </row>
    <row r="605" spans="3:27" ht="16.5" customHeight="1">
      <c r="C605" s="118"/>
      <c r="E605" s="61"/>
      <c r="H605" s="61"/>
      <c r="I605" s="60"/>
      <c r="K605" s="62"/>
      <c r="O605" s="60"/>
      <c r="P605" s="61"/>
      <c r="Q605" s="62"/>
      <c r="R605" s="61"/>
      <c r="S605" s="62"/>
      <c r="T605" s="61"/>
      <c r="U605" s="62"/>
      <c r="V605" s="61"/>
      <c r="W605" s="62"/>
      <c r="X605" s="61"/>
      <c r="Y605" s="62"/>
      <c r="Z605" s="61"/>
      <c r="AA605" s="62"/>
    </row>
    <row r="606" spans="3:27" ht="16.5" customHeight="1">
      <c r="C606" s="118"/>
      <c r="E606" s="61"/>
      <c r="H606" s="61"/>
      <c r="I606" s="60"/>
      <c r="K606" s="62"/>
      <c r="O606" s="60"/>
      <c r="P606" s="61"/>
      <c r="Q606" s="62"/>
      <c r="R606" s="61"/>
      <c r="S606" s="62"/>
      <c r="T606" s="61"/>
      <c r="U606" s="62"/>
      <c r="V606" s="61"/>
      <c r="W606" s="62"/>
      <c r="X606" s="61"/>
      <c r="Y606" s="62"/>
      <c r="Z606" s="61"/>
      <c r="AA606" s="62"/>
    </row>
    <row r="607" spans="3:27" ht="16.5" customHeight="1">
      <c r="C607" s="118"/>
      <c r="E607" s="61"/>
      <c r="H607" s="61"/>
      <c r="I607" s="60"/>
      <c r="K607" s="62"/>
      <c r="O607" s="60"/>
      <c r="P607" s="61"/>
      <c r="Q607" s="62"/>
      <c r="R607" s="61"/>
      <c r="S607" s="62"/>
      <c r="T607" s="61"/>
      <c r="U607" s="62"/>
      <c r="V607" s="61"/>
      <c r="W607" s="62"/>
      <c r="X607" s="61"/>
      <c r="Y607" s="62"/>
      <c r="Z607" s="61"/>
      <c r="AA607" s="62"/>
    </row>
    <row r="608" spans="3:27" ht="16.5" customHeight="1">
      <c r="C608" s="118"/>
      <c r="E608" s="61"/>
      <c r="H608" s="61"/>
      <c r="I608" s="60"/>
      <c r="K608" s="62"/>
      <c r="O608" s="60"/>
      <c r="P608" s="61"/>
      <c r="Q608" s="62"/>
      <c r="R608" s="61"/>
      <c r="S608" s="62"/>
      <c r="T608" s="61"/>
      <c r="U608" s="62"/>
      <c r="V608" s="61"/>
      <c r="W608" s="62"/>
      <c r="X608" s="61"/>
      <c r="Y608" s="62"/>
      <c r="Z608" s="61"/>
      <c r="AA608" s="62"/>
    </row>
    <row r="609" spans="3:27" ht="16.5" customHeight="1">
      <c r="C609" s="118"/>
      <c r="E609" s="61"/>
      <c r="H609" s="61"/>
      <c r="I609" s="60"/>
      <c r="K609" s="62"/>
      <c r="O609" s="60"/>
      <c r="P609" s="61"/>
      <c r="Q609" s="62"/>
      <c r="R609" s="61"/>
      <c r="S609" s="62"/>
      <c r="T609" s="61"/>
      <c r="U609" s="62"/>
      <c r="V609" s="61"/>
      <c r="W609" s="62"/>
      <c r="X609" s="61"/>
      <c r="Y609" s="62"/>
      <c r="Z609" s="61"/>
      <c r="AA609" s="62"/>
    </row>
    <row r="610" spans="3:27" ht="16.5" customHeight="1">
      <c r="C610" s="118"/>
      <c r="E610" s="61"/>
      <c r="H610" s="61"/>
      <c r="I610" s="60"/>
      <c r="K610" s="62"/>
      <c r="O610" s="60"/>
      <c r="P610" s="61"/>
      <c r="Q610" s="62"/>
      <c r="R610" s="61"/>
      <c r="S610" s="62"/>
      <c r="T610" s="61"/>
      <c r="U610" s="62"/>
      <c r="V610" s="61"/>
      <c r="W610" s="62"/>
      <c r="X610" s="61"/>
      <c r="Y610" s="62"/>
      <c r="Z610" s="61"/>
      <c r="AA610" s="62"/>
    </row>
    <row r="611" spans="3:27" ht="16.5" customHeight="1">
      <c r="C611" s="118"/>
      <c r="E611" s="61"/>
      <c r="H611" s="61"/>
      <c r="I611" s="60"/>
      <c r="K611" s="62"/>
      <c r="O611" s="60"/>
      <c r="P611" s="61"/>
      <c r="Q611" s="62"/>
      <c r="R611" s="61"/>
      <c r="S611" s="62"/>
      <c r="T611" s="61"/>
      <c r="U611" s="62"/>
      <c r="V611" s="61"/>
      <c r="W611" s="62"/>
      <c r="X611" s="61"/>
      <c r="Y611" s="62"/>
      <c r="Z611" s="61"/>
      <c r="AA611" s="62"/>
    </row>
    <row r="612" spans="3:27" ht="16.5" customHeight="1">
      <c r="C612" s="118"/>
      <c r="E612" s="61"/>
      <c r="H612" s="61"/>
      <c r="I612" s="60"/>
      <c r="K612" s="62"/>
      <c r="O612" s="60"/>
      <c r="P612" s="61"/>
      <c r="Q612" s="62"/>
      <c r="R612" s="61"/>
      <c r="S612" s="62"/>
      <c r="T612" s="61"/>
      <c r="U612" s="62"/>
      <c r="V612" s="61"/>
      <c r="W612" s="62"/>
      <c r="X612" s="61"/>
      <c r="Y612" s="62"/>
      <c r="Z612" s="61"/>
      <c r="AA612" s="62"/>
    </row>
    <row r="613" spans="3:27" ht="16.5" customHeight="1">
      <c r="C613" s="118"/>
      <c r="E613" s="61"/>
      <c r="H613" s="61"/>
      <c r="I613" s="60"/>
      <c r="K613" s="62"/>
      <c r="O613" s="60"/>
      <c r="P613" s="61"/>
      <c r="Q613" s="62"/>
      <c r="R613" s="61"/>
      <c r="S613" s="62"/>
      <c r="T613" s="61"/>
      <c r="U613" s="62"/>
      <c r="V613" s="61"/>
      <c r="W613" s="62"/>
      <c r="X613" s="61"/>
      <c r="Y613" s="62"/>
      <c r="Z613" s="61"/>
      <c r="AA613" s="62"/>
    </row>
    <row r="614" spans="3:27" ht="16.5" customHeight="1">
      <c r="C614" s="118"/>
      <c r="E614" s="61"/>
      <c r="H614" s="61"/>
      <c r="I614" s="60"/>
      <c r="K614" s="62"/>
      <c r="O614" s="60"/>
      <c r="P614" s="61"/>
      <c r="Q614" s="62"/>
      <c r="R614" s="61"/>
      <c r="S614" s="62"/>
      <c r="T614" s="61"/>
      <c r="U614" s="62"/>
      <c r="V614" s="61"/>
      <c r="W614" s="62"/>
      <c r="X614" s="61"/>
      <c r="Y614" s="62"/>
      <c r="Z614" s="61"/>
      <c r="AA614" s="62"/>
    </row>
    <row r="615" spans="3:27" ht="16.5" customHeight="1">
      <c r="C615" s="118"/>
      <c r="E615" s="61"/>
      <c r="H615" s="61"/>
      <c r="I615" s="60"/>
      <c r="K615" s="62"/>
      <c r="O615" s="60"/>
      <c r="P615" s="61"/>
      <c r="Q615" s="62"/>
      <c r="R615" s="61"/>
      <c r="S615" s="62"/>
      <c r="T615" s="61"/>
      <c r="U615" s="62"/>
      <c r="V615" s="61"/>
      <c r="W615" s="62"/>
      <c r="X615" s="61"/>
      <c r="Y615" s="62"/>
      <c r="Z615" s="61"/>
      <c r="AA615" s="62"/>
    </row>
    <row r="616" spans="3:27" ht="16.5" customHeight="1">
      <c r="C616" s="118"/>
      <c r="E616" s="61"/>
      <c r="H616" s="61"/>
      <c r="I616" s="60"/>
      <c r="K616" s="62"/>
      <c r="O616" s="60"/>
      <c r="P616" s="61"/>
      <c r="Q616" s="62"/>
      <c r="R616" s="61"/>
      <c r="S616" s="62"/>
      <c r="T616" s="61"/>
      <c r="U616" s="62"/>
      <c r="V616" s="61"/>
      <c r="W616" s="62"/>
      <c r="X616" s="61"/>
      <c r="Y616" s="62"/>
      <c r="Z616" s="61"/>
      <c r="AA616" s="62"/>
    </row>
    <row r="617" spans="3:27" ht="16.5" customHeight="1">
      <c r="C617" s="118"/>
      <c r="E617" s="61"/>
      <c r="H617" s="61"/>
      <c r="I617" s="60"/>
      <c r="K617" s="62"/>
      <c r="O617" s="60"/>
      <c r="P617" s="61"/>
      <c r="Q617" s="62"/>
      <c r="R617" s="61"/>
      <c r="S617" s="62"/>
      <c r="T617" s="61"/>
      <c r="U617" s="62"/>
      <c r="V617" s="61"/>
      <c r="W617" s="62"/>
      <c r="X617" s="61"/>
      <c r="Y617" s="62"/>
      <c r="Z617" s="61"/>
      <c r="AA617" s="62"/>
    </row>
    <row r="618" spans="3:27" ht="16.5" customHeight="1">
      <c r="C618" s="118"/>
      <c r="E618" s="61"/>
      <c r="H618" s="61"/>
      <c r="I618" s="60"/>
      <c r="K618" s="62"/>
      <c r="O618" s="60"/>
      <c r="P618" s="61"/>
      <c r="Q618" s="62"/>
      <c r="R618" s="61"/>
      <c r="S618" s="62"/>
      <c r="T618" s="61"/>
      <c r="U618" s="62"/>
      <c r="V618" s="61"/>
      <c r="W618" s="62"/>
      <c r="X618" s="61"/>
      <c r="Y618" s="62"/>
      <c r="Z618" s="61"/>
      <c r="AA618" s="62"/>
    </row>
    <row r="619" spans="3:27" ht="16.5" customHeight="1">
      <c r="C619" s="118"/>
      <c r="E619" s="61"/>
      <c r="H619" s="61"/>
      <c r="I619" s="60"/>
      <c r="K619" s="62"/>
      <c r="O619" s="60"/>
      <c r="P619" s="61"/>
      <c r="Q619" s="62"/>
      <c r="R619" s="61"/>
      <c r="S619" s="62"/>
      <c r="T619" s="61"/>
      <c r="U619" s="62"/>
      <c r="V619" s="61"/>
      <c r="W619" s="62"/>
      <c r="X619" s="61"/>
      <c r="Y619" s="62"/>
      <c r="Z619" s="61"/>
      <c r="AA619" s="62"/>
    </row>
    <row r="620" spans="3:27" ht="16.5" customHeight="1">
      <c r="C620" s="118"/>
      <c r="E620" s="61"/>
      <c r="H620" s="61"/>
      <c r="I620" s="60"/>
      <c r="K620" s="62"/>
      <c r="O620" s="60"/>
      <c r="P620" s="61"/>
      <c r="Q620" s="62"/>
      <c r="R620" s="61"/>
      <c r="S620" s="62"/>
      <c r="T620" s="61"/>
      <c r="U620" s="62"/>
      <c r="V620" s="61"/>
      <c r="W620" s="62"/>
      <c r="X620" s="61"/>
      <c r="Y620" s="62"/>
      <c r="Z620" s="61"/>
      <c r="AA620" s="62"/>
    </row>
    <row r="621" spans="3:27" ht="16.5" customHeight="1">
      <c r="C621" s="118"/>
      <c r="E621" s="61"/>
      <c r="H621" s="61"/>
      <c r="I621" s="60"/>
      <c r="K621" s="62"/>
      <c r="O621" s="60"/>
      <c r="P621" s="61"/>
      <c r="Q621" s="62"/>
      <c r="R621" s="61"/>
      <c r="S621" s="62"/>
      <c r="T621" s="61"/>
      <c r="U621" s="62"/>
      <c r="V621" s="61"/>
      <c r="W621" s="62"/>
      <c r="X621" s="61"/>
      <c r="Y621" s="62"/>
      <c r="Z621" s="61"/>
      <c r="AA621" s="62"/>
    </row>
    <row r="622" spans="3:27" ht="16.5" customHeight="1">
      <c r="C622" s="118"/>
      <c r="E622" s="61"/>
      <c r="H622" s="61"/>
      <c r="I622" s="60"/>
      <c r="K622" s="62"/>
      <c r="O622" s="60"/>
      <c r="P622" s="61"/>
      <c r="Q622" s="62"/>
      <c r="R622" s="61"/>
      <c r="S622" s="62"/>
      <c r="T622" s="61"/>
      <c r="U622" s="62"/>
      <c r="V622" s="61"/>
      <c r="W622" s="62"/>
      <c r="X622" s="61"/>
      <c r="Y622" s="62"/>
      <c r="Z622" s="61"/>
      <c r="AA622" s="62"/>
    </row>
    <row r="623" spans="3:27" ht="16.5" customHeight="1">
      <c r="C623" s="118"/>
      <c r="E623" s="61"/>
      <c r="H623" s="61"/>
      <c r="I623" s="60"/>
      <c r="K623" s="62"/>
      <c r="O623" s="60"/>
      <c r="P623" s="61"/>
      <c r="Q623" s="62"/>
      <c r="R623" s="61"/>
      <c r="S623" s="62"/>
      <c r="T623" s="61"/>
      <c r="U623" s="62"/>
      <c r="V623" s="61"/>
      <c r="W623" s="62"/>
      <c r="X623" s="61"/>
      <c r="Y623" s="62"/>
      <c r="Z623" s="61"/>
      <c r="AA623" s="62"/>
    </row>
    <row r="624" spans="3:27" ht="16.5" customHeight="1">
      <c r="C624" s="118"/>
      <c r="E624" s="61"/>
      <c r="H624" s="61"/>
      <c r="I624" s="60"/>
      <c r="K624" s="62"/>
      <c r="O624" s="60"/>
      <c r="P624" s="61"/>
      <c r="Q624" s="62"/>
      <c r="R624" s="61"/>
      <c r="S624" s="62"/>
      <c r="T624" s="61"/>
      <c r="U624" s="62"/>
      <c r="V624" s="61"/>
      <c r="W624" s="62"/>
      <c r="X624" s="61"/>
      <c r="Y624" s="62"/>
      <c r="Z624" s="61"/>
      <c r="AA624" s="62"/>
    </row>
    <row r="625" spans="3:27" ht="16.5" customHeight="1">
      <c r="C625" s="118"/>
      <c r="E625" s="61"/>
      <c r="H625" s="61"/>
      <c r="I625" s="60"/>
      <c r="K625" s="62"/>
      <c r="O625" s="60"/>
      <c r="P625" s="61"/>
      <c r="Q625" s="62"/>
      <c r="R625" s="61"/>
      <c r="S625" s="62"/>
      <c r="T625" s="61"/>
      <c r="U625" s="62"/>
      <c r="V625" s="61"/>
      <c r="W625" s="62"/>
      <c r="X625" s="61"/>
      <c r="Y625" s="62"/>
      <c r="Z625" s="61"/>
      <c r="AA625" s="62"/>
    </row>
    <row r="626" spans="3:27" ht="16.5" customHeight="1">
      <c r="C626" s="118"/>
      <c r="E626" s="61"/>
      <c r="H626" s="61"/>
      <c r="I626" s="60"/>
      <c r="K626" s="62"/>
      <c r="O626" s="60"/>
      <c r="P626" s="61"/>
      <c r="Q626" s="62"/>
      <c r="R626" s="61"/>
      <c r="S626" s="62"/>
      <c r="T626" s="61"/>
      <c r="U626" s="62"/>
      <c r="V626" s="61"/>
      <c r="W626" s="62"/>
      <c r="X626" s="61"/>
      <c r="Y626" s="62"/>
      <c r="Z626" s="61"/>
      <c r="AA626" s="62"/>
    </row>
    <row r="627" spans="3:27" ht="16.5" customHeight="1">
      <c r="C627" s="118"/>
      <c r="E627" s="61"/>
      <c r="H627" s="61"/>
      <c r="I627" s="60"/>
      <c r="K627" s="62"/>
      <c r="O627" s="60"/>
      <c r="P627" s="61"/>
      <c r="Q627" s="62"/>
      <c r="R627" s="61"/>
      <c r="S627" s="62"/>
      <c r="T627" s="61"/>
      <c r="U627" s="62"/>
      <c r="V627" s="61"/>
      <c r="W627" s="62"/>
      <c r="X627" s="61"/>
      <c r="Y627" s="62"/>
      <c r="Z627" s="61"/>
      <c r="AA627" s="62"/>
    </row>
    <row r="628" spans="3:27" ht="16.5" customHeight="1">
      <c r="C628" s="118"/>
      <c r="E628" s="61"/>
      <c r="H628" s="61"/>
      <c r="I628" s="60"/>
      <c r="K628" s="62"/>
      <c r="O628" s="60"/>
      <c r="P628" s="61"/>
      <c r="Q628" s="62"/>
      <c r="R628" s="61"/>
      <c r="S628" s="62"/>
      <c r="T628" s="61"/>
      <c r="U628" s="62"/>
      <c r="V628" s="61"/>
      <c r="W628" s="62"/>
      <c r="X628" s="61"/>
      <c r="Y628" s="62"/>
      <c r="Z628" s="61"/>
      <c r="AA628" s="62"/>
    </row>
    <row r="629" spans="3:27" ht="16.5" customHeight="1">
      <c r="C629" s="118"/>
      <c r="E629" s="61"/>
      <c r="H629" s="61"/>
      <c r="I629" s="60"/>
      <c r="K629" s="62"/>
      <c r="O629" s="60"/>
      <c r="P629" s="61"/>
      <c r="Q629" s="62"/>
      <c r="R629" s="61"/>
      <c r="S629" s="62"/>
      <c r="T629" s="61"/>
      <c r="U629" s="62"/>
      <c r="V629" s="61"/>
      <c r="W629" s="62"/>
      <c r="X629" s="61"/>
      <c r="Y629" s="62"/>
      <c r="Z629" s="61"/>
      <c r="AA629" s="62"/>
    </row>
    <row r="630" spans="3:27" ht="16.5" customHeight="1">
      <c r="C630" s="118"/>
      <c r="E630" s="61"/>
      <c r="H630" s="61"/>
      <c r="I630" s="60"/>
      <c r="K630" s="62"/>
      <c r="O630" s="60"/>
      <c r="P630" s="61"/>
      <c r="Q630" s="62"/>
      <c r="R630" s="61"/>
      <c r="S630" s="62"/>
      <c r="T630" s="61"/>
      <c r="U630" s="62"/>
      <c r="V630" s="61"/>
      <c r="W630" s="62"/>
      <c r="X630" s="61"/>
      <c r="Y630" s="62"/>
      <c r="Z630" s="61"/>
      <c r="AA630" s="62"/>
    </row>
    <row r="631" spans="3:27" ht="16.5" customHeight="1">
      <c r="C631" s="118"/>
      <c r="E631" s="61"/>
      <c r="H631" s="61"/>
      <c r="I631" s="60"/>
      <c r="K631" s="62"/>
      <c r="O631" s="60"/>
      <c r="P631" s="61"/>
      <c r="Q631" s="62"/>
      <c r="R631" s="61"/>
      <c r="S631" s="62"/>
      <c r="T631" s="61"/>
      <c r="U631" s="62"/>
      <c r="V631" s="61"/>
      <c r="W631" s="62"/>
      <c r="X631" s="61"/>
      <c r="Y631" s="62"/>
      <c r="Z631" s="61"/>
      <c r="AA631" s="62"/>
    </row>
    <row r="632" spans="3:27" ht="16.5" customHeight="1">
      <c r="C632" s="118"/>
      <c r="E632" s="61"/>
      <c r="H632" s="61"/>
      <c r="I632" s="60"/>
      <c r="K632" s="62"/>
      <c r="O632" s="60"/>
      <c r="P632" s="61"/>
      <c r="Q632" s="62"/>
      <c r="R632" s="61"/>
      <c r="S632" s="62"/>
      <c r="T632" s="61"/>
      <c r="U632" s="62"/>
      <c r="V632" s="61"/>
      <c r="W632" s="62"/>
      <c r="X632" s="61"/>
      <c r="Y632" s="62"/>
      <c r="Z632" s="61"/>
      <c r="AA632" s="62"/>
    </row>
    <row r="633" spans="3:27" ht="16.5" customHeight="1">
      <c r="C633" s="118"/>
      <c r="E633" s="61"/>
      <c r="H633" s="61"/>
      <c r="I633" s="60"/>
      <c r="K633" s="62"/>
      <c r="O633" s="60"/>
      <c r="P633" s="61"/>
      <c r="Q633" s="62"/>
      <c r="R633" s="61"/>
      <c r="S633" s="62"/>
      <c r="T633" s="61"/>
      <c r="U633" s="62"/>
      <c r="V633" s="61"/>
      <c r="W633" s="62"/>
      <c r="X633" s="61"/>
      <c r="Y633" s="62"/>
      <c r="Z633" s="61"/>
      <c r="AA633" s="62"/>
    </row>
    <row r="634" spans="3:27" ht="16.5" customHeight="1">
      <c r="C634" s="118"/>
      <c r="E634" s="61"/>
      <c r="H634" s="61"/>
      <c r="I634" s="60"/>
      <c r="K634" s="62"/>
      <c r="O634" s="60"/>
      <c r="P634" s="61"/>
      <c r="Q634" s="62"/>
      <c r="R634" s="61"/>
      <c r="S634" s="62"/>
      <c r="T634" s="61"/>
      <c r="U634" s="62"/>
      <c r="V634" s="61"/>
      <c r="W634" s="62"/>
      <c r="X634" s="61"/>
      <c r="Y634" s="62"/>
      <c r="Z634" s="61"/>
      <c r="AA634" s="62"/>
    </row>
    <row r="635" spans="3:27" ht="16.5" customHeight="1">
      <c r="C635" s="118"/>
      <c r="E635" s="61"/>
      <c r="H635" s="61"/>
      <c r="I635" s="60"/>
      <c r="K635" s="62"/>
      <c r="O635" s="60"/>
      <c r="P635" s="61"/>
      <c r="Q635" s="62"/>
      <c r="R635" s="61"/>
      <c r="S635" s="62"/>
      <c r="T635" s="61"/>
      <c r="U635" s="62"/>
      <c r="V635" s="61"/>
      <c r="W635" s="62"/>
      <c r="X635" s="61"/>
      <c r="Y635" s="62"/>
      <c r="Z635" s="61"/>
      <c r="AA635" s="62"/>
    </row>
    <row r="636" spans="3:27" ht="16.5" customHeight="1">
      <c r="C636" s="118"/>
      <c r="E636" s="61"/>
      <c r="H636" s="61"/>
      <c r="I636" s="60"/>
      <c r="K636" s="62"/>
      <c r="O636" s="60"/>
      <c r="P636" s="61"/>
      <c r="Q636" s="62"/>
      <c r="R636" s="61"/>
      <c r="S636" s="62"/>
      <c r="T636" s="61"/>
      <c r="U636" s="62"/>
      <c r="V636" s="61"/>
      <c r="W636" s="62"/>
      <c r="X636" s="61"/>
      <c r="Y636" s="62"/>
      <c r="Z636" s="61"/>
      <c r="AA636" s="62"/>
    </row>
    <row r="637" spans="3:27" ht="16.5" customHeight="1">
      <c r="C637" s="118"/>
      <c r="E637" s="61"/>
      <c r="H637" s="61"/>
      <c r="I637" s="60"/>
      <c r="K637" s="62"/>
      <c r="O637" s="60"/>
      <c r="P637" s="61"/>
      <c r="Q637" s="62"/>
      <c r="R637" s="61"/>
      <c r="S637" s="62"/>
      <c r="T637" s="61"/>
      <c r="U637" s="62"/>
      <c r="V637" s="61"/>
      <c r="W637" s="62"/>
      <c r="X637" s="61"/>
      <c r="Y637" s="62"/>
      <c r="Z637" s="61"/>
      <c r="AA637" s="62"/>
    </row>
    <row r="638" spans="3:27" ht="16.5" customHeight="1">
      <c r="C638" s="118"/>
      <c r="E638" s="61"/>
      <c r="H638" s="61"/>
      <c r="I638" s="60"/>
      <c r="K638" s="62"/>
      <c r="O638" s="60"/>
      <c r="P638" s="61"/>
      <c r="Q638" s="62"/>
      <c r="R638" s="61"/>
      <c r="S638" s="62"/>
      <c r="T638" s="61"/>
      <c r="U638" s="62"/>
      <c r="V638" s="61"/>
      <c r="W638" s="62"/>
      <c r="X638" s="61"/>
      <c r="Y638" s="62"/>
      <c r="Z638" s="61"/>
      <c r="AA638" s="62"/>
    </row>
    <row r="639" spans="3:27" ht="16.5" customHeight="1">
      <c r="C639" s="118"/>
      <c r="E639" s="61"/>
      <c r="H639" s="61"/>
      <c r="I639" s="60"/>
      <c r="K639" s="62"/>
      <c r="O639" s="60"/>
      <c r="P639" s="61"/>
      <c r="Q639" s="62"/>
      <c r="R639" s="61"/>
      <c r="S639" s="62"/>
      <c r="T639" s="61"/>
      <c r="U639" s="62"/>
      <c r="V639" s="61"/>
      <c r="W639" s="62"/>
      <c r="X639" s="61"/>
      <c r="Y639" s="62"/>
      <c r="Z639" s="61"/>
      <c r="AA639" s="62"/>
    </row>
    <row r="640" spans="3:27" ht="16.5" customHeight="1">
      <c r="C640" s="118"/>
      <c r="E640" s="61"/>
      <c r="H640" s="61"/>
      <c r="I640" s="60"/>
      <c r="K640" s="62"/>
      <c r="O640" s="60"/>
      <c r="P640" s="61"/>
      <c r="Q640" s="62"/>
      <c r="R640" s="61"/>
      <c r="S640" s="62"/>
      <c r="T640" s="61"/>
      <c r="U640" s="62"/>
      <c r="V640" s="61"/>
      <c r="W640" s="62"/>
      <c r="X640" s="61"/>
      <c r="Y640" s="62"/>
      <c r="Z640" s="61"/>
      <c r="AA640" s="62"/>
    </row>
    <row r="641" spans="3:27" ht="16.5" customHeight="1">
      <c r="C641" s="118"/>
      <c r="E641" s="61"/>
      <c r="H641" s="61"/>
      <c r="I641" s="60"/>
      <c r="K641" s="62"/>
      <c r="O641" s="60"/>
      <c r="P641" s="61"/>
      <c r="Q641" s="62"/>
      <c r="R641" s="61"/>
      <c r="S641" s="62"/>
      <c r="T641" s="61"/>
      <c r="U641" s="62"/>
      <c r="V641" s="61"/>
      <c r="W641" s="62"/>
      <c r="X641" s="61"/>
      <c r="Y641" s="62"/>
      <c r="Z641" s="61"/>
      <c r="AA641" s="62"/>
    </row>
    <row r="642" spans="3:27" ht="16.5" customHeight="1">
      <c r="C642" s="118"/>
      <c r="E642" s="61"/>
      <c r="H642" s="61"/>
      <c r="I642" s="60"/>
      <c r="K642" s="62"/>
      <c r="O642" s="60"/>
      <c r="P642" s="61"/>
      <c r="Q642" s="62"/>
      <c r="R642" s="61"/>
      <c r="S642" s="62"/>
      <c r="T642" s="61"/>
      <c r="U642" s="62"/>
      <c r="V642" s="61"/>
      <c r="W642" s="62"/>
      <c r="X642" s="61"/>
      <c r="Y642" s="62"/>
      <c r="Z642" s="61"/>
      <c r="AA642" s="62"/>
    </row>
    <row r="643" spans="3:27" ht="16.5" customHeight="1">
      <c r="C643" s="118"/>
      <c r="E643" s="61"/>
      <c r="H643" s="61"/>
      <c r="I643" s="60"/>
      <c r="K643" s="62"/>
      <c r="O643" s="60"/>
      <c r="P643" s="61"/>
      <c r="Q643" s="62"/>
      <c r="R643" s="61"/>
      <c r="S643" s="62"/>
      <c r="T643" s="61"/>
      <c r="U643" s="62"/>
      <c r="V643" s="61"/>
      <c r="W643" s="62"/>
      <c r="X643" s="61"/>
      <c r="Y643" s="62"/>
      <c r="Z643" s="61"/>
      <c r="AA643" s="62"/>
    </row>
    <row r="644" spans="3:27" ht="16.5" customHeight="1">
      <c r="C644" s="118"/>
      <c r="E644" s="61"/>
      <c r="H644" s="61"/>
      <c r="I644" s="60"/>
      <c r="K644" s="62"/>
      <c r="O644" s="60"/>
      <c r="P644" s="61"/>
      <c r="Q644" s="62"/>
      <c r="R644" s="61"/>
      <c r="S644" s="62"/>
      <c r="T644" s="61"/>
      <c r="U644" s="62"/>
      <c r="V644" s="61"/>
      <c r="W644" s="62"/>
      <c r="X644" s="61"/>
      <c r="Y644" s="62"/>
      <c r="Z644" s="61"/>
      <c r="AA644" s="62"/>
    </row>
    <row r="645" spans="3:27" ht="16.5" customHeight="1">
      <c r="C645" s="118"/>
      <c r="E645" s="61"/>
      <c r="H645" s="61"/>
      <c r="I645" s="60"/>
      <c r="K645" s="62"/>
      <c r="O645" s="60"/>
      <c r="P645" s="61"/>
      <c r="Q645" s="62"/>
      <c r="R645" s="61"/>
      <c r="S645" s="62"/>
      <c r="T645" s="61"/>
      <c r="U645" s="62"/>
      <c r="V645" s="61"/>
      <c r="W645" s="62"/>
      <c r="X645" s="61"/>
      <c r="Y645" s="62"/>
      <c r="Z645" s="61"/>
      <c r="AA645" s="62"/>
    </row>
    <row r="646" spans="3:27" ht="16.5" customHeight="1">
      <c r="C646" s="118"/>
      <c r="E646" s="61"/>
      <c r="H646" s="61"/>
      <c r="I646" s="60"/>
      <c r="K646" s="62"/>
      <c r="O646" s="60"/>
      <c r="P646" s="61"/>
      <c r="Q646" s="62"/>
      <c r="R646" s="61"/>
      <c r="S646" s="62"/>
      <c r="T646" s="61"/>
      <c r="U646" s="62"/>
      <c r="V646" s="61"/>
      <c r="W646" s="62"/>
      <c r="X646" s="61"/>
      <c r="Y646" s="62"/>
      <c r="Z646" s="61"/>
      <c r="AA646" s="62"/>
    </row>
    <row r="647" spans="3:27" ht="16.5" customHeight="1">
      <c r="C647" s="118"/>
      <c r="E647" s="61"/>
      <c r="H647" s="61"/>
      <c r="I647" s="60"/>
      <c r="K647" s="62"/>
      <c r="O647" s="60"/>
      <c r="P647" s="61"/>
      <c r="Q647" s="62"/>
      <c r="R647" s="61"/>
      <c r="S647" s="62"/>
      <c r="T647" s="61"/>
      <c r="U647" s="62"/>
      <c r="V647" s="61"/>
      <c r="W647" s="62"/>
      <c r="X647" s="61"/>
      <c r="Y647" s="62"/>
      <c r="Z647" s="61"/>
      <c r="AA647" s="62"/>
    </row>
    <row r="648" spans="3:27" ht="16.5" customHeight="1">
      <c r="C648" s="118"/>
      <c r="E648" s="61"/>
      <c r="H648" s="61"/>
      <c r="I648" s="60"/>
      <c r="K648" s="62"/>
      <c r="O648" s="60"/>
      <c r="P648" s="61"/>
      <c r="Q648" s="62"/>
      <c r="R648" s="61"/>
      <c r="S648" s="62"/>
      <c r="T648" s="61"/>
      <c r="U648" s="62"/>
      <c r="V648" s="61"/>
      <c r="W648" s="62"/>
      <c r="X648" s="61"/>
      <c r="Y648" s="62"/>
      <c r="Z648" s="61"/>
      <c r="AA648" s="62"/>
    </row>
    <row r="649" spans="3:27" ht="16.5" customHeight="1">
      <c r="C649" s="118"/>
      <c r="E649" s="61"/>
      <c r="H649" s="61"/>
      <c r="I649" s="60"/>
      <c r="K649" s="62"/>
      <c r="O649" s="60"/>
      <c r="P649" s="61"/>
      <c r="Q649" s="62"/>
      <c r="R649" s="61"/>
      <c r="S649" s="62"/>
      <c r="T649" s="61"/>
      <c r="U649" s="62"/>
      <c r="V649" s="61"/>
      <c r="W649" s="62"/>
      <c r="X649" s="61"/>
      <c r="Y649" s="62"/>
      <c r="Z649" s="61"/>
      <c r="AA649" s="62"/>
    </row>
    <row r="650" spans="3:27" ht="16.5" customHeight="1">
      <c r="C650" s="118"/>
      <c r="E650" s="61"/>
      <c r="H650" s="61"/>
      <c r="I650" s="60"/>
      <c r="K650" s="62"/>
      <c r="O650" s="60"/>
      <c r="P650" s="61"/>
      <c r="Q650" s="62"/>
      <c r="R650" s="61"/>
      <c r="S650" s="62"/>
      <c r="T650" s="61"/>
      <c r="U650" s="62"/>
      <c r="V650" s="61"/>
      <c r="W650" s="62"/>
      <c r="X650" s="61"/>
      <c r="Y650" s="62"/>
      <c r="Z650" s="61"/>
      <c r="AA650" s="62"/>
    </row>
    <row r="651" spans="3:27" ht="16.5" customHeight="1">
      <c r="C651" s="118"/>
      <c r="E651" s="61"/>
      <c r="H651" s="61"/>
      <c r="I651" s="60"/>
      <c r="K651" s="62"/>
      <c r="O651" s="60"/>
      <c r="P651" s="61"/>
      <c r="Q651" s="62"/>
      <c r="R651" s="61"/>
      <c r="S651" s="62"/>
      <c r="T651" s="61"/>
      <c r="U651" s="62"/>
      <c r="V651" s="61"/>
      <c r="W651" s="62"/>
      <c r="X651" s="61"/>
      <c r="Y651" s="62"/>
      <c r="Z651" s="61"/>
      <c r="AA651" s="62"/>
    </row>
    <row r="652" spans="3:27" ht="16.5" customHeight="1">
      <c r="C652" s="118"/>
      <c r="E652" s="61"/>
      <c r="H652" s="61"/>
      <c r="I652" s="60"/>
      <c r="K652" s="62"/>
      <c r="O652" s="60"/>
      <c r="P652" s="61"/>
      <c r="Q652" s="62"/>
      <c r="R652" s="61"/>
      <c r="S652" s="62"/>
      <c r="T652" s="61"/>
      <c r="U652" s="62"/>
      <c r="V652" s="61"/>
      <c r="W652" s="62"/>
      <c r="X652" s="61"/>
      <c r="Y652" s="62"/>
      <c r="Z652" s="61"/>
      <c r="AA652" s="62"/>
    </row>
    <row r="653" spans="3:27" ht="16.5" customHeight="1">
      <c r="C653" s="118"/>
      <c r="E653" s="61"/>
      <c r="H653" s="61"/>
      <c r="I653" s="60"/>
      <c r="K653" s="62"/>
      <c r="O653" s="60"/>
      <c r="P653" s="61"/>
      <c r="Q653" s="62"/>
      <c r="R653" s="61"/>
      <c r="S653" s="62"/>
      <c r="T653" s="61"/>
      <c r="U653" s="62"/>
      <c r="V653" s="61"/>
      <c r="W653" s="62"/>
      <c r="X653" s="61"/>
      <c r="Y653" s="62"/>
      <c r="Z653" s="61"/>
      <c r="AA653" s="62"/>
    </row>
    <row r="654" spans="3:27" ht="16.5" customHeight="1">
      <c r="C654" s="118"/>
      <c r="E654" s="61"/>
      <c r="H654" s="61"/>
      <c r="I654" s="60"/>
      <c r="K654" s="62"/>
      <c r="O654" s="60"/>
      <c r="P654" s="61"/>
      <c r="Q654" s="62"/>
      <c r="R654" s="61"/>
      <c r="S654" s="62"/>
      <c r="T654" s="61"/>
      <c r="U654" s="62"/>
      <c r="V654" s="61"/>
      <c r="W654" s="62"/>
      <c r="X654" s="61"/>
      <c r="Y654" s="62"/>
      <c r="Z654" s="61"/>
      <c r="AA654" s="62"/>
    </row>
    <row r="655" spans="3:27" ht="16.5" customHeight="1">
      <c r="C655" s="118"/>
      <c r="E655" s="61"/>
      <c r="H655" s="61"/>
      <c r="I655" s="60"/>
      <c r="K655" s="62"/>
      <c r="O655" s="60"/>
      <c r="P655" s="61"/>
      <c r="Q655" s="62"/>
      <c r="R655" s="61"/>
      <c r="S655" s="62"/>
      <c r="T655" s="61"/>
      <c r="U655" s="62"/>
      <c r="V655" s="61"/>
      <c r="W655" s="62"/>
      <c r="X655" s="61"/>
      <c r="Y655" s="62"/>
      <c r="Z655" s="61"/>
      <c r="AA655" s="62"/>
    </row>
    <row r="656" spans="3:27" ht="16.5" customHeight="1">
      <c r="C656" s="118"/>
      <c r="E656" s="61"/>
      <c r="H656" s="61"/>
      <c r="I656" s="60"/>
      <c r="K656" s="62"/>
      <c r="O656" s="60"/>
      <c r="P656" s="61"/>
      <c r="Q656" s="62"/>
      <c r="R656" s="61"/>
      <c r="S656" s="62"/>
      <c r="T656" s="61"/>
      <c r="U656" s="62"/>
      <c r="V656" s="61"/>
      <c r="W656" s="62"/>
      <c r="X656" s="61"/>
      <c r="Y656" s="62"/>
      <c r="Z656" s="61"/>
      <c r="AA656" s="62"/>
    </row>
    <row r="657" spans="3:27" ht="16.5" customHeight="1">
      <c r="C657" s="118"/>
      <c r="E657" s="61"/>
      <c r="H657" s="61"/>
      <c r="I657" s="60"/>
      <c r="K657" s="62"/>
      <c r="O657" s="60"/>
      <c r="P657" s="61"/>
      <c r="Q657" s="62"/>
      <c r="R657" s="61"/>
      <c r="S657" s="62"/>
      <c r="T657" s="61"/>
      <c r="U657" s="62"/>
      <c r="V657" s="61"/>
      <c r="W657" s="62"/>
      <c r="X657" s="61"/>
      <c r="Y657" s="62"/>
      <c r="Z657" s="61"/>
      <c r="AA657" s="62"/>
    </row>
    <row r="658" spans="3:27" ht="16.5" customHeight="1">
      <c r="C658" s="118"/>
      <c r="E658" s="61"/>
      <c r="H658" s="61"/>
      <c r="I658" s="60"/>
      <c r="K658" s="62"/>
      <c r="O658" s="60"/>
      <c r="P658" s="61"/>
      <c r="Q658" s="62"/>
      <c r="R658" s="61"/>
      <c r="S658" s="62"/>
      <c r="T658" s="61"/>
      <c r="U658" s="62"/>
      <c r="V658" s="61"/>
      <c r="W658" s="62"/>
      <c r="X658" s="61"/>
      <c r="Y658" s="62"/>
      <c r="Z658" s="61"/>
      <c r="AA658" s="62"/>
    </row>
    <row r="659" spans="3:27" ht="16.5" customHeight="1">
      <c r="C659" s="118"/>
      <c r="E659" s="61"/>
      <c r="H659" s="61"/>
      <c r="I659" s="60"/>
      <c r="K659" s="62"/>
      <c r="O659" s="60"/>
      <c r="P659" s="61"/>
      <c r="Q659" s="62"/>
      <c r="R659" s="61"/>
      <c r="S659" s="62"/>
      <c r="T659" s="61"/>
      <c r="U659" s="62"/>
      <c r="V659" s="61"/>
      <c r="W659" s="62"/>
      <c r="X659" s="61"/>
      <c r="Y659" s="62"/>
      <c r="Z659" s="61"/>
      <c r="AA659" s="62"/>
    </row>
    <row r="660" spans="3:27" ht="16.5" customHeight="1">
      <c r="C660" s="118"/>
      <c r="E660" s="61"/>
      <c r="H660" s="61"/>
      <c r="I660" s="60"/>
      <c r="K660" s="62"/>
      <c r="O660" s="60"/>
      <c r="P660" s="61"/>
      <c r="Q660" s="62"/>
      <c r="R660" s="61"/>
      <c r="S660" s="62"/>
      <c r="T660" s="61"/>
      <c r="U660" s="62"/>
      <c r="V660" s="61"/>
      <c r="W660" s="62"/>
      <c r="X660" s="61"/>
      <c r="Y660" s="62"/>
      <c r="Z660" s="61"/>
      <c r="AA660" s="62"/>
    </row>
    <row r="661" spans="3:27" ht="16.5" customHeight="1">
      <c r="C661" s="118"/>
      <c r="E661" s="61"/>
      <c r="H661" s="61"/>
      <c r="I661" s="60"/>
      <c r="K661" s="62"/>
      <c r="O661" s="60"/>
      <c r="P661" s="61"/>
      <c r="Q661" s="62"/>
      <c r="R661" s="61"/>
      <c r="S661" s="62"/>
      <c r="T661" s="61"/>
      <c r="U661" s="62"/>
      <c r="V661" s="61"/>
      <c r="W661" s="62"/>
      <c r="X661" s="61"/>
      <c r="Y661" s="62"/>
      <c r="Z661" s="61"/>
      <c r="AA661" s="62"/>
    </row>
    <row r="662" spans="3:27" ht="16.5" customHeight="1">
      <c r="C662" s="118"/>
      <c r="E662" s="61"/>
      <c r="H662" s="61"/>
      <c r="I662" s="60"/>
      <c r="K662" s="62"/>
      <c r="O662" s="60"/>
      <c r="P662" s="61"/>
      <c r="Q662" s="62"/>
      <c r="R662" s="61"/>
      <c r="S662" s="62"/>
      <c r="T662" s="61"/>
      <c r="U662" s="62"/>
      <c r="V662" s="61"/>
      <c r="W662" s="62"/>
      <c r="X662" s="61"/>
      <c r="Y662" s="62"/>
      <c r="Z662" s="61"/>
      <c r="AA662" s="62"/>
    </row>
    <row r="663" spans="3:27" ht="16.5" customHeight="1">
      <c r="C663" s="118"/>
      <c r="E663" s="61"/>
      <c r="H663" s="61"/>
      <c r="I663" s="60"/>
      <c r="K663" s="62"/>
      <c r="O663" s="60"/>
      <c r="P663" s="61"/>
      <c r="Q663" s="62"/>
      <c r="R663" s="61"/>
      <c r="S663" s="62"/>
      <c r="T663" s="61"/>
      <c r="U663" s="62"/>
      <c r="V663" s="61"/>
      <c r="W663" s="62"/>
      <c r="X663" s="61"/>
      <c r="Y663" s="62"/>
      <c r="Z663" s="61"/>
      <c r="AA663" s="62"/>
    </row>
    <row r="664" spans="3:27" ht="16.5" customHeight="1">
      <c r="C664" s="118"/>
      <c r="E664" s="61"/>
      <c r="H664" s="61"/>
      <c r="I664" s="60"/>
      <c r="K664" s="62"/>
      <c r="O664" s="60"/>
      <c r="P664" s="61"/>
      <c r="Q664" s="62"/>
      <c r="R664" s="61"/>
      <c r="S664" s="62"/>
      <c r="T664" s="61"/>
      <c r="U664" s="62"/>
      <c r="V664" s="61"/>
      <c r="W664" s="62"/>
      <c r="X664" s="61"/>
      <c r="Y664" s="62"/>
      <c r="Z664" s="61"/>
      <c r="AA664" s="62"/>
    </row>
    <row r="665" spans="3:27" ht="16.5" customHeight="1">
      <c r="C665" s="118"/>
      <c r="E665" s="61"/>
      <c r="H665" s="61"/>
      <c r="I665" s="60"/>
      <c r="K665" s="62"/>
      <c r="O665" s="60"/>
      <c r="P665" s="61"/>
      <c r="Q665" s="62"/>
      <c r="R665" s="61"/>
      <c r="S665" s="62"/>
      <c r="T665" s="61"/>
      <c r="U665" s="62"/>
      <c r="V665" s="61"/>
      <c r="W665" s="62"/>
      <c r="X665" s="61"/>
      <c r="Y665" s="62"/>
      <c r="Z665" s="61"/>
      <c r="AA665" s="62"/>
    </row>
    <row r="666" spans="3:27" ht="16.5" customHeight="1">
      <c r="C666" s="118"/>
      <c r="E666" s="61"/>
      <c r="H666" s="61"/>
      <c r="I666" s="60"/>
      <c r="K666" s="62"/>
      <c r="O666" s="60"/>
      <c r="P666" s="61"/>
      <c r="Q666" s="62"/>
      <c r="R666" s="61"/>
      <c r="S666" s="62"/>
      <c r="T666" s="61"/>
      <c r="U666" s="62"/>
      <c r="V666" s="61"/>
      <c r="W666" s="62"/>
      <c r="X666" s="61"/>
      <c r="Y666" s="62"/>
      <c r="Z666" s="61"/>
      <c r="AA666" s="62"/>
    </row>
    <row r="667" spans="3:27" ht="16.5" customHeight="1">
      <c r="C667" s="118"/>
      <c r="E667" s="61"/>
      <c r="H667" s="61"/>
      <c r="I667" s="60"/>
      <c r="K667" s="62"/>
      <c r="O667" s="60"/>
      <c r="P667" s="61"/>
      <c r="Q667" s="62"/>
      <c r="R667" s="61"/>
      <c r="S667" s="62"/>
      <c r="T667" s="61"/>
      <c r="U667" s="62"/>
      <c r="V667" s="61"/>
      <c r="W667" s="62"/>
      <c r="X667" s="61"/>
      <c r="Y667" s="62"/>
      <c r="Z667" s="61"/>
      <c r="AA667" s="62"/>
    </row>
    <row r="668" spans="3:27" ht="16.5" customHeight="1">
      <c r="C668" s="118"/>
      <c r="E668" s="61"/>
      <c r="H668" s="61"/>
      <c r="I668" s="60"/>
      <c r="K668" s="62"/>
      <c r="O668" s="60"/>
      <c r="P668" s="61"/>
      <c r="Q668" s="62"/>
      <c r="R668" s="61"/>
      <c r="S668" s="62"/>
      <c r="T668" s="61"/>
      <c r="U668" s="62"/>
      <c r="V668" s="61"/>
      <c r="W668" s="62"/>
      <c r="X668" s="61"/>
      <c r="Y668" s="62"/>
      <c r="Z668" s="61"/>
      <c r="AA668" s="62"/>
    </row>
    <row r="669" spans="3:27" ht="16.5" customHeight="1">
      <c r="C669" s="118"/>
      <c r="E669" s="61"/>
      <c r="H669" s="61"/>
      <c r="I669" s="60"/>
      <c r="K669" s="62"/>
      <c r="O669" s="60"/>
      <c r="P669" s="61"/>
      <c r="Q669" s="62"/>
      <c r="R669" s="61"/>
      <c r="S669" s="62"/>
      <c r="T669" s="61"/>
      <c r="U669" s="62"/>
      <c r="V669" s="61"/>
      <c r="W669" s="62"/>
      <c r="X669" s="61"/>
      <c r="Y669" s="62"/>
      <c r="Z669" s="61"/>
      <c r="AA669" s="62"/>
    </row>
    <row r="670" spans="3:27" ht="16.5" customHeight="1">
      <c r="C670" s="118"/>
      <c r="E670" s="61"/>
      <c r="H670" s="61"/>
      <c r="I670" s="60"/>
      <c r="K670" s="62"/>
      <c r="O670" s="60"/>
      <c r="P670" s="61"/>
      <c r="Q670" s="62"/>
      <c r="R670" s="61"/>
      <c r="S670" s="62"/>
      <c r="T670" s="61"/>
      <c r="U670" s="62"/>
      <c r="V670" s="61"/>
      <c r="W670" s="62"/>
      <c r="X670" s="61"/>
      <c r="Y670" s="62"/>
      <c r="Z670" s="61"/>
      <c r="AA670" s="62"/>
    </row>
    <row r="671" spans="3:27" ht="16.5" customHeight="1">
      <c r="C671" s="118"/>
      <c r="E671" s="61"/>
      <c r="H671" s="61"/>
      <c r="I671" s="60"/>
      <c r="K671" s="62"/>
      <c r="O671" s="60"/>
      <c r="P671" s="61"/>
      <c r="Q671" s="62"/>
      <c r="R671" s="61"/>
      <c r="S671" s="62"/>
      <c r="T671" s="61"/>
      <c r="U671" s="62"/>
      <c r="V671" s="61"/>
      <c r="W671" s="62"/>
      <c r="X671" s="61"/>
      <c r="Y671" s="62"/>
      <c r="Z671" s="61"/>
      <c r="AA671" s="62"/>
    </row>
    <row r="672" spans="3:27" ht="16.5" customHeight="1">
      <c r="C672" s="118"/>
      <c r="E672" s="61"/>
      <c r="H672" s="61"/>
      <c r="I672" s="60"/>
      <c r="K672" s="62"/>
      <c r="O672" s="60"/>
      <c r="P672" s="61"/>
      <c r="Q672" s="62"/>
      <c r="R672" s="61"/>
      <c r="S672" s="62"/>
      <c r="T672" s="61"/>
      <c r="U672" s="62"/>
      <c r="V672" s="61"/>
      <c r="W672" s="62"/>
      <c r="X672" s="61"/>
      <c r="Y672" s="62"/>
      <c r="Z672" s="61"/>
      <c r="AA672" s="62"/>
    </row>
    <row r="673" spans="3:27" ht="16.5" customHeight="1">
      <c r="C673" s="118"/>
      <c r="E673" s="61"/>
      <c r="H673" s="61"/>
      <c r="I673" s="60"/>
      <c r="K673" s="62"/>
      <c r="O673" s="60"/>
      <c r="P673" s="61"/>
      <c r="Q673" s="62"/>
      <c r="R673" s="61"/>
      <c r="S673" s="62"/>
      <c r="T673" s="61"/>
      <c r="U673" s="62"/>
      <c r="V673" s="61"/>
      <c r="W673" s="62"/>
      <c r="X673" s="61"/>
      <c r="Y673" s="62"/>
      <c r="Z673" s="61"/>
      <c r="AA673" s="62"/>
    </row>
    <row r="674" spans="3:27" ht="16.5" customHeight="1">
      <c r="C674" s="118"/>
      <c r="E674" s="61"/>
      <c r="H674" s="61"/>
      <c r="I674" s="60"/>
      <c r="K674" s="62"/>
      <c r="O674" s="60"/>
      <c r="P674" s="61"/>
      <c r="Q674" s="62"/>
      <c r="R674" s="61"/>
      <c r="S674" s="62"/>
      <c r="T674" s="61"/>
      <c r="U674" s="62"/>
      <c r="V674" s="61"/>
      <c r="W674" s="62"/>
      <c r="X674" s="61"/>
      <c r="Y674" s="62"/>
      <c r="Z674" s="61"/>
      <c r="AA674" s="62"/>
    </row>
    <row r="675" spans="3:27" ht="16.5" customHeight="1">
      <c r="C675" s="118"/>
      <c r="E675" s="61"/>
      <c r="H675" s="61"/>
      <c r="I675" s="60"/>
      <c r="K675" s="62"/>
      <c r="O675" s="60"/>
      <c r="P675" s="61"/>
      <c r="Q675" s="62"/>
      <c r="R675" s="61"/>
      <c r="S675" s="62"/>
      <c r="T675" s="61"/>
      <c r="U675" s="62"/>
      <c r="V675" s="61"/>
      <c r="W675" s="62"/>
      <c r="X675" s="61"/>
      <c r="Y675" s="62"/>
      <c r="Z675" s="61"/>
      <c r="AA675" s="62"/>
    </row>
    <row r="676" spans="3:27" ht="16.5" customHeight="1">
      <c r="C676" s="118"/>
      <c r="E676" s="61"/>
      <c r="H676" s="61"/>
      <c r="I676" s="60"/>
      <c r="K676" s="62"/>
      <c r="O676" s="60"/>
      <c r="P676" s="61"/>
      <c r="Q676" s="62"/>
      <c r="R676" s="61"/>
      <c r="S676" s="62"/>
      <c r="T676" s="61"/>
      <c r="U676" s="62"/>
      <c r="V676" s="61"/>
      <c r="W676" s="62"/>
      <c r="X676" s="61"/>
      <c r="Y676" s="62"/>
      <c r="Z676" s="61"/>
      <c r="AA676" s="62"/>
    </row>
    <row r="677" spans="3:27" ht="16.5" customHeight="1">
      <c r="C677" s="118"/>
      <c r="E677" s="61"/>
      <c r="H677" s="61"/>
      <c r="I677" s="60"/>
      <c r="K677" s="62"/>
      <c r="O677" s="60"/>
      <c r="P677" s="61"/>
      <c r="Q677" s="62"/>
      <c r="R677" s="61"/>
      <c r="S677" s="62"/>
      <c r="T677" s="61"/>
      <c r="U677" s="62"/>
      <c r="V677" s="61"/>
      <c r="W677" s="62"/>
      <c r="X677" s="61"/>
      <c r="Y677" s="62"/>
      <c r="Z677" s="61"/>
      <c r="AA677" s="62"/>
    </row>
    <row r="678" spans="3:27" ht="16.5" customHeight="1">
      <c r="C678" s="118"/>
      <c r="E678" s="61"/>
      <c r="H678" s="61"/>
      <c r="I678" s="60"/>
      <c r="K678" s="62"/>
      <c r="O678" s="60"/>
      <c r="P678" s="61"/>
      <c r="Q678" s="62"/>
      <c r="R678" s="61"/>
      <c r="S678" s="62"/>
      <c r="T678" s="61"/>
      <c r="U678" s="62"/>
      <c r="V678" s="61"/>
      <c r="W678" s="62"/>
      <c r="X678" s="61"/>
      <c r="Y678" s="62"/>
      <c r="Z678" s="61"/>
      <c r="AA678" s="62"/>
    </row>
    <row r="679" spans="3:27" ht="16.5" customHeight="1">
      <c r="C679" s="118"/>
      <c r="E679" s="61"/>
      <c r="H679" s="61"/>
      <c r="I679" s="60"/>
      <c r="K679" s="62"/>
      <c r="O679" s="60"/>
      <c r="P679" s="61"/>
      <c r="Q679" s="62"/>
      <c r="R679" s="61"/>
      <c r="S679" s="62"/>
      <c r="T679" s="61"/>
      <c r="U679" s="62"/>
      <c r="V679" s="61"/>
      <c r="W679" s="62"/>
      <c r="X679" s="61"/>
      <c r="Y679" s="62"/>
      <c r="Z679" s="61"/>
      <c r="AA679" s="62"/>
    </row>
    <row r="680" spans="3:27" ht="16.5" customHeight="1">
      <c r="C680" s="118"/>
      <c r="E680" s="61"/>
      <c r="H680" s="61"/>
      <c r="I680" s="60"/>
      <c r="K680" s="62"/>
      <c r="O680" s="60"/>
      <c r="P680" s="61"/>
      <c r="Q680" s="62"/>
      <c r="R680" s="61"/>
      <c r="S680" s="62"/>
      <c r="T680" s="61"/>
      <c r="U680" s="62"/>
      <c r="V680" s="61"/>
      <c r="W680" s="62"/>
      <c r="X680" s="61"/>
      <c r="Y680" s="62"/>
      <c r="Z680" s="61"/>
      <c r="AA680" s="62"/>
    </row>
    <row r="681" spans="3:27" ht="16.5" customHeight="1">
      <c r="C681" s="118"/>
      <c r="E681" s="61"/>
      <c r="H681" s="61"/>
      <c r="I681" s="60"/>
      <c r="K681" s="62"/>
      <c r="O681" s="60"/>
      <c r="P681" s="61"/>
      <c r="Q681" s="62"/>
      <c r="R681" s="61"/>
      <c r="S681" s="62"/>
      <c r="T681" s="61"/>
      <c r="U681" s="62"/>
      <c r="V681" s="61"/>
      <c r="W681" s="62"/>
      <c r="X681" s="61"/>
      <c r="Y681" s="62"/>
      <c r="Z681" s="61"/>
      <c r="AA681" s="62"/>
    </row>
    <row r="682" spans="3:27" ht="16.5" customHeight="1">
      <c r="C682" s="118"/>
      <c r="E682" s="61"/>
      <c r="H682" s="61"/>
      <c r="I682" s="60"/>
      <c r="K682" s="62"/>
      <c r="O682" s="60"/>
      <c r="P682" s="61"/>
      <c r="Q682" s="62"/>
      <c r="R682" s="61"/>
      <c r="S682" s="62"/>
      <c r="T682" s="61"/>
      <c r="U682" s="62"/>
      <c r="V682" s="61"/>
      <c r="W682" s="62"/>
      <c r="X682" s="61"/>
      <c r="Y682" s="62"/>
      <c r="Z682" s="61"/>
      <c r="AA682" s="62"/>
    </row>
    <row r="683" spans="3:27" ht="16.5" customHeight="1">
      <c r="C683" s="118"/>
      <c r="E683" s="61"/>
      <c r="H683" s="61"/>
      <c r="I683" s="60"/>
      <c r="K683" s="62"/>
      <c r="O683" s="60"/>
      <c r="P683" s="61"/>
      <c r="Q683" s="62"/>
      <c r="R683" s="61"/>
      <c r="S683" s="62"/>
      <c r="T683" s="61"/>
      <c r="U683" s="62"/>
      <c r="V683" s="61"/>
      <c r="W683" s="62"/>
      <c r="X683" s="61"/>
      <c r="Y683" s="62"/>
      <c r="Z683" s="61"/>
      <c r="AA683" s="62"/>
    </row>
    <row r="684" spans="3:27" ht="16.5" customHeight="1">
      <c r="C684" s="118"/>
      <c r="E684" s="61"/>
      <c r="H684" s="61"/>
      <c r="I684" s="60"/>
      <c r="K684" s="62"/>
      <c r="O684" s="60"/>
      <c r="P684" s="61"/>
      <c r="Q684" s="62"/>
      <c r="R684" s="61"/>
      <c r="S684" s="62"/>
      <c r="T684" s="61"/>
      <c r="U684" s="62"/>
      <c r="V684" s="61"/>
      <c r="W684" s="62"/>
      <c r="X684" s="61"/>
      <c r="Y684" s="62"/>
      <c r="Z684" s="61"/>
      <c r="AA684" s="62"/>
    </row>
    <row r="685" spans="3:27" ht="16.5" customHeight="1">
      <c r="C685" s="118"/>
      <c r="E685" s="61"/>
      <c r="H685" s="61"/>
      <c r="I685" s="60"/>
      <c r="K685" s="62"/>
      <c r="O685" s="60"/>
      <c r="P685" s="61"/>
      <c r="Q685" s="62"/>
      <c r="R685" s="61"/>
      <c r="S685" s="62"/>
      <c r="T685" s="61"/>
      <c r="U685" s="62"/>
      <c r="V685" s="61"/>
      <c r="W685" s="62"/>
      <c r="X685" s="61"/>
      <c r="Y685" s="62"/>
      <c r="Z685" s="61"/>
      <c r="AA685" s="62"/>
    </row>
    <row r="686" spans="3:27" ht="16.5" customHeight="1">
      <c r="C686" s="118"/>
      <c r="E686" s="61"/>
      <c r="H686" s="61"/>
      <c r="I686" s="60"/>
      <c r="K686" s="62"/>
      <c r="O686" s="60"/>
      <c r="P686" s="61"/>
      <c r="Q686" s="62"/>
      <c r="R686" s="61"/>
      <c r="S686" s="62"/>
      <c r="T686" s="61"/>
      <c r="U686" s="62"/>
      <c r="V686" s="61"/>
      <c r="W686" s="62"/>
      <c r="X686" s="61"/>
      <c r="Y686" s="62"/>
      <c r="Z686" s="61"/>
      <c r="AA686" s="62"/>
    </row>
    <row r="687" spans="3:27" ht="16.5" customHeight="1">
      <c r="C687" s="118"/>
      <c r="E687" s="61"/>
      <c r="H687" s="61"/>
      <c r="I687" s="60"/>
      <c r="K687" s="62"/>
      <c r="O687" s="60"/>
      <c r="P687" s="61"/>
      <c r="Q687" s="62"/>
      <c r="R687" s="61"/>
      <c r="S687" s="62"/>
      <c r="T687" s="61"/>
      <c r="U687" s="62"/>
      <c r="V687" s="61"/>
      <c r="W687" s="62"/>
      <c r="X687" s="61"/>
      <c r="Y687" s="62"/>
      <c r="Z687" s="61"/>
      <c r="AA687" s="62"/>
    </row>
    <row r="688" spans="3:27" ht="16.5" customHeight="1">
      <c r="C688" s="118"/>
      <c r="E688" s="61"/>
      <c r="H688" s="61"/>
      <c r="I688" s="60"/>
      <c r="K688" s="62"/>
      <c r="O688" s="60"/>
      <c r="P688" s="61"/>
      <c r="Q688" s="62"/>
      <c r="R688" s="61"/>
      <c r="S688" s="62"/>
      <c r="T688" s="61"/>
      <c r="U688" s="62"/>
      <c r="V688" s="61"/>
      <c r="W688" s="62"/>
      <c r="X688" s="61"/>
      <c r="Y688" s="62"/>
      <c r="Z688" s="61"/>
      <c r="AA688" s="62"/>
    </row>
    <row r="689" spans="3:27" ht="16.5" customHeight="1">
      <c r="C689" s="118"/>
      <c r="E689" s="61"/>
      <c r="H689" s="61"/>
      <c r="I689" s="60"/>
      <c r="K689" s="62"/>
      <c r="O689" s="60"/>
      <c r="P689" s="61"/>
      <c r="Q689" s="62"/>
      <c r="R689" s="61"/>
      <c r="S689" s="62"/>
      <c r="T689" s="61"/>
      <c r="U689" s="62"/>
      <c r="V689" s="61"/>
      <c r="W689" s="62"/>
      <c r="X689" s="61"/>
      <c r="Y689" s="62"/>
      <c r="Z689" s="61"/>
      <c r="AA689" s="62"/>
    </row>
    <row r="690" spans="3:27" ht="16.5" customHeight="1">
      <c r="C690" s="118"/>
      <c r="E690" s="61"/>
      <c r="H690" s="61"/>
      <c r="I690" s="60"/>
      <c r="K690" s="62"/>
      <c r="O690" s="60"/>
      <c r="P690" s="61"/>
      <c r="Q690" s="62"/>
      <c r="R690" s="61"/>
      <c r="S690" s="62"/>
      <c r="T690" s="61"/>
      <c r="U690" s="62"/>
      <c r="V690" s="61"/>
      <c r="W690" s="62"/>
      <c r="X690" s="61"/>
      <c r="Y690" s="62"/>
      <c r="Z690" s="61"/>
      <c r="AA690" s="62"/>
    </row>
    <row r="691" spans="3:27" ht="16.5" customHeight="1">
      <c r="C691" s="118"/>
      <c r="E691" s="61"/>
      <c r="H691" s="61"/>
      <c r="I691" s="60"/>
      <c r="K691" s="62"/>
      <c r="O691" s="60"/>
      <c r="P691" s="61"/>
      <c r="Q691" s="62"/>
      <c r="R691" s="61"/>
      <c r="S691" s="62"/>
      <c r="T691" s="61"/>
      <c r="U691" s="62"/>
      <c r="V691" s="61"/>
      <c r="W691" s="62"/>
      <c r="X691" s="61"/>
      <c r="Y691" s="62"/>
      <c r="Z691" s="61"/>
      <c r="AA691" s="62"/>
    </row>
    <row r="692" spans="3:27" ht="16.5" customHeight="1">
      <c r="C692" s="118"/>
      <c r="E692" s="61"/>
      <c r="H692" s="61"/>
      <c r="I692" s="60"/>
      <c r="K692" s="62"/>
      <c r="O692" s="60"/>
      <c r="P692" s="61"/>
      <c r="Q692" s="62"/>
      <c r="R692" s="61"/>
      <c r="S692" s="62"/>
      <c r="T692" s="61"/>
      <c r="U692" s="62"/>
      <c r="V692" s="61"/>
      <c r="W692" s="62"/>
      <c r="X692" s="61"/>
      <c r="Y692" s="62"/>
      <c r="Z692" s="61"/>
      <c r="AA692" s="62"/>
    </row>
    <row r="693" spans="3:27" ht="16.5" customHeight="1">
      <c r="C693" s="118"/>
      <c r="E693" s="61"/>
      <c r="H693" s="61"/>
      <c r="I693" s="60"/>
      <c r="K693" s="62"/>
      <c r="O693" s="60"/>
      <c r="P693" s="61"/>
      <c r="Q693" s="62"/>
      <c r="R693" s="61"/>
      <c r="S693" s="62"/>
      <c r="T693" s="61"/>
      <c r="U693" s="62"/>
      <c r="V693" s="61"/>
      <c r="W693" s="62"/>
      <c r="X693" s="61"/>
      <c r="Y693" s="62"/>
      <c r="Z693" s="61"/>
      <c r="AA693" s="62"/>
    </row>
    <row r="694" spans="3:27" ht="16.5" customHeight="1">
      <c r="C694" s="118"/>
      <c r="E694" s="61"/>
      <c r="H694" s="61"/>
      <c r="I694" s="60"/>
      <c r="K694" s="62"/>
      <c r="O694" s="60"/>
      <c r="P694" s="61"/>
      <c r="Q694" s="62"/>
      <c r="R694" s="61"/>
      <c r="S694" s="62"/>
      <c r="T694" s="61"/>
      <c r="U694" s="62"/>
      <c r="V694" s="61"/>
      <c r="W694" s="62"/>
      <c r="X694" s="61"/>
      <c r="Y694" s="62"/>
      <c r="Z694" s="61"/>
      <c r="AA694" s="62"/>
    </row>
    <row r="695" spans="3:27" ht="16.5" customHeight="1">
      <c r="C695" s="118"/>
      <c r="E695" s="61"/>
      <c r="H695" s="61"/>
      <c r="I695" s="60"/>
      <c r="K695" s="62"/>
      <c r="O695" s="60"/>
      <c r="P695" s="61"/>
      <c r="Q695" s="62"/>
      <c r="R695" s="61"/>
      <c r="S695" s="62"/>
      <c r="T695" s="61"/>
      <c r="U695" s="62"/>
      <c r="V695" s="61"/>
      <c r="W695" s="62"/>
      <c r="X695" s="61"/>
      <c r="Y695" s="62"/>
      <c r="Z695" s="61"/>
      <c r="AA695" s="62"/>
    </row>
    <row r="696" spans="3:27" ht="16.5" customHeight="1">
      <c r="C696" s="118"/>
      <c r="E696" s="61"/>
      <c r="H696" s="61"/>
      <c r="I696" s="60"/>
      <c r="K696" s="62"/>
      <c r="O696" s="60"/>
      <c r="P696" s="61"/>
      <c r="Q696" s="62"/>
      <c r="R696" s="61"/>
      <c r="S696" s="62"/>
      <c r="T696" s="61"/>
      <c r="U696" s="62"/>
      <c r="V696" s="61"/>
      <c r="W696" s="62"/>
      <c r="X696" s="61"/>
      <c r="Y696" s="62"/>
      <c r="Z696" s="61"/>
      <c r="AA696" s="62"/>
    </row>
    <row r="697" spans="3:27" ht="16.5" customHeight="1">
      <c r="C697" s="118"/>
      <c r="E697" s="61"/>
      <c r="H697" s="61"/>
      <c r="I697" s="60"/>
      <c r="K697" s="62"/>
      <c r="O697" s="60"/>
      <c r="P697" s="61"/>
      <c r="Q697" s="62"/>
      <c r="R697" s="61"/>
      <c r="S697" s="62"/>
      <c r="T697" s="61"/>
      <c r="U697" s="62"/>
      <c r="V697" s="61"/>
      <c r="W697" s="62"/>
      <c r="X697" s="61"/>
      <c r="Y697" s="62"/>
      <c r="Z697" s="61"/>
      <c r="AA697" s="62"/>
    </row>
    <row r="698" spans="3:27" ht="16.5" customHeight="1">
      <c r="C698" s="118"/>
      <c r="E698" s="61"/>
      <c r="H698" s="61"/>
      <c r="I698" s="60"/>
      <c r="K698" s="62"/>
      <c r="O698" s="60"/>
      <c r="P698" s="61"/>
      <c r="Q698" s="62"/>
      <c r="R698" s="61"/>
      <c r="S698" s="62"/>
      <c r="T698" s="61"/>
      <c r="U698" s="62"/>
      <c r="V698" s="61"/>
      <c r="W698" s="62"/>
      <c r="X698" s="61"/>
      <c r="Y698" s="62"/>
      <c r="Z698" s="61"/>
      <c r="AA698" s="62"/>
    </row>
    <row r="699" spans="3:27" ht="16.5" customHeight="1">
      <c r="C699" s="118"/>
      <c r="E699" s="61"/>
      <c r="H699" s="61"/>
      <c r="I699" s="60"/>
      <c r="K699" s="62"/>
      <c r="O699" s="60"/>
      <c r="P699" s="61"/>
      <c r="Q699" s="62"/>
      <c r="R699" s="61"/>
      <c r="S699" s="62"/>
      <c r="T699" s="61"/>
      <c r="U699" s="62"/>
      <c r="V699" s="61"/>
      <c r="W699" s="62"/>
      <c r="X699" s="61"/>
      <c r="Y699" s="62"/>
      <c r="Z699" s="61"/>
      <c r="AA699" s="62"/>
    </row>
    <row r="700" spans="3:27" ht="16.5" customHeight="1">
      <c r="C700" s="118"/>
      <c r="E700" s="61"/>
      <c r="H700" s="61"/>
      <c r="I700" s="60"/>
      <c r="K700" s="62"/>
      <c r="O700" s="60"/>
      <c r="P700" s="61"/>
      <c r="Q700" s="62"/>
      <c r="R700" s="61"/>
      <c r="S700" s="62"/>
      <c r="T700" s="61"/>
      <c r="U700" s="62"/>
      <c r="V700" s="61"/>
      <c r="W700" s="62"/>
      <c r="X700" s="61"/>
      <c r="Y700" s="62"/>
      <c r="Z700" s="61"/>
      <c r="AA700" s="62"/>
    </row>
    <row r="701" spans="3:27" ht="16.5" customHeight="1">
      <c r="C701" s="118"/>
      <c r="E701" s="61"/>
      <c r="H701" s="61"/>
      <c r="I701" s="60"/>
      <c r="K701" s="62"/>
      <c r="O701" s="60"/>
      <c r="P701" s="61"/>
      <c r="Q701" s="62"/>
      <c r="R701" s="61"/>
      <c r="S701" s="62"/>
      <c r="T701" s="61"/>
      <c r="U701" s="62"/>
      <c r="V701" s="61"/>
      <c r="W701" s="62"/>
      <c r="X701" s="61"/>
      <c r="Y701" s="62"/>
      <c r="Z701" s="61"/>
      <c r="AA701" s="62"/>
    </row>
    <row r="702" spans="3:27" ht="16.5" customHeight="1">
      <c r="C702" s="118"/>
      <c r="E702" s="61"/>
      <c r="H702" s="61"/>
      <c r="I702" s="60"/>
      <c r="K702" s="62"/>
      <c r="O702" s="60"/>
      <c r="P702" s="61"/>
      <c r="Q702" s="62"/>
      <c r="R702" s="61"/>
      <c r="S702" s="62"/>
      <c r="T702" s="61"/>
      <c r="U702" s="62"/>
      <c r="V702" s="61"/>
      <c r="W702" s="62"/>
      <c r="X702" s="61"/>
      <c r="Y702" s="62"/>
      <c r="Z702" s="61"/>
      <c r="AA702" s="62"/>
    </row>
    <row r="703" spans="3:27" ht="16.5" customHeight="1">
      <c r="C703" s="118"/>
      <c r="E703" s="61"/>
      <c r="H703" s="61"/>
      <c r="I703" s="60"/>
      <c r="K703" s="62"/>
      <c r="O703" s="60"/>
      <c r="P703" s="61"/>
      <c r="Q703" s="62"/>
      <c r="R703" s="61"/>
      <c r="S703" s="62"/>
      <c r="T703" s="61"/>
      <c r="U703" s="62"/>
      <c r="V703" s="61"/>
      <c r="W703" s="62"/>
      <c r="X703" s="61"/>
      <c r="Y703" s="62"/>
      <c r="Z703" s="61"/>
      <c r="AA703" s="62"/>
    </row>
    <row r="704" spans="3:27" ht="16.5" customHeight="1">
      <c r="C704" s="118"/>
      <c r="E704" s="61"/>
      <c r="H704" s="61"/>
      <c r="I704" s="60"/>
      <c r="K704" s="62"/>
      <c r="O704" s="60"/>
      <c r="P704" s="61"/>
      <c r="Q704" s="62"/>
      <c r="R704" s="61"/>
      <c r="S704" s="62"/>
      <c r="T704" s="61"/>
      <c r="U704" s="62"/>
      <c r="V704" s="61"/>
      <c r="W704" s="62"/>
      <c r="X704" s="61"/>
      <c r="Y704" s="62"/>
      <c r="Z704" s="61"/>
      <c r="AA704" s="62"/>
    </row>
    <row r="705" spans="3:27" ht="16.5" customHeight="1">
      <c r="C705" s="118"/>
      <c r="E705" s="61"/>
      <c r="H705" s="61"/>
      <c r="I705" s="60"/>
      <c r="K705" s="62"/>
      <c r="O705" s="60"/>
      <c r="P705" s="61"/>
      <c r="Q705" s="62"/>
      <c r="R705" s="61"/>
      <c r="S705" s="62"/>
      <c r="T705" s="61"/>
      <c r="U705" s="62"/>
      <c r="V705" s="61"/>
      <c r="W705" s="62"/>
      <c r="X705" s="61"/>
      <c r="Y705" s="62"/>
      <c r="Z705" s="61"/>
      <c r="AA705" s="62"/>
    </row>
    <row r="706" spans="3:27" ht="16.5" customHeight="1">
      <c r="C706" s="118"/>
      <c r="E706" s="61"/>
      <c r="H706" s="61"/>
      <c r="I706" s="60"/>
      <c r="K706" s="62"/>
      <c r="O706" s="60"/>
      <c r="P706" s="61"/>
      <c r="Q706" s="62"/>
      <c r="R706" s="61"/>
      <c r="S706" s="62"/>
      <c r="T706" s="61"/>
      <c r="U706" s="62"/>
      <c r="V706" s="61"/>
      <c r="W706" s="62"/>
      <c r="X706" s="61"/>
      <c r="Y706" s="62"/>
      <c r="Z706" s="61"/>
      <c r="AA706" s="62"/>
    </row>
    <row r="707" spans="3:27" ht="16.5" customHeight="1">
      <c r="C707" s="118"/>
      <c r="E707" s="61"/>
      <c r="H707" s="61"/>
      <c r="I707" s="60"/>
      <c r="K707" s="62"/>
      <c r="O707" s="60"/>
      <c r="P707" s="61"/>
      <c r="Q707" s="62"/>
      <c r="R707" s="61"/>
      <c r="S707" s="62"/>
      <c r="T707" s="61"/>
      <c r="U707" s="62"/>
      <c r="V707" s="61"/>
      <c r="W707" s="62"/>
      <c r="X707" s="61"/>
      <c r="Y707" s="62"/>
      <c r="Z707" s="61"/>
      <c r="AA707" s="62"/>
    </row>
    <row r="708" spans="3:27" ht="16.5" customHeight="1">
      <c r="C708" s="118"/>
      <c r="E708" s="61"/>
      <c r="H708" s="61"/>
      <c r="I708" s="60"/>
      <c r="K708" s="62"/>
      <c r="O708" s="60"/>
      <c r="P708" s="61"/>
      <c r="Q708" s="62"/>
      <c r="R708" s="61"/>
      <c r="S708" s="62"/>
      <c r="T708" s="61"/>
      <c r="U708" s="62"/>
      <c r="V708" s="61"/>
      <c r="W708" s="62"/>
      <c r="X708" s="61"/>
      <c r="Y708" s="62"/>
      <c r="Z708" s="61"/>
      <c r="AA708" s="62"/>
    </row>
    <row r="709" spans="3:27" ht="16.5" customHeight="1">
      <c r="C709" s="118"/>
      <c r="E709" s="61"/>
      <c r="H709" s="61"/>
      <c r="I709" s="60"/>
      <c r="K709" s="62"/>
      <c r="O709" s="60"/>
      <c r="P709" s="61"/>
      <c r="Q709" s="62"/>
      <c r="R709" s="61"/>
      <c r="S709" s="62"/>
      <c r="T709" s="61"/>
      <c r="U709" s="62"/>
      <c r="V709" s="61"/>
      <c r="W709" s="62"/>
      <c r="X709" s="61"/>
      <c r="Y709" s="62"/>
      <c r="Z709" s="61"/>
      <c r="AA709" s="62"/>
    </row>
    <row r="710" spans="3:27" ht="16.5" customHeight="1">
      <c r="C710" s="118"/>
      <c r="E710" s="61"/>
      <c r="H710" s="61"/>
      <c r="I710" s="60"/>
      <c r="K710" s="62"/>
      <c r="O710" s="60"/>
      <c r="P710" s="61"/>
      <c r="Q710" s="62"/>
      <c r="R710" s="61"/>
      <c r="S710" s="62"/>
      <c r="T710" s="61"/>
      <c r="U710" s="62"/>
      <c r="V710" s="61"/>
      <c r="W710" s="62"/>
      <c r="X710" s="61"/>
      <c r="Y710" s="62"/>
      <c r="Z710" s="61"/>
      <c r="AA710" s="62"/>
    </row>
    <row r="711" spans="3:27" ht="16.5" customHeight="1">
      <c r="C711" s="118"/>
      <c r="E711" s="61"/>
      <c r="H711" s="61"/>
      <c r="I711" s="60"/>
      <c r="K711" s="62"/>
      <c r="O711" s="60"/>
      <c r="P711" s="61"/>
      <c r="Q711" s="62"/>
      <c r="R711" s="61"/>
      <c r="S711" s="62"/>
      <c r="T711" s="61"/>
      <c r="U711" s="62"/>
      <c r="V711" s="61"/>
      <c r="W711" s="62"/>
      <c r="X711" s="61"/>
      <c r="Y711" s="62"/>
      <c r="Z711" s="61"/>
      <c r="AA711" s="62"/>
    </row>
    <row r="712" spans="3:27" ht="16.5" customHeight="1">
      <c r="C712" s="118"/>
      <c r="E712" s="61"/>
      <c r="H712" s="61"/>
      <c r="I712" s="60"/>
      <c r="K712" s="62"/>
      <c r="O712" s="60"/>
      <c r="P712" s="61"/>
      <c r="Q712" s="62"/>
      <c r="R712" s="61"/>
      <c r="S712" s="62"/>
      <c r="T712" s="61"/>
      <c r="U712" s="62"/>
      <c r="V712" s="61"/>
      <c r="W712" s="62"/>
      <c r="X712" s="61"/>
      <c r="Y712" s="62"/>
      <c r="Z712" s="61"/>
      <c r="AA712" s="62"/>
    </row>
    <row r="713" spans="3:27" ht="16.5" customHeight="1">
      <c r="C713" s="118"/>
      <c r="E713" s="61"/>
      <c r="H713" s="61"/>
      <c r="I713" s="60"/>
      <c r="K713" s="62"/>
      <c r="O713" s="60"/>
      <c r="P713" s="61"/>
      <c r="Q713" s="62"/>
      <c r="R713" s="61"/>
      <c r="S713" s="62"/>
      <c r="T713" s="61"/>
      <c r="U713" s="62"/>
      <c r="V713" s="61"/>
      <c r="W713" s="62"/>
      <c r="X713" s="61"/>
      <c r="Y713" s="62"/>
      <c r="Z713" s="61"/>
      <c r="AA713" s="62"/>
    </row>
    <row r="714" spans="3:27" ht="16.5" customHeight="1">
      <c r="C714" s="118"/>
      <c r="E714" s="61"/>
      <c r="H714" s="61"/>
      <c r="I714" s="60"/>
      <c r="K714" s="62"/>
      <c r="O714" s="60"/>
      <c r="P714" s="61"/>
      <c r="Q714" s="62"/>
      <c r="R714" s="61"/>
      <c r="S714" s="62"/>
      <c r="T714" s="61"/>
      <c r="U714" s="62"/>
      <c r="V714" s="61"/>
      <c r="W714" s="62"/>
      <c r="X714" s="61"/>
      <c r="Y714" s="62"/>
      <c r="Z714" s="61"/>
      <c r="AA714" s="62"/>
    </row>
    <row r="715" spans="3:27" ht="16.5" customHeight="1">
      <c r="C715" s="118"/>
      <c r="E715" s="61"/>
      <c r="H715" s="61"/>
      <c r="I715" s="60"/>
      <c r="K715" s="62"/>
      <c r="O715" s="60"/>
      <c r="P715" s="61"/>
      <c r="Q715" s="62"/>
      <c r="R715" s="61"/>
      <c r="S715" s="62"/>
      <c r="T715" s="61"/>
      <c r="U715" s="62"/>
      <c r="V715" s="61"/>
      <c r="W715" s="62"/>
      <c r="X715" s="61"/>
      <c r="Y715" s="62"/>
      <c r="Z715" s="61"/>
      <c r="AA715" s="62"/>
    </row>
    <row r="716" spans="3:27" ht="16.5" customHeight="1">
      <c r="C716" s="118"/>
      <c r="E716" s="61"/>
      <c r="H716" s="61"/>
      <c r="I716" s="60"/>
      <c r="K716" s="62"/>
      <c r="O716" s="60"/>
      <c r="P716" s="61"/>
      <c r="Q716" s="62"/>
      <c r="R716" s="61"/>
      <c r="S716" s="62"/>
      <c r="T716" s="61"/>
      <c r="U716" s="62"/>
      <c r="V716" s="61"/>
      <c r="W716" s="62"/>
      <c r="X716" s="61"/>
      <c r="Y716" s="62"/>
      <c r="Z716" s="61"/>
      <c r="AA716" s="62"/>
    </row>
    <row r="717" spans="3:27" ht="16.5" customHeight="1">
      <c r="C717" s="118"/>
      <c r="E717" s="61"/>
      <c r="H717" s="61"/>
      <c r="I717" s="60"/>
      <c r="K717" s="62"/>
      <c r="O717" s="60"/>
      <c r="P717" s="61"/>
      <c r="Q717" s="62"/>
      <c r="R717" s="61"/>
      <c r="S717" s="62"/>
      <c r="T717" s="61"/>
      <c r="U717" s="62"/>
      <c r="V717" s="61"/>
      <c r="W717" s="62"/>
      <c r="X717" s="61"/>
      <c r="Y717" s="62"/>
      <c r="Z717" s="61"/>
      <c r="AA717" s="62"/>
    </row>
    <row r="718" spans="3:27" ht="16.5" customHeight="1">
      <c r="C718" s="118"/>
      <c r="E718" s="61"/>
      <c r="H718" s="61"/>
      <c r="I718" s="60"/>
      <c r="K718" s="62"/>
      <c r="O718" s="60"/>
      <c r="P718" s="61"/>
      <c r="Q718" s="62"/>
      <c r="R718" s="61"/>
      <c r="S718" s="62"/>
      <c r="T718" s="61"/>
      <c r="U718" s="62"/>
      <c r="V718" s="61"/>
      <c r="W718" s="62"/>
      <c r="X718" s="61"/>
      <c r="Y718" s="62"/>
      <c r="Z718" s="61"/>
      <c r="AA718" s="62"/>
    </row>
    <row r="719" spans="3:27" ht="16.5" customHeight="1">
      <c r="C719" s="118"/>
      <c r="E719" s="61"/>
      <c r="H719" s="61"/>
      <c r="I719" s="60"/>
      <c r="K719" s="62"/>
      <c r="O719" s="60"/>
      <c r="P719" s="61"/>
      <c r="Q719" s="62"/>
      <c r="R719" s="61"/>
      <c r="S719" s="62"/>
      <c r="T719" s="61"/>
      <c r="U719" s="62"/>
      <c r="V719" s="61"/>
      <c r="W719" s="62"/>
      <c r="X719" s="61"/>
      <c r="Y719" s="62"/>
      <c r="Z719" s="61"/>
      <c r="AA719" s="62"/>
    </row>
    <row r="720" spans="3:27" ht="16.5" customHeight="1">
      <c r="C720" s="118"/>
      <c r="E720" s="61"/>
      <c r="H720" s="61"/>
      <c r="I720" s="60"/>
      <c r="K720" s="62"/>
      <c r="O720" s="60"/>
      <c r="P720" s="61"/>
      <c r="Q720" s="62"/>
      <c r="R720" s="61"/>
      <c r="S720" s="62"/>
      <c r="T720" s="61"/>
      <c r="U720" s="62"/>
      <c r="V720" s="61"/>
      <c r="W720" s="62"/>
      <c r="X720" s="61"/>
      <c r="Y720" s="62"/>
      <c r="Z720" s="61"/>
      <c r="AA720" s="62"/>
    </row>
    <row r="721" spans="3:27" ht="16.5" customHeight="1">
      <c r="C721" s="118"/>
      <c r="E721" s="61"/>
      <c r="H721" s="61"/>
      <c r="I721" s="60"/>
      <c r="K721" s="62"/>
      <c r="O721" s="60"/>
      <c r="P721" s="61"/>
      <c r="Q721" s="62"/>
      <c r="R721" s="61"/>
      <c r="S721" s="62"/>
      <c r="T721" s="61"/>
      <c r="U721" s="62"/>
      <c r="V721" s="61"/>
      <c r="W721" s="62"/>
      <c r="X721" s="61"/>
      <c r="Y721" s="62"/>
      <c r="Z721" s="61"/>
      <c r="AA721" s="62"/>
    </row>
    <row r="722" spans="3:27" ht="16.5" customHeight="1">
      <c r="C722" s="118"/>
      <c r="E722" s="61"/>
      <c r="H722" s="61"/>
      <c r="I722" s="60"/>
      <c r="K722" s="62"/>
      <c r="O722" s="60"/>
      <c r="P722" s="61"/>
      <c r="Q722" s="62"/>
      <c r="R722" s="61"/>
      <c r="S722" s="62"/>
      <c r="T722" s="61"/>
      <c r="U722" s="62"/>
      <c r="V722" s="61"/>
      <c r="W722" s="62"/>
      <c r="X722" s="61"/>
      <c r="Y722" s="62"/>
      <c r="Z722" s="61"/>
      <c r="AA722" s="62"/>
    </row>
    <row r="723" spans="3:27" ht="16.5" customHeight="1">
      <c r="C723" s="118"/>
      <c r="E723" s="61"/>
      <c r="H723" s="61"/>
      <c r="I723" s="60"/>
      <c r="K723" s="62"/>
      <c r="O723" s="60"/>
      <c r="P723" s="61"/>
      <c r="Q723" s="62"/>
      <c r="R723" s="61"/>
      <c r="S723" s="62"/>
      <c r="T723" s="61"/>
      <c r="U723" s="62"/>
      <c r="V723" s="61"/>
      <c r="W723" s="62"/>
      <c r="X723" s="61"/>
      <c r="Y723" s="62"/>
      <c r="Z723" s="61"/>
      <c r="AA723" s="62"/>
    </row>
    <row r="724" spans="3:27" ht="16.5" customHeight="1">
      <c r="C724" s="118"/>
      <c r="E724" s="61"/>
      <c r="H724" s="61"/>
      <c r="I724" s="60"/>
      <c r="K724" s="62"/>
      <c r="O724" s="60"/>
      <c r="P724" s="61"/>
      <c r="Q724" s="62"/>
      <c r="R724" s="61"/>
      <c r="S724" s="62"/>
      <c r="T724" s="61"/>
      <c r="U724" s="62"/>
      <c r="V724" s="61"/>
      <c r="W724" s="62"/>
      <c r="X724" s="61"/>
      <c r="Y724" s="62"/>
      <c r="Z724" s="61"/>
      <c r="AA724" s="62"/>
    </row>
    <row r="725" spans="3:27" ht="16.5" customHeight="1">
      <c r="C725" s="118"/>
      <c r="E725" s="61"/>
      <c r="H725" s="61"/>
      <c r="I725" s="60"/>
      <c r="K725" s="62"/>
      <c r="O725" s="60"/>
      <c r="P725" s="61"/>
      <c r="Q725" s="62"/>
      <c r="R725" s="61"/>
      <c r="S725" s="62"/>
      <c r="T725" s="61"/>
      <c r="U725" s="62"/>
      <c r="V725" s="61"/>
      <c r="W725" s="62"/>
      <c r="X725" s="61"/>
      <c r="Y725" s="62"/>
      <c r="Z725" s="61"/>
      <c r="AA725" s="62"/>
    </row>
    <row r="726" spans="3:27" ht="16.5" customHeight="1">
      <c r="C726" s="118"/>
      <c r="E726" s="61"/>
      <c r="H726" s="61"/>
      <c r="I726" s="60"/>
      <c r="K726" s="62"/>
      <c r="O726" s="60"/>
      <c r="P726" s="61"/>
      <c r="Q726" s="62"/>
      <c r="R726" s="61"/>
      <c r="S726" s="62"/>
      <c r="T726" s="61"/>
      <c r="U726" s="62"/>
      <c r="V726" s="61"/>
      <c r="W726" s="62"/>
      <c r="X726" s="61"/>
      <c r="Y726" s="62"/>
      <c r="Z726" s="61"/>
      <c r="AA726" s="62"/>
    </row>
    <row r="727" spans="3:27" ht="16.5" customHeight="1">
      <c r="C727" s="118"/>
      <c r="E727" s="61"/>
      <c r="H727" s="61"/>
      <c r="I727" s="60"/>
      <c r="K727" s="62"/>
      <c r="O727" s="60"/>
      <c r="P727" s="61"/>
      <c r="Q727" s="62"/>
      <c r="R727" s="61"/>
      <c r="S727" s="62"/>
      <c r="T727" s="61"/>
      <c r="U727" s="62"/>
      <c r="V727" s="61"/>
      <c r="W727" s="62"/>
      <c r="X727" s="61"/>
      <c r="Y727" s="62"/>
      <c r="Z727" s="61"/>
      <c r="AA727" s="62"/>
    </row>
    <row r="728" spans="3:27" ht="16.5" customHeight="1">
      <c r="C728" s="118"/>
      <c r="E728" s="61"/>
      <c r="H728" s="61"/>
      <c r="I728" s="60"/>
      <c r="K728" s="62"/>
      <c r="O728" s="60"/>
      <c r="P728" s="61"/>
      <c r="Q728" s="62"/>
      <c r="R728" s="61"/>
      <c r="S728" s="62"/>
      <c r="T728" s="61"/>
      <c r="U728" s="62"/>
      <c r="V728" s="61"/>
      <c r="W728" s="62"/>
      <c r="X728" s="61"/>
      <c r="Y728" s="62"/>
      <c r="Z728" s="61"/>
      <c r="AA728" s="62"/>
    </row>
    <row r="729" spans="3:27" ht="16.5" customHeight="1">
      <c r="C729" s="118"/>
      <c r="E729" s="61"/>
      <c r="H729" s="61"/>
      <c r="I729" s="60"/>
      <c r="K729" s="62"/>
      <c r="O729" s="60"/>
      <c r="P729" s="61"/>
      <c r="Q729" s="62"/>
      <c r="R729" s="61"/>
      <c r="S729" s="62"/>
      <c r="T729" s="61"/>
      <c r="U729" s="62"/>
      <c r="V729" s="61"/>
      <c r="W729" s="62"/>
      <c r="X729" s="61"/>
      <c r="Y729" s="62"/>
      <c r="Z729" s="61"/>
      <c r="AA729" s="62"/>
    </row>
    <row r="730" spans="3:27" ht="16.5" customHeight="1">
      <c r="C730" s="118"/>
      <c r="E730" s="61"/>
      <c r="H730" s="61"/>
      <c r="I730" s="60"/>
      <c r="K730" s="62"/>
      <c r="O730" s="60"/>
      <c r="P730" s="61"/>
      <c r="Q730" s="62"/>
      <c r="R730" s="61"/>
      <c r="S730" s="62"/>
      <c r="T730" s="61"/>
      <c r="U730" s="62"/>
      <c r="V730" s="61"/>
      <c r="W730" s="62"/>
      <c r="X730" s="61"/>
      <c r="Y730" s="62"/>
      <c r="Z730" s="61"/>
      <c r="AA730" s="62"/>
    </row>
    <row r="731" spans="3:27" ht="16.5" customHeight="1">
      <c r="C731" s="118"/>
      <c r="E731" s="61"/>
      <c r="H731" s="61"/>
      <c r="I731" s="60"/>
      <c r="K731" s="62"/>
      <c r="O731" s="60"/>
      <c r="P731" s="61"/>
      <c r="Q731" s="62"/>
      <c r="R731" s="61"/>
      <c r="S731" s="62"/>
      <c r="T731" s="61"/>
      <c r="U731" s="62"/>
      <c r="V731" s="61"/>
      <c r="W731" s="62"/>
      <c r="X731" s="61"/>
      <c r="Y731" s="62"/>
      <c r="Z731" s="61"/>
      <c r="AA731" s="62"/>
    </row>
    <row r="732" spans="3:27" ht="16.5" customHeight="1">
      <c r="C732" s="118"/>
      <c r="E732" s="61"/>
      <c r="H732" s="61"/>
      <c r="I732" s="60"/>
      <c r="K732" s="62"/>
      <c r="O732" s="60"/>
      <c r="P732" s="61"/>
      <c r="Q732" s="62"/>
      <c r="R732" s="61"/>
      <c r="S732" s="62"/>
      <c r="T732" s="61"/>
      <c r="U732" s="62"/>
      <c r="V732" s="61"/>
      <c r="W732" s="62"/>
      <c r="X732" s="61"/>
      <c r="Y732" s="62"/>
      <c r="Z732" s="61"/>
      <c r="AA732" s="62"/>
    </row>
    <row r="733" spans="3:27" ht="16.5" customHeight="1">
      <c r="C733" s="118"/>
      <c r="E733" s="61"/>
      <c r="H733" s="61"/>
      <c r="I733" s="60"/>
      <c r="K733" s="62"/>
      <c r="O733" s="60"/>
      <c r="P733" s="61"/>
      <c r="Q733" s="62"/>
      <c r="R733" s="61"/>
      <c r="S733" s="62"/>
      <c r="T733" s="61"/>
      <c r="U733" s="62"/>
      <c r="V733" s="61"/>
      <c r="W733" s="62"/>
      <c r="X733" s="61"/>
      <c r="Y733" s="62"/>
      <c r="Z733" s="61"/>
      <c r="AA733" s="62"/>
    </row>
    <row r="734" spans="3:27" ht="16.5" customHeight="1">
      <c r="C734" s="118"/>
      <c r="E734" s="61"/>
      <c r="H734" s="61"/>
      <c r="I734" s="60"/>
      <c r="K734" s="62"/>
      <c r="O734" s="60"/>
      <c r="P734" s="61"/>
      <c r="Q734" s="62"/>
      <c r="R734" s="61"/>
      <c r="S734" s="62"/>
      <c r="T734" s="61"/>
      <c r="U734" s="62"/>
      <c r="V734" s="61"/>
      <c r="W734" s="62"/>
      <c r="X734" s="61"/>
      <c r="Y734" s="62"/>
      <c r="Z734" s="61"/>
      <c r="AA734" s="62"/>
    </row>
    <row r="735" spans="3:27" ht="16.5" customHeight="1">
      <c r="C735" s="118"/>
      <c r="E735" s="61"/>
      <c r="H735" s="61"/>
      <c r="I735" s="60"/>
      <c r="K735" s="62"/>
      <c r="O735" s="60"/>
      <c r="P735" s="61"/>
      <c r="Q735" s="62"/>
      <c r="R735" s="61"/>
      <c r="S735" s="62"/>
      <c r="T735" s="61"/>
      <c r="U735" s="62"/>
      <c r="V735" s="61"/>
      <c r="W735" s="62"/>
      <c r="X735" s="61"/>
      <c r="Y735" s="62"/>
      <c r="Z735" s="61"/>
      <c r="AA735" s="62"/>
    </row>
    <row r="736" spans="3:27" ht="16.5" customHeight="1">
      <c r="C736" s="118"/>
      <c r="E736" s="61"/>
      <c r="H736" s="61"/>
      <c r="I736" s="60"/>
      <c r="K736" s="62"/>
      <c r="O736" s="60"/>
      <c r="P736" s="61"/>
      <c r="Q736" s="62"/>
      <c r="R736" s="61"/>
      <c r="S736" s="62"/>
      <c r="T736" s="61"/>
      <c r="U736" s="62"/>
      <c r="V736" s="61"/>
      <c r="W736" s="62"/>
      <c r="X736" s="61"/>
      <c r="Y736" s="62"/>
      <c r="Z736" s="61"/>
      <c r="AA736" s="62"/>
    </row>
    <row r="737" spans="3:27" ht="16.5" customHeight="1">
      <c r="C737" s="118"/>
      <c r="E737" s="61"/>
      <c r="H737" s="61"/>
      <c r="I737" s="60"/>
      <c r="K737" s="62"/>
      <c r="O737" s="60"/>
      <c r="P737" s="61"/>
      <c r="Q737" s="62"/>
      <c r="R737" s="61"/>
      <c r="S737" s="62"/>
      <c r="T737" s="61"/>
      <c r="U737" s="62"/>
      <c r="V737" s="61"/>
      <c r="W737" s="62"/>
      <c r="X737" s="61"/>
      <c r="Y737" s="62"/>
      <c r="Z737" s="61"/>
      <c r="AA737" s="62"/>
    </row>
    <row r="738" spans="3:27" ht="16.5" customHeight="1">
      <c r="C738" s="118"/>
      <c r="E738" s="61"/>
      <c r="H738" s="61"/>
      <c r="I738" s="60"/>
      <c r="K738" s="62"/>
      <c r="O738" s="60"/>
      <c r="P738" s="61"/>
      <c r="Q738" s="62"/>
      <c r="R738" s="61"/>
      <c r="S738" s="62"/>
      <c r="T738" s="61"/>
      <c r="U738" s="62"/>
      <c r="V738" s="61"/>
      <c r="W738" s="62"/>
      <c r="X738" s="61"/>
      <c r="Y738" s="62"/>
      <c r="Z738" s="61"/>
      <c r="AA738" s="62"/>
    </row>
    <row r="739" spans="3:27" ht="16.5" customHeight="1">
      <c r="C739" s="118"/>
      <c r="E739" s="61"/>
      <c r="H739" s="61"/>
      <c r="I739" s="60"/>
      <c r="K739" s="62"/>
      <c r="O739" s="60"/>
      <c r="P739" s="61"/>
      <c r="Q739" s="62"/>
      <c r="R739" s="61"/>
      <c r="S739" s="62"/>
      <c r="T739" s="61"/>
      <c r="U739" s="62"/>
      <c r="V739" s="61"/>
      <c r="W739" s="62"/>
      <c r="X739" s="61"/>
      <c r="Y739" s="62"/>
      <c r="Z739" s="61"/>
      <c r="AA739" s="62"/>
    </row>
    <row r="740" spans="3:27" ht="16.5" customHeight="1">
      <c r="C740" s="118"/>
      <c r="E740" s="61"/>
      <c r="H740" s="61"/>
      <c r="I740" s="60"/>
      <c r="K740" s="62"/>
      <c r="O740" s="60"/>
      <c r="P740" s="61"/>
      <c r="Q740" s="62"/>
      <c r="R740" s="61"/>
      <c r="S740" s="62"/>
      <c r="T740" s="61"/>
      <c r="U740" s="62"/>
      <c r="V740" s="61"/>
      <c r="W740" s="62"/>
      <c r="X740" s="61"/>
      <c r="Y740" s="62"/>
      <c r="Z740" s="61"/>
      <c r="AA740" s="62"/>
    </row>
    <row r="741" spans="3:27" ht="16.5" customHeight="1">
      <c r="C741" s="118"/>
      <c r="E741" s="61"/>
      <c r="H741" s="61"/>
      <c r="I741" s="60"/>
      <c r="K741" s="62"/>
      <c r="O741" s="60"/>
      <c r="P741" s="61"/>
      <c r="Q741" s="62"/>
      <c r="R741" s="61"/>
      <c r="S741" s="62"/>
      <c r="T741" s="61"/>
      <c r="U741" s="62"/>
      <c r="V741" s="61"/>
      <c r="W741" s="62"/>
      <c r="X741" s="61"/>
      <c r="Y741" s="62"/>
      <c r="Z741" s="61"/>
      <c r="AA741" s="62"/>
    </row>
    <row r="742" spans="3:27" ht="16.5" customHeight="1">
      <c r="C742" s="118"/>
      <c r="E742" s="61"/>
      <c r="H742" s="61"/>
      <c r="I742" s="60"/>
      <c r="K742" s="62"/>
      <c r="O742" s="60"/>
      <c r="P742" s="61"/>
      <c r="Q742" s="62"/>
      <c r="R742" s="61"/>
      <c r="S742" s="62"/>
      <c r="T742" s="61"/>
      <c r="U742" s="62"/>
      <c r="V742" s="61"/>
      <c r="W742" s="62"/>
      <c r="X742" s="61"/>
      <c r="Y742" s="62"/>
      <c r="Z742" s="61"/>
      <c r="AA742" s="62"/>
    </row>
    <row r="743" spans="3:27" ht="16.5" customHeight="1">
      <c r="C743" s="118"/>
      <c r="E743" s="61"/>
      <c r="H743" s="61"/>
      <c r="I743" s="60"/>
      <c r="K743" s="62"/>
      <c r="O743" s="60"/>
      <c r="P743" s="61"/>
      <c r="Q743" s="62"/>
      <c r="R743" s="61"/>
      <c r="S743" s="62"/>
      <c r="T743" s="61"/>
      <c r="U743" s="62"/>
      <c r="V743" s="61"/>
      <c r="W743" s="62"/>
      <c r="X743" s="61"/>
      <c r="Y743" s="62"/>
      <c r="Z743" s="61"/>
      <c r="AA743" s="62"/>
    </row>
    <row r="744" spans="3:27" ht="16.5" customHeight="1">
      <c r="C744" s="118"/>
      <c r="E744" s="61"/>
      <c r="H744" s="61"/>
      <c r="I744" s="60"/>
      <c r="K744" s="62"/>
      <c r="O744" s="60"/>
      <c r="P744" s="61"/>
      <c r="Q744" s="62"/>
      <c r="R744" s="61"/>
      <c r="S744" s="62"/>
      <c r="T744" s="61"/>
      <c r="U744" s="62"/>
      <c r="V744" s="61"/>
      <c r="W744" s="62"/>
      <c r="X744" s="61"/>
      <c r="Y744" s="62"/>
      <c r="Z744" s="61"/>
      <c r="AA744" s="62"/>
    </row>
    <row r="745" spans="3:27" ht="16.5" customHeight="1">
      <c r="C745" s="118"/>
      <c r="E745" s="61"/>
      <c r="H745" s="61"/>
      <c r="I745" s="60"/>
      <c r="K745" s="62"/>
      <c r="O745" s="60"/>
      <c r="P745" s="61"/>
      <c r="Q745" s="62"/>
      <c r="R745" s="61"/>
      <c r="S745" s="62"/>
      <c r="T745" s="61"/>
      <c r="U745" s="62"/>
      <c r="V745" s="61"/>
      <c r="W745" s="62"/>
      <c r="X745" s="61"/>
      <c r="Y745" s="62"/>
      <c r="Z745" s="61"/>
      <c r="AA745" s="62"/>
    </row>
    <row r="746" spans="3:27" ht="16.5" customHeight="1">
      <c r="C746" s="118"/>
      <c r="E746" s="61"/>
      <c r="H746" s="61"/>
      <c r="I746" s="60"/>
      <c r="K746" s="62"/>
      <c r="O746" s="60"/>
      <c r="P746" s="61"/>
      <c r="Q746" s="62"/>
      <c r="R746" s="61"/>
      <c r="S746" s="62"/>
      <c r="T746" s="61"/>
      <c r="U746" s="62"/>
      <c r="V746" s="61"/>
      <c r="W746" s="62"/>
      <c r="X746" s="61"/>
      <c r="Y746" s="62"/>
      <c r="Z746" s="61"/>
      <c r="AA746" s="62"/>
    </row>
    <row r="747" spans="3:27" ht="16.5" customHeight="1">
      <c r="C747" s="118"/>
      <c r="E747" s="61"/>
      <c r="H747" s="61"/>
      <c r="I747" s="60"/>
      <c r="K747" s="62"/>
      <c r="O747" s="60"/>
      <c r="P747" s="61"/>
      <c r="Q747" s="62"/>
      <c r="R747" s="61"/>
      <c r="S747" s="62"/>
      <c r="T747" s="61"/>
      <c r="U747" s="62"/>
      <c r="V747" s="61"/>
      <c r="W747" s="62"/>
      <c r="X747" s="61"/>
      <c r="Y747" s="62"/>
      <c r="Z747" s="61"/>
      <c r="AA747" s="62"/>
    </row>
    <row r="748" spans="3:27" ht="16.5" customHeight="1">
      <c r="C748" s="118"/>
      <c r="E748" s="61"/>
      <c r="H748" s="61"/>
      <c r="I748" s="60"/>
      <c r="K748" s="62"/>
      <c r="O748" s="60"/>
      <c r="P748" s="61"/>
      <c r="Q748" s="62"/>
      <c r="R748" s="61"/>
      <c r="S748" s="62"/>
      <c r="T748" s="61"/>
      <c r="U748" s="62"/>
      <c r="V748" s="61"/>
      <c r="W748" s="62"/>
      <c r="X748" s="61"/>
      <c r="Y748" s="62"/>
      <c r="Z748" s="61"/>
      <c r="AA748" s="62"/>
    </row>
    <row r="749" spans="3:27" ht="16.5" customHeight="1">
      <c r="C749" s="118"/>
      <c r="E749" s="61"/>
      <c r="H749" s="61"/>
      <c r="I749" s="60"/>
      <c r="K749" s="62"/>
      <c r="O749" s="60"/>
      <c r="P749" s="61"/>
      <c r="Q749" s="62"/>
      <c r="R749" s="61"/>
      <c r="S749" s="62"/>
      <c r="T749" s="61"/>
      <c r="U749" s="62"/>
      <c r="V749" s="61"/>
      <c r="W749" s="62"/>
      <c r="X749" s="61"/>
      <c r="Y749" s="62"/>
      <c r="Z749" s="61"/>
      <c r="AA749" s="62"/>
    </row>
    <row r="750" spans="3:27" ht="16.5" customHeight="1">
      <c r="C750" s="118"/>
      <c r="E750" s="61"/>
      <c r="H750" s="61"/>
      <c r="I750" s="60"/>
      <c r="K750" s="62"/>
      <c r="O750" s="60"/>
      <c r="P750" s="61"/>
      <c r="Q750" s="62"/>
      <c r="R750" s="61"/>
      <c r="S750" s="62"/>
      <c r="T750" s="61"/>
      <c r="U750" s="62"/>
      <c r="V750" s="61"/>
      <c r="W750" s="62"/>
      <c r="X750" s="61"/>
      <c r="Y750" s="62"/>
      <c r="Z750" s="61"/>
      <c r="AA750" s="62"/>
    </row>
    <row r="751" spans="3:27" ht="16.5" customHeight="1">
      <c r="C751" s="118"/>
      <c r="E751" s="61"/>
      <c r="H751" s="61"/>
      <c r="I751" s="60"/>
      <c r="K751" s="62"/>
      <c r="O751" s="60"/>
      <c r="P751" s="61"/>
      <c r="Q751" s="62"/>
      <c r="R751" s="61"/>
      <c r="S751" s="62"/>
      <c r="T751" s="61"/>
      <c r="U751" s="62"/>
      <c r="V751" s="61"/>
      <c r="W751" s="62"/>
      <c r="X751" s="61"/>
      <c r="Y751" s="62"/>
      <c r="Z751" s="61"/>
      <c r="AA751" s="62"/>
    </row>
    <row r="752" spans="3:27" ht="16.5" customHeight="1">
      <c r="C752" s="118"/>
      <c r="E752" s="61"/>
      <c r="H752" s="61"/>
      <c r="I752" s="60"/>
      <c r="K752" s="62"/>
      <c r="O752" s="60"/>
      <c r="P752" s="61"/>
      <c r="Q752" s="62"/>
      <c r="R752" s="61"/>
      <c r="S752" s="62"/>
      <c r="T752" s="61"/>
      <c r="U752" s="62"/>
      <c r="V752" s="61"/>
      <c r="W752" s="62"/>
      <c r="X752" s="61"/>
      <c r="Y752" s="62"/>
      <c r="Z752" s="61"/>
      <c r="AA752" s="62"/>
    </row>
    <row r="753" spans="3:27" ht="16.5" customHeight="1">
      <c r="C753" s="118"/>
      <c r="E753" s="61"/>
      <c r="H753" s="61"/>
      <c r="I753" s="60"/>
      <c r="K753" s="62"/>
      <c r="O753" s="60"/>
      <c r="P753" s="61"/>
      <c r="Q753" s="62"/>
      <c r="R753" s="61"/>
      <c r="S753" s="62"/>
      <c r="T753" s="61"/>
      <c r="U753" s="62"/>
      <c r="V753" s="61"/>
      <c r="W753" s="62"/>
      <c r="X753" s="61"/>
      <c r="Y753" s="62"/>
      <c r="Z753" s="61"/>
      <c r="AA753" s="62"/>
    </row>
    <row r="754" spans="3:27" ht="16.5" customHeight="1">
      <c r="C754" s="118"/>
      <c r="E754" s="61"/>
      <c r="H754" s="61"/>
      <c r="I754" s="60"/>
      <c r="K754" s="62"/>
      <c r="O754" s="60"/>
      <c r="P754" s="61"/>
      <c r="Q754" s="62"/>
      <c r="R754" s="61"/>
      <c r="S754" s="62"/>
      <c r="T754" s="61"/>
      <c r="U754" s="62"/>
      <c r="V754" s="61"/>
      <c r="W754" s="62"/>
      <c r="X754" s="61"/>
      <c r="Y754" s="62"/>
      <c r="Z754" s="61"/>
      <c r="AA754" s="62"/>
    </row>
    <row r="755" spans="3:27" ht="16.5" customHeight="1">
      <c r="C755" s="118"/>
      <c r="E755" s="61"/>
      <c r="H755" s="61"/>
      <c r="I755" s="60"/>
      <c r="K755" s="62"/>
      <c r="O755" s="60"/>
      <c r="P755" s="61"/>
      <c r="Q755" s="62"/>
      <c r="R755" s="61"/>
      <c r="S755" s="62"/>
      <c r="T755" s="61"/>
      <c r="U755" s="62"/>
      <c r="V755" s="61"/>
      <c r="W755" s="62"/>
      <c r="X755" s="61"/>
      <c r="Y755" s="62"/>
      <c r="Z755" s="61"/>
      <c r="AA755" s="62"/>
    </row>
    <row r="756" spans="3:27" ht="16.5" customHeight="1">
      <c r="C756" s="118"/>
      <c r="E756" s="61"/>
      <c r="H756" s="61"/>
      <c r="I756" s="60"/>
      <c r="K756" s="62"/>
      <c r="O756" s="60"/>
      <c r="P756" s="61"/>
      <c r="Q756" s="62"/>
      <c r="R756" s="61"/>
      <c r="S756" s="62"/>
      <c r="T756" s="61"/>
      <c r="U756" s="62"/>
      <c r="V756" s="61"/>
      <c r="W756" s="62"/>
      <c r="X756" s="61"/>
      <c r="Y756" s="62"/>
      <c r="Z756" s="61"/>
      <c r="AA756" s="62"/>
    </row>
    <row r="757" spans="3:27" ht="16.5" customHeight="1">
      <c r="C757" s="118"/>
      <c r="E757" s="61"/>
      <c r="H757" s="61"/>
      <c r="I757" s="60"/>
      <c r="K757" s="62"/>
      <c r="O757" s="60"/>
      <c r="P757" s="61"/>
      <c r="Q757" s="62"/>
      <c r="R757" s="61"/>
      <c r="S757" s="62"/>
      <c r="T757" s="61"/>
      <c r="U757" s="62"/>
      <c r="V757" s="61"/>
      <c r="W757" s="62"/>
      <c r="X757" s="61"/>
      <c r="Y757" s="62"/>
      <c r="Z757" s="61"/>
      <c r="AA757" s="62"/>
    </row>
    <row r="758" spans="3:27" ht="16.5" customHeight="1">
      <c r="C758" s="118"/>
      <c r="E758" s="61"/>
      <c r="H758" s="61"/>
      <c r="I758" s="60"/>
      <c r="K758" s="62"/>
      <c r="O758" s="60"/>
      <c r="P758" s="61"/>
      <c r="Q758" s="62"/>
      <c r="R758" s="61"/>
      <c r="S758" s="62"/>
      <c r="T758" s="61"/>
      <c r="U758" s="62"/>
      <c r="V758" s="61"/>
      <c r="W758" s="62"/>
      <c r="X758" s="61"/>
      <c r="Y758" s="62"/>
      <c r="Z758" s="61"/>
      <c r="AA758" s="62"/>
    </row>
    <row r="759" spans="3:27" ht="16.5" customHeight="1">
      <c r="C759" s="118"/>
      <c r="E759" s="61"/>
      <c r="H759" s="61"/>
      <c r="I759" s="60"/>
      <c r="K759" s="62"/>
      <c r="O759" s="60"/>
      <c r="P759" s="61"/>
      <c r="Q759" s="62"/>
      <c r="R759" s="61"/>
      <c r="S759" s="62"/>
      <c r="T759" s="61"/>
      <c r="U759" s="62"/>
      <c r="V759" s="61"/>
      <c r="W759" s="62"/>
      <c r="X759" s="61"/>
      <c r="Y759" s="62"/>
      <c r="Z759" s="61"/>
      <c r="AA759" s="62"/>
    </row>
    <row r="760" spans="3:27" ht="16.5" customHeight="1">
      <c r="C760" s="118"/>
      <c r="E760" s="61"/>
      <c r="H760" s="61"/>
      <c r="I760" s="60"/>
      <c r="K760" s="62"/>
      <c r="O760" s="60"/>
      <c r="P760" s="61"/>
      <c r="Q760" s="62"/>
      <c r="R760" s="61"/>
      <c r="S760" s="62"/>
      <c r="T760" s="61"/>
      <c r="U760" s="62"/>
      <c r="V760" s="61"/>
      <c r="W760" s="62"/>
      <c r="X760" s="61"/>
      <c r="Y760" s="62"/>
      <c r="Z760" s="61"/>
      <c r="AA760" s="62"/>
    </row>
    <row r="761" spans="3:27" ht="16.5" customHeight="1">
      <c r="C761" s="118"/>
      <c r="E761" s="61"/>
      <c r="H761" s="61"/>
      <c r="I761" s="60"/>
      <c r="K761" s="62"/>
      <c r="O761" s="60"/>
      <c r="P761" s="61"/>
      <c r="Q761" s="62"/>
      <c r="R761" s="61"/>
      <c r="S761" s="62"/>
      <c r="T761" s="61"/>
      <c r="U761" s="62"/>
      <c r="V761" s="61"/>
      <c r="W761" s="62"/>
      <c r="X761" s="61"/>
      <c r="Y761" s="62"/>
      <c r="Z761" s="61"/>
      <c r="AA761" s="62"/>
    </row>
    <row r="762" spans="3:27" ht="16.5" customHeight="1">
      <c r="C762" s="118"/>
      <c r="E762" s="61"/>
      <c r="H762" s="61"/>
      <c r="I762" s="60"/>
      <c r="K762" s="62"/>
      <c r="O762" s="60"/>
      <c r="P762" s="61"/>
      <c r="Q762" s="62"/>
      <c r="R762" s="61"/>
      <c r="S762" s="62"/>
      <c r="T762" s="61"/>
      <c r="U762" s="62"/>
      <c r="V762" s="61"/>
      <c r="W762" s="62"/>
      <c r="X762" s="61"/>
      <c r="Y762" s="62"/>
      <c r="Z762" s="61"/>
      <c r="AA762" s="62"/>
    </row>
    <row r="763" spans="3:27" ht="16.5" customHeight="1">
      <c r="C763" s="118"/>
      <c r="E763" s="61"/>
      <c r="H763" s="61"/>
      <c r="I763" s="60"/>
      <c r="K763" s="62"/>
      <c r="O763" s="60"/>
      <c r="P763" s="61"/>
      <c r="Q763" s="62"/>
      <c r="R763" s="61"/>
      <c r="S763" s="62"/>
      <c r="T763" s="61"/>
      <c r="U763" s="62"/>
      <c r="V763" s="61"/>
      <c r="W763" s="62"/>
      <c r="X763" s="61"/>
      <c r="Y763" s="62"/>
      <c r="Z763" s="61"/>
      <c r="AA763" s="62"/>
    </row>
    <row r="764" spans="3:27" ht="16.5" customHeight="1">
      <c r="C764" s="118"/>
      <c r="E764" s="61"/>
      <c r="H764" s="61"/>
      <c r="I764" s="60"/>
      <c r="K764" s="62"/>
      <c r="O764" s="60"/>
      <c r="P764" s="61"/>
      <c r="Q764" s="62"/>
      <c r="R764" s="61"/>
      <c r="S764" s="62"/>
      <c r="T764" s="61"/>
      <c r="U764" s="62"/>
      <c r="V764" s="61"/>
      <c r="W764" s="62"/>
      <c r="X764" s="61"/>
      <c r="Y764" s="62"/>
      <c r="Z764" s="61"/>
      <c r="AA764" s="62"/>
    </row>
    <row r="765" spans="3:27" ht="16.5" customHeight="1">
      <c r="C765" s="118"/>
      <c r="E765" s="61"/>
      <c r="H765" s="61"/>
      <c r="I765" s="60"/>
      <c r="K765" s="62"/>
      <c r="O765" s="60"/>
      <c r="P765" s="61"/>
      <c r="Q765" s="62"/>
      <c r="R765" s="61"/>
      <c r="S765" s="62"/>
      <c r="T765" s="61"/>
      <c r="U765" s="62"/>
      <c r="V765" s="61"/>
      <c r="W765" s="62"/>
      <c r="X765" s="61"/>
      <c r="Y765" s="62"/>
      <c r="Z765" s="61"/>
      <c r="AA765" s="62"/>
    </row>
    <row r="766" spans="3:27" ht="16.5" customHeight="1">
      <c r="C766" s="118"/>
      <c r="E766" s="61"/>
      <c r="H766" s="61"/>
      <c r="I766" s="60"/>
      <c r="K766" s="62"/>
      <c r="O766" s="60"/>
      <c r="P766" s="61"/>
      <c r="Q766" s="62"/>
      <c r="R766" s="61"/>
      <c r="S766" s="62"/>
      <c r="T766" s="61"/>
      <c r="U766" s="62"/>
      <c r="V766" s="61"/>
      <c r="W766" s="62"/>
      <c r="X766" s="61"/>
      <c r="Y766" s="62"/>
      <c r="Z766" s="61"/>
      <c r="AA766" s="62"/>
    </row>
    <row r="767" spans="3:27" ht="16.5" customHeight="1">
      <c r="C767" s="118"/>
      <c r="E767" s="61"/>
      <c r="H767" s="61"/>
      <c r="I767" s="60"/>
      <c r="K767" s="62"/>
      <c r="O767" s="60"/>
      <c r="P767" s="61"/>
      <c r="Q767" s="62"/>
      <c r="R767" s="61"/>
      <c r="S767" s="62"/>
      <c r="T767" s="61"/>
      <c r="U767" s="62"/>
      <c r="V767" s="61"/>
      <c r="W767" s="62"/>
      <c r="X767" s="61"/>
      <c r="Y767" s="62"/>
      <c r="Z767" s="61"/>
      <c r="AA767" s="62"/>
    </row>
    <row r="768" spans="3:27" ht="16.5" customHeight="1">
      <c r="C768" s="118"/>
      <c r="E768" s="61"/>
      <c r="H768" s="61"/>
      <c r="I768" s="60"/>
      <c r="K768" s="62"/>
      <c r="O768" s="60"/>
      <c r="P768" s="61"/>
      <c r="Q768" s="62"/>
      <c r="R768" s="61"/>
      <c r="S768" s="62"/>
      <c r="T768" s="61"/>
      <c r="U768" s="62"/>
      <c r="V768" s="61"/>
      <c r="W768" s="62"/>
      <c r="X768" s="61"/>
      <c r="Y768" s="62"/>
      <c r="Z768" s="61"/>
      <c r="AA768" s="62"/>
    </row>
    <row r="769" spans="3:27" ht="16.5" customHeight="1">
      <c r="C769" s="118"/>
      <c r="E769" s="61"/>
      <c r="H769" s="61"/>
      <c r="I769" s="60"/>
      <c r="K769" s="62"/>
      <c r="O769" s="60"/>
      <c r="P769" s="61"/>
      <c r="Q769" s="62"/>
      <c r="R769" s="61"/>
      <c r="S769" s="62"/>
      <c r="T769" s="61"/>
      <c r="U769" s="62"/>
      <c r="V769" s="61"/>
      <c r="W769" s="62"/>
      <c r="X769" s="61"/>
      <c r="Y769" s="62"/>
      <c r="Z769" s="61"/>
      <c r="AA769" s="62"/>
    </row>
    <row r="770" spans="3:27" ht="16.5" customHeight="1">
      <c r="C770" s="118"/>
      <c r="E770" s="61"/>
      <c r="H770" s="61"/>
      <c r="I770" s="60"/>
      <c r="K770" s="62"/>
      <c r="O770" s="60"/>
      <c r="P770" s="61"/>
      <c r="Q770" s="62"/>
      <c r="R770" s="61"/>
      <c r="S770" s="62"/>
      <c r="T770" s="61"/>
      <c r="U770" s="62"/>
      <c r="V770" s="61"/>
      <c r="W770" s="62"/>
      <c r="X770" s="61"/>
      <c r="Y770" s="62"/>
      <c r="Z770" s="61"/>
      <c r="AA770" s="62"/>
    </row>
    <row r="771" spans="3:27" ht="16.5" customHeight="1">
      <c r="C771" s="118"/>
      <c r="E771" s="61"/>
      <c r="H771" s="61"/>
      <c r="I771" s="60"/>
      <c r="K771" s="62"/>
      <c r="O771" s="60"/>
      <c r="P771" s="61"/>
      <c r="Q771" s="62"/>
      <c r="R771" s="61"/>
      <c r="S771" s="62"/>
      <c r="T771" s="61"/>
      <c r="U771" s="62"/>
      <c r="V771" s="61"/>
      <c r="W771" s="62"/>
      <c r="X771" s="61"/>
      <c r="Y771" s="62"/>
      <c r="Z771" s="61"/>
      <c r="AA771" s="62"/>
    </row>
    <row r="772" spans="3:27" ht="16.5" customHeight="1">
      <c r="C772" s="118"/>
      <c r="E772" s="61"/>
      <c r="H772" s="61"/>
      <c r="I772" s="60"/>
      <c r="K772" s="62"/>
      <c r="O772" s="60"/>
      <c r="P772" s="61"/>
      <c r="Q772" s="62"/>
      <c r="R772" s="61"/>
      <c r="S772" s="62"/>
      <c r="T772" s="61"/>
      <c r="U772" s="62"/>
      <c r="V772" s="61"/>
      <c r="W772" s="62"/>
      <c r="X772" s="61"/>
      <c r="Y772" s="62"/>
      <c r="Z772" s="61"/>
      <c r="AA772" s="62"/>
    </row>
    <row r="773" spans="3:27" ht="16.5" customHeight="1">
      <c r="C773" s="118"/>
      <c r="E773" s="61"/>
      <c r="H773" s="61"/>
      <c r="I773" s="60"/>
      <c r="K773" s="62"/>
      <c r="O773" s="60"/>
      <c r="P773" s="61"/>
      <c r="Q773" s="62"/>
      <c r="R773" s="61"/>
      <c r="S773" s="62"/>
      <c r="T773" s="61"/>
      <c r="U773" s="62"/>
      <c r="V773" s="61"/>
      <c r="W773" s="62"/>
      <c r="X773" s="61"/>
      <c r="Y773" s="62"/>
      <c r="Z773" s="61"/>
      <c r="AA773" s="62"/>
    </row>
    <row r="774" spans="3:27" ht="16.5" customHeight="1">
      <c r="C774" s="118"/>
      <c r="E774" s="61"/>
      <c r="H774" s="61"/>
      <c r="I774" s="60"/>
      <c r="K774" s="62"/>
      <c r="O774" s="60"/>
      <c r="P774" s="61"/>
      <c r="Q774" s="62"/>
      <c r="R774" s="61"/>
      <c r="S774" s="62"/>
      <c r="T774" s="61"/>
      <c r="U774" s="62"/>
      <c r="V774" s="61"/>
      <c r="W774" s="62"/>
      <c r="X774" s="61"/>
      <c r="Y774" s="62"/>
      <c r="Z774" s="61"/>
      <c r="AA774" s="62"/>
    </row>
    <row r="775" spans="3:27" ht="16.5" customHeight="1">
      <c r="C775" s="118"/>
      <c r="E775" s="61"/>
      <c r="H775" s="61"/>
      <c r="I775" s="60"/>
      <c r="K775" s="62"/>
      <c r="O775" s="60"/>
      <c r="P775" s="61"/>
      <c r="Q775" s="62"/>
      <c r="R775" s="61"/>
      <c r="S775" s="62"/>
      <c r="T775" s="61"/>
      <c r="U775" s="62"/>
      <c r="V775" s="61"/>
      <c r="W775" s="62"/>
      <c r="X775" s="61"/>
      <c r="Y775" s="62"/>
      <c r="Z775" s="61"/>
      <c r="AA775" s="62"/>
    </row>
    <row r="776" spans="3:27" ht="16.5" customHeight="1">
      <c r="C776" s="118"/>
      <c r="E776" s="61"/>
      <c r="H776" s="61"/>
      <c r="I776" s="60"/>
      <c r="K776" s="62"/>
      <c r="O776" s="60"/>
      <c r="P776" s="61"/>
      <c r="Q776" s="62"/>
      <c r="R776" s="61"/>
      <c r="S776" s="62"/>
      <c r="T776" s="61"/>
      <c r="U776" s="62"/>
      <c r="V776" s="61"/>
      <c r="W776" s="62"/>
      <c r="X776" s="61"/>
      <c r="Y776" s="62"/>
      <c r="Z776" s="61"/>
      <c r="AA776" s="62"/>
    </row>
    <row r="777" spans="3:27" ht="16.5" customHeight="1">
      <c r="C777" s="118"/>
      <c r="E777" s="61"/>
      <c r="H777" s="61"/>
      <c r="I777" s="60"/>
      <c r="K777" s="62"/>
      <c r="O777" s="60"/>
      <c r="P777" s="61"/>
      <c r="Q777" s="62"/>
      <c r="R777" s="61"/>
      <c r="S777" s="62"/>
      <c r="T777" s="61"/>
      <c r="U777" s="62"/>
      <c r="V777" s="61"/>
      <c r="W777" s="62"/>
      <c r="X777" s="61"/>
      <c r="Y777" s="62"/>
      <c r="Z777" s="61"/>
      <c r="AA777" s="62"/>
    </row>
    <row r="778" spans="3:27" ht="16.5" customHeight="1">
      <c r="C778" s="118"/>
      <c r="E778" s="61"/>
      <c r="H778" s="61"/>
      <c r="I778" s="60"/>
      <c r="K778" s="62"/>
      <c r="O778" s="60"/>
      <c r="P778" s="61"/>
      <c r="Q778" s="62"/>
      <c r="R778" s="61"/>
      <c r="S778" s="62"/>
      <c r="T778" s="61"/>
      <c r="U778" s="62"/>
      <c r="V778" s="61"/>
      <c r="W778" s="62"/>
      <c r="X778" s="61"/>
      <c r="Y778" s="62"/>
      <c r="Z778" s="61"/>
      <c r="AA778" s="62"/>
    </row>
    <row r="779" spans="3:27" ht="16.5" customHeight="1">
      <c r="C779" s="118"/>
      <c r="E779" s="61"/>
      <c r="H779" s="61"/>
      <c r="I779" s="60"/>
      <c r="K779" s="62"/>
      <c r="O779" s="60"/>
      <c r="P779" s="61"/>
      <c r="Q779" s="62"/>
      <c r="R779" s="61"/>
      <c r="S779" s="62"/>
      <c r="T779" s="61"/>
      <c r="U779" s="62"/>
      <c r="V779" s="61"/>
      <c r="W779" s="62"/>
      <c r="X779" s="61"/>
      <c r="Y779" s="62"/>
      <c r="Z779" s="61"/>
      <c r="AA779" s="62"/>
    </row>
    <row r="780" spans="3:27" ht="16.5" customHeight="1">
      <c r="C780" s="118"/>
      <c r="E780" s="61"/>
      <c r="H780" s="61"/>
      <c r="I780" s="60"/>
      <c r="K780" s="62"/>
      <c r="O780" s="60"/>
      <c r="P780" s="61"/>
      <c r="Q780" s="62"/>
      <c r="R780" s="61"/>
      <c r="S780" s="62"/>
      <c r="T780" s="61"/>
      <c r="U780" s="62"/>
      <c r="V780" s="61"/>
      <c r="W780" s="62"/>
      <c r="X780" s="61"/>
      <c r="Y780" s="62"/>
      <c r="Z780" s="61"/>
      <c r="AA780" s="62"/>
    </row>
    <row r="781" spans="3:27" ht="16.5" customHeight="1">
      <c r="C781" s="118"/>
      <c r="E781" s="61"/>
      <c r="H781" s="61"/>
      <c r="I781" s="60"/>
      <c r="K781" s="62"/>
      <c r="O781" s="60"/>
      <c r="P781" s="61"/>
      <c r="Q781" s="62"/>
      <c r="R781" s="61"/>
      <c r="S781" s="62"/>
      <c r="T781" s="61"/>
      <c r="U781" s="62"/>
      <c r="V781" s="61"/>
      <c r="W781" s="62"/>
      <c r="X781" s="61"/>
      <c r="Y781" s="62"/>
      <c r="Z781" s="61"/>
      <c r="AA781" s="62"/>
    </row>
    <row r="782" spans="3:27" ht="16.5" customHeight="1">
      <c r="C782" s="118"/>
      <c r="E782" s="61"/>
      <c r="H782" s="61"/>
      <c r="I782" s="60"/>
      <c r="K782" s="62"/>
      <c r="O782" s="60"/>
      <c r="P782" s="61"/>
      <c r="Q782" s="62"/>
      <c r="R782" s="61"/>
      <c r="S782" s="62"/>
      <c r="T782" s="61"/>
      <c r="U782" s="62"/>
      <c r="V782" s="61"/>
      <c r="W782" s="62"/>
      <c r="X782" s="61"/>
      <c r="Y782" s="62"/>
      <c r="Z782" s="61"/>
      <c r="AA782" s="62"/>
    </row>
    <row r="783" spans="3:27" ht="16.5" customHeight="1">
      <c r="C783" s="118"/>
      <c r="E783" s="61"/>
      <c r="H783" s="61"/>
      <c r="I783" s="60"/>
      <c r="K783" s="62"/>
      <c r="O783" s="60"/>
      <c r="P783" s="61"/>
      <c r="Q783" s="62"/>
      <c r="R783" s="61"/>
      <c r="S783" s="62"/>
      <c r="T783" s="61"/>
      <c r="U783" s="62"/>
      <c r="V783" s="61"/>
      <c r="W783" s="62"/>
      <c r="X783" s="61"/>
      <c r="Y783" s="62"/>
      <c r="Z783" s="61"/>
      <c r="AA783" s="62"/>
    </row>
    <row r="784" spans="3:27" ht="16.5" customHeight="1">
      <c r="C784" s="118"/>
      <c r="E784" s="61"/>
      <c r="H784" s="61"/>
      <c r="I784" s="60"/>
      <c r="K784" s="62"/>
      <c r="O784" s="60"/>
      <c r="P784" s="61"/>
      <c r="Q784" s="62"/>
      <c r="R784" s="61"/>
      <c r="S784" s="62"/>
      <c r="T784" s="61"/>
      <c r="U784" s="62"/>
      <c r="V784" s="61"/>
      <c r="W784" s="62"/>
      <c r="X784" s="61"/>
      <c r="Y784" s="62"/>
      <c r="Z784" s="61"/>
      <c r="AA784" s="62"/>
    </row>
    <row r="785" spans="3:27" ht="16.5" customHeight="1">
      <c r="C785" s="118"/>
      <c r="E785" s="61"/>
      <c r="H785" s="61"/>
      <c r="I785" s="60"/>
      <c r="K785" s="62"/>
      <c r="O785" s="60"/>
      <c r="P785" s="61"/>
      <c r="Q785" s="62"/>
      <c r="R785" s="61"/>
      <c r="S785" s="62"/>
      <c r="T785" s="61"/>
      <c r="U785" s="62"/>
      <c r="V785" s="61"/>
      <c r="W785" s="62"/>
      <c r="X785" s="61"/>
      <c r="Y785" s="62"/>
      <c r="Z785" s="61"/>
      <c r="AA785" s="62"/>
    </row>
    <row r="786" spans="3:27" ht="16.5" customHeight="1">
      <c r="C786" s="118"/>
      <c r="E786" s="61"/>
      <c r="H786" s="61"/>
      <c r="I786" s="60"/>
      <c r="K786" s="62"/>
      <c r="O786" s="60"/>
      <c r="P786" s="61"/>
      <c r="Q786" s="62"/>
      <c r="R786" s="61"/>
      <c r="S786" s="62"/>
      <c r="T786" s="61"/>
      <c r="U786" s="62"/>
      <c r="V786" s="61"/>
      <c r="W786" s="62"/>
      <c r="X786" s="61"/>
      <c r="Y786" s="62"/>
      <c r="Z786" s="61"/>
      <c r="AA786" s="62"/>
    </row>
    <row r="787" spans="3:27" ht="16.5" customHeight="1">
      <c r="C787" s="118"/>
      <c r="E787" s="61"/>
      <c r="H787" s="61"/>
      <c r="I787" s="60"/>
      <c r="K787" s="62"/>
      <c r="O787" s="60"/>
      <c r="P787" s="61"/>
      <c r="Q787" s="62"/>
      <c r="R787" s="61"/>
      <c r="S787" s="62"/>
      <c r="T787" s="61"/>
      <c r="U787" s="62"/>
      <c r="V787" s="61"/>
      <c r="W787" s="62"/>
      <c r="X787" s="61"/>
      <c r="Y787" s="62"/>
      <c r="Z787" s="61"/>
      <c r="AA787" s="62"/>
    </row>
    <row r="788" spans="3:27" ht="16.5" customHeight="1">
      <c r="C788" s="118"/>
      <c r="E788" s="61"/>
      <c r="H788" s="61"/>
      <c r="I788" s="60"/>
      <c r="K788" s="62"/>
      <c r="O788" s="60"/>
      <c r="P788" s="61"/>
      <c r="Q788" s="62"/>
      <c r="R788" s="61"/>
      <c r="S788" s="62"/>
      <c r="T788" s="61"/>
      <c r="U788" s="62"/>
      <c r="V788" s="61"/>
      <c r="W788" s="62"/>
      <c r="X788" s="61"/>
      <c r="Y788" s="62"/>
      <c r="Z788" s="61"/>
      <c r="AA788" s="62"/>
    </row>
    <row r="789" spans="3:27" ht="16.5" customHeight="1">
      <c r="C789" s="118"/>
      <c r="E789" s="61"/>
      <c r="H789" s="61"/>
      <c r="I789" s="60"/>
      <c r="K789" s="62"/>
      <c r="O789" s="60"/>
      <c r="P789" s="61"/>
      <c r="Q789" s="62"/>
      <c r="R789" s="61"/>
      <c r="S789" s="62"/>
      <c r="T789" s="61"/>
      <c r="U789" s="62"/>
      <c r="V789" s="61"/>
      <c r="W789" s="62"/>
      <c r="X789" s="61"/>
      <c r="Y789" s="62"/>
      <c r="Z789" s="61"/>
      <c r="AA789" s="62"/>
    </row>
    <row r="790" spans="3:27" ht="16.5" customHeight="1">
      <c r="C790" s="118"/>
      <c r="E790" s="61"/>
      <c r="H790" s="61"/>
      <c r="I790" s="60"/>
      <c r="K790" s="62"/>
      <c r="O790" s="60"/>
      <c r="P790" s="61"/>
      <c r="Q790" s="62"/>
      <c r="R790" s="61"/>
      <c r="S790" s="62"/>
      <c r="T790" s="61"/>
      <c r="U790" s="62"/>
      <c r="V790" s="61"/>
      <c r="W790" s="62"/>
      <c r="X790" s="61"/>
      <c r="Y790" s="62"/>
      <c r="Z790" s="61"/>
      <c r="AA790" s="62"/>
    </row>
    <row r="791" spans="3:27" ht="16.5" customHeight="1">
      <c r="C791" s="118"/>
      <c r="E791" s="61"/>
      <c r="H791" s="61"/>
      <c r="I791" s="60"/>
      <c r="K791" s="62"/>
      <c r="O791" s="60"/>
      <c r="P791" s="61"/>
      <c r="Q791" s="62"/>
      <c r="R791" s="61"/>
      <c r="S791" s="62"/>
      <c r="T791" s="61"/>
      <c r="U791" s="62"/>
      <c r="V791" s="61"/>
      <c r="W791" s="62"/>
      <c r="X791" s="61"/>
      <c r="Y791" s="62"/>
      <c r="Z791" s="61"/>
      <c r="AA791" s="62"/>
    </row>
    <row r="792" spans="3:27" ht="16.5" customHeight="1">
      <c r="C792" s="118"/>
      <c r="E792" s="61"/>
      <c r="H792" s="61"/>
      <c r="I792" s="60"/>
      <c r="K792" s="62"/>
      <c r="O792" s="60"/>
      <c r="P792" s="61"/>
      <c r="Q792" s="62"/>
      <c r="R792" s="61"/>
      <c r="S792" s="62"/>
      <c r="T792" s="61"/>
      <c r="U792" s="62"/>
      <c r="V792" s="61"/>
      <c r="W792" s="62"/>
      <c r="X792" s="61"/>
      <c r="Y792" s="62"/>
      <c r="Z792" s="61"/>
      <c r="AA792" s="62"/>
    </row>
    <row r="793" spans="3:27" ht="16.5" customHeight="1">
      <c r="C793" s="118"/>
      <c r="E793" s="61"/>
      <c r="H793" s="61"/>
      <c r="I793" s="60"/>
      <c r="K793" s="62"/>
      <c r="O793" s="60"/>
      <c r="P793" s="61"/>
      <c r="Q793" s="62"/>
      <c r="R793" s="61"/>
      <c r="S793" s="62"/>
      <c r="T793" s="61"/>
      <c r="U793" s="62"/>
      <c r="V793" s="61"/>
      <c r="W793" s="62"/>
      <c r="X793" s="61"/>
      <c r="Y793" s="62"/>
      <c r="Z793" s="61"/>
      <c r="AA793" s="62"/>
    </row>
    <row r="794" spans="3:27" ht="16.5" customHeight="1">
      <c r="C794" s="118"/>
      <c r="E794" s="61"/>
      <c r="H794" s="61"/>
      <c r="I794" s="60"/>
      <c r="K794" s="62"/>
      <c r="O794" s="60"/>
      <c r="P794" s="61"/>
      <c r="Q794" s="62"/>
      <c r="R794" s="61"/>
      <c r="S794" s="62"/>
      <c r="T794" s="61"/>
      <c r="U794" s="62"/>
      <c r="V794" s="61"/>
      <c r="W794" s="62"/>
      <c r="X794" s="61"/>
      <c r="Y794" s="62"/>
      <c r="Z794" s="61"/>
      <c r="AA794" s="62"/>
    </row>
    <row r="795" spans="3:27" ht="16.5" customHeight="1">
      <c r="C795" s="118"/>
      <c r="E795" s="61"/>
      <c r="H795" s="61"/>
      <c r="I795" s="60"/>
      <c r="K795" s="62"/>
      <c r="O795" s="60"/>
      <c r="P795" s="61"/>
      <c r="Q795" s="62"/>
      <c r="R795" s="61"/>
      <c r="S795" s="62"/>
      <c r="T795" s="61"/>
      <c r="U795" s="62"/>
      <c r="V795" s="61"/>
      <c r="W795" s="62"/>
      <c r="X795" s="61"/>
      <c r="Y795" s="62"/>
      <c r="Z795" s="61"/>
      <c r="AA795" s="62"/>
    </row>
    <row r="796" spans="3:27" ht="16.5" customHeight="1">
      <c r="C796" s="118"/>
      <c r="E796" s="61"/>
      <c r="H796" s="61"/>
      <c r="I796" s="60"/>
      <c r="K796" s="62"/>
      <c r="O796" s="60"/>
      <c r="P796" s="61"/>
      <c r="Q796" s="62"/>
      <c r="R796" s="61"/>
      <c r="S796" s="62"/>
      <c r="T796" s="61"/>
      <c r="U796" s="62"/>
      <c r="V796" s="61"/>
      <c r="W796" s="62"/>
      <c r="X796" s="61"/>
      <c r="Y796" s="62"/>
      <c r="Z796" s="61"/>
      <c r="AA796" s="62"/>
    </row>
    <row r="797" spans="3:27" ht="16.5" customHeight="1">
      <c r="C797" s="118"/>
      <c r="E797" s="61"/>
      <c r="H797" s="61"/>
      <c r="I797" s="60"/>
      <c r="K797" s="62"/>
      <c r="O797" s="60"/>
      <c r="P797" s="61"/>
      <c r="Q797" s="62"/>
      <c r="R797" s="61"/>
      <c r="S797" s="62"/>
      <c r="T797" s="61"/>
      <c r="U797" s="62"/>
      <c r="V797" s="61"/>
      <c r="W797" s="62"/>
      <c r="X797" s="61"/>
      <c r="Y797" s="62"/>
      <c r="Z797" s="61"/>
      <c r="AA797" s="62"/>
    </row>
    <row r="798" spans="3:27" ht="16.5" customHeight="1">
      <c r="C798" s="118"/>
      <c r="E798" s="61"/>
      <c r="H798" s="61"/>
      <c r="I798" s="60"/>
      <c r="K798" s="62"/>
      <c r="O798" s="60"/>
      <c r="P798" s="61"/>
      <c r="Q798" s="62"/>
      <c r="R798" s="61"/>
      <c r="S798" s="62"/>
      <c r="T798" s="61"/>
      <c r="U798" s="62"/>
      <c r="V798" s="61"/>
      <c r="W798" s="62"/>
      <c r="X798" s="61"/>
      <c r="Y798" s="62"/>
      <c r="Z798" s="61"/>
      <c r="AA798" s="62"/>
    </row>
    <row r="799" spans="3:27" ht="16.5" customHeight="1">
      <c r="C799" s="118"/>
      <c r="E799" s="61"/>
      <c r="H799" s="61"/>
      <c r="I799" s="60"/>
      <c r="K799" s="62"/>
      <c r="O799" s="60"/>
      <c r="P799" s="61"/>
      <c r="Q799" s="62"/>
      <c r="R799" s="61"/>
      <c r="S799" s="62"/>
      <c r="T799" s="61"/>
      <c r="U799" s="62"/>
      <c r="V799" s="61"/>
      <c r="W799" s="62"/>
      <c r="X799" s="61"/>
      <c r="Y799" s="62"/>
      <c r="Z799" s="61"/>
      <c r="AA799" s="62"/>
    </row>
    <row r="800" spans="3:27" ht="16.5" customHeight="1">
      <c r="C800" s="118"/>
      <c r="E800" s="61"/>
      <c r="H800" s="61"/>
      <c r="I800" s="60"/>
      <c r="K800" s="62"/>
      <c r="O800" s="60"/>
      <c r="P800" s="61"/>
      <c r="Q800" s="62"/>
      <c r="R800" s="61"/>
      <c r="S800" s="62"/>
      <c r="T800" s="61"/>
      <c r="U800" s="62"/>
      <c r="V800" s="61"/>
      <c r="W800" s="62"/>
      <c r="X800" s="61"/>
      <c r="Y800" s="62"/>
      <c r="Z800" s="61"/>
      <c r="AA800" s="62"/>
    </row>
    <row r="801" spans="3:27" ht="16.5" customHeight="1">
      <c r="C801" s="118"/>
      <c r="E801" s="61"/>
      <c r="H801" s="61"/>
      <c r="I801" s="60"/>
      <c r="K801" s="62"/>
      <c r="O801" s="60"/>
      <c r="P801" s="61"/>
      <c r="Q801" s="62"/>
      <c r="R801" s="61"/>
      <c r="S801" s="62"/>
      <c r="T801" s="61"/>
      <c r="U801" s="62"/>
      <c r="V801" s="61"/>
      <c r="W801" s="62"/>
      <c r="X801" s="61"/>
      <c r="Y801" s="62"/>
      <c r="Z801" s="61"/>
      <c r="AA801" s="62"/>
    </row>
    <row r="802" spans="3:27" ht="16.5" customHeight="1">
      <c r="C802" s="118"/>
      <c r="E802" s="61"/>
      <c r="H802" s="61"/>
      <c r="I802" s="60"/>
      <c r="K802" s="62"/>
      <c r="O802" s="60"/>
      <c r="P802" s="61"/>
      <c r="Q802" s="62"/>
      <c r="R802" s="61"/>
      <c r="S802" s="62"/>
      <c r="T802" s="61"/>
      <c r="U802" s="62"/>
      <c r="V802" s="61"/>
      <c r="W802" s="62"/>
      <c r="X802" s="61"/>
      <c r="Y802" s="62"/>
      <c r="Z802" s="61"/>
      <c r="AA802" s="62"/>
    </row>
    <row r="803" spans="3:27" ht="16.5" customHeight="1">
      <c r="C803" s="118"/>
      <c r="E803" s="61"/>
      <c r="H803" s="61"/>
      <c r="I803" s="60"/>
      <c r="K803" s="62"/>
      <c r="O803" s="60"/>
      <c r="P803" s="61"/>
      <c r="Q803" s="62"/>
      <c r="R803" s="61"/>
      <c r="S803" s="62"/>
      <c r="T803" s="61"/>
      <c r="U803" s="62"/>
      <c r="V803" s="61"/>
      <c r="W803" s="62"/>
      <c r="X803" s="61"/>
      <c r="Y803" s="62"/>
      <c r="Z803" s="61"/>
      <c r="AA803" s="62"/>
    </row>
    <row r="804" spans="3:27" ht="16.5" customHeight="1">
      <c r="C804" s="118"/>
      <c r="E804" s="61"/>
      <c r="H804" s="61"/>
      <c r="I804" s="60"/>
      <c r="K804" s="62"/>
      <c r="O804" s="60"/>
      <c r="P804" s="61"/>
      <c r="Q804" s="62"/>
      <c r="R804" s="61"/>
      <c r="S804" s="62"/>
      <c r="T804" s="61"/>
      <c r="U804" s="62"/>
      <c r="V804" s="61"/>
      <c r="W804" s="62"/>
      <c r="X804" s="61"/>
      <c r="Y804" s="62"/>
      <c r="Z804" s="61"/>
      <c r="AA804" s="62"/>
    </row>
    <row r="805" spans="3:27" ht="16.5" customHeight="1">
      <c r="C805" s="118"/>
      <c r="E805" s="61"/>
      <c r="H805" s="61"/>
      <c r="I805" s="60"/>
      <c r="K805" s="62"/>
      <c r="O805" s="60"/>
      <c r="P805" s="61"/>
      <c r="Q805" s="62"/>
      <c r="R805" s="61"/>
      <c r="S805" s="62"/>
      <c r="T805" s="61"/>
      <c r="U805" s="62"/>
      <c r="V805" s="61"/>
      <c r="W805" s="62"/>
      <c r="X805" s="61"/>
      <c r="Y805" s="62"/>
      <c r="Z805" s="61"/>
      <c r="AA805" s="62"/>
    </row>
    <row r="806" spans="3:27" ht="16.5" customHeight="1">
      <c r="C806" s="118"/>
      <c r="E806" s="61"/>
      <c r="H806" s="61"/>
      <c r="I806" s="60"/>
      <c r="K806" s="62"/>
      <c r="O806" s="60"/>
      <c r="P806" s="61"/>
      <c r="Q806" s="62"/>
      <c r="R806" s="61"/>
      <c r="S806" s="62"/>
      <c r="T806" s="61"/>
      <c r="U806" s="62"/>
      <c r="V806" s="61"/>
      <c r="W806" s="62"/>
      <c r="X806" s="61"/>
      <c r="Y806" s="62"/>
      <c r="Z806" s="61"/>
      <c r="AA806" s="62"/>
    </row>
    <row r="807" spans="3:27" ht="16.5" customHeight="1">
      <c r="C807" s="118"/>
      <c r="E807" s="61"/>
      <c r="H807" s="61"/>
      <c r="I807" s="60"/>
      <c r="K807" s="62"/>
      <c r="O807" s="60"/>
      <c r="P807" s="61"/>
      <c r="Q807" s="62"/>
      <c r="R807" s="61"/>
      <c r="S807" s="62"/>
      <c r="T807" s="61"/>
      <c r="U807" s="62"/>
      <c r="V807" s="61"/>
      <c r="W807" s="62"/>
      <c r="X807" s="61"/>
      <c r="Y807" s="62"/>
      <c r="Z807" s="61"/>
      <c r="AA807" s="62"/>
    </row>
    <row r="808" spans="3:27" ht="16.5" customHeight="1">
      <c r="C808" s="118"/>
      <c r="E808" s="61"/>
      <c r="H808" s="61"/>
      <c r="I808" s="60"/>
      <c r="K808" s="62"/>
      <c r="O808" s="60"/>
      <c r="P808" s="61"/>
      <c r="Q808" s="62"/>
      <c r="R808" s="61"/>
      <c r="S808" s="62"/>
      <c r="T808" s="61"/>
      <c r="U808" s="62"/>
      <c r="V808" s="61"/>
      <c r="W808" s="62"/>
      <c r="X808" s="61"/>
      <c r="Y808" s="62"/>
      <c r="Z808" s="61"/>
      <c r="AA808" s="62"/>
    </row>
    <row r="809" spans="3:27" ht="16.5" customHeight="1">
      <c r="C809" s="118"/>
      <c r="E809" s="61"/>
      <c r="H809" s="61"/>
      <c r="I809" s="60"/>
      <c r="K809" s="62"/>
      <c r="O809" s="60"/>
      <c r="P809" s="61"/>
      <c r="Q809" s="62"/>
      <c r="R809" s="61"/>
      <c r="S809" s="62"/>
      <c r="T809" s="61"/>
      <c r="U809" s="62"/>
      <c r="V809" s="61"/>
      <c r="W809" s="62"/>
      <c r="X809" s="61"/>
      <c r="Y809" s="62"/>
      <c r="Z809" s="61"/>
      <c r="AA809" s="62"/>
    </row>
    <row r="810" spans="3:27" ht="16.5" customHeight="1">
      <c r="C810" s="118"/>
      <c r="E810" s="61"/>
      <c r="H810" s="61"/>
      <c r="I810" s="60"/>
      <c r="K810" s="62"/>
      <c r="O810" s="60"/>
      <c r="P810" s="61"/>
      <c r="Q810" s="62"/>
      <c r="R810" s="61"/>
      <c r="S810" s="62"/>
      <c r="T810" s="61"/>
      <c r="U810" s="62"/>
      <c r="V810" s="61"/>
      <c r="W810" s="62"/>
      <c r="X810" s="61"/>
      <c r="Y810" s="62"/>
      <c r="Z810" s="61"/>
      <c r="AA810" s="62"/>
    </row>
    <row r="811" spans="3:27" ht="16.5" customHeight="1">
      <c r="C811" s="118"/>
      <c r="E811" s="61"/>
      <c r="H811" s="61"/>
      <c r="I811" s="60"/>
      <c r="K811" s="62"/>
      <c r="O811" s="60"/>
      <c r="P811" s="61"/>
      <c r="Q811" s="62"/>
      <c r="R811" s="61"/>
      <c r="S811" s="62"/>
      <c r="T811" s="61"/>
      <c r="U811" s="62"/>
      <c r="V811" s="61"/>
      <c r="W811" s="62"/>
      <c r="X811" s="61"/>
      <c r="Y811" s="62"/>
      <c r="Z811" s="61"/>
      <c r="AA811" s="62"/>
    </row>
    <row r="812" spans="3:27" ht="16.5" customHeight="1">
      <c r="C812" s="118"/>
      <c r="E812" s="61"/>
      <c r="H812" s="61"/>
      <c r="I812" s="60"/>
      <c r="K812" s="62"/>
      <c r="O812" s="60"/>
      <c r="P812" s="61"/>
      <c r="Q812" s="62"/>
      <c r="R812" s="61"/>
      <c r="S812" s="62"/>
      <c r="T812" s="61"/>
      <c r="U812" s="62"/>
      <c r="V812" s="61"/>
      <c r="W812" s="62"/>
      <c r="X812" s="61"/>
      <c r="Y812" s="62"/>
      <c r="Z812" s="61"/>
      <c r="AA812" s="62"/>
    </row>
    <row r="813" spans="3:27" ht="16.5" customHeight="1">
      <c r="C813" s="118"/>
      <c r="E813" s="61"/>
      <c r="H813" s="61"/>
      <c r="I813" s="60"/>
      <c r="K813" s="62"/>
      <c r="O813" s="60"/>
      <c r="P813" s="61"/>
      <c r="Q813" s="62"/>
      <c r="R813" s="61"/>
      <c r="S813" s="62"/>
      <c r="T813" s="61"/>
      <c r="U813" s="62"/>
      <c r="V813" s="61"/>
      <c r="W813" s="62"/>
      <c r="X813" s="61"/>
      <c r="Y813" s="62"/>
      <c r="Z813" s="61"/>
      <c r="AA813" s="62"/>
    </row>
    <row r="814" spans="3:27" ht="16.5" customHeight="1">
      <c r="C814" s="118"/>
      <c r="E814" s="61"/>
      <c r="H814" s="61"/>
      <c r="I814" s="60"/>
      <c r="K814" s="62"/>
      <c r="O814" s="60"/>
      <c r="P814" s="61"/>
      <c r="Q814" s="62"/>
      <c r="R814" s="61"/>
      <c r="S814" s="62"/>
      <c r="T814" s="61"/>
      <c r="U814" s="62"/>
      <c r="V814" s="61"/>
      <c r="W814" s="62"/>
      <c r="X814" s="61"/>
      <c r="Y814" s="62"/>
      <c r="Z814" s="61"/>
      <c r="AA814" s="62"/>
    </row>
    <row r="815" spans="3:27" ht="16.5" customHeight="1">
      <c r="C815" s="118"/>
      <c r="E815" s="61"/>
      <c r="H815" s="61"/>
      <c r="I815" s="60"/>
      <c r="K815" s="62"/>
      <c r="O815" s="60"/>
      <c r="P815" s="61"/>
      <c r="Q815" s="62"/>
      <c r="R815" s="61"/>
      <c r="S815" s="62"/>
      <c r="T815" s="61"/>
      <c r="U815" s="62"/>
      <c r="V815" s="61"/>
      <c r="W815" s="62"/>
      <c r="X815" s="61"/>
      <c r="Y815" s="62"/>
      <c r="Z815" s="61"/>
      <c r="AA815" s="62"/>
    </row>
    <row r="816" spans="3:27" ht="16.5" customHeight="1">
      <c r="C816" s="118"/>
      <c r="E816" s="61"/>
      <c r="H816" s="61"/>
      <c r="I816" s="60"/>
      <c r="K816" s="62"/>
      <c r="O816" s="60"/>
      <c r="P816" s="61"/>
      <c r="Q816" s="62"/>
      <c r="R816" s="61"/>
      <c r="S816" s="62"/>
      <c r="T816" s="61"/>
      <c r="U816" s="62"/>
      <c r="V816" s="61"/>
      <c r="W816" s="62"/>
      <c r="X816" s="61"/>
      <c r="Y816" s="62"/>
      <c r="Z816" s="61"/>
      <c r="AA816" s="62"/>
    </row>
    <row r="817" spans="3:27" ht="16.5" customHeight="1">
      <c r="C817" s="118"/>
      <c r="E817" s="61"/>
      <c r="H817" s="61"/>
      <c r="I817" s="60"/>
      <c r="K817" s="62"/>
      <c r="O817" s="60"/>
      <c r="P817" s="61"/>
      <c r="Q817" s="62"/>
      <c r="R817" s="61"/>
      <c r="S817" s="62"/>
      <c r="T817" s="61"/>
      <c r="U817" s="62"/>
      <c r="V817" s="61"/>
      <c r="W817" s="62"/>
      <c r="X817" s="61"/>
      <c r="Y817" s="62"/>
      <c r="Z817" s="61"/>
      <c r="AA817" s="62"/>
    </row>
    <row r="818" spans="3:27" ht="16.5" customHeight="1">
      <c r="C818" s="118"/>
      <c r="E818" s="61"/>
      <c r="H818" s="61"/>
      <c r="I818" s="60"/>
      <c r="K818" s="62"/>
      <c r="O818" s="60"/>
      <c r="P818" s="61"/>
      <c r="Q818" s="62"/>
      <c r="R818" s="61"/>
      <c r="S818" s="62"/>
      <c r="T818" s="61"/>
      <c r="U818" s="62"/>
      <c r="V818" s="61"/>
      <c r="W818" s="62"/>
      <c r="X818" s="61"/>
      <c r="Y818" s="62"/>
      <c r="Z818" s="61"/>
      <c r="AA818" s="62"/>
    </row>
    <row r="819" spans="3:27" ht="16.5" customHeight="1">
      <c r="C819" s="118"/>
      <c r="E819" s="61"/>
      <c r="H819" s="61"/>
      <c r="I819" s="60"/>
      <c r="K819" s="62"/>
      <c r="O819" s="60"/>
      <c r="P819" s="61"/>
      <c r="Q819" s="62"/>
      <c r="R819" s="61"/>
      <c r="S819" s="62"/>
      <c r="T819" s="61"/>
      <c r="U819" s="62"/>
      <c r="V819" s="61"/>
      <c r="W819" s="62"/>
      <c r="X819" s="61"/>
      <c r="Y819" s="62"/>
      <c r="Z819" s="61"/>
      <c r="AA819" s="62"/>
    </row>
    <row r="820" spans="3:27" ht="16.5" customHeight="1">
      <c r="C820" s="118"/>
      <c r="E820" s="61"/>
      <c r="H820" s="61"/>
      <c r="I820" s="60"/>
      <c r="K820" s="62"/>
      <c r="O820" s="60"/>
      <c r="P820" s="61"/>
      <c r="Q820" s="62"/>
      <c r="R820" s="61"/>
      <c r="S820" s="62"/>
      <c r="T820" s="61"/>
      <c r="U820" s="62"/>
      <c r="V820" s="61"/>
      <c r="W820" s="62"/>
      <c r="X820" s="61"/>
      <c r="Y820" s="62"/>
      <c r="Z820" s="61"/>
      <c r="AA820" s="62"/>
    </row>
    <row r="821" spans="3:27" ht="16.5" customHeight="1">
      <c r="C821" s="118"/>
      <c r="E821" s="61"/>
      <c r="H821" s="61"/>
      <c r="I821" s="60"/>
      <c r="K821" s="62"/>
      <c r="O821" s="60"/>
      <c r="P821" s="61"/>
      <c r="Q821" s="62"/>
      <c r="R821" s="61"/>
      <c r="S821" s="62"/>
      <c r="T821" s="61"/>
      <c r="U821" s="62"/>
      <c r="V821" s="61"/>
      <c r="W821" s="62"/>
      <c r="X821" s="61"/>
      <c r="Y821" s="62"/>
      <c r="Z821" s="61"/>
      <c r="AA821" s="62"/>
    </row>
    <row r="822" spans="3:27" ht="16.5" customHeight="1">
      <c r="C822" s="118"/>
      <c r="E822" s="61"/>
      <c r="H822" s="61"/>
      <c r="I822" s="60"/>
      <c r="K822" s="62"/>
      <c r="O822" s="60"/>
      <c r="P822" s="61"/>
      <c r="Q822" s="62"/>
      <c r="R822" s="61"/>
      <c r="S822" s="62"/>
      <c r="T822" s="61"/>
      <c r="U822" s="62"/>
      <c r="V822" s="61"/>
      <c r="W822" s="62"/>
      <c r="X822" s="61"/>
      <c r="Y822" s="62"/>
      <c r="Z822" s="61"/>
      <c r="AA822" s="62"/>
    </row>
    <row r="823" spans="3:27" ht="16.5" customHeight="1">
      <c r="C823" s="118"/>
      <c r="E823" s="61"/>
      <c r="H823" s="61"/>
      <c r="I823" s="60"/>
      <c r="K823" s="62"/>
      <c r="O823" s="60"/>
      <c r="P823" s="61"/>
      <c r="Q823" s="62"/>
      <c r="R823" s="61"/>
      <c r="S823" s="62"/>
      <c r="T823" s="61"/>
      <c r="U823" s="62"/>
      <c r="V823" s="61"/>
      <c r="W823" s="62"/>
      <c r="X823" s="61"/>
      <c r="Y823" s="62"/>
      <c r="Z823" s="61"/>
      <c r="AA823" s="62"/>
    </row>
    <row r="824" spans="3:27" ht="16.5" customHeight="1">
      <c r="C824" s="118"/>
      <c r="E824" s="61"/>
      <c r="H824" s="61"/>
      <c r="I824" s="60"/>
      <c r="K824" s="62"/>
      <c r="O824" s="60"/>
      <c r="P824" s="61"/>
      <c r="Q824" s="62"/>
      <c r="R824" s="61"/>
      <c r="S824" s="62"/>
      <c r="T824" s="61"/>
      <c r="U824" s="62"/>
      <c r="V824" s="61"/>
      <c r="W824" s="62"/>
      <c r="X824" s="61"/>
      <c r="Y824" s="62"/>
      <c r="Z824" s="61"/>
      <c r="AA824" s="62"/>
    </row>
    <row r="825" spans="3:27" ht="16.5" customHeight="1">
      <c r="C825" s="118"/>
      <c r="E825" s="61"/>
      <c r="H825" s="61"/>
      <c r="I825" s="60"/>
      <c r="K825" s="62"/>
      <c r="O825" s="60"/>
      <c r="P825" s="61"/>
      <c r="Q825" s="62"/>
      <c r="R825" s="61"/>
      <c r="S825" s="62"/>
      <c r="T825" s="61"/>
      <c r="U825" s="62"/>
      <c r="V825" s="61"/>
      <c r="W825" s="62"/>
      <c r="X825" s="61"/>
      <c r="Y825" s="62"/>
      <c r="Z825" s="61"/>
      <c r="AA825" s="62"/>
    </row>
    <row r="826" spans="3:27" ht="16.5" customHeight="1">
      <c r="C826" s="118"/>
      <c r="E826" s="61"/>
      <c r="H826" s="61"/>
      <c r="I826" s="60"/>
      <c r="K826" s="62"/>
      <c r="O826" s="60"/>
      <c r="P826" s="61"/>
      <c r="Q826" s="62"/>
      <c r="R826" s="61"/>
      <c r="S826" s="62"/>
      <c r="T826" s="61"/>
      <c r="U826" s="62"/>
      <c r="V826" s="61"/>
      <c r="W826" s="62"/>
      <c r="X826" s="61"/>
      <c r="Y826" s="62"/>
      <c r="Z826" s="61"/>
      <c r="AA826" s="62"/>
    </row>
    <row r="827" spans="3:27" ht="16.5" customHeight="1">
      <c r="C827" s="118"/>
      <c r="E827" s="61"/>
      <c r="H827" s="61"/>
      <c r="I827" s="60"/>
      <c r="K827" s="62"/>
      <c r="O827" s="60"/>
      <c r="P827" s="61"/>
      <c r="Q827" s="62"/>
      <c r="R827" s="61"/>
      <c r="S827" s="62"/>
      <c r="T827" s="61"/>
      <c r="U827" s="62"/>
      <c r="V827" s="61"/>
      <c r="W827" s="62"/>
      <c r="X827" s="61"/>
      <c r="Y827" s="62"/>
      <c r="Z827" s="61"/>
      <c r="AA827" s="62"/>
    </row>
    <row r="828" spans="3:27" ht="16.5" customHeight="1">
      <c r="C828" s="118"/>
      <c r="E828" s="61"/>
      <c r="H828" s="61"/>
      <c r="I828" s="60"/>
      <c r="K828" s="62"/>
      <c r="O828" s="60"/>
      <c r="P828" s="61"/>
      <c r="Q828" s="62"/>
      <c r="R828" s="61"/>
      <c r="S828" s="62"/>
      <c r="T828" s="61"/>
      <c r="U828" s="62"/>
      <c r="V828" s="61"/>
      <c r="W828" s="62"/>
      <c r="X828" s="61"/>
      <c r="Y828" s="62"/>
      <c r="Z828" s="61"/>
      <c r="AA828" s="62"/>
    </row>
    <row r="829" spans="3:27" ht="16.5" customHeight="1">
      <c r="C829" s="118"/>
      <c r="E829" s="61"/>
      <c r="H829" s="61"/>
      <c r="I829" s="60"/>
      <c r="K829" s="62"/>
      <c r="O829" s="60"/>
      <c r="P829" s="61"/>
      <c r="Q829" s="62"/>
      <c r="R829" s="61"/>
      <c r="S829" s="62"/>
      <c r="T829" s="61"/>
      <c r="U829" s="62"/>
      <c r="V829" s="61"/>
      <c r="W829" s="62"/>
      <c r="X829" s="61"/>
      <c r="Y829" s="62"/>
      <c r="Z829" s="61"/>
      <c r="AA829" s="62"/>
    </row>
    <row r="830" spans="3:27" ht="16.5" customHeight="1">
      <c r="C830" s="118"/>
      <c r="E830" s="61"/>
      <c r="H830" s="61"/>
      <c r="I830" s="60"/>
      <c r="K830" s="62"/>
      <c r="O830" s="60"/>
      <c r="P830" s="61"/>
      <c r="Q830" s="62"/>
      <c r="R830" s="61"/>
      <c r="S830" s="62"/>
      <c r="T830" s="61"/>
      <c r="U830" s="62"/>
      <c r="V830" s="61"/>
      <c r="W830" s="62"/>
      <c r="X830" s="61"/>
      <c r="Y830" s="62"/>
      <c r="Z830" s="61"/>
      <c r="AA830" s="62"/>
    </row>
    <row r="831" spans="3:27" ht="16.5" customHeight="1">
      <c r="C831" s="118"/>
      <c r="E831" s="61"/>
      <c r="H831" s="61"/>
      <c r="I831" s="60"/>
      <c r="K831" s="62"/>
      <c r="O831" s="60"/>
      <c r="P831" s="61"/>
      <c r="Q831" s="62"/>
      <c r="R831" s="61"/>
      <c r="S831" s="62"/>
      <c r="T831" s="61"/>
      <c r="U831" s="62"/>
      <c r="V831" s="61"/>
      <c r="W831" s="62"/>
      <c r="X831" s="61"/>
      <c r="Y831" s="62"/>
      <c r="Z831" s="61"/>
      <c r="AA831" s="62"/>
    </row>
    <row r="832" spans="3:27" ht="16.5" customHeight="1">
      <c r="C832" s="118"/>
      <c r="E832" s="61"/>
      <c r="H832" s="61"/>
      <c r="I832" s="60"/>
      <c r="K832" s="62"/>
      <c r="O832" s="60"/>
      <c r="P832" s="61"/>
      <c r="Q832" s="62"/>
      <c r="R832" s="61"/>
      <c r="S832" s="62"/>
      <c r="T832" s="61"/>
      <c r="U832" s="62"/>
      <c r="V832" s="61"/>
      <c r="W832" s="62"/>
      <c r="X832" s="61"/>
      <c r="Y832" s="62"/>
      <c r="Z832" s="61"/>
      <c r="AA832" s="62"/>
    </row>
    <row r="833" spans="3:27" ht="16.5" customHeight="1">
      <c r="C833" s="118"/>
      <c r="E833" s="61"/>
      <c r="H833" s="61"/>
      <c r="I833" s="60"/>
      <c r="K833" s="62"/>
      <c r="O833" s="60"/>
      <c r="P833" s="61"/>
      <c r="Q833" s="62"/>
      <c r="R833" s="61"/>
      <c r="S833" s="62"/>
      <c r="T833" s="61"/>
      <c r="U833" s="62"/>
      <c r="V833" s="61"/>
      <c r="W833" s="62"/>
      <c r="X833" s="61"/>
      <c r="Y833" s="62"/>
      <c r="Z833" s="61"/>
      <c r="AA833" s="62"/>
    </row>
    <row r="834" spans="3:27" ht="16.5" customHeight="1">
      <c r="C834" s="118"/>
      <c r="E834" s="61"/>
      <c r="H834" s="61"/>
      <c r="I834" s="60"/>
      <c r="K834" s="62"/>
      <c r="O834" s="60"/>
      <c r="P834" s="61"/>
      <c r="Q834" s="62"/>
      <c r="R834" s="61"/>
      <c r="S834" s="62"/>
      <c r="T834" s="61"/>
      <c r="U834" s="62"/>
      <c r="V834" s="61"/>
      <c r="W834" s="62"/>
      <c r="X834" s="61"/>
      <c r="Y834" s="62"/>
      <c r="Z834" s="61"/>
      <c r="AA834" s="62"/>
    </row>
    <row r="835" spans="3:27" ht="16.5" customHeight="1">
      <c r="C835" s="118"/>
      <c r="E835" s="61"/>
      <c r="H835" s="61"/>
      <c r="I835" s="60"/>
      <c r="K835" s="62"/>
      <c r="O835" s="60"/>
      <c r="P835" s="61"/>
      <c r="Q835" s="62"/>
      <c r="R835" s="61"/>
      <c r="S835" s="62"/>
      <c r="T835" s="61"/>
      <c r="U835" s="62"/>
      <c r="V835" s="61"/>
      <c r="W835" s="62"/>
      <c r="X835" s="61"/>
      <c r="Y835" s="62"/>
      <c r="Z835" s="61"/>
      <c r="AA835" s="62"/>
    </row>
    <row r="836" spans="3:27" ht="16.5" customHeight="1">
      <c r="C836" s="118"/>
      <c r="E836" s="61"/>
      <c r="H836" s="61"/>
      <c r="I836" s="60"/>
      <c r="K836" s="62"/>
      <c r="O836" s="60"/>
      <c r="P836" s="61"/>
      <c r="Q836" s="62"/>
      <c r="R836" s="61"/>
      <c r="S836" s="62"/>
      <c r="T836" s="61"/>
      <c r="U836" s="62"/>
      <c r="V836" s="61"/>
      <c r="W836" s="62"/>
      <c r="X836" s="61"/>
      <c r="Y836" s="62"/>
      <c r="Z836" s="61"/>
      <c r="AA836" s="62"/>
    </row>
    <row r="837" spans="3:27" ht="16.5" customHeight="1">
      <c r="C837" s="118"/>
      <c r="E837" s="61"/>
      <c r="H837" s="61"/>
      <c r="I837" s="60"/>
      <c r="K837" s="62"/>
      <c r="O837" s="60"/>
      <c r="P837" s="61"/>
      <c r="Q837" s="62"/>
      <c r="R837" s="61"/>
      <c r="S837" s="62"/>
      <c r="T837" s="61"/>
      <c r="U837" s="62"/>
      <c r="V837" s="61"/>
      <c r="W837" s="62"/>
      <c r="X837" s="61"/>
      <c r="Y837" s="62"/>
      <c r="Z837" s="61"/>
      <c r="AA837" s="62"/>
    </row>
    <row r="838" spans="3:27" ht="16.5" customHeight="1">
      <c r="C838" s="118"/>
      <c r="E838" s="61"/>
      <c r="H838" s="61"/>
      <c r="I838" s="60"/>
      <c r="K838" s="62"/>
      <c r="O838" s="60"/>
      <c r="P838" s="61"/>
      <c r="Q838" s="62"/>
      <c r="R838" s="61"/>
      <c r="S838" s="62"/>
      <c r="T838" s="61"/>
      <c r="U838" s="62"/>
      <c r="V838" s="61"/>
      <c r="W838" s="62"/>
      <c r="X838" s="61"/>
      <c r="Y838" s="62"/>
      <c r="Z838" s="61"/>
      <c r="AA838" s="62"/>
    </row>
    <row r="839" spans="3:27" ht="16.5" customHeight="1">
      <c r="C839" s="118"/>
      <c r="E839" s="61"/>
      <c r="H839" s="61"/>
      <c r="I839" s="60"/>
      <c r="K839" s="62"/>
      <c r="O839" s="60"/>
      <c r="P839" s="61"/>
      <c r="Q839" s="62"/>
      <c r="R839" s="61"/>
      <c r="S839" s="62"/>
      <c r="T839" s="61"/>
      <c r="U839" s="62"/>
      <c r="V839" s="61"/>
      <c r="W839" s="62"/>
      <c r="X839" s="61"/>
      <c r="Y839" s="62"/>
      <c r="Z839" s="61"/>
      <c r="AA839" s="62"/>
    </row>
    <row r="840" spans="3:27" ht="16.5" customHeight="1">
      <c r="C840" s="118"/>
      <c r="E840" s="61"/>
      <c r="H840" s="61"/>
      <c r="I840" s="60"/>
      <c r="K840" s="62"/>
      <c r="O840" s="60"/>
      <c r="P840" s="61"/>
      <c r="Q840" s="62"/>
      <c r="R840" s="61"/>
      <c r="S840" s="62"/>
      <c r="T840" s="61"/>
      <c r="U840" s="62"/>
      <c r="V840" s="61"/>
      <c r="W840" s="62"/>
      <c r="X840" s="61"/>
      <c r="Y840" s="62"/>
      <c r="Z840" s="61"/>
      <c r="AA840" s="62"/>
    </row>
    <row r="841" spans="3:27" ht="16.5" customHeight="1">
      <c r="C841" s="118"/>
      <c r="E841" s="61"/>
      <c r="H841" s="61"/>
      <c r="I841" s="60"/>
      <c r="K841" s="62"/>
      <c r="O841" s="60"/>
      <c r="P841" s="61"/>
      <c r="Q841" s="62"/>
      <c r="R841" s="61"/>
      <c r="S841" s="62"/>
      <c r="T841" s="61"/>
      <c r="U841" s="62"/>
      <c r="V841" s="61"/>
      <c r="W841" s="62"/>
      <c r="X841" s="61"/>
      <c r="Y841" s="62"/>
      <c r="Z841" s="61"/>
      <c r="AA841" s="62"/>
    </row>
    <row r="842" spans="3:27" ht="16.5" customHeight="1">
      <c r="C842" s="118"/>
      <c r="E842" s="61"/>
      <c r="H842" s="61"/>
      <c r="I842" s="60"/>
      <c r="K842" s="62"/>
      <c r="O842" s="60"/>
      <c r="P842" s="61"/>
      <c r="Q842" s="62"/>
      <c r="R842" s="61"/>
      <c r="S842" s="62"/>
      <c r="T842" s="61"/>
      <c r="U842" s="62"/>
      <c r="V842" s="61"/>
      <c r="W842" s="62"/>
      <c r="X842" s="61"/>
      <c r="Y842" s="62"/>
      <c r="Z842" s="61"/>
      <c r="AA842" s="62"/>
    </row>
    <row r="843" spans="3:27" ht="16.5" customHeight="1">
      <c r="C843" s="118"/>
      <c r="E843" s="61"/>
      <c r="H843" s="61"/>
      <c r="I843" s="60"/>
      <c r="K843" s="62"/>
      <c r="O843" s="60"/>
      <c r="P843" s="61"/>
      <c r="Q843" s="62"/>
      <c r="R843" s="61"/>
      <c r="S843" s="62"/>
      <c r="T843" s="61"/>
      <c r="U843" s="62"/>
      <c r="V843" s="61"/>
      <c r="W843" s="62"/>
      <c r="X843" s="61"/>
      <c r="Y843" s="62"/>
      <c r="Z843" s="61"/>
      <c r="AA843" s="62"/>
    </row>
    <row r="844" spans="3:27" ht="16.5" customHeight="1">
      <c r="C844" s="118"/>
      <c r="E844" s="61"/>
      <c r="H844" s="61"/>
      <c r="I844" s="60"/>
      <c r="K844" s="62"/>
      <c r="O844" s="60"/>
      <c r="P844" s="61"/>
      <c r="Q844" s="62"/>
      <c r="R844" s="61"/>
      <c r="S844" s="62"/>
      <c r="T844" s="61"/>
      <c r="U844" s="62"/>
      <c r="V844" s="61"/>
      <c r="W844" s="62"/>
      <c r="X844" s="61"/>
      <c r="Y844" s="62"/>
      <c r="Z844" s="61"/>
      <c r="AA844" s="62"/>
    </row>
    <row r="845" spans="3:27" ht="16.5" customHeight="1">
      <c r="C845" s="118"/>
      <c r="E845" s="61"/>
      <c r="H845" s="61"/>
      <c r="I845" s="60"/>
      <c r="K845" s="62"/>
      <c r="O845" s="60"/>
      <c r="P845" s="61"/>
      <c r="Q845" s="62"/>
      <c r="R845" s="61"/>
      <c r="S845" s="62"/>
      <c r="T845" s="61"/>
      <c r="U845" s="62"/>
      <c r="V845" s="61"/>
      <c r="W845" s="62"/>
      <c r="X845" s="61"/>
      <c r="Y845" s="62"/>
      <c r="Z845" s="61"/>
      <c r="AA845" s="62"/>
    </row>
    <row r="846" spans="3:27" ht="16.5" customHeight="1">
      <c r="C846" s="118"/>
      <c r="E846" s="61"/>
      <c r="H846" s="61"/>
      <c r="I846" s="60"/>
      <c r="K846" s="62"/>
      <c r="O846" s="60"/>
      <c r="P846" s="61"/>
      <c r="Q846" s="62"/>
      <c r="R846" s="61"/>
      <c r="S846" s="62"/>
      <c r="T846" s="61"/>
      <c r="U846" s="62"/>
      <c r="V846" s="61"/>
      <c r="W846" s="62"/>
      <c r="X846" s="61"/>
      <c r="Y846" s="62"/>
      <c r="Z846" s="61"/>
      <c r="AA846" s="62"/>
    </row>
    <row r="847" spans="3:27" ht="16.5" customHeight="1">
      <c r="C847" s="118"/>
      <c r="E847" s="61"/>
      <c r="H847" s="61"/>
      <c r="I847" s="60"/>
      <c r="K847" s="62"/>
      <c r="O847" s="60"/>
      <c r="P847" s="61"/>
      <c r="Q847" s="62"/>
      <c r="R847" s="61"/>
      <c r="S847" s="62"/>
      <c r="T847" s="61"/>
      <c r="U847" s="62"/>
      <c r="V847" s="61"/>
      <c r="W847" s="62"/>
      <c r="X847" s="61"/>
      <c r="Y847" s="62"/>
      <c r="Z847" s="61"/>
      <c r="AA847" s="62"/>
    </row>
    <row r="848" spans="3:27" ht="16.5" customHeight="1">
      <c r="C848" s="118"/>
      <c r="E848" s="61"/>
      <c r="H848" s="61"/>
      <c r="I848" s="60"/>
      <c r="K848" s="62"/>
      <c r="O848" s="60"/>
      <c r="P848" s="61"/>
      <c r="Q848" s="62"/>
      <c r="R848" s="61"/>
      <c r="S848" s="62"/>
      <c r="T848" s="61"/>
      <c r="U848" s="62"/>
      <c r="V848" s="61"/>
      <c r="W848" s="62"/>
      <c r="X848" s="61"/>
      <c r="Y848" s="62"/>
      <c r="Z848" s="61"/>
      <c r="AA848" s="62"/>
    </row>
    <row r="849" spans="3:27" ht="16.5" customHeight="1">
      <c r="C849" s="118"/>
      <c r="E849" s="61"/>
      <c r="H849" s="61"/>
      <c r="I849" s="60"/>
      <c r="K849" s="62"/>
      <c r="O849" s="60"/>
      <c r="P849" s="61"/>
      <c r="Q849" s="62"/>
      <c r="R849" s="61"/>
      <c r="S849" s="62"/>
      <c r="T849" s="61"/>
      <c r="U849" s="62"/>
      <c r="V849" s="61"/>
      <c r="W849" s="62"/>
      <c r="X849" s="61"/>
      <c r="Y849" s="62"/>
      <c r="Z849" s="61"/>
      <c r="AA849" s="62"/>
    </row>
    <row r="850" spans="3:27" ht="16.5" customHeight="1">
      <c r="C850" s="118"/>
      <c r="E850" s="61"/>
      <c r="H850" s="61"/>
      <c r="I850" s="60"/>
      <c r="K850" s="62"/>
      <c r="O850" s="60"/>
      <c r="P850" s="61"/>
      <c r="Q850" s="62"/>
      <c r="R850" s="61"/>
      <c r="S850" s="62"/>
      <c r="T850" s="61"/>
      <c r="U850" s="62"/>
      <c r="V850" s="61"/>
      <c r="W850" s="62"/>
      <c r="X850" s="61"/>
      <c r="Y850" s="62"/>
      <c r="Z850" s="61"/>
      <c r="AA850" s="62"/>
    </row>
    <row r="851" spans="3:27" ht="16.5" customHeight="1">
      <c r="C851" s="118"/>
      <c r="E851" s="61"/>
      <c r="H851" s="61"/>
      <c r="I851" s="60"/>
      <c r="K851" s="62"/>
      <c r="O851" s="60"/>
      <c r="P851" s="61"/>
      <c r="Q851" s="62"/>
      <c r="R851" s="61"/>
      <c r="S851" s="62"/>
      <c r="T851" s="61"/>
      <c r="U851" s="62"/>
      <c r="V851" s="61"/>
      <c r="W851" s="62"/>
      <c r="X851" s="61"/>
      <c r="Y851" s="62"/>
      <c r="Z851" s="61"/>
      <c r="AA851" s="62"/>
    </row>
    <row r="852" spans="3:27" ht="16.5" customHeight="1">
      <c r="C852" s="118"/>
      <c r="E852" s="61"/>
      <c r="H852" s="61"/>
      <c r="I852" s="60"/>
      <c r="K852" s="62"/>
      <c r="O852" s="60"/>
      <c r="P852" s="61"/>
      <c r="Q852" s="62"/>
      <c r="R852" s="61"/>
      <c r="S852" s="62"/>
      <c r="T852" s="61"/>
      <c r="U852" s="62"/>
      <c r="V852" s="61"/>
      <c r="W852" s="62"/>
      <c r="X852" s="61"/>
      <c r="Y852" s="62"/>
      <c r="Z852" s="61"/>
      <c r="AA852" s="62"/>
    </row>
    <row r="853" spans="3:27" ht="16.5" customHeight="1">
      <c r="C853" s="118"/>
      <c r="E853" s="61"/>
      <c r="H853" s="61"/>
      <c r="I853" s="60"/>
      <c r="K853" s="62"/>
      <c r="O853" s="60"/>
      <c r="P853" s="61"/>
      <c r="Q853" s="62"/>
      <c r="R853" s="61"/>
      <c r="S853" s="62"/>
      <c r="T853" s="61"/>
      <c r="U853" s="62"/>
      <c r="V853" s="61"/>
      <c r="W853" s="62"/>
      <c r="X853" s="61"/>
      <c r="Y853" s="62"/>
      <c r="Z853" s="61"/>
      <c r="AA853" s="62"/>
    </row>
    <row r="854" spans="3:27" ht="16.5" customHeight="1">
      <c r="C854" s="118"/>
      <c r="E854" s="61"/>
      <c r="H854" s="61"/>
      <c r="I854" s="60"/>
      <c r="K854" s="62"/>
      <c r="O854" s="60"/>
      <c r="P854" s="61"/>
      <c r="Q854" s="62"/>
      <c r="R854" s="61"/>
      <c r="S854" s="62"/>
      <c r="T854" s="61"/>
      <c r="U854" s="62"/>
      <c r="V854" s="61"/>
      <c r="W854" s="62"/>
      <c r="X854" s="61"/>
      <c r="Y854" s="62"/>
      <c r="Z854" s="61"/>
      <c r="AA854" s="62"/>
    </row>
    <row r="855" spans="3:27" ht="16.5" customHeight="1">
      <c r="C855" s="118"/>
      <c r="E855" s="61"/>
      <c r="H855" s="61"/>
      <c r="I855" s="60"/>
      <c r="K855" s="62"/>
      <c r="O855" s="60"/>
      <c r="P855" s="61"/>
      <c r="Q855" s="62"/>
      <c r="R855" s="61"/>
      <c r="S855" s="62"/>
      <c r="T855" s="61"/>
      <c r="U855" s="62"/>
      <c r="V855" s="61"/>
      <c r="W855" s="62"/>
      <c r="X855" s="61"/>
      <c r="Y855" s="62"/>
      <c r="Z855" s="61"/>
      <c r="AA855" s="62"/>
    </row>
    <row r="856" spans="3:27" ht="16.5" customHeight="1">
      <c r="C856" s="118"/>
      <c r="E856" s="61"/>
      <c r="H856" s="61"/>
      <c r="I856" s="60"/>
      <c r="K856" s="62"/>
      <c r="O856" s="60"/>
      <c r="P856" s="61"/>
      <c r="Q856" s="62"/>
      <c r="R856" s="61"/>
      <c r="S856" s="62"/>
      <c r="T856" s="61"/>
      <c r="U856" s="62"/>
      <c r="V856" s="61"/>
      <c r="W856" s="62"/>
      <c r="X856" s="61"/>
      <c r="Y856" s="62"/>
      <c r="Z856" s="61"/>
      <c r="AA856" s="62"/>
    </row>
    <row r="857" spans="3:27" ht="16.5" customHeight="1">
      <c r="C857" s="118"/>
      <c r="E857" s="61"/>
      <c r="H857" s="61"/>
      <c r="I857" s="60"/>
      <c r="K857" s="62"/>
      <c r="O857" s="60"/>
      <c r="P857" s="61"/>
      <c r="Q857" s="62"/>
      <c r="R857" s="61"/>
      <c r="S857" s="62"/>
      <c r="T857" s="61"/>
      <c r="U857" s="62"/>
      <c r="V857" s="61"/>
      <c r="W857" s="62"/>
      <c r="X857" s="61"/>
      <c r="Y857" s="62"/>
      <c r="Z857" s="61"/>
      <c r="AA857" s="62"/>
    </row>
    <row r="858" spans="3:27" ht="16.5" customHeight="1">
      <c r="C858" s="118"/>
      <c r="E858" s="61"/>
      <c r="H858" s="61"/>
      <c r="I858" s="60"/>
      <c r="K858" s="62"/>
      <c r="O858" s="60"/>
      <c r="P858" s="61"/>
      <c r="Q858" s="62"/>
      <c r="R858" s="61"/>
      <c r="S858" s="62"/>
      <c r="T858" s="61"/>
      <c r="U858" s="62"/>
      <c r="V858" s="61"/>
      <c r="W858" s="62"/>
      <c r="X858" s="61"/>
      <c r="Y858" s="62"/>
      <c r="Z858" s="61"/>
      <c r="AA858" s="62"/>
    </row>
    <row r="859" spans="3:27" ht="16.5" customHeight="1">
      <c r="C859" s="118"/>
      <c r="E859" s="61"/>
      <c r="H859" s="61"/>
      <c r="I859" s="60"/>
      <c r="K859" s="62"/>
      <c r="O859" s="60"/>
      <c r="P859" s="61"/>
      <c r="Q859" s="62"/>
      <c r="R859" s="61"/>
      <c r="S859" s="62"/>
      <c r="T859" s="61"/>
      <c r="U859" s="62"/>
      <c r="V859" s="61"/>
      <c r="W859" s="62"/>
      <c r="X859" s="61"/>
      <c r="Y859" s="62"/>
      <c r="Z859" s="61"/>
      <c r="AA859" s="62"/>
    </row>
    <row r="860" spans="3:27" ht="16.5" customHeight="1">
      <c r="C860" s="118"/>
      <c r="E860" s="61"/>
      <c r="H860" s="61"/>
      <c r="I860" s="60"/>
      <c r="K860" s="62"/>
      <c r="O860" s="60"/>
      <c r="P860" s="61"/>
      <c r="Q860" s="62"/>
      <c r="R860" s="61"/>
      <c r="S860" s="62"/>
      <c r="T860" s="61"/>
      <c r="U860" s="62"/>
      <c r="V860" s="61"/>
      <c r="W860" s="62"/>
      <c r="X860" s="61"/>
      <c r="Y860" s="62"/>
      <c r="Z860" s="61"/>
      <c r="AA860" s="62"/>
    </row>
    <row r="861" spans="3:27" ht="16.5" customHeight="1">
      <c r="C861" s="118"/>
      <c r="E861" s="61"/>
      <c r="H861" s="61"/>
      <c r="I861" s="60"/>
      <c r="K861" s="62"/>
      <c r="O861" s="60"/>
      <c r="P861" s="61"/>
      <c r="Q861" s="62"/>
      <c r="R861" s="61"/>
      <c r="S861" s="62"/>
      <c r="T861" s="61"/>
      <c r="U861" s="62"/>
      <c r="V861" s="61"/>
      <c r="W861" s="62"/>
      <c r="X861" s="61"/>
      <c r="Y861" s="62"/>
      <c r="Z861" s="61"/>
      <c r="AA861" s="62"/>
    </row>
    <row r="862" spans="3:27" ht="16.5" customHeight="1">
      <c r="C862" s="118"/>
      <c r="E862" s="61"/>
      <c r="H862" s="61"/>
      <c r="I862" s="60"/>
      <c r="K862" s="62"/>
      <c r="O862" s="60"/>
      <c r="P862" s="61"/>
      <c r="Q862" s="62"/>
      <c r="R862" s="61"/>
      <c r="S862" s="62"/>
      <c r="T862" s="61"/>
      <c r="U862" s="62"/>
      <c r="V862" s="61"/>
      <c r="W862" s="62"/>
      <c r="X862" s="61"/>
      <c r="Y862" s="62"/>
      <c r="Z862" s="61"/>
      <c r="AA862" s="62"/>
    </row>
    <row r="863" spans="3:27" ht="16.5" customHeight="1">
      <c r="C863" s="118"/>
      <c r="E863" s="61"/>
      <c r="H863" s="61"/>
      <c r="I863" s="60"/>
      <c r="K863" s="62"/>
      <c r="O863" s="60"/>
      <c r="P863" s="61"/>
      <c r="Q863" s="62"/>
      <c r="R863" s="61"/>
      <c r="S863" s="62"/>
      <c r="T863" s="61"/>
      <c r="U863" s="62"/>
      <c r="V863" s="61"/>
      <c r="W863" s="62"/>
      <c r="X863" s="61"/>
      <c r="Y863" s="62"/>
      <c r="Z863" s="61"/>
      <c r="AA863" s="62"/>
    </row>
    <row r="864" spans="3:27" ht="16.5" customHeight="1">
      <c r="C864" s="118"/>
      <c r="E864" s="61"/>
      <c r="H864" s="61"/>
      <c r="I864" s="60"/>
      <c r="K864" s="62"/>
      <c r="O864" s="60"/>
      <c r="P864" s="61"/>
      <c r="Q864" s="62"/>
      <c r="R864" s="61"/>
      <c r="S864" s="62"/>
      <c r="T864" s="61"/>
      <c r="U864" s="62"/>
      <c r="V864" s="61"/>
      <c r="W864" s="62"/>
      <c r="X864" s="61"/>
      <c r="Y864" s="62"/>
      <c r="Z864" s="61"/>
      <c r="AA864" s="62"/>
    </row>
    <row r="865" spans="3:27" ht="16.5" customHeight="1">
      <c r="C865" s="118"/>
      <c r="E865" s="61"/>
      <c r="H865" s="61"/>
      <c r="I865" s="60"/>
      <c r="K865" s="62"/>
      <c r="O865" s="60"/>
      <c r="P865" s="61"/>
      <c r="Q865" s="62"/>
      <c r="R865" s="61"/>
      <c r="S865" s="62"/>
      <c r="T865" s="61"/>
      <c r="U865" s="62"/>
      <c r="V865" s="61"/>
      <c r="W865" s="62"/>
      <c r="X865" s="61"/>
      <c r="Y865" s="62"/>
      <c r="Z865" s="61"/>
      <c r="AA865" s="62"/>
    </row>
    <row r="866" spans="3:27" ht="16.5" customHeight="1">
      <c r="C866" s="118"/>
      <c r="E866" s="61"/>
      <c r="H866" s="61"/>
      <c r="I866" s="60"/>
      <c r="K866" s="62"/>
      <c r="O866" s="60"/>
      <c r="P866" s="61"/>
      <c r="Q866" s="62"/>
      <c r="R866" s="61"/>
      <c r="S866" s="62"/>
      <c r="T866" s="61"/>
      <c r="U866" s="62"/>
      <c r="V866" s="61"/>
      <c r="W866" s="62"/>
      <c r="X866" s="61"/>
      <c r="Y866" s="62"/>
      <c r="Z866" s="61"/>
      <c r="AA866" s="62"/>
    </row>
    <row r="867" spans="3:27" ht="16.5" customHeight="1">
      <c r="C867" s="118"/>
      <c r="E867" s="61"/>
      <c r="H867" s="61"/>
      <c r="I867" s="60"/>
      <c r="K867" s="62"/>
      <c r="O867" s="60"/>
      <c r="P867" s="61"/>
      <c r="Q867" s="62"/>
      <c r="R867" s="61"/>
      <c r="S867" s="62"/>
      <c r="T867" s="61"/>
      <c r="U867" s="62"/>
      <c r="V867" s="61"/>
      <c r="W867" s="62"/>
      <c r="X867" s="61"/>
      <c r="Y867" s="62"/>
      <c r="Z867" s="61"/>
      <c r="AA867" s="62"/>
    </row>
    <row r="868" spans="3:27" ht="16.5" customHeight="1">
      <c r="C868" s="118"/>
      <c r="E868" s="61"/>
      <c r="H868" s="61"/>
      <c r="I868" s="60"/>
      <c r="K868" s="62"/>
      <c r="O868" s="60"/>
      <c r="P868" s="61"/>
      <c r="Q868" s="62"/>
      <c r="R868" s="61"/>
      <c r="S868" s="62"/>
      <c r="T868" s="61"/>
      <c r="U868" s="62"/>
      <c r="V868" s="61"/>
      <c r="W868" s="62"/>
      <c r="X868" s="61"/>
      <c r="Y868" s="62"/>
      <c r="Z868" s="61"/>
      <c r="AA868" s="62"/>
    </row>
    <row r="869" spans="3:27" ht="16.5" customHeight="1">
      <c r="C869" s="118"/>
      <c r="E869" s="61"/>
      <c r="H869" s="61"/>
      <c r="I869" s="60"/>
      <c r="K869" s="62"/>
      <c r="O869" s="60"/>
      <c r="P869" s="61"/>
      <c r="Q869" s="62"/>
      <c r="R869" s="61"/>
      <c r="S869" s="62"/>
      <c r="T869" s="61"/>
      <c r="U869" s="62"/>
      <c r="V869" s="61"/>
      <c r="W869" s="62"/>
      <c r="X869" s="61"/>
      <c r="Y869" s="62"/>
      <c r="Z869" s="61"/>
      <c r="AA869" s="62"/>
    </row>
    <row r="870" spans="3:27" ht="16.5" customHeight="1">
      <c r="C870" s="118"/>
      <c r="E870" s="61"/>
      <c r="H870" s="61"/>
      <c r="I870" s="60"/>
      <c r="K870" s="62"/>
      <c r="O870" s="60"/>
      <c r="P870" s="61"/>
      <c r="Q870" s="62"/>
      <c r="R870" s="61"/>
      <c r="S870" s="62"/>
      <c r="T870" s="61"/>
      <c r="U870" s="62"/>
      <c r="V870" s="61"/>
      <c r="W870" s="62"/>
      <c r="X870" s="61"/>
      <c r="Y870" s="62"/>
      <c r="Z870" s="61"/>
      <c r="AA870" s="62"/>
    </row>
    <row r="871" spans="3:27" ht="16.5" customHeight="1">
      <c r="C871" s="118"/>
      <c r="E871" s="61"/>
      <c r="H871" s="61"/>
      <c r="I871" s="60"/>
      <c r="K871" s="62"/>
      <c r="O871" s="60"/>
      <c r="P871" s="61"/>
      <c r="Q871" s="62"/>
      <c r="R871" s="61"/>
      <c r="S871" s="62"/>
      <c r="T871" s="61"/>
      <c r="U871" s="62"/>
      <c r="V871" s="61"/>
      <c r="W871" s="62"/>
      <c r="X871" s="61"/>
      <c r="Y871" s="62"/>
      <c r="Z871" s="61"/>
      <c r="AA871" s="62"/>
    </row>
    <row r="872" spans="3:27" ht="16.5" customHeight="1">
      <c r="C872" s="118"/>
      <c r="E872" s="61"/>
      <c r="H872" s="61"/>
      <c r="I872" s="60"/>
      <c r="K872" s="62"/>
      <c r="O872" s="60"/>
      <c r="P872" s="61"/>
      <c r="Q872" s="62"/>
      <c r="R872" s="61"/>
      <c r="S872" s="62"/>
      <c r="T872" s="61"/>
      <c r="U872" s="62"/>
      <c r="V872" s="61"/>
      <c r="W872" s="62"/>
      <c r="X872" s="61"/>
      <c r="Y872" s="62"/>
      <c r="Z872" s="61"/>
      <c r="AA872" s="62"/>
    </row>
    <row r="873" spans="3:27" ht="16.5" customHeight="1">
      <c r="C873" s="118"/>
      <c r="E873" s="61"/>
      <c r="H873" s="61"/>
      <c r="I873" s="60"/>
      <c r="K873" s="62"/>
      <c r="O873" s="60"/>
      <c r="P873" s="61"/>
      <c r="Q873" s="62"/>
      <c r="R873" s="61"/>
      <c r="S873" s="62"/>
      <c r="T873" s="61"/>
      <c r="U873" s="62"/>
      <c r="V873" s="61"/>
      <c r="W873" s="62"/>
      <c r="X873" s="61"/>
      <c r="Y873" s="62"/>
      <c r="Z873" s="61"/>
      <c r="AA873" s="62"/>
    </row>
    <row r="874" spans="3:27" ht="16.5" customHeight="1">
      <c r="C874" s="118"/>
      <c r="E874" s="61"/>
      <c r="H874" s="61"/>
      <c r="I874" s="60"/>
      <c r="K874" s="62"/>
      <c r="O874" s="60"/>
      <c r="P874" s="61"/>
      <c r="Q874" s="62"/>
      <c r="R874" s="61"/>
      <c r="S874" s="62"/>
      <c r="T874" s="61"/>
      <c r="U874" s="62"/>
      <c r="V874" s="61"/>
      <c r="W874" s="62"/>
      <c r="X874" s="61"/>
      <c r="Y874" s="62"/>
      <c r="Z874" s="61"/>
      <c r="AA874" s="62"/>
    </row>
    <row r="875" spans="3:27" ht="16.5" customHeight="1">
      <c r="C875" s="118"/>
      <c r="E875" s="61"/>
      <c r="H875" s="61"/>
      <c r="I875" s="60"/>
      <c r="K875" s="62"/>
      <c r="O875" s="60"/>
      <c r="P875" s="61"/>
      <c r="Q875" s="62"/>
      <c r="R875" s="61"/>
      <c r="S875" s="62"/>
      <c r="T875" s="61"/>
      <c r="U875" s="62"/>
      <c r="V875" s="61"/>
      <c r="W875" s="62"/>
      <c r="X875" s="61"/>
      <c r="Y875" s="62"/>
      <c r="Z875" s="61"/>
      <c r="AA875" s="62"/>
    </row>
    <row r="876" spans="3:27" ht="16.5" customHeight="1">
      <c r="C876" s="118"/>
      <c r="E876" s="61"/>
      <c r="H876" s="61"/>
      <c r="I876" s="60"/>
      <c r="K876" s="62"/>
      <c r="O876" s="60"/>
      <c r="P876" s="61"/>
      <c r="Q876" s="62"/>
      <c r="R876" s="61"/>
      <c r="S876" s="62"/>
      <c r="T876" s="61"/>
      <c r="U876" s="62"/>
      <c r="V876" s="61"/>
      <c r="W876" s="62"/>
      <c r="X876" s="61"/>
      <c r="Y876" s="62"/>
      <c r="Z876" s="61"/>
      <c r="AA876" s="62"/>
    </row>
    <row r="877" spans="3:27" ht="16.5" customHeight="1">
      <c r="C877" s="118"/>
      <c r="E877" s="61"/>
      <c r="H877" s="61"/>
      <c r="I877" s="60"/>
      <c r="K877" s="62"/>
      <c r="O877" s="60"/>
      <c r="P877" s="61"/>
      <c r="Q877" s="62"/>
      <c r="R877" s="61"/>
      <c r="S877" s="62"/>
      <c r="T877" s="61"/>
      <c r="U877" s="62"/>
      <c r="V877" s="61"/>
      <c r="W877" s="62"/>
      <c r="X877" s="61"/>
      <c r="Y877" s="62"/>
      <c r="Z877" s="61"/>
      <c r="AA877" s="62"/>
    </row>
    <row r="878" spans="3:27" ht="16.5" customHeight="1">
      <c r="C878" s="118"/>
      <c r="E878" s="61"/>
      <c r="H878" s="61"/>
      <c r="I878" s="60"/>
      <c r="K878" s="62"/>
      <c r="O878" s="60"/>
      <c r="P878" s="61"/>
      <c r="Q878" s="62"/>
      <c r="R878" s="61"/>
      <c r="S878" s="62"/>
      <c r="T878" s="61"/>
      <c r="U878" s="62"/>
      <c r="V878" s="61"/>
      <c r="W878" s="62"/>
      <c r="X878" s="61"/>
      <c r="Y878" s="62"/>
      <c r="Z878" s="61"/>
      <c r="AA878" s="62"/>
    </row>
    <row r="879" spans="3:27" ht="16.5" customHeight="1">
      <c r="C879" s="118"/>
      <c r="E879" s="61"/>
      <c r="H879" s="61"/>
      <c r="I879" s="60"/>
      <c r="K879" s="62"/>
      <c r="O879" s="60"/>
      <c r="P879" s="61"/>
      <c r="Q879" s="62"/>
      <c r="R879" s="61"/>
      <c r="S879" s="62"/>
      <c r="T879" s="61"/>
      <c r="U879" s="62"/>
      <c r="V879" s="61"/>
      <c r="W879" s="62"/>
      <c r="X879" s="61"/>
      <c r="Y879" s="62"/>
      <c r="Z879" s="61"/>
      <c r="AA879" s="62"/>
    </row>
    <row r="880" spans="3:27" ht="16.5" customHeight="1">
      <c r="C880" s="118"/>
      <c r="E880" s="61"/>
      <c r="H880" s="61"/>
      <c r="I880" s="60"/>
      <c r="K880" s="62"/>
      <c r="O880" s="60"/>
      <c r="P880" s="61"/>
      <c r="Q880" s="62"/>
      <c r="R880" s="61"/>
      <c r="S880" s="62"/>
      <c r="T880" s="61"/>
      <c r="U880" s="62"/>
      <c r="V880" s="61"/>
      <c r="W880" s="62"/>
      <c r="X880" s="61"/>
      <c r="Y880" s="62"/>
      <c r="Z880" s="61"/>
      <c r="AA880" s="62"/>
    </row>
    <row r="881" spans="3:27" ht="16.5" customHeight="1">
      <c r="C881" s="118"/>
      <c r="E881" s="61"/>
      <c r="H881" s="61"/>
      <c r="I881" s="60"/>
      <c r="K881" s="62"/>
      <c r="O881" s="60"/>
      <c r="P881" s="61"/>
      <c r="Q881" s="62"/>
      <c r="R881" s="61"/>
      <c r="S881" s="62"/>
      <c r="T881" s="61"/>
      <c r="U881" s="62"/>
      <c r="V881" s="61"/>
      <c r="W881" s="62"/>
      <c r="X881" s="61"/>
      <c r="Y881" s="62"/>
      <c r="Z881" s="61"/>
      <c r="AA881" s="62"/>
    </row>
    <row r="882" spans="3:27" ht="16.5" customHeight="1">
      <c r="C882" s="118"/>
      <c r="E882" s="61"/>
      <c r="H882" s="61"/>
      <c r="I882" s="60"/>
      <c r="K882" s="62"/>
      <c r="O882" s="60"/>
      <c r="P882" s="61"/>
      <c r="Q882" s="62"/>
      <c r="R882" s="61"/>
      <c r="S882" s="62"/>
      <c r="T882" s="61"/>
      <c r="U882" s="62"/>
      <c r="V882" s="61"/>
      <c r="W882" s="62"/>
      <c r="X882" s="61"/>
      <c r="Y882" s="62"/>
      <c r="Z882" s="61"/>
      <c r="AA882" s="62"/>
    </row>
    <row r="883" spans="3:27" ht="16.5" customHeight="1">
      <c r="C883" s="118"/>
      <c r="E883" s="61"/>
      <c r="H883" s="61"/>
      <c r="I883" s="60"/>
      <c r="K883" s="62"/>
      <c r="O883" s="60"/>
      <c r="P883" s="61"/>
      <c r="Q883" s="62"/>
      <c r="R883" s="61"/>
      <c r="S883" s="62"/>
      <c r="T883" s="61"/>
      <c r="U883" s="62"/>
      <c r="V883" s="61"/>
      <c r="W883" s="62"/>
      <c r="X883" s="61"/>
      <c r="Y883" s="62"/>
      <c r="Z883" s="61"/>
      <c r="AA883" s="62"/>
    </row>
    <row r="884" spans="3:27" ht="16.5" customHeight="1">
      <c r="C884" s="118"/>
      <c r="E884" s="61"/>
      <c r="H884" s="61"/>
      <c r="I884" s="60"/>
      <c r="K884" s="62"/>
      <c r="O884" s="60"/>
      <c r="P884" s="61"/>
      <c r="Q884" s="62"/>
      <c r="R884" s="61"/>
      <c r="S884" s="62"/>
      <c r="T884" s="61"/>
      <c r="U884" s="62"/>
      <c r="V884" s="61"/>
      <c r="W884" s="62"/>
      <c r="X884" s="61"/>
      <c r="Y884" s="62"/>
      <c r="Z884" s="61"/>
      <c r="AA884" s="62"/>
    </row>
    <row r="885" spans="3:27" ht="16.5" customHeight="1">
      <c r="C885" s="118"/>
      <c r="E885" s="61"/>
      <c r="H885" s="61"/>
      <c r="I885" s="60"/>
      <c r="K885" s="62"/>
      <c r="O885" s="60"/>
      <c r="P885" s="61"/>
      <c r="Q885" s="62"/>
      <c r="R885" s="61"/>
      <c r="S885" s="62"/>
      <c r="T885" s="61"/>
      <c r="U885" s="62"/>
      <c r="V885" s="61"/>
      <c r="W885" s="62"/>
      <c r="X885" s="61"/>
      <c r="Y885" s="62"/>
      <c r="Z885" s="61"/>
      <c r="AA885" s="62"/>
    </row>
    <row r="886" spans="3:27" ht="16.5" customHeight="1">
      <c r="C886" s="118"/>
      <c r="E886" s="61"/>
      <c r="H886" s="61"/>
      <c r="I886" s="60"/>
      <c r="K886" s="62"/>
      <c r="O886" s="60"/>
      <c r="P886" s="61"/>
      <c r="Q886" s="62"/>
      <c r="R886" s="61"/>
      <c r="S886" s="62"/>
      <c r="T886" s="61"/>
      <c r="U886" s="62"/>
      <c r="V886" s="61"/>
      <c r="W886" s="62"/>
      <c r="X886" s="61"/>
      <c r="Y886" s="62"/>
      <c r="Z886" s="61"/>
      <c r="AA886" s="62"/>
    </row>
    <row r="887" spans="3:27" ht="16.5" customHeight="1">
      <c r="C887" s="118"/>
      <c r="E887" s="61"/>
      <c r="H887" s="61"/>
      <c r="I887" s="60"/>
      <c r="K887" s="62"/>
      <c r="O887" s="60"/>
      <c r="P887" s="61"/>
      <c r="Q887" s="62"/>
      <c r="R887" s="61"/>
      <c r="S887" s="62"/>
      <c r="T887" s="61"/>
      <c r="U887" s="62"/>
      <c r="V887" s="61"/>
      <c r="W887" s="62"/>
      <c r="X887" s="61"/>
      <c r="Y887" s="62"/>
      <c r="Z887" s="61"/>
      <c r="AA887" s="62"/>
    </row>
    <row r="888" spans="3:27" ht="16.5" customHeight="1">
      <c r="C888" s="118"/>
      <c r="E888" s="61"/>
      <c r="H888" s="61"/>
      <c r="I888" s="60"/>
      <c r="K888" s="62"/>
      <c r="O888" s="60"/>
      <c r="P888" s="61"/>
      <c r="Q888" s="62"/>
      <c r="R888" s="61"/>
      <c r="S888" s="62"/>
      <c r="T888" s="61"/>
      <c r="U888" s="62"/>
      <c r="V888" s="61"/>
      <c r="W888" s="62"/>
      <c r="X888" s="61"/>
      <c r="Y888" s="62"/>
      <c r="Z888" s="61"/>
      <c r="AA888" s="62"/>
    </row>
    <row r="889" spans="3:27" ht="16.5" customHeight="1">
      <c r="C889" s="118"/>
      <c r="E889" s="61"/>
      <c r="H889" s="61"/>
      <c r="I889" s="60"/>
      <c r="K889" s="62"/>
      <c r="O889" s="60"/>
      <c r="P889" s="61"/>
      <c r="Q889" s="62"/>
      <c r="R889" s="61"/>
      <c r="S889" s="62"/>
      <c r="T889" s="61"/>
      <c r="U889" s="62"/>
      <c r="V889" s="61"/>
      <c r="W889" s="62"/>
      <c r="X889" s="61"/>
      <c r="Y889" s="62"/>
      <c r="Z889" s="61"/>
      <c r="AA889" s="62"/>
    </row>
    <row r="890" spans="3:27" ht="16.5" customHeight="1">
      <c r="C890" s="118"/>
      <c r="E890" s="61"/>
      <c r="H890" s="61"/>
      <c r="I890" s="60"/>
      <c r="K890" s="62"/>
      <c r="O890" s="60"/>
      <c r="P890" s="61"/>
      <c r="Q890" s="62"/>
      <c r="R890" s="61"/>
      <c r="S890" s="62"/>
      <c r="T890" s="61"/>
      <c r="U890" s="62"/>
      <c r="V890" s="61"/>
      <c r="W890" s="62"/>
      <c r="X890" s="61"/>
      <c r="Y890" s="62"/>
      <c r="Z890" s="61"/>
      <c r="AA890" s="62"/>
    </row>
    <row r="891" spans="3:27" ht="16.5" customHeight="1">
      <c r="C891" s="118"/>
      <c r="E891" s="61"/>
      <c r="H891" s="61"/>
      <c r="I891" s="60"/>
      <c r="K891" s="62"/>
      <c r="O891" s="60"/>
      <c r="P891" s="61"/>
      <c r="Q891" s="62"/>
      <c r="R891" s="61"/>
      <c r="S891" s="62"/>
      <c r="T891" s="61"/>
      <c r="U891" s="62"/>
      <c r="V891" s="61"/>
      <c r="W891" s="62"/>
      <c r="X891" s="61"/>
      <c r="Y891" s="62"/>
      <c r="Z891" s="61"/>
      <c r="AA891" s="62"/>
    </row>
    <row r="892" spans="3:27" ht="16.5" customHeight="1">
      <c r="C892" s="118"/>
      <c r="E892" s="61"/>
      <c r="H892" s="61"/>
      <c r="I892" s="60"/>
      <c r="K892" s="62"/>
      <c r="O892" s="60"/>
      <c r="P892" s="61"/>
      <c r="Q892" s="62"/>
      <c r="R892" s="61"/>
      <c r="S892" s="62"/>
      <c r="T892" s="61"/>
      <c r="U892" s="62"/>
      <c r="V892" s="61"/>
      <c r="W892" s="62"/>
      <c r="X892" s="61"/>
      <c r="Y892" s="62"/>
      <c r="Z892" s="61"/>
      <c r="AA892" s="62"/>
    </row>
    <row r="893" spans="3:27" ht="16.5" customHeight="1">
      <c r="C893" s="118"/>
      <c r="E893" s="61"/>
      <c r="H893" s="61"/>
      <c r="I893" s="60"/>
      <c r="K893" s="62"/>
      <c r="O893" s="60"/>
      <c r="P893" s="61"/>
      <c r="Q893" s="62"/>
      <c r="R893" s="61"/>
      <c r="S893" s="62"/>
      <c r="T893" s="61"/>
      <c r="U893" s="62"/>
      <c r="V893" s="61"/>
      <c r="W893" s="62"/>
      <c r="X893" s="61"/>
      <c r="Y893" s="62"/>
      <c r="Z893" s="61"/>
      <c r="AA893" s="62"/>
    </row>
    <row r="894" spans="3:27" ht="16.5" customHeight="1">
      <c r="C894" s="118"/>
      <c r="E894" s="61"/>
      <c r="H894" s="61"/>
      <c r="I894" s="60"/>
      <c r="K894" s="62"/>
      <c r="O894" s="60"/>
      <c r="P894" s="61"/>
      <c r="Q894" s="62"/>
      <c r="R894" s="61"/>
      <c r="S894" s="62"/>
      <c r="T894" s="61"/>
      <c r="U894" s="62"/>
      <c r="V894" s="61"/>
      <c r="W894" s="62"/>
      <c r="X894" s="61"/>
      <c r="Y894" s="62"/>
      <c r="Z894" s="61"/>
      <c r="AA894" s="62"/>
    </row>
    <row r="895" spans="3:27" ht="16.5" customHeight="1">
      <c r="C895" s="118"/>
      <c r="E895" s="61"/>
      <c r="H895" s="61"/>
      <c r="I895" s="60"/>
      <c r="K895" s="62"/>
      <c r="O895" s="60"/>
      <c r="P895" s="61"/>
      <c r="Q895" s="62"/>
      <c r="R895" s="61"/>
      <c r="S895" s="62"/>
      <c r="T895" s="61"/>
      <c r="U895" s="62"/>
      <c r="V895" s="61"/>
      <c r="W895" s="62"/>
      <c r="X895" s="61"/>
      <c r="Y895" s="62"/>
      <c r="Z895" s="61"/>
      <c r="AA895" s="62"/>
    </row>
    <row r="896" spans="3:27" ht="16.5" customHeight="1">
      <c r="C896" s="118"/>
      <c r="E896" s="61"/>
      <c r="H896" s="61"/>
      <c r="I896" s="60"/>
      <c r="K896" s="62"/>
      <c r="O896" s="60"/>
      <c r="P896" s="61"/>
      <c r="Q896" s="62"/>
      <c r="R896" s="61"/>
      <c r="S896" s="62"/>
      <c r="T896" s="61"/>
      <c r="U896" s="62"/>
      <c r="V896" s="61"/>
      <c r="W896" s="62"/>
      <c r="X896" s="61"/>
      <c r="Y896" s="62"/>
      <c r="Z896" s="61"/>
      <c r="AA896" s="62"/>
    </row>
    <row r="897" spans="3:27" ht="16.5" customHeight="1">
      <c r="C897" s="118"/>
      <c r="E897" s="61"/>
      <c r="H897" s="61"/>
      <c r="I897" s="60"/>
      <c r="K897" s="62"/>
      <c r="O897" s="60"/>
      <c r="P897" s="61"/>
      <c r="Q897" s="62"/>
      <c r="R897" s="61"/>
      <c r="S897" s="62"/>
      <c r="T897" s="61"/>
      <c r="U897" s="62"/>
      <c r="V897" s="61"/>
      <c r="W897" s="62"/>
      <c r="X897" s="61"/>
      <c r="Y897" s="62"/>
      <c r="Z897" s="61"/>
      <c r="AA897" s="62"/>
    </row>
    <row r="898" spans="3:27" ht="16.5" customHeight="1">
      <c r="C898" s="118"/>
      <c r="E898" s="61"/>
      <c r="H898" s="61"/>
      <c r="I898" s="60"/>
      <c r="K898" s="62"/>
      <c r="O898" s="60"/>
      <c r="P898" s="61"/>
      <c r="Q898" s="62"/>
      <c r="R898" s="61"/>
      <c r="S898" s="62"/>
      <c r="T898" s="61"/>
      <c r="U898" s="62"/>
      <c r="V898" s="61"/>
      <c r="W898" s="62"/>
      <c r="X898" s="61"/>
      <c r="Y898" s="62"/>
      <c r="Z898" s="61"/>
      <c r="AA898" s="62"/>
    </row>
    <row r="899" spans="3:27" ht="16.5" customHeight="1">
      <c r="C899" s="118"/>
      <c r="E899" s="61"/>
      <c r="H899" s="61"/>
      <c r="I899" s="60"/>
      <c r="K899" s="62"/>
      <c r="O899" s="60"/>
      <c r="P899" s="61"/>
      <c r="Q899" s="62"/>
      <c r="R899" s="61"/>
      <c r="S899" s="62"/>
      <c r="T899" s="61"/>
      <c r="U899" s="62"/>
      <c r="V899" s="61"/>
      <c r="W899" s="62"/>
      <c r="X899" s="61"/>
      <c r="Y899" s="62"/>
      <c r="Z899" s="61"/>
      <c r="AA899" s="62"/>
    </row>
    <row r="900" spans="3:27" ht="16.5" customHeight="1">
      <c r="C900" s="118"/>
      <c r="E900" s="61"/>
      <c r="H900" s="61"/>
      <c r="I900" s="60"/>
      <c r="K900" s="62"/>
      <c r="O900" s="60"/>
      <c r="P900" s="61"/>
      <c r="Q900" s="62"/>
      <c r="R900" s="61"/>
      <c r="S900" s="62"/>
      <c r="T900" s="61"/>
      <c r="U900" s="62"/>
      <c r="V900" s="61"/>
      <c r="W900" s="62"/>
      <c r="X900" s="61"/>
      <c r="Y900" s="62"/>
      <c r="Z900" s="61"/>
      <c r="AA900" s="62"/>
    </row>
    <row r="901" spans="3:27" ht="16.5" customHeight="1">
      <c r="C901" s="118"/>
      <c r="E901" s="61"/>
      <c r="H901" s="61"/>
      <c r="I901" s="60"/>
      <c r="K901" s="62"/>
      <c r="O901" s="60"/>
      <c r="P901" s="61"/>
      <c r="Q901" s="62"/>
      <c r="R901" s="61"/>
      <c r="S901" s="62"/>
      <c r="T901" s="61"/>
      <c r="U901" s="62"/>
      <c r="V901" s="61"/>
      <c r="W901" s="62"/>
      <c r="X901" s="61"/>
      <c r="Y901" s="62"/>
      <c r="Z901" s="61"/>
      <c r="AA901" s="62"/>
    </row>
    <row r="902" spans="3:27" ht="16.5" customHeight="1">
      <c r="C902" s="118"/>
      <c r="E902" s="61"/>
      <c r="H902" s="61"/>
      <c r="I902" s="60"/>
      <c r="K902" s="62"/>
      <c r="O902" s="60"/>
      <c r="P902" s="61"/>
      <c r="Q902" s="62"/>
      <c r="R902" s="61"/>
      <c r="S902" s="62"/>
      <c r="T902" s="61"/>
      <c r="U902" s="62"/>
      <c r="V902" s="61"/>
      <c r="W902" s="62"/>
      <c r="X902" s="61"/>
      <c r="Y902" s="62"/>
      <c r="Z902" s="61"/>
      <c r="AA902" s="62"/>
    </row>
    <row r="903" spans="3:27" ht="16.5" customHeight="1">
      <c r="C903" s="118"/>
      <c r="E903" s="61"/>
      <c r="H903" s="61"/>
      <c r="I903" s="60"/>
      <c r="K903" s="62"/>
      <c r="O903" s="60"/>
      <c r="P903" s="61"/>
      <c r="Q903" s="62"/>
      <c r="R903" s="61"/>
      <c r="S903" s="62"/>
      <c r="T903" s="61"/>
      <c r="U903" s="62"/>
      <c r="V903" s="61"/>
      <c r="W903" s="62"/>
      <c r="X903" s="61"/>
      <c r="Y903" s="62"/>
      <c r="Z903" s="61"/>
      <c r="AA903" s="62"/>
    </row>
    <row r="904" spans="3:27" ht="16.5" customHeight="1">
      <c r="C904" s="118"/>
      <c r="E904" s="61"/>
      <c r="H904" s="61"/>
      <c r="I904" s="60"/>
      <c r="K904" s="62"/>
      <c r="O904" s="60"/>
      <c r="P904" s="61"/>
      <c r="Q904" s="62"/>
      <c r="R904" s="61"/>
      <c r="S904" s="62"/>
      <c r="T904" s="61"/>
      <c r="U904" s="62"/>
      <c r="V904" s="61"/>
      <c r="W904" s="62"/>
      <c r="X904" s="61"/>
      <c r="Y904" s="62"/>
      <c r="Z904" s="61"/>
      <c r="AA904" s="62"/>
    </row>
    <row r="905" spans="3:27" ht="16.5" customHeight="1">
      <c r="C905" s="118"/>
      <c r="E905" s="61"/>
      <c r="H905" s="61"/>
      <c r="I905" s="60"/>
      <c r="K905" s="62"/>
      <c r="O905" s="60"/>
      <c r="P905" s="61"/>
      <c r="Q905" s="62"/>
      <c r="R905" s="61"/>
      <c r="S905" s="62"/>
      <c r="T905" s="61"/>
      <c r="U905" s="62"/>
      <c r="V905" s="61"/>
      <c r="W905" s="62"/>
      <c r="X905" s="61"/>
      <c r="Y905" s="62"/>
      <c r="Z905" s="61"/>
      <c r="AA905" s="62"/>
    </row>
    <row r="906" spans="3:27" ht="16.5" customHeight="1">
      <c r="C906" s="118"/>
      <c r="E906" s="61"/>
      <c r="H906" s="61"/>
      <c r="I906" s="60"/>
      <c r="K906" s="62"/>
      <c r="O906" s="60"/>
      <c r="P906" s="61"/>
      <c r="Q906" s="62"/>
      <c r="R906" s="61"/>
      <c r="S906" s="62"/>
      <c r="T906" s="61"/>
      <c r="U906" s="62"/>
      <c r="V906" s="61"/>
      <c r="W906" s="62"/>
      <c r="X906" s="61"/>
      <c r="Y906" s="62"/>
      <c r="Z906" s="61"/>
      <c r="AA906" s="62"/>
    </row>
    <row r="907" spans="3:27" ht="16.5" customHeight="1">
      <c r="C907" s="118"/>
      <c r="E907" s="61"/>
      <c r="H907" s="61"/>
      <c r="I907" s="60"/>
      <c r="K907" s="62"/>
      <c r="O907" s="60"/>
      <c r="P907" s="61"/>
      <c r="Q907" s="62"/>
      <c r="R907" s="61"/>
      <c r="S907" s="62"/>
      <c r="T907" s="61"/>
      <c r="U907" s="62"/>
      <c r="V907" s="61"/>
      <c r="W907" s="62"/>
      <c r="X907" s="61"/>
      <c r="Y907" s="62"/>
      <c r="Z907" s="61"/>
      <c r="AA907" s="62"/>
    </row>
    <row r="908" spans="3:27" ht="16.5" customHeight="1">
      <c r="C908" s="118"/>
      <c r="E908" s="61"/>
      <c r="H908" s="61"/>
      <c r="I908" s="60"/>
      <c r="K908" s="62"/>
      <c r="O908" s="60"/>
      <c r="P908" s="61"/>
      <c r="Q908" s="62"/>
      <c r="R908" s="61"/>
      <c r="S908" s="62"/>
      <c r="T908" s="61"/>
      <c r="U908" s="62"/>
      <c r="V908" s="61"/>
      <c r="W908" s="62"/>
      <c r="X908" s="61"/>
      <c r="Y908" s="62"/>
      <c r="Z908" s="61"/>
      <c r="AA908" s="62"/>
    </row>
    <row r="909" spans="3:27" ht="16.5" customHeight="1">
      <c r="C909" s="118"/>
      <c r="E909" s="61"/>
      <c r="H909" s="61"/>
      <c r="I909" s="60"/>
      <c r="K909" s="62"/>
      <c r="O909" s="60"/>
      <c r="P909" s="61"/>
      <c r="Q909" s="62"/>
      <c r="R909" s="61"/>
      <c r="S909" s="62"/>
      <c r="T909" s="61"/>
      <c r="U909" s="62"/>
      <c r="V909" s="61"/>
      <c r="W909" s="62"/>
      <c r="X909" s="61"/>
      <c r="Y909" s="62"/>
      <c r="Z909" s="61"/>
      <c r="AA909" s="62"/>
    </row>
    <row r="910" spans="3:27" ht="16.5" customHeight="1">
      <c r="C910" s="118"/>
      <c r="E910" s="61"/>
      <c r="H910" s="61"/>
      <c r="I910" s="60"/>
      <c r="K910" s="62"/>
      <c r="O910" s="60"/>
      <c r="P910" s="61"/>
      <c r="Q910" s="62"/>
      <c r="R910" s="61"/>
      <c r="S910" s="62"/>
      <c r="T910" s="61"/>
      <c r="U910" s="62"/>
      <c r="V910" s="61"/>
      <c r="W910" s="62"/>
      <c r="X910" s="61"/>
      <c r="Y910" s="62"/>
      <c r="Z910" s="61"/>
      <c r="AA910" s="62"/>
    </row>
    <row r="911" spans="3:27" ht="16.5" customHeight="1">
      <c r="C911" s="118"/>
      <c r="E911" s="61"/>
      <c r="H911" s="61"/>
      <c r="I911" s="60"/>
      <c r="K911" s="62"/>
      <c r="O911" s="60"/>
      <c r="P911" s="61"/>
      <c r="Q911" s="62"/>
      <c r="R911" s="61"/>
      <c r="S911" s="62"/>
      <c r="T911" s="61"/>
      <c r="U911" s="62"/>
      <c r="V911" s="61"/>
      <c r="W911" s="62"/>
      <c r="X911" s="61"/>
      <c r="Y911" s="62"/>
      <c r="Z911" s="61"/>
      <c r="AA911" s="62"/>
    </row>
    <row r="912" spans="3:27" ht="16.5" customHeight="1">
      <c r="C912" s="118"/>
      <c r="E912" s="61"/>
      <c r="H912" s="61"/>
      <c r="I912" s="60"/>
      <c r="K912" s="62"/>
      <c r="O912" s="60"/>
      <c r="P912" s="61"/>
      <c r="Q912" s="62"/>
      <c r="R912" s="61"/>
      <c r="S912" s="62"/>
      <c r="T912" s="61"/>
      <c r="U912" s="62"/>
      <c r="V912" s="61"/>
      <c r="W912" s="62"/>
      <c r="X912" s="61"/>
      <c r="Y912" s="62"/>
      <c r="Z912" s="61"/>
      <c r="AA912" s="62"/>
    </row>
    <row r="913" spans="3:27" ht="16.5" customHeight="1">
      <c r="C913" s="118"/>
      <c r="E913" s="61"/>
      <c r="H913" s="61"/>
      <c r="I913" s="60"/>
      <c r="K913" s="62"/>
      <c r="O913" s="60"/>
      <c r="P913" s="61"/>
      <c r="Q913" s="62"/>
      <c r="R913" s="61"/>
      <c r="S913" s="62"/>
      <c r="T913" s="61"/>
      <c r="U913" s="62"/>
      <c r="V913" s="61"/>
      <c r="W913" s="62"/>
      <c r="X913" s="61"/>
      <c r="Y913" s="62"/>
      <c r="Z913" s="61"/>
      <c r="AA913" s="62"/>
    </row>
    <row r="914" spans="3:27" ht="16.5" customHeight="1">
      <c r="C914" s="118"/>
      <c r="E914" s="61"/>
      <c r="H914" s="61"/>
      <c r="I914" s="60"/>
      <c r="K914" s="62"/>
      <c r="O914" s="60"/>
      <c r="P914" s="61"/>
      <c r="Q914" s="62"/>
      <c r="R914" s="61"/>
      <c r="S914" s="62"/>
      <c r="T914" s="61"/>
      <c r="U914" s="62"/>
      <c r="V914" s="61"/>
      <c r="W914" s="62"/>
      <c r="X914" s="61"/>
      <c r="Y914" s="62"/>
      <c r="Z914" s="61"/>
      <c r="AA914" s="62"/>
    </row>
    <row r="915" spans="3:27" ht="16.5" customHeight="1">
      <c r="C915" s="118"/>
      <c r="E915" s="61"/>
      <c r="H915" s="61"/>
      <c r="I915" s="60"/>
      <c r="K915" s="62"/>
      <c r="O915" s="60"/>
      <c r="P915" s="61"/>
      <c r="Q915" s="62"/>
      <c r="R915" s="61"/>
      <c r="S915" s="62"/>
      <c r="T915" s="61"/>
      <c r="U915" s="62"/>
      <c r="V915" s="61"/>
      <c r="W915" s="62"/>
      <c r="X915" s="61"/>
      <c r="Y915" s="62"/>
      <c r="Z915" s="61"/>
      <c r="AA915" s="62"/>
    </row>
    <row r="916" spans="3:27" ht="16.5" customHeight="1">
      <c r="C916" s="118"/>
      <c r="E916" s="61"/>
      <c r="H916" s="61"/>
      <c r="I916" s="60"/>
      <c r="K916" s="62"/>
      <c r="O916" s="60"/>
      <c r="P916" s="61"/>
      <c r="Q916" s="62"/>
      <c r="R916" s="61"/>
      <c r="S916" s="62"/>
      <c r="T916" s="61"/>
      <c r="U916" s="62"/>
      <c r="V916" s="61"/>
      <c r="W916" s="62"/>
      <c r="X916" s="61"/>
      <c r="Y916" s="62"/>
      <c r="Z916" s="61"/>
      <c r="AA916" s="62"/>
    </row>
    <row r="917" spans="3:27" ht="16.5" customHeight="1">
      <c r="C917" s="118"/>
      <c r="E917" s="61"/>
      <c r="H917" s="61"/>
      <c r="I917" s="60"/>
      <c r="K917" s="62"/>
      <c r="O917" s="60"/>
      <c r="P917" s="61"/>
      <c r="Q917" s="62"/>
      <c r="R917" s="61"/>
      <c r="S917" s="62"/>
      <c r="T917" s="61"/>
      <c r="U917" s="62"/>
      <c r="V917" s="61"/>
      <c r="W917" s="62"/>
      <c r="X917" s="61"/>
      <c r="Y917" s="62"/>
      <c r="Z917" s="61"/>
      <c r="AA917" s="62"/>
    </row>
    <row r="918" spans="3:27" ht="16.5" customHeight="1">
      <c r="C918" s="118"/>
      <c r="E918" s="61"/>
      <c r="H918" s="61"/>
      <c r="I918" s="60"/>
      <c r="K918" s="62"/>
      <c r="O918" s="60"/>
      <c r="P918" s="61"/>
      <c r="Q918" s="62"/>
      <c r="R918" s="61"/>
      <c r="S918" s="62"/>
      <c r="T918" s="61"/>
      <c r="U918" s="62"/>
      <c r="V918" s="61"/>
      <c r="W918" s="62"/>
      <c r="X918" s="61"/>
      <c r="Y918" s="62"/>
      <c r="Z918" s="61"/>
      <c r="AA918" s="62"/>
    </row>
    <row r="919" spans="3:27" ht="16.5" customHeight="1">
      <c r="C919" s="118"/>
      <c r="E919" s="61"/>
      <c r="H919" s="61"/>
      <c r="I919" s="60"/>
      <c r="K919" s="62"/>
      <c r="O919" s="60"/>
      <c r="P919" s="61"/>
      <c r="Q919" s="62"/>
      <c r="R919" s="61"/>
      <c r="S919" s="62"/>
      <c r="T919" s="61"/>
      <c r="U919" s="62"/>
      <c r="V919" s="61"/>
      <c r="W919" s="62"/>
      <c r="X919" s="61"/>
      <c r="Y919" s="62"/>
      <c r="Z919" s="61"/>
      <c r="AA919" s="62"/>
    </row>
    <row r="920" spans="3:27" ht="16.5" customHeight="1">
      <c r="C920" s="118"/>
      <c r="E920" s="61"/>
      <c r="H920" s="61"/>
      <c r="I920" s="60"/>
      <c r="K920" s="62"/>
      <c r="O920" s="60"/>
      <c r="P920" s="61"/>
      <c r="Q920" s="62"/>
      <c r="R920" s="61"/>
      <c r="S920" s="62"/>
      <c r="T920" s="61"/>
      <c r="U920" s="62"/>
      <c r="V920" s="61"/>
      <c r="W920" s="62"/>
      <c r="X920" s="61"/>
      <c r="Y920" s="62"/>
      <c r="Z920" s="61"/>
      <c r="AA920" s="62"/>
    </row>
    <row r="921" spans="3:27" ht="16.5" customHeight="1">
      <c r="C921" s="118"/>
      <c r="E921" s="61"/>
      <c r="H921" s="61"/>
      <c r="I921" s="60"/>
      <c r="K921" s="62"/>
      <c r="O921" s="60"/>
      <c r="P921" s="61"/>
      <c r="Q921" s="62"/>
      <c r="R921" s="61"/>
      <c r="S921" s="62"/>
      <c r="T921" s="61"/>
      <c r="U921" s="62"/>
      <c r="V921" s="61"/>
      <c r="W921" s="62"/>
      <c r="X921" s="61"/>
      <c r="Y921" s="62"/>
      <c r="Z921" s="61"/>
      <c r="AA921" s="62"/>
    </row>
    <row r="922" spans="3:27" ht="16.5" customHeight="1">
      <c r="C922" s="118"/>
      <c r="E922" s="61"/>
      <c r="H922" s="61"/>
      <c r="I922" s="60"/>
      <c r="K922" s="62"/>
      <c r="O922" s="60"/>
      <c r="P922" s="61"/>
      <c r="Q922" s="62"/>
      <c r="R922" s="61"/>
      <c r="S922" s="62"/>
      <c r="T922" s="61"/>
      <c r="U922" s="62"/>
      <c r="V922" s="61"/>
      <c r="W922" s="62"/>
      <c r="X922" s="61"/>
      <c r="Y922" s="62"/>
      <c r="Z922" s="61"/>
      <c r="AA922" s="62"/>
    </row>
    <row r="923" spans="3:27" ht="16.5" customHeight="1">
      <c r="C923" s="118"/>
      <c r="E923" s="61"/>
      <c r="H923" s="61"/>
      <c r="I923" s="60"/>
      <c r="K923" s="62"/>
      <c r="O923" s="60"/>
      <c r="P923" s="61"/>
      <c r="Q923" s="62"/>
      <c r="R923" s="61"/>
      <c r="S923" s="62"/>
      <c r="T923" s="61"/>
      <c r="U923" s="62"/>
      <c r="V923" s="61"/>
      <c r="W923" s="62"/>
      <c r="X923" s="61"/>
      <c r="Y923" s="62"/>
      <c r="Z923" s="61"/>
      <c r="AA923" s="62"/>
    </row>
    <row r="924" spans="3:27" ht="16.5" customHeight="1">
      <c r="C924" s="118"/>
      <c r="E924" s="61"/>
      <c r="H924" s="61"/>
      <c r="I924" s="60"/>
      <c r="K924" s="62"/>
      <c r="O924" s="60"/>
      <c r="P924" s="61"/>
      <c r="Q924" s="62"/>
      <c r="R924" s="61"/>
      <c r="S924" s="62"/>
      <c r="T924" s="61"/>
      <c r="U924" s="62"/>
      <c r="V924" s="61"/>
      <c r="W924" s="62"/>
      <c r="X924" s="61"/>
      <c r="Y924" s="62"/>
      <c r="Z924" s="61"/>
      <c r="AA924" s="62"/>
    </row>
    <row r="925" spans="3:27" ht="16.5" customHeight="1">
      <c r="C925" s="118"/>
      <c r="E925" s="61"/>
      <c r="H925" s="61"/>
      <c r="I925" s="60"/>
      <c r="K925" s="62"/>
      <c r="O925" s="60"/>
      <c r="P925" s="61"/>
      <c r="Q925" s="62"/>
      <c r="R925" s="61"/>
      <c r="S925" s="62"/>
      <c r="T925" s="61"/>
      <c r="U925" s="62"/>
      <c r="V925" s="61"/>
      <c r="W925" s="62"/>
      <c r="X925" s="61"/>
      <c r="Y925" s="62"/>
      <c r="Z925" s="61"/>
      <c r="AA925" s="62"/>
    </row>
    <row r="926" spans="3:27" ht="16.5" customHeight="1">
      <c r="C926" s="118"/>
      <c r="E926" s="61"/>
      <c r="H926" s="61"/>
      <c r="I926" s="60"/>
      <c r="K926" s="62"/>
      <c r="O926" s="60"/>
      <c r="P926" s="61"/>
      <c r="Q926" s="62"/>
      <c r="R926" s="61"/>
      <c r="S926" s="62"/>
      <c r="T926" s="61"/>
      <c r="U926" s="62"/>
      <c r="V926" s="61"/>
      <c r="W926" s="62"/>
      <c r="X926" s="61"/>
      <c r="Y926" s="62"/>
      <c r="Z926" s="61"/>
      <c r="AA926" s="62"/>
    </row>
    <row r="927" spans="3:27" ht="16.5" customHeight="1">
      <c r="C927" s="118"/>
      <c r="E927" s="61"/>
      <c r="H927" s="61"/>
      <c r="I927" s="60"/>
      <c r="K927" s="62"/>
      <c r="O927" s="60"/>
      <c r="P927" s="61"/>
      <c r="Q927" s="62"/>
      <c r="R927" s="61"/>
      <c r="S927" s="62"/>
      <c r="T927" s="61"/>
      <c r="U927" s="62"/>
      <c r="V927" s="61"/>
      <c r="W927" s="62"/>
      <c r="X927" s="61"/>
      <c r="Y927" s="62"/>
      <c r="Z927" s="61"/>
      <c r="AA927" s="62"/>
    </row>
    <row r="928" spans="3:27" ht="16.5" customHeight="1">
      <c r="C928" s="118"/>
      <c r="E928" s="61"/>
      <c r="H928" s="61"/>
      <c r="I928" s="60"/>
      <c r="K928" s="62"/>
      <c r="O928" s="60"/>
      <c r="P928" s="61"/>
      <c r="Q928" s="62"/>
      <c r="R928" s="61"/>
      <c r="S928" s="62"/>
      <c r="T928" s="61"/>
      <c r="U928" s="62"/>
      <c r="V928" s="61"/>
      <c r="W928" s="62"/>
      <c r="X928" s="61"/>
      <c r="Y928" s="62"/>
      <c r="Z928" s="61"/>
      <c r="AA928" s="62"/>
    </row>
    <row r="929" spans="3:27" ht="16.5" customHeight="1">
      <c r="C929" s="118"/>
      <c r="E929" s="61"/>
      <c r="H929" s="61"/>
      <c r="I929" s="60"/>
      <c r="K929" s="62"/>
      <c r="O929" s="60"/>
      <c r="P929" s="61"/>
      <c r="Q929" s="62"/>
      <c r="R929" s="61"/>
      <c r="S929" s="62"/>
      <c r="T929" s="61"/>
      <c r="U929" s="62"/>
      <c r="V929" s="61"/>
      <c r="W929" s="62"/>
      <c r="X929" s="61"/>
      <c r="Y929" s="62"/>
      <c r="Z929" s="61"/>
      <c r="AA929" s="62"/>
    </row>
    <row r="930" spans="3:27" ht="16.5" customHeight="1">
      <c r="C930" s="118"/>
      <c r="E930" s="61"/>
      <c r="H930" s="61"/>
      <c r="I930" s="60"/>
      <c r="K930" s="62"/>
      <c r="O930" s="60"/>
      <c r="P930" s="61"/>
      <c r="Q930" s="62"/>
      <c r="R930" s="61"/>
      <c r="S930" s="62"/>
      <c r="T930" s="61"/>
      <c r="U930" s="62"/>
      <c r="V930" s="61"/>
      <c r="W930" s="62"/>
      <c r="X930" s="61"/>
      <c r="Y930" s="62"/>
      <c r="Z930" s="61"/>
      <c r="AA930" s="62"/>
    </row>
    <row r="931" spans="3:27" ht="16.5" customHeight="1">
      <c r="C931" s="118"/>
      <c r="E931" s="61"/>
      <c r="H931" s="61"/>
      <c r="I931" s="60"/>
      <c r="K931" s="62"/>
      <c r="O931" s="60"/>
      <c r="P931" s="61"/>
      <c r="Q931" s="62"/>
      <c r="R931" s="61"/>
      <c r="S931" s="62"/>
      <c r="T931" s="61"/>
      <c r="U931" s="62"/>
      <c r="V931" s="61"/>
      <c r="W931" s="62"/>
      <c r="X931" s="61"/>
      <c r="Y931" s="62"/>
      <c r="Z931" s="61"/>
      <c r="AA931" s="62"/>
    </row>
    <row r="932" spans="3:27" ht="16.5" customHeight="1">
      <c r="C932" s="118"/>
      <c r="E932" s="61"/>
      <c r="H932" s="61"/>
      <c r="I932" s="60"/>
      <c r="K932" s="62"/>
      <c r="O932" s="60"/>
      <c r="P932" s="61"/>
      <c r="Q932" s="62"/>
      <c r="R932" s="61"/>
      <c r="S932" s="62"/>
      <c r="T932" s="61"/>
      <c r="U932" s="62"/>
      <c r="V932" s="61"/>
      <c r="W932" s="62"/>
      <c r="X932" s="61"/>
      <c r="Y932" s="62"/>
      <c r="Z932" s="61"/>
      <c r="AA932" s="62"/>
    </row>
    <row r="933" spans="3:27" ht="16.5" customHeight="1">
      <c r="C933" s="118"/>
      <c r="E933" s="61"/>
      <c r="H933" s="61"/>
      <c r="I933" s="60"/>
      <c r="K933" s="62"/>
      <c r="O933" s="60"/>
      <c r="P933" s="61"/>
      <c r="Q933" s="62"/>
      <c r="R933" s="61"/>
      <c r="S933" s="62"/>
      <c r="T933" s="61"/>
      <c r="U933" s="62"/>
      <c r="V933" s="61"/>
      <c r="W933" s="62"/>
      <c r="X933" s="61"/>
      <c r="Y933" s="62"/>
      <c r="Z933" s="61"/>
      <c r="AA933" s="62"/>
    </row>
    <row r="934" spans="3:27" ht="16.5" customHeight="1">
      <c r="C934" s="118"/>
      <c r="E934" s="61"/>
      <c r="H934" s="61"/>
      <c r="I934" s="60"/>
      <c r="K934" s="62"/>
      <c r="O934" s="60"/>
      <c r="P934" s="61"/>
      <c r="Q934" s="62"/>
      <c r="R934" s="61"/>
      <c r="S934" s="62"/>
      <c r="T934" s="61"/>
      <c r="U934" s="62"/>
      <c r="V934" s="61"/>
      <c r="W934" s="62"/>
      <c r="X934" s="61"/>
      <c r="Y934" s="62"/>
      <c r="Z934" s="61"/>
      <c r="AA934" s="62"/>
    </row>
    <row r="935" spans="3:27" ht="16.5" customHeight="1">
      <c r="C935" s="118"/>
      <c r="E935" s="61"/>
      <c r="H935" s="61"/>
      <c r="I935" s="60"/>
      <c r="K935" s="62"/>
      <c r="O935" s="60"/>
      <c r="P935" s="61"/>
      <c r="Q935" s="62"/>
      <c r="R935" s="61"/>
      <c r="S935" s="62"/>
      <c r="T935" s="61"/>
      <c r="U935" s="62"/>
      <c r="V935" s="61"/>
      <c r="W935" s="62"/>
      <c r="X935" s="61"/>
      <c r="Y935" s="62"/>
      <c r="Z935" s="61"/>
      <c r="AA935" s="62"/>
    </row>
    <row r="936" spans="3:27" ht="16.5" customHeight="1">
      <c r="C936" s="118"/>
      <c r="E936" s="61"/>
      <c r="H936" s="61"/>
      <c r="I936" s="60"/>
      <c r="K936" s="62"/>
      <c r="O936" s="60"/>
      <c r="P936" s="61"/>
      <c r="Q936" s="62"/>
      <c r="R936" s="61"/>
      <c r="S936" s="62"/>
      <c r="T936" s="61"/>
      <c r="U936" s="62"/>
      <c r="V936" s="61"/>
      <c r="W936" s="62"/>
      <c r="X936" s="61"/>
      <c r="Y936" s="62"/>
      <c r="Z936" s="61"/>
      <c r="AA936" s="62"/>
    </row>
    <row r="937" spans="3:27" ht="16.5" customHeight="1">
      <c r="C937" s="118"/>
      <c r="E937" s="61"/>
      <c r="H937" s="61"/>
      <c r="I937" s="60"/>
      <c r="K937" s="62"/>
      <c r="O937" s="60"/>
      <c r="P937" s="61"/>
      <c r="Q937" s="62"/>
      <c r="R937" s="61"/>
      <c r="S937" s="62"/>
      <c r="T937" s="61"/>
      <c r="U937" s="62"/>
      <c r="V937" s="61"/>
      <c r="W937" s="62"/>
      <c r="X937" s="61"/>
      <c r="Y937" s="62"/>
      <c r="Z937" s="61"/>
      <c r="AA937" s="62"/>
    </row>
    <row r="938" spans="3:27" ht="16.5" customHeight="1">
      <c r="C938" s="118"/>
      <c r="E938" s="61"/>
      <c r="H938" s="61"/>
      <c r="I938" s="60"/>
      <c r="K938" s="62"/>
      <c r="O938" s="60"/>
      <c r="P938" s="61"/>
      <c r="Q938" s="62"/>
      <c r="R938" s="61"/>
      <c r="S938" s="62"/>
      <c r="T938" s="61"/>
      <c r="U938" s="62"/>
      <c r="V938" s="61"/>
      <c r="W938" s="62"/>
      <c r="X938" s="61"/>
      <c r="Y938" s="62"/>
      <c r="Z938" s="61"/>
      <c r="AA938" s="62"/>
    </row>
    <row r="939" spans="3:27" ht="16.5" customHeight="1">
      <c r="C939" s="118"/>
      <c r="E939" s="61"/>
      <c r="H939" s="61"/>
      <c r="I939" s="60"/>
      <c r="K939" s="62"/>
      <c r="O939" s="60"/>
      <c r="P939" s="61"/>
      <c r="Q939" s="62"/>
      <c r="R939" s="61"/>
      <c r="S939" s="62"/>
      <c r="T939" s="61"/>
      <c r="U939" s="62"/>
      <c r="V939" s="61"/>
      <c r="W939" s="62"/>
      <c r="X939" s="61"/>
      <c r="Y939" s="62"/>
      <c r="Z939" s="61"/>
      <c r="AA939" s="62"/>
    </row>
    <row r="940" spans="3:27" ht="16.5" customHeight="1">
      <c r="C940" s="118"/>
      <c r="E940" s="61"/>
      <c r="H940" s="61"/>
      <c r="I940" s="60"/>
      <c r="K940" s="62"/>
      <c r="O940" s="60"/>
      <c r="P940" s="61"/>
      <c r="Q940" s="62"/>
      <c r="R940" s="61"/>
      <c r="S940" s="62"/>
      <c r="T940" s="61"/>
      <c r="U940" s="62"/>
      <c r="V940" s="61"/>
      <c r="W940" s="62"/>
      <c r="X940" s="61"/>
      <c r="Y940" s="62"/>
      <c r="Z940" s="61"/>
      <c r="AA940" s="62"/>
    </row>
    <row r="941" spans="3:27" ht="16.5" customHeight="1">
      <c r="C941" s="118"/>
      <c r="E941" s="61"/>
      <c r="H941" s="61"/>
      <c r="I941" s="60"/>
      <c r="K941" s="62"/>
      <c r="O941" s="60"/>
      <c r="P941" s="61"/>
      <c r="Q941" s="62"/>
      <c r="R941" s="61"/>
      <c r="S941" s="62"/>
      <c r="T941" s="61"/>
      <c r="U941" s="62"/>
      <c r="V941" s="61"/>
      <c r="W941" s="62"/>
      <c r="X941" s="61"/>
      <c r="Y941" s="62"/>
      <c r="Z941" s="61"/>
      <c r="AA941" s="62"/>
    </row>
    <row r="942" spans="3:27" ht="16.5" customHeight="1">
      <c r="C942" s="118"/>
      <c r="E942" s="61"/>
      <c r="H942" s="61"/>
      <c r="I942" s="60"/>
      <c r="K942" s="62"/>
      <c r="O942" s="60"/>
      <c r="P942" s="61"/>
      <c r="Q942" s="62"/>
      <c r="R942" s="61"/>
      <c r="S942" s="62"/>
      <c r="T942" s="61"/>
      <c r="U942" s="62"/>
      <c r="V942" s="61"/>
      <c r="W942" s="62"/>
      <c r="X942" s="61"/>
      <c r="Y942" s="62"/>
      <c r="Z942" s="61"/>
      <c r="AA942" s="62"/>
    </row>
    <row r="943" spans="3:27" ht="16.5" customHeight="1">
      <c r="C943" s="118"/>
      <c r="E943" s="61"/>
      <c r="H943" s="61"/>
      <c r="I943" s="60"/>
      <c r="K943" s="62"/>
      <c r="O943" s="60"/>
      <c r="P943" s="61"/>
      <c r="Q943" s="62"/>
      <c r="R943" s="61"/>
      <c r="S943" s="62"/>
      <c r="T943" s="61"/>
      <c r="U943" s="62"/>
      <c r="V943" s="61"/>
      <c r="W943" s="62"/>
      <c r="X943" s="61"/>
      <c r="Y943" s="62"/>
      <c r="Z943" s="61"/>
      <c r="AA943" s="62"/>
    </row>
    <row r="944" spans="3:27" ht="16.5" customHeight="1">
      <c r="C944" s="118"/>
      <c r="E944" s="61"/>
      <c r="H944" s="61"/>
      <c r="I944" s="60"/>
      <c r="K944" s="62"/>
      <c r="O944" s="60"/>
      <c r="P944" s="61"/>
      <c r="Q944" s="62"/>
      <c r="R944" s="61"/>
      <c r="S944" s="62"/>
      <c r="T944" s="61"/>
      <c r="U944" s="62"/>
      <c r="V944" s="61"/>
      <c r="W944" s="62"/>
      <c r="X944" s="61"/>
      <c r="Y944" s="62"/>
      <c r="Z944" s="61"/>
      <c r="AA944" s="62"/>
    </row>
    <row r="945" spans="3:27" ht="16.5" customHeight="1">
      <c r="C945" s="118"/>
      <c r="E945" s="61"/>
      <c r="H945" s="61"/>
      <c r="I945" s="60"/>
      <c r="K945" s="62"/>
      <c r="O945" s="60"/>
      <c r="P945" s="61"/>
      <c r="Q945" s="62"/>
      <c r="R945" s="61"/>
      <c r="S945" s="62"/>
      <c r="T945" s="61"/>
      <c r="U945" s="62"/>
      <c r="V945" s="61"/>
      <c r="W945" s="62"/>
      <c r="X945" s="61"/>
      <c r="Y945" s="62"/>
      <c r="Z945" s="61"/>
      <c r="AA945" s="62"/>
    </row>
    <row r="946" spans="3:27" ht="16.5" customHeight="1">
      <c r="C946" s="118"/>
      <c r="E946" s="61"/>
      <c r="H946" s="61"/>
      <c r="I946" s="60"/>
      <c r="K946" s="62"/>
      <c r="O946" s="60"/>
      <c r="P946" s="61"/>
      <c r="Q946" s="62"/>
      <c r="R946" s="61"/>
      <c r="S946" s="62"/>
      <c r="T946" s="61"/>
      <c r="U946" s="62"/>
      <c r="V946" s="61"/>
      <c r="W946" s="62"/>
      <c r="X946" s="61"/>
      <c r="Y946" s="62"/>
      <c r="Z946" s="61"/>
      <c r="AA946" s="62"/>
    </row>
    <row r="947" spans="3:27" ht="16.5" customHeight="1">
      <c r="C947" s="118"/>
      <c r="E947" s="61"/>
      <c r="H947" s="61"/>
      <c r="I947" s="60"/>
      <c r="K947" s="62"/>
      <c r="O947" s="60"/>
      <c r="P947" s="61"/>
      <c r="Q947" s="62"/>
      <c r="R947" s="61"/>
      <c r="S947" s="62"/>
      <c r="T947" s="61"/>
      <c r="U947" s="62"/>
      <c r="V947" s="61"/>
      <c r="W947" s="62"/>
      <c r="X947" s="61"/>
      <c r="Y947" s="62"/>
      <c r="Z947" s="61"/>
      <c r="AA947" s="62"/>
    </row>
    <row r="948" spans="3:27" ht="16.5" customHeight="1">
      <c r="C948" s="118"/>
      <c r="E948" s="61"/>
      <c r="H948" s="61"/>
      <c r="I948" s="60"/>
      <c r="K948" s="62"/>
      <c r="O948" s="60"/>
      <c r="P948" s="61"/>
      <c r="Q948" s="62"/>
      <c r="R948" s="61"/>
      <c r="S948" s="62"/>
      <c r="T948" s="61"/>
      <c r="U948" s="62"/>
      <c r="V948" s="61"/>
      <c r="W948" s="62"/>
      <c r="X948" s="61"/>
      <c r="Y948" s="62"/>
      <c r="Z948" s="61"/>
      <c r="AA948" s="62"/>
    </row>
    <row r="949" spans="3:27" ht="16.5" customHeight="1">
      <c r="C949" s="118"/>
      <c r="E949" s="61"/>
      <c r="H949" s="61"/>
      <c r="I949" s="60"/>
      <c r="K949" s="62"/>
      <c r="O949" s="60"/>
      <c r="P949" s="61"/>
      <c r="Q949" s="62"/>
      <c r="R949" s="61"/>
      <c r="S949" s="62"/>
      <c r="T949" s="61"/>
      <c r="U949" s="62"/>
      <c r="V949" s="61"/>
      <c r="W949" s="62"/>
      <c r="X949" s="61"/>
      <c r="Y949" s="62"/>
      <c r="Z949" s="61"/>
      <c r="AA949" s="62"/>
    </row>
    <row r="950" spans="3:27" ht="16.5" customHeight="1">
      <c r="C950" s="118"/>
      <c r="E950" s="61"/>
      <c r="H950" s="61"/>
      <c r="I950" s="60"/>
      <c r="K950" s="62"/>
      <c r="O950" s="60"/>
      <c r="P950" s="61"/>
      <c r="Q950" s="62"/>
      <c r="R950" s="61"/>
      <c r="S950" s="62"/>
      <c r="T950" s="61"/>
      <c r="U950" s="62"/>
      <c r="V950" s="61"/>
      <c r="W950" s="62"/>
      <c r="X950" s="61"/>
      <c r="Y950" s="62"/>
      <c r="Z950" s="61"/>
      <c r="AA950" s="62"/>
    </row>
    <row r="951" spans="3:27" ht="16.5" customHeight="1">
      <c r="C951" s="118"/>
      <c r="E951" s="61"/>
      <c r="H951" s="61"/>
      <c r="I951" s="60"/>
      <c r="K951" s="62"/>
      <c r="O951" s="60"/>
      <c r="P951" s="61"/>
      <c r="Q951" s="62"/>
      <c r="R951" s="61"/>
      <c r="S951" s="62"/>
      <c r="T951" s="61"/>
      <c r="U951" s="62"/>
      <c r="V951" s="61"/>
      <c r="W951" s="62"/>
      <c r="X951" s="61"/>
      <c r="Y951" s="62"/>
      <c r="Z951" s="61"/>
      <c r="AA951" s="62"/>
    </row>
    <row r="952" spans="3:27" ht="16.5" customHeight="1">
      <c r="C952" s="118"/>
      <c r="E952" s="61"/>
      <c r="H952" s="61"/>
      <c r="I952" s="60"/>
      <c r="K952" s="62"/>
      <c r="O952" s="60"/>
      <c r="P952" s="61"/>
      <c r="Q952" s="62"/>
      <c r="R952" s="61"/>
      <c r="S952" s="62"/>
      <c r="T952" s="61"/>
      <c r="U952" s="62"/>
      <c r="V952" s="61"/>
      <c r="W952" s="62"/>
      <c r="X952" s="61"/>
      <c r="Y952" s="62"/>
      <c r="Z952" s="61"/>
      <c r="AA952" s="62"/>
    </row>
    <row r="953" spans="3:27" ht="16.5" customHeight="1">
      <c r="C953" s="118"/>
      <c r="E953" s="61"/>
      <c r="H953" s="61"/>
      <c r="I953" s="60"/>
      <c r="K953" s="62"/>
      <c r="O953" s="60"/>
      <c r="P953" s="61"/>
      <c r="Q953" s="62"/>
      <c r="R953" s="61"/>
      <c r="S953" s="62"/>
      <c r="T953" s="61"/>
      <c r="U953" s="62"/>
      <c r="V953" s="61"/>
      <c r="W953" s="62"/>
      <c r="X953" s="61"/>
      <c r="Y953" s="62"/>
      <c r="Z953" s="61"/>
      <c r="AA953" s="62"/>
    </row>
    <row r="954" spans="3:27" ht="16.5" customHeight="1">
      <c r="C954" s="118"/>
      <c r="E954" s="61"/>
      <c r="H954" s="61"/>
      <c r="I954" s="60"/>
      <c r="K954" s="62"/>
      <c r="O954" s="60"/>
      <c r="P954" s="61"/>
      <c r="Q954" s="62"/>
      <c r="R954" s="61"/>
      <c r="S954" s="62"/>
      <c r="T954" s="61"/>
      <c r="U954" s="62"/>
      <c r="V954" s="61"/>
      <c r="W954" s="62"/>
      <c r="X954" s="61"/>
      <c r="Y954" s="62"/>
      <c r="Z954" s="61"/>
      <c r="AA954" s="62"/>
    </row>
    <row r="955" spans="3:27" ht="16.5" customHeight="1">
      <c r="C955" s="118"/>
      <c r="E955" s="61"/>
      <c r="H955" s="61"/>
      <c r="I955" s="60"/>
      <c r="K955" s="62"/>
      <c r="O955" s="60"/>
      <c r="P955" s="61"/>
      <c r="Q955" s="62"/>
      <c r="R955" s="61"/>
      <c r="S955" s="62"/>
      <c r="T955" s="61"/>
      <c r="U955" s="62"/>
      <c r="V955" s="61"/>
      <c r="W955" s="62"/>
      <c r="X955" s="61"/>
      <c r="Y955" s="62"/>
      <c r="Z955" s="61"/>
      <c r="AA955" s="62"/>
    </row>
    <row r="956" spans="3:27" ht="16.5" customHeight="1">
      <c r="C956" s="118"/>
      <c r="E956" s="61"/>
      <c r="H956" s="61"/>
      <c r="I956" s="60"/>
      <c r="K956" s="62"/>
      <c r="O956" s="60"/>
      <c r="P956" s="61"/>
      <c r="Q956" s="62"/>
      <c r="R956" s="61"/>
      <c r="S956" s="62"/>
      <c r="T956" s="61"/>
      <c r="U956" s="62"/>
      <c r="V956" s="61"/>
      <c r="W956" s="62"/>
      <c r="X956" s="61"/>
      <c r="Y956" s="62"/>
      <c r="Z956" s="61"/>
      <c r="AA956" s="62"/>
    </row>
    <row r="957" spans="3:27" ht="16.5" customHeight="1">
      <c r="C957" s="118"/>
      <c r="E957" s="61"/>
      <c r="H957" s="61"/>
      <c r="I957" s="60"/>
      <c r="K957" s="62"/>
      <c r="O957" s="60"/>
      <c r="P957" s="61"/>
      <c r="Q957" s="62"/>
      <c r="R957" s="61"/>
      <c r="S957" s="62"/>
      <c r="T957" s="61"/>
      <c r="U957" s="62"/>
      <c r="V957" s="61"/>
      <c r="W957" s="62"/>
      <c r="X957" s="61"/>
      <c r="Y957" s="62"/>
      <c r="Z957" s="61"/>
      <c r="AA957" s="62"/>
    </row>
    <row r="958" spans="3:27" ht="16.5" customHeight="1">
      <c r="C958" s="118"/>
      <c r="E958" s="61"/>
      <c r="H958" s="61"/>
      <c r="I958" s="60"/>
      <c r="K958" s="62"/>
      <c r="O958" s="60"/>
      <c r="P958" s="61"/>
      <c r="Q958" s="62"/>
      <c r="R958" s="61"/>
      <c r="S958" s="62"/>
      <c r="T958" s="61"/>
      <c r="U958" s="62"/>
      <c r="V958" s="61"/>
      <c r="W958" s="62"/>
      <c r="X958" s="61"/>
      <c r="Y958" s="62"/>
      <c r="Z958" s="61"/>
      <c r="AA958" s="62"/>
    </row>
    <row r="959" spans="3:27" ht="16.5" customHeight="1">
      <c r="C959" s="118"/>
      <c r="E959" s="61"/>
      <c r="H959" s="61"/>
      <c r="I959" s="60"/>
      <c r="K959" s="62"/>
      <c r="O959" s="60"/>
      <c r="P959" s="61"/>
      <c r="Q959" s="62"/>
      <c r="R959" s="61"/>
      <c r="S959" s="62"/>
      <c r="T959" s="61"/>
      <c r="U959" s="62"/>
      <c r="V959" s="61"/>
      <c r="W959" s="62"/>
      <c r="X959" s="61"/>
      <c r="Y959" s="62"/>
      <c r="Z959" s="61"/>
      <c r="AA959" s="62"/>
    </row>
    <row r="960" spans="3:27" ht="16.5" customHeight="1">
      <c r="C960" s="118"/>
      <c r="E960" s="61"/>
      <c r="H960" s="61"/>
      <c r="I960" s="60"/>
      <c r="K960" s="62"/>
      <c r="O960" s="60"/>
      <c r="P960" s="61"/>
      <c r="Q960" s="62"/>
      <c r="R960" s="61"/>
      <c r="S960" s="62"/>
      <c r="T960" s="61"/>
      <c r="U960" s="62"/>
      <c r="V960" s="61"/>
      <c r="W960" s="62"/>
      <c r="X960" s="61"/>
      <c r="Y960" s="62"/>
      <c r="Z960" s="61"/>
      <c r="AA960" s="62"/>
    </row>
    <row r="961" spans="3:27" ht="16.5" customHeight="1">
      <c r="C961" s="118"/>
      <c r="E961" s="61"/>
      <c r="H961" s="61"/>
      <c r="I961" s="60"/>
      <c r="K961" s="62"/>
      <c r="O961" s="60"/>
      <c r="P961" s="61"/>
      <c r="Q961" s="62"/>
      <c r="R961" s="61"/>
      <c r="S961" s="62"/>
      <c r="T961" s="61"/>
      <c r="U961" s="62"/>
      <c r="V961" s="61"/>
      <c r="W961" s="62"/>
      <c r="X961" s="61"/>
      <c r="Y961" s="62"/>
      <c r="Z961" s="61"/>
      <c r="AA961" s="62"/>
    </row>
    <row r="962" spans="3:27" ht="16.5" customHeight="1">
      <c r="C962" s="118"/>
      <c r="E962" s="61"/>
      <c r="H962" s="61"/>
      <c r="I962" s="60"/>
      <c r="K962" s="62"/>
      <c r="O962" s="60"/>
      <c r="P962" s="61"/>
      <c r="Q962" s="62"/>
      <c r="R962" s="61"/>
      <c r="S962" s="62"/>
      <c r="T962" s="61"/>
      <c r="U962" s="62"/>
      <c r="V962" s="61"/>
      <c r="W962" s="62"/>
      <c r="X962" s="61"/>
      <c r="Y962" s="62"/>
      <c r="Z962" s="61"/>
      <c r="AA962" s="62"/>
    </row>
    <row r="963" spans="3:27" ht="16.5" customHeight="1">
      <c r="C963" s="118"/>
      <c r="E963" s="61"/>
      <c r="H963" s="61"/>
      <c r="I963" s="60"/>
      <c r="K963" s="62"/>
      <c r="O963" s="60"/>
      <c r="P963" s="61"/>
      <c r="Q963" s="62"/>
      <c r="R963" s="61"/>
      <c r="S963" s="62"/>
      <c r="T963" s="61"/>
      <c r="U963" s="62"/>
      <c r="V963" s="61"/>
      <c r="W963" s="62"/>
      <c r="X963" s="61"/>
      <c r="Y963" s="62"/>
      <c r="Z963" s="61"/>
      <c r="AA963" s="62"/>
    </row>
    <row r="964" spans="3:27" ht="16.5" customHeight="1">
      <c r="C964" s="118"/>
      <c r="E964" s="61"/>
      <c r="H964" s="61"/>
      <c r="I964" s="60"/>
      <c r="K964" s="62"/>
      <c r="O964" s="60"/>
      <c r="P964" s="61"/>
      <c r="Q964" s="62"/>
      <c r="R964" s="61"/>
      <c r="S964" s="62"/>
      <c r="T964" s="61"/>
      <c r="U964" s="62"/>
      <c r="V964" s="61"/>
      <c r="W964" s="62"/>
      <c r="X964" s="61"/>
      <c r="Y964" s="62"/>
      <c r="Z964" s="61"/>
      <c r="AA964" s="62"/>
    </row>
    <row r="965" spans="3:27" ht="16.5" customHeight="1">
      <c r="C965" s="118"/>
      <c r="E965" s="61"/>
      <c r="H965" s="61"/>
      <c r="I965" s="60"/>
      <c r="K965" s="62"/>
      <c r="O965" s="60"/>
      <c r="P965" s="61"/>
      <c r="Q965" s="62"/>
      <c r="R965" s="61"/>
      <c r="S965" s="62"/>
      <c r="T965" s="61"/>
      <c r="U965" s="62"/>
      <c r="V965" s="61"/>
      <c r="W965" s="62"/>
      <c r="X965" s="61"/>
      <c r="Y965" s="62"/>
      <c r="Z965" s="61"/>
      <c r="AA965" s="62"/>
    </row>
    <row r="966" spans="3:27" ht="16.5" customHeight="1">
      <c r="C966" s="118"/>
      <c r="E966" s="61"/>
      <c r="H966" s="61"/>
      <c r="I966" s="60"/>
      <c r="K966" s="62"/>
      <c r="O966" s="60"/>
      <c r="P966" s="61"/>
      <c r="Q966" s="62"/>
      <c r="R966" s="61"/>
      <c r="S966" s="62"/>
      <c r="T966" s="61"/>
      <c r="U966" s="62"/>
      <c r="V966" s="61"/>
      <c r="W966" s="62"/>
      <c r="X966" s="61"/>
      <c r="Y966" s="62"/>
      <c r="Z966" s="61"/>
      <c r="AA966" s="62"/>
    </row>
    <row r="967" spans="3:27" ht="16.5" customHeight="1">
      <c r="C967" s="118"/>
      <c r="E967" s="61"/>
      <c r="H967" s="61"/>
      <c r="I967" s="60"/>
      <c r="K967" s="62"/>
      <c r="O967" s="60"/>
      <c r="P967" s="61"/>
      <c r="Q967" s="62"/>
      <c r="R967" s="61"/>
      <c r="S967" s="62"/>
      <c r="T967" s="61"/>
      <c r="U967" s="62"/>
      <c r="V967" s="61"/>
      <c r="W967" s="62"/>
      <c r="X967" s="61"/>
      <c r="Y967" s="62"/>
      <c r="Z967" s="61"/>
      <c r="AA967" s="62"/>
    </row>
    <row r="968" spans="3:27" ht="16.5" customHeight="1">
      <c r="C968" s="118"/>
      <c r="E968" s="61"/>
      <c r="H968" s="61"/>
      <c r="I968" s="60"/>
      <c r="K968" s="62"/>
      <c r="O968" s="60"/>
      <c r="P968" s="61"/>
      <c r="Q968" s="62"/>
      <c r="R968" s="61"/>
      <c r="S968" s="62"/>
      <c r="T968" s="61"/>
      <c r="U968" s="62"/>
      <c r="V968" s="61"/>
      <c r="W968" s="62"/>
      <c r="X968" s="61"/>
      <c r="Y968" s="62"/>
      <c r="Z968" s="61"/>
      <c r="AA968" s="62"/>
    </row>
    <row r="969" spans="3:27" ht="16.5" customHeight="1">
      <c r="C969" s="118"/>
      <c r="E969" s="61"/>
      <c r="H969" s="61"/>
      <c r="I969" s="60"/>
      <c r="K969" s="62"/>
      <c r="O969" s="60"/>
      <c r="P969" s="61"/>
      <c r="Q969" s="62"/>
      <c r="R969" s="61"/>
      <c r="S969" s="62"/>
      <c r="T969" s="61"/>
      <c r="U969" s="62"/>
      <c r="V969" s="61"/>
      <c r="W969" s="62"/>
      <c r="X969" s="61"/>
      <c r="Y969" s="62"/>
      <c r="Z969" s="61"/>
      <c r="AA969" s="62"/>
    </row>
    <row r="970" spans="3:27" ht="16.5" customHeight="1">
      <c r="C970" s="118"/>
      <c r="E970" s="61"/>
      <c r="H970" s="61"/>
      <c r="I970" s="60"/>
      <c r="K970" s="62"/>
      <c r="O970" s="60"/>
      <c r="P970" s="61"/>
      <c r="Q970" s="62"/>
      <c r="R970" s="61"/>
      <c r="S970" s="62"/>
      <c r="T970" s="61"/>
      <c r="U970" s="62"/>
      <c r="V970" s="61"/>
      <c r="W970" s="62"/>
      <c r="X970" s="61"/>
      <c r="Y970" s="62"/>
      <c r="Z970" s="61"/>
      <c r="AA970" s="62"/>
    </row>
    <row r="971" spans="3:27" ht="16.5" customHeight="1">
      <c r="C971" s="118"/>
      <c r="E971" s="61"/>
      <c r="H971" s="61"/>
      <c r="I971" s="60"/>
      <c r="K971" s="62"/>
      <c r="O971" s="60"/>
      <c r="P971" s="61"/>
      <c r="Q971" s="62"/>
      <c r="R971" s="61"/>
      <c r="S971" s="62"/>
      <c r="T971" s="61"/>
      <c r="U971" s="62"/>
      <c r="V971" s="61"/>
      <c r="W971" s="62"/>
      <c r="X971" s="61"/>
      <c r="Y971" s="62"/>
      <c r="Z971" s="61"/>
      <c r="AA971" s="62"/>
    </row>
    <row r="972" spans="3:27" ht="16.5" customHeight="1">
      <c r="C972" s="118"/>
      <c r="E972" s="61"/>
      <c r="H972" s="61"/>
      <c r="I972" s="60"/>
      <c r="K972" s="62"/>
      <c r="O972" s="60"/>
      <c r="P972" s="61"/>
      <c r="Q972" s="62"/>
      <c r="R972" s="61"/>
      <c r="S972" s="62"/>
      <c r="T972" s="61"/>
      <c r="U972" s="62"/>
      <c r="V972" s="61"/>
      <c r="W972" s="62"/>
      <c r="X972" s="61"/>
      <c r="Y972" s="62"/>
      <c r="Z972" s="61"/>
      <c r="AA972" s="62"/>
    </row>
    <row r="973" spans="3:27" ht="16.5" customHeight="1">
      <c r="C973" s="118"/>
      <c r="E973" s="61"/>
      <c r="H973" s="61"/>
      <c r="I973" s="60"/>
      <c r="K973" s="62"/>
      <c r="O973" s="60"/>
      <c r="P973" s="61"/>
      <c r="Q973" s="62"/>
      <c r="R973" s="61"/>
      <c r="S973" s="62"/>
      <c r="T973" s="61"/>
      <c r="U973" s="62"/>
      <c r="V973" s="61"/>
      <c r="W973" s="62"/>
      <c r="X973" s="61"/>
      <c r="Y973" s="62"/>
      <c r="Z973" s="61"/>
      <c r="AA973" s="62"/>
    </row>
    <row r="974" spans="3:27" ht="16.5" customHeight="1">
      <c r="C974" s="118"/>
      <c r="E974" s="61"/>
      <c r="H974" s="61"/>
      <c r="I974" s="60"/>
      <c r="K974" s="62"/>
      <c r="O974" s="60"/>
      <c r="P974" s="61"/>
      <c r="Q974" s="62"/>
      <c r="R974" s="61"/>
      <c r="S974" s="62"/>
      <c r="T974" s="61"/>
      <c r="U974" s="62"/>
      <c r="V974" s="61"/>
      <c r="W974" s="62"/>
      <c r="X974" s="61"/>
      <c r="Y974" s="62"/>
      <c r="Z974" s="61"/>
      <c r="AA974" s="62"/>
    </row>
    <row r="975" spans="3:27" ht="16.5" customHeight="1">
      <c r="C975" s="118"/>
      <c r="E975" s="61"/>
      <c r="H975" s="61"/>
      <c r="I975" s="60"/>
      <c r="K975" s="62"/>
      <c r="O975" s="60"/>
      <c r="P975" s="61"/>
      <c r="Q975" s="62"/>
      <c r="R975" s="61"/>
      <c r="S975" s="62"/>
      <c r="T975" s="61"/>
      <c r="U975" s="62"/>
      <c r="V975" s="61"/>
      <c r="W975" s="62"/>
      <c r="X975" s="61"/>
      <c r="Y975" s="62"/>
      <c r="Z975" s="61"/>
      <c r="AA975" s="62"/>
    </row>
    <row r="976" spans="3:27" ht="16.5" customHeight="1">
      <c r="C976" s="118"/>
      <c r="E976" s="61"/>
      <c r="H976" s="61"/>
      <c r="I976" s="60"/>
      <c r="K976" s="62"/>
      <c r="O976" s="60"/>
      <c r="P976" s="61"/>
      <c r="Q976" s="62"/>
      <c r="R976" s="61"/>
      <c r="S976" s="62"/>
      <c r="T976" s="61"/>
      <c r="U976" s="62"/>
      <c r="V976" s="61"/>
      <c r="W976" s="62"/>
      <c r="X976" s="61"/>
      <c r="Y976" s="62"/>
      <c r="Z976" s="61"/>
      <c r="AA976" s="62"/>
    </row>
    <row r="977" spans="3:27" ht="16.5" customHeight="1">
      <c r="C977" s="118"/>
      <c r="E977" s="61"/>
      <c r="H977" s="61"/>
      <c r="I977" s="60"/>
      <c r="K977" s="62"/>
      <c r="O977" s="60"/>
      <c r="P977" s="61"/>
      <c r="Q977" s="62"/>
      <c r="R977" s="61"/>
      <c r="S977" s="62"/>
      <c r="T977" s="61"/>
      <c r="U977" s="62"/>
      <c r="V977" s="61"/>
      <c r="W977" s="62"/>
      <c r="X977" s="61"/>
      <c r="Y977" s="62"/>
      <c r="Z977" s="61"/>
      <c r="AA977" s="62"/>
    </row>
    <row r="978" spans="3:27" ht="16.5" customHeight="1">
      <c r="C978" s="118"/>
      <c r="E978" s="61"/>
      <c r="H978" s="61"/>
      <c r="I978" s="60"/>
      <c r="K978" s="62"/>
      <c r="O978" s="60"/>
      <c r="P978" s="61"/>
      <c r="Q978" s="62"/>
      <c r="R978" s="61"/>
      <c r="S978" s="62"/>
      <c r="T978" s="61"/>
      <c r="U978" s="62"/>
      <c r="V978" s="61"/>
      <c r="W978" s="62"/>
      <c r="X978" s="61"/>
      <c r="Y978" s="62"/>
      <c r="Z978" s="61"/>
      <c r="AA978" s="62"/>
    </row>
    <row r="979" spans="3:27" ht="16.5" customHeight="1">
      <c r="C979" s="118"/>
      <c r="E979" s="61"/>
      <c r="H979" s="61"/>
      <c r="I979" s="60"/>
      <c r="K979" s="62"/>
      <c r="O979" s="60"/>
      <c r="P979" s="61"/>
      <c r="Q979" s="62"/>
      <c r="R979" s="61"/>
      <c r="S979" s="62"/>
      <c r="T979" s="61"/>
      <c r="U979" s="62"/>
      <c r="V979" s="61"/>
      <c r="W979" s="62"/>
      <c r="X979" s="61"/>
      <c r="Y979" s="62"/>
      <c r="Z979" s="61"/>
      <c r="AA979" s="62"/>
    </row>
    <row r="980" spans="3:27" ht="16.5" customHeight="1">
      <c r="C980" s="118"/>
      <c r="E980" s="61"/>
      <c r="H980" s="61"/>
      <c r="I980" s="60"/>
      <c r="K980" s="62"/>
      <c r="O980" s="60"/>
      <c r="P980" s="61"/>
      <c r="Q980" s="62"/>
      <c r="R980" s="61"/>
      <c r="S980" s="62"/>
      <c r="T980" s="61"/>
      <c r="U980" s="62"/>
      <c r="V980" s="61"/>
      <c r="W980" s="62"/>
      <c r="X980" s="61"/>
      <c r="Y980" s="62"/>
      <c r="Z980" s="61"/>
      <c r="AA980" s="62"/>
    </row>
    <row r="981" spans="3:27" ht="16.5" customHeight="1">
      <c r="C981" s="118"/>
      <c r="E981" s="61"/>
      <c r="H981" s="61"/>
      <c r="I981" s="60"/>
      <c r="K981" s="62"/>
      <c r="O981" s="60"/>
      <c r="P981" s="61"/>
      <c r="Q981" s="62"/>
      <c r="R981" s="61"/>
      <c r="S981" s="62"/>
      <c r="T981" s="61"/>
      <c r="U981" s="62"/>
      <c r="V981" s="61"/>
      <c r="W981" s="62"/>
      <c r="X981" s="61"/>
      <c r="Y981" s="62"/>
      <c r="Z981" s="61"/>
      <c r="AA981" s="62"/>
    </row>
    <row r="982" spans="3:27" ht="16.5" customHeight="1">
      <c r="C982" s="118"/>
      <c r="E982" s="61"/>
      <c r="H982" s="61"/>
      <c r="I982" s="60"/>
      <c r="K982" s="62"/>
      <c r="O982" s="60"/>
      <c r="P982" s="61"/>
      <c r="Q982" s="62"/>
      <c r="R982" s="61"/>
      <c r="S982" s="62"/>
      <c r="T982" s="61"/>
      <c r="U982" s="62"/>
      <c r="V982" s="61"/>
      <c r="W982" s="62"/>
      <c r="X982" s="61"/>
      <c r="Y982" s="62"/>
      <c r="Z982" s="61"/>
      <c r="AA982" s="62"/>
    </row>
    <row r="983" spans="3:27" ht="16.5" customHeight="1">
      <c r="C983" s="118"/>
      <c r="E983" s="61"/>
      <c r="H983" s="61"/>
      <c r="I983" s="60"/>
      <c r="K983" s="62"/>
      <c r="O983" s="60"/>
      <c r="P983" s="61"/>
      <c r="Q983" s="62"/>
      <c r="R983" s="61"/>
      <c r="S983" s="62"/>
      <c r="T983" s="61"/>
      <c r="U983" s="62"/>
      <c r="V983" s="61"/>
      <c r="W983" s="62"/>
      <c r="X983" s="61"/>
      <c r="Y983" s="62"/>
      <c r="Z983" s="61"/>
      <c r="AA983" s="62"/>
    </row>
    <row r="984" spans="3:27" ht="16.5" customHeight="1">
      <c r="C984" s="118"/>
      <c r="E984" s="61"/>
      <c r="H984" s="61"/>
      <c r="I984" s="60"/>
      <c r="K984" s="62"/>
      <c r="O984" s="60"/>
      <c r="P984" s="61"/>
      <c r="Q984" s="62"/>
      <c r="R984" s="61"/>
      <c r="S984" s="62"/>
      <c r="T984" s="61"/>
      <c r="U984" s="62"/>
      <c r="V984" s="61"/>
      <c r="W984" s="62"/>
      <c r="X984" s="61"/>
      <c r="Y984" s="62"/>
      <c r="Z984" s="61"/>
      <c r="AA984" s="62"/>
    </row>
    <row r="985" spans="3:27" ht="16.5" customHeight="1">
      <c r="C985" s="118"/>
      <c r="E985" s="61"/>
      <c r="H985" s="61"/>
      <c r="I985" s="60"/>
      <c r="K985" s="62"/>
      <c r="O985" s="60"/>
      <c r="P985" s="61"/>
      <c r="Q985" s="62"/>
      <c r="R985" s="61"/>
      <c r="S985" s="62"/>
      <c r="T985" s="61"/>
      <c r="U985" s="62"/>
      <c r="V985" s="61"/>
      <c r="W985" s="62"/>
      <c r="X985" s="61"/>
      <c r="Y985" s="62"/>
      <c r="Z985" s="61"/>
      <c r="AA985" s="62"/>
    </row>
    <row r="986" spans="3:27" ht="16.5" customHeight="1">
      <c r="C986" s="118"/>
      <c r="E986" s="61"/>
      <c r="H986" s="61"/>
      <c r="I986" s="60"/>
      <c r="K986" s="62"/>
      <c r="O986" s="60"/>
      <c r="P986" s="61"/>
      <c r="Q986" s="62"/>
      <c r="R986" s="61"/>
      <c r="S986" s="62"/>
      <c r="T986" s="61"/>
      <c r="U986" s="62"/>
      <c r="V986" s="61"/>
      <c r="W986" s="62"/>
      <c r="X986" s="61"/>
      <c r="Y986" s="62"/>
      <c r="Z986" s="61"/>
      <c r="AA986" s="62"/>
    </row>
    <row r="987" spans="3:27" ht="16.5" customHeight="1">
      <c r="C987" s="118"/>
      <c r="E987" s="61"/>
      <c r="H987" s="61"/>
      <c r="I987" s="60"/>
      <c r="K987" s="62"/>
      <c r="O987" s="60"/>
      <c r="P987" s="61"/>
      <c r="Q987" s="62"/>
      <c r="R987" s="61"/>
      <c r="S987" s="62"/>
      <c r="T987" s="61"/>
      <c r="U987" s="62"/>
      <c r="V987" s="61"/>
      <c r="W987" s="62"/>
      <c r="X987" s="61"/>
      <c r="Y987" s="62"/>
      <c r="Z987" s="61"/>
      <c r="AA987" s="62"/>
    </row>
    <row r="988" spans="3:27" ht="16.5" customHeight="1">
      <c r="C988" s="118"/>
      <c r="E988" s="61"/>
      <c r="H988" s="61"/>
      <c r="I988" s="60"/>
      <c r="K988" s="62"/>
      <c r="O988" s="60"/>
      <c r="P988" s="61"/>
      <c r="Q988" s="62"/>
      <c r="R988" s="61"/>
      <c r="S988" s="62"/>
      <c r="T988" s="61"/>
      <c r="U988" s="62"/>
      <c r="V988" s="61"/>
      <c r="W988" s="62"/>
      <c r="X988" s="61"/>
      <c r="Y988" s="62"/>
      <c r="Z988" s="61"/>
      <c r="AA988" s="62"/>
    </row>
    <row r="989" spans="3:27" ht="16.5" customHeight="1">
      <c r="C989" s="118"/>
      <c r="E989" s="61"/>
      <c r="H989" s="61"/>
      <c r="I989" s="60"/>
      <c r="K989" s="62"/>
      <c r="O989" s="60"/>
      <c r="P989" s="61"/>
      <c r="Q989" s="62"/>
      <c r="R989" s="61"/>
      <c r="S989" s="62"/>
      <c r="T989" s="61"/>
      <c r="U989" s="62"/>
      <c r="V989" s="61"/>
      <c r="W989" s="62"/>
      <c r="X989" s="61"/>
      <c r="Y989" s="62"/>
      <c r="Z989" s="61"/>
      <c r="AA989" s="62"/>
    </row>
    <row r="990" spans="3:27" ht="16.5" customHeight="1">
      <c r="C990" s="118"/>
      <c r="E990" s="61"/>
      <c r="H990" s="61"/>
      <c r="I990" s="60"/>
      <c r="K990" s="62"/>
      <c r="O990" s="60"/>
      <c r="P990" s="61"/>
      <c r="Q990" s="62"/>
      <c r="R990" s="61"/>
      <c r="S990" s="62"/>
      <c r="T990" s="61"/>
      <c r="U990" s="62"/>
      <c r="V990" s="61"/>
      <c r="W990" s="62"/>
      <c r="X990" s="61"/>
      <c r="Y990" s="62"/>
      <c r="Z990" s="61"/>
      <c r="AA990" s="62"/>
    </row>
    <row r="991" spans="3:27" ht="16.5" customHeight="1">
      <c r="C991" s="118"/>
      <c r="E991" s="61"/>
      <c r="H991" s="61"/>
      <c r="I991" s="60"/>
      <c r="K991" s="62"/>
      <c r="O991" s="60"/>
      <c r="P991" s="61"/>
      <c r="Q991" s="62"/>
      <c r="R991" s="61"/>
      <c r="S991" s="62"/>
      <c r="T991" s="61"/>
      <c r="U991" s="62"/>
      <c r="V991" s="61"/>
      <c r="W991" s="62"/>
      <c r="X991" s="61"/>
      <c r="Y991" s="62"/>
      <c r="Z991" s="61"/>
      <c r="AA991" s="62"/>
    </row>
    <row r="992" spans="3:27" ht="16.5" customHeight="1">
      <c r="C992" s="118"/>
      <c r="E992" s="61"/>
      <c r="H992" s="61"/>
      <c r="I992" s="60"/>
      <c r="K992" s="62"/>
      <c r="O992" s="60"/>
      <c r="P992" s="61"/>
      <c r="Q992" s="62"/>
      <c r="R992" s="61"/>
      <c r="S992" s="62"/>
      <c r="T992" s="61"/>
      <c r="U992" s="62"/>
      <c r="V992" s="61"/>
      <c r="W992" s="62"/>
      <c r="X992" s="61"/>
      <c r="Y992" s="62"/>
      <c r="Z992" s="61"/>
      <c r="AA992" s="62"/>
    </row>
    <row r="993" spans="3:27" ht="16.5" customHeight="1">
      <c r="C993" s="118"/>
      <c r="E993" s="61"/>
      <c r="H993" s="61"/>
      <c r="I993" s="60"/>
      <c r="K993" s="62"/>
      <c r="O993" s="60"/>
      <c r="P993" s="61"/>
      <c r="Q993" s="62"/>
      <c r="R993" s="61"/>
      <c r="S993" s="62"/>
      <c r="T993" s="61"/>
      <c r="U993" s="62"/>
      <c r="V993" s="61"/>
      <c r="W993" s="62"/>
      <c r="X993" s="61"/>
      <c r="Y993" s="62"/>
      <c r="Z993" s="61"/>
      <c r="AA993" s="62"/>
    </row>
    <row r="994" spans="3:27" ht="16.5" customHeight="1">
      <c r="C994" s="118"/>
      <c r="E994" s="61"/>
      <c r="H994" s="61"/>
      <c r="I994" s="60"/>
      <c r="K994" s="62"/>
      <c r="O994" s="60"/>
      <c r="P994" s="61"/>
      <c r="Q994" s="62"/>
      <c r="R994" s="61"/>
      <c r="S994" s="62"/>
      <c r="T994" s="61"/>
      <c r="U994" s="62"/>
      <c r="V994" s="61"/>
      <c r="W994" s="62"/>
      <c r="X994" s="61"/>
      <c r="Y994" s="62"/>
      <c r="Z994" s="61"/>
      <c r="AA994" s="62"/>
    </row>
    <row r="995" spans="3:27" ht="16.5" customHeight="1">
      <c r="C995" s="118"/>
      <c r="E995" s="61"/>
      <c r="H995" s="61"/>
      <c r="I995" s="60"/>
      <c r="K995" s="62"/>
      <c r="O995" s="60"/>
      <c r="P995" s="61"/>
      <c r="Q995" s="62"/>
      <c r="R995" s="61"/>
      <c r="S995" s="62"/>
      <c r="T995" s="61"/>
      <c r="U995" s="62"/>
      <c r="V995" s="61"/>
      <c r="W995" s="62"/>
      <c r="X995" s="61"/>
      <c r="Y995" s="62"/>
      <c r="Z995" s="61"/>
      <c r="AA995" s="62"/>
    </row>
    <row r="996" spans="3:27" ht="16.5" customHeight="1">
      <c r="C996" s="118"/>
      <c r="E996" s="61"/>
      <c r="H996" s="61"/>
      <c r="I996" s="60"/>
      <c r="K996" s="62"/>
      <c r="O996" s="60"/>
      <c r="P996" s="61"/>
      <c r="Q996" s="62"/>
      <c r="R996" s="61"/>
      <c r="S996" s="62"/>
      <c r="T996" s="61"/>
      <c r="U996" s="62"/>
      <c r="V996" s="61"/>
      <c r="W996" s="62"/>
      <c r="X996" s="61"/>
      <c r="Y996" s="62"/>
      <c r="Z996" s="61"/>
      <c r="AA996" s="62"/>
    </row>
    <row r="997" spans="3:27" ht="16.5" customHeight="1">
      <c r="C997" s="118"/>
      <c r="E997" s="61"/>
      <c r="H997" s="61"/>
      <c r="I997" s="60"/>
      <c r="K997" s="62"/>
      <c r="O997" s="60"/>
      <c r="P997" s="61"/>
      <c r="Q997" s="62"/>
      <c r="R997" s="61"/>
      <c r="S997" s="62"/>
      <c r="T997" s="61"/>
      <c r="U997" s="62"/>
      <c r="V997" s="61"/>
      <c r="W997" s="62"/>
      <c r="X997" s="61"/>
      <c r="Y997" s="62"/>
      <c r="Z997" s="61"/>
      <c r="AA997" s="62"/>
    </row>
    <row r="998" spans="3:27" ht="16.5" customHeight="1">
      <c r="C998" s="118"/>
      <c r="E998" s="61"/>
      <c r="H998" s="61"/>
      <c r="I998" s="60"/>
      <c r="K998" s="62"/>
      <c r="O998" s="60"/>
      <c r="P998" s="61"/>
      <c r="Q998" s="62"/>
      <c r="R998" s="61"/>
      <c r="S998" s="62"/>
      <c r="T998" s="61"/>
      <c r="U998" s="62"/>
      <c r="V998" s="61"/>
      <c r="W998" s="62"/>
      <c r="X998" s="61"/>
      <c r="Y998" s="62"/>
      <c r="Z998" s="61"/>
      <c r="AA998" s="62"/>
    </row>
    <row r="999" spans="3:27" ht="16.5" customHeight="1">
      <c r="C999" s="118"/>
      <c r="E999" s="61"/>
      <c r="H999" s="61"/>
      <c r="I999" s="60"/>
      <c r="K999" s="62"/>
      <c r="O999" s="60"/>
      <c r="P999" s="61"/>
      <c r="Q999" s="62"/>
      <c r="R999" s="61"/>
      <c r="S999" s="62"/>
      <c r="T999" s="61"/>
      <c r="U999" s="62"/>
      <c r="V999" s="61"/>
      <c r="W999" s="62"/>
      <c r="X999" s="61"/>
      <c r="Y999" s="62"/>
      <c r="Z999" s="61"/>
      <c r="AA999" s="62"/>
    </row>
    <row r="1000" spans="3:27" ht="16.5" customHeight="1">
      <c r="C1000" s="118"/>
      <c r="E1000" s="61"/>
      <c r="H1000" s="61"/>
      <c r="I1000" s="60"/>
      <c r="K1000" s="62"/>
      <c r="O1000" s="60"/>
      <c r="P1000" s="61"/>
      <c r="Q1000" s="62"/>
      <c r="R1000" s="61"/>
      <c r="S1000" s="62"/>
      <c r="T1000" s="61"/>
      <c r="U1000" s="62"/>
      <c r="V1000" s="61"/>
      <c r="W1000" s="62"/>
      <c r="X1000" s="61"/>
      <c r="Y1000" s="62"/>
      <c r="Z1000" s="61"/>
      <c r="AA1000" s="62"/>
    </row>
  </sheetData>
  <mergeCells count="57">
    <mergeCell ref="I48:J48"/>
    <mergeCell ref="A42:A47"/>
    <mergeCell ref="A49:A121"/>
    <mergeCell ref="C31:C35"/>
    <mergeCell ref="B36:D36"/>
    <mergeCell ref="B42:B45"/>
    <mergeCell ref="C42:C45"/>
    <mergeCell ref="B46:B47"/>
    <mergeCell ref="C46:C47"/>
    <mergeCell ref="A48:B48"/>
    <mergeCell ref="B72:B76"/>
    <mergeCell ref="C72:C76"/>
    <mergeCell ref="B77:D77"/>
    <mergeCell ref="B78:B85"/>
    <mergeCell ref="C78:C85"/>
    <mergeCell ref="B86:D86"/>
    <mergeCell ref="I87:J87"/>
    <mergeCell ref="B49:B56"/>
    <mergeCell ref="C49:C56"/>
    <mergeCell ref="B57:D57"/>
    <mergeCell ref="B59:D59"/>
    <mergeCell ref="B60:B70"/>
    <mergeCell ref="C60:C70"/>
    <mergeCell ref="B71:D71"/>
    <mergeCell ref="A1:K1"/>
    <mergeCell ref="P2:Q2"/>
    <mergeCell ref="R2:S2"/>
    <mergeCell ref="T2:U2"/>
    <mergeCell ref="V2:W2"/>
    <mergeCell ref="X2:Y2"/>
    <mergeCell ref="Z2:AA2"/>
    <mergeCell ref="E6:F6"/>
    <mergeCell ref="E7:F7"/>
    <mergeCell ref="D8:F14"/>
    <mergeCell ref="K4:K14"/>
    <mergeCell ref="B15:D15"/>
    <mergeCell ref="D3:F3"/>
    <mergeCell ref="A4:A17"/>
    <mergeCell ref="B4:B14"/>
    <mergeCell ref="C4:C14"/>
    <mergeCell ref="E4:F4"/>
    <mergeCell ref="E5:F5"/>
    <mergeCell ref="B17:D17"/>
    <mergeCell ref="A41:B41"/>
    <mergeCell ref="B40:D40"/>
    <mergeCell ref="I41:J41"/>
    <mergeCell ref="I18:J18"/>
    <mergeCell ref="B19:B29"/>
    <mergeCell ref="B31:B35"/>
    <mergeCell ref="B37:B39"/>
    <mergeCell ref="C37:C39"/>
    <mergeCell ref="I30:J30"/>
    <mergeCell ref="A31:A40"/>
    <mergeCell ref="A18:B18"/>
    <mergeCell ref="A19:A29"/>
    <mergeCell ref="C19:C29"/>
    <mergeCell ref="A30:B30"/>
  </mergeCells>
  <phoneticPr fontId="27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B25A-01AD-42E8-8B58-E88A29E0150F}">
  <dimension ref="A1:BI567"/>
  <sheetViews>
    <sheetView workbookViewId="0">
      <selection activeCell="I45" sqref="I45"/>
    </sheetView>
  </sheetViews>
  <sheetFormatPr defaultRowHeight="15"/>
  <cols>
    <col min="3" max="3" width="10.5703125" bestFit="1" customWidth="1"/>
    <col min="6" max="6" width="15.7109375" bestFit="1" customWidth="1"/>
    <col min="7" max="7" width="28.5703125" bestFit="1" customWidth="1"/>
    <col min="8" max="8" width="13.7109375" bestFit="1" customWidth="1"/>
    <col min="9" max="9" width="11.7109375" bestFit="1" customWidth="1"/>
  </cols>
  <sheetData>
    <row r="1" spans="1:61">
      <c r="A1" s="721" t="s">
        <v>616</v>
      </c>
      <c r="B1" s="720" t="s">
        <v>617</v>
      </c>
      <c r="C1" s="720" t="s">
        <v>618</v>
      </c>
      <c r="D1" s="720" t="s">
        <v>619</v>
      </c>
      <c r="E1" s="720" t="s">
        <v>620</v>
      </c>
      <c r="F1" s="720" t="s">
        <v>240</v>
      </c>
      <c r="G1" s="720" t="s">
        <v>621</v>
      </c>
      <c r="H1" s="720" t="s">
        <v>622</v>
      </c>
      <c r="I1" s="720" t="s">
        <v>622</v>
      </c>
      <c r="J1" s="720" t="s">
        <v>622</v>
      </c>
      <c r="K1" s="720" t="s">
        <v>622</v>
      </c>
      <c r="L1" s="720" t="s">
        <v>623</v>
      </c>
      <c r="M1" s="720" t="s">
        <v>623</v>
      </c>
      <c r="N1" s="720" t="s">
        <v>623</v>
      </c>
      <c r="O1" s="720" t="s">
        <v>624</v>
      </c>
      <c r="P1" s="720" t="s">
        <v>624</v>
      </c>
      <c r="Q1" s="720" t="s">
        <v>624</v>
      </c>
      <c r="R1" s="720" t="s">
        <v>625</v>
      </c>
      <c r="S1" s="720" t="s">
        <v>625</v>
      </c>
      <c r="T1" s="720" t="s">
        <v>625</v>
      </c>
      <c r="U1" s="720" t="s">
        <v>626</v>
      </c>
      <c r="V1" s="720" t="s">
        <v>626</v>
      </c>
      <c r="W1" s="720" t="s">
        <v>626</v>
      </c>
      <c r="X1" s="720" t="s">
        <v>627</v>
      </c>
      <c r="Y1" s="720" t="s">
        <v>628</v>
      </c>
      <c r="Z1" s="720" t="s">
        <v>628</v>
      </c>
      <c r="AA1" s="720" t="s">
        <v>628</v>
      </c>
      <c r="AB1" s="720" t="s">
        <v>628</v>
      </c>
      <c r="AC1" s="720" t="s">
        <v>629</v>
      </c>
      <c r="AD1" s="720" t="s">
        <v>630</v>
      </c>
      <c r="AE1" s="720" t="s">
        <v>631</v>
      </c>
      <c r="AF1" s="720" t="s">
        <v>7</v>
      </c>
      <c r="AG1" s="720" t="s">
        <v>632</v>
      </c>
      <c r="AH1" s="720" t="s">
        <v>633</v>
      </c>
      <c r="AI1" s="720" t="s">
        <v>634</v>
      </c>
      <c r="AJ1" s="720" t="s">
        <v>635</v>
      </c>
      <c r="AK1" s="720" t="s">
        <v>636</v>
      </c>
      <c r="AL1" s="720" t="s">
        <v>637</v>
      </c>
      <c r="AM1" s="720" t="s">
        <v>638</v>
      </c>
      <c r="AN1" s="720" t="s">
        <v>638</v>
      </c>
      <c r="AO1" s="720" t="s">
        <v>638</v>
      </c>
      <c r="AP1" s="720" t="s">
        <v>638</v>
      </c>
      <c r="AQ1" s="720" t="s">
        <v>638</v>
      </c>
      <c r="AR1" s="720" t="s">
        <v>638</v>
      </c>
      <c r="AS1" s="720" t="s">
        <v>638</v>
      </c>
      <c r="AT1" s="441" t="s">
        <v>639</v>
      </c>
      <c r="AU1" s="720" t="s">
        <v>640</v>
      </c>
      <c r="AV1" s="720" t="s">
        <v>641</v>
      </c>
      <c r="AW1" s="720" t="s">
        <v>642</v>
      </c>
      <c r="AX1" s="720" t="s">
        <v>643</v>
      </c>
      <c r="AY1" s="720" t="s">
        <v>643</v>
      </c>
      <c r="AZ1" s="720" t="s">
        <v>643</v>
      </c>
      <c r="BA1" s="720" t="s">
        <v>644</v>
      </c>
      <c r="BB1" s="720" t="s">
        <v>644</v>
      </c>
      <c r="BC1" s="720" t="s">
        <v>644</v>
      </c>
      <c r="BD1" s="720" t="s">
        <v>644</v>
      </c>
      <c r="BE1" s="720" t="s">
        <v>644</v>
      </c>
      <c r="BF1" s="720" t="s">
        <v>645</v>
      </c>
      <c r="BG1" s="720" t="s">
        <v>646</v>
      </c>
      <c r="BH1" s="720" t="s">
        <v>647</v>
      </c>
      <c r="BI1" s="720" t="s">
        <v>648</v>
      </c>
    </row>
    <row r="2" spans="1:61" ht="25.5">
      <c r="A2" s="720" t="s">
        <v>616</v>
      </c>
      <c r="B2" s="720" t="s">
        <v>617</v>
      </c>
      <c r="C2" s="720" t="s">
        <v>618</v>
      </c>
      <c r="D2" s="720" t="s">
        <v>619</v>
      </c>
      <c r="E2" s="720" t="s">
        <v>620</v>
      </c>
      <c r="F2" s="720" t="s">
        <v>240</v>
      </c>
      <c r="G2" s="720" t="s">
        <v>621</v>
      </c>
      <c r="H2" s="720" t="s">
        <v>622</v>
      </c>
      <c r="I2" s="441" t="s">
        <v>649</v>
      </c>
      <c r="J2" s="441" t="s">
        <v>650</v>
      </c>
      <c r="K2" s="441" t="s">
        <v>293</v>
      </c>
      <c r="L2" s="441" t="s">
        <v>649</v>
      </c>
      <c r="M2" s="441" t="s">
        <v>650</v>
      </c>
      <c r="N2" s="441" t="s">
        <v>293</v>
      </c>
      <c r="O2" s="441" t="s">
        <v>649</v>
      </c>
      <c r="P2" s="441" t="s">
        <v>650</v>
      </c>
      <c r="Q2" s="441" t="s">
        <v>293</v>
      </c>
      <c r="R2" s="441" t="s">
        <v>649</v>
      </c>
      <c r="S2" s="441" t="s">
        <v>650</v>
      </c>
      <c r="T2" s="441" t="s">
        <v>293</v>
      </c>
      <c r="U2" s="441" t="s">
        <v>649</v>
      </c>
      <c r="V2" s="441" t="s">
        <v>650</v>
      </c>
      <c r="W2" s="441" t="s">
        <v>293</v>
      </c>
      <c r="X2" s="720" t="s">
        <v>627</v>
      </c>
      <c r="Y2" s="441" t="s">
        <v>651</v>
      </c>
      <c r="Z2" s="441" t="s">
        <v>652</v>
      </c>
      <c r="AA2" s="441" t="s">
        <v>653</v>
      </c>
      <c r="AB2" s="441" t="s">
        <v>654</v>
      </c>
      <c r="AC2" s="720" t="s">
        <v>629</v>
      </c>
      <c r="AD2" s="720" t="s">
        <v>630</v>
      </c>
      <c r="AE2" s="720" t="s">
        <v>631</v>
      </c>
      <c r="AF2" s="720" t="s">
        <v>7</v>
      </c>
      <c r="AG2" s="720" t="s">
        <v>632</v>
      </c>
      <c r="AH2" s="720" t="s">
        <v>633</v>
      </c>
      <c r="AI2" s="720" t="s">
        <v>634</v>
      </c>
      <c r="AJ2" s="720" t="s">
        <v>635</v>
      </c>
      <c r="AK2" s="720" t="s">
        <v>636</v>
      </c>
      <c r="AL2" s="720" t="s">
        <v>637</v>
      </c>
      <c r="AM2" s="441" t="s">
        <v>655</v>
      </c>
      <c r="AN2" s="441" t="s">
        <v>656</v>
      </c>
      <c r="AO2" s="441" t="s">
        <v>657</v>
      </c>
      <c r="AP2" s="441" t="s">
        <v>658</v>
      </c>
      <c r="AQ2" s="441" t="s">
        <v>659</v>
      </c>
      <c r="AR2" s="441" t="s">
        <v>660</v>
      </c>
      <c r="AS2" s="441" t="s">
        <v>661</v>
      </c>
      <c r="AT2" s="441" t="s">
        <v>662</v>
      </c>
      <c r="AU2" s="720" t="s">
        <v>640</v>
      </c>
      <c r="AV2" s="720" t="s">
        <v>641</v>
      </c>
      <c r="AW2" s="720" t="s">
        <v>642</v>
      </c>
      <c r="AX2" s="441" t="s">
        <v>663</v>
      </c>
      <c r="AY2" s="441" t="s">
        <v>664</v>
      </c>
      <c r="AZ2" s="441" t="s">
        <v>665</v>
      </c>
      <c r="BA2" s="441" t="s">
        <v>666</v>
      </c>
      <c r="BB2" s="441" t="s">
        <v>667</v>
      </c>
      <c r="BC2" s="441" t="s">
        <v>668</v>
      </c>
      <c r="BD2" s="441" t="s">
        <v>669</v>
      </c>
      <c r="BE2" s="441" t="s">
        <v>670</v>
      </c>
      <c r="BF2" s="720" t="s">
        <v>645</v>
      </c>
      <c r="BG2" s="720" t="s">
        <v>646</v>
      </c>
      <c r="BH2" s="720" t="s">
        <v>647</v>
      </c>
      <c r="BI2" s="720" t="s">
        <v>648</v>
      </c>
    </row>
    <row r="3" spans="1:61">
      <c r="A3" s="442" t="s">
        <v>1203</v>
      </c>
      <c r="B3" s="442" t="s">
        <v>1203</v>
      </c>
      <c r="C3" s="442" t="s">
        <v>1204</v>
      </c>
      <c r="D3" s="442" t="s">
        <v>673</v>
      </c>
      <c r="E3" s="442" t="s">
        <v>3</v>
      </c>
      <c r="F3" s="443" t="s">
        <v>83</v>
      </c>
      <c r="G3" s="443" t="s">
        <v>691</v>
      </c>
      <c r="H3" s="444">
        <v>2462400</v>
      </c>
      <c r="I3" s="444">
        <v>2462400</v>
      </c>
      <c r="J3" s="444">
        <v>0</v>
      </c>
      <c r="K3" s="444">
        <v>0</v>
      </c>
      <c r="L3" s="444">
        <v>2462400</v>
      </c>
      <c r="M3" s="444">
        <v>0</v>
      </c>
      <c r="N3" s="444">
        <v>0</v>
      </c>
      <c r="O3" s="444">
        <v>0</v>
      </c>
      <c r="P3" s="444">
        <v>0</v>
      </c>
      <c r="Q3" s="444">
        <v>0</v>
      </c>
      <c r="R3" s="444">
        <v>0</v>
      </c>
      <c r="S3" s="444">
        <v>0</v>
      </c>
      <c r="T3" s="444">
        <v>0</v>
      </c>
      <c r="U3" s="444">
        <v>0</v>
      </c>
      <c r="V3" s="444">
        <v>0</v>
      </c>
      <c r="W3" s="444">
        <v>0</v>
      </c>
      <c r="X3" s="442" t="s">
        <v>674</v>
      </c>
      <c r="Y3" s="442" t="s">
        <v>675</v>
      </c>
      <c r="Z3" s="442" t="s">
        <v>675</v>
      </c>
      <c r="AA3" s="442" t="s">
        <v>675</v>
      </c>
      <c r="AB3" s="442" t="s">
        <v>675</v>
      </c>
      <c r="AC3" s="442"/>
      <c r="AD3" s="442"/>
      <c r="AE3" s="442" t="s">
        <v>676</v>
      </c>
      <c r="AF3" s="442"/>
      <c r="AG3" s="443" t="s">
        <v>736</v>
      </c>
      <c r="AH3" s="442"/>
      <c r="AI3" s="443" t="s">
        <v>736</v>
      </c>
      <c r="AJ3" s="443" t="s">
        <v>677</v>
      </c>
      <c r="AK3" s="442" t="s">
        <v>677</v>
      </c>
      <c r="AL3" s="442"/>
      <c r="AM3" s="442"/>
      <c r="AN3" s="442"/>
      <c r="AO3" s="442"/>
      <c r="AP3" s="442"/>
      <c r="AQ3" s="442"/>
      <c r="AR3" s="444"/>
      <c r="AS3" s="442"/>
      <c r="AT3" s="444"/>
      <c r="AU3" s="442" t="s">
        <v>678</v>
      </c>
      <c r="AV3" s="442" t="s">
        <v>677</v>
      </c>
      <c r="AW3" s="442" t="s">
        <v>676</v>
      </c>
      <c r="AX3" s="442" t="s">
        <v>679</v>
      </c>
      <c r="AY3" s="442"/>
      <c r="AZ3" s="442"/>
      <c r="BA3" s="442" t="s">
        <v>679</v>
      </c>
      <c r="BB3" s="442"/>
      <c r="BC3" s="442"/>
      <c r="BD3" s="442"/>
      <c r="BE3" s="444"/>
      <c r="BF3" s="442" t="s">
        <v>298</v>
      </c>
      <c r="BG3" s="442" t="s">
        <v>680</v>
      </c>
      <c r="BH3" s="442" t="s">
        <v>681</v>
      </c>
      <c r="BI3" s="442"/>
    </row>
    <row r="4" spans="1:61">
      <c r="A4" s="442" t="s">
        <v>1203</v>
      </c>
      <c r="B4" s="442" t="s">
        <v>1203</v>
      </c>
      <c r="C4" s="442" t="s">
        <v>1204</v>
      </c>
      <c r="D4" s="442" t="s">
        <v>673</v>
      </c>
      <c r="E4" s="442" t="s">
        <v>3</v>
      </c>
      <c r="F4" s="443" t="s">
        <v>83</v>
      </c>
      <c r="G4" s="443" t="s">
        <v>691</v>
      </c>
      <c r="H4" s="444">
        <v>88000</v>
      </c>
      <c r="I4" s="444">
        <v>88000</v>
      </c>
      <c r="J4" s="444">
        <v>0</v>
      </c>
      <c r="K4" s="444">
        <v>0</v>
      </c>
      <c r="L4" s="444">
        <v>88000</v>
      </c>
      <c r="M4" s="444">
        <v>0</v>
      </c>
      <c r="N4" s="444">
        <v>0</v>
      </c>
      <c r="O4" s="444">
        <v>0</v>
      </c>
      <c r="P4" s="444">
        <v>0</v>
      </c>
      <c r="Q4" s="444">
        <v>0</v>
      </c>
      <c r="R4" s="444">
        <v>0</v>
      </c>
      <c r="S4" s="444">
        <v>0</v>
      </c>
      <c r="T4" s="444">
        <v>0</v>
      </c>
      <c r="U4" s="444">
        <v>0</v>
      </c>
      <c r="V4" s="444">
        <v>0</v>
      </c>
      <c r="W4" s="444">
        <v>0</v>
      </c>
      <c r="X4" s="442" t="s">
        <v>674</v>
      </c>
      <c r="Y4" s="442" t="s">
        <v>675</v>
      </c>
      <c r="Z4" s="442" t="s">
        <v>675</v>
      </c>
      <c r="AA4" s="442" t="s">
        <v>675</v>
      </c>
      <c r="AB4" s="442" t="s">
        <v>675</v>
      </c>
      <c r="AC4" s="442"/>
      <c r="AD4" s="442"/>
      <c r="AE4" s="442" t="s">
        <v>676</v>
      </c>
      <c r="AF4" s="442"/>
      <c r="AG4" s="443" t="s">
        <v>1205</v>
      </c>
      <c r="AH4" s="442"/>
      <c r="AI4" s="443" t="s">
        <v>1205</v>
      </c>
      <c r="AJ4" s="443" t="s">
        <v>677</v>
      </c>
      <c r="AK4" s="442" t="s">
        <v>677</v>
      </c>
      <c r="AL4" s="442"/>
      <c r="AM4" s="442"/>
      <c r="AN4" s="442"/>
      <c r="AO4" s="442"/>
      <c r="AP4" s="442"/>
      <c r="AQ4" s="442"/>
      <c r="AR4" s="444"/>
      <c r="AS4" s="442"/>
      <c r="AT4" s="444"/>
      <c r="AU4" s="442" t="s">
        <v>678</v>
      </c>
      <c r="AV4" s="442" t="s">
        <v>677</v>
      </c>
      <c r="AW4" s="442" t="s">
        <v>676</v>
      </c>
      <c r="AX4" s="442" t="s">
        <v>679</v>
      </c>
      <c r="AY4" s="442"/>
      <c r="AZ4" s="442"/>
      <c r="BA4" s="442" t="s">
        <v>679</v>
      </c>
      <c r="BB4" s="442"/>
      <c r="BC4" s="442"/>
      <c r="BD4" s="442"/>
      <c r="BE4" s="444"/>
      <c r="BF4" s="442" t="s">
        <v>298</v>
      </c>
      <c r="BG4" s="442" t="s">
        <v>680</v>
      </c>
      <c r="BH4" s="442" t="s">
        <v>681</v>
      </c>
      <c r="BI4" s="442"/>
    </row>
    <row r="5" spans="1:61">
      <c r="A5" s="442" t="s">
        <v>1203</v>
      </c>
      <c r="B5" s="442" t="s">
        <v>1203</v>
      </c>
      <c r="C5" s="442" t="s">
        <v>1204</v>
      </c>
      <c r="D5" s="442" t="s">
        <v>673</v>
      </c>
      <c r="E5" s="442" t="s">
        <v>3</v>
      </c>
      <c r="F5" s="443" t="s">
        <v>83</v>
      </c>
      <c r="G5" s="443" t="s">
        <v>691</v>
      </c>
      <c r="H5" s="444">
        <v>912000</v>
      </c>
      <c r="I5" s="444">
        <v>912000</v>
      </c>
      <c r="J5" s="444">
        <v>0</v>
      </c>
      <c r="K5" s="444">
        <v>0</v>
      </c>
      <c r="L5" s="444">
        <v>912000</v>
      </c>
      <c r="M5" s="444">
        <v>0</v>
      </c>
      <c r="N5" s="444">
        <v>0</v>
      </c>
      <c r="O5" s="444">
        <v>0</v>
      </c>
      <c r="P5" s="444">
        <v>0</v>
      </c>
      <c r="Q5" s="444">
        <v>0</v>
      </c>
      <c r="R5" s="444">
        <v>0</v>
      </c>
      <c r="S5" s="444">
        <v>0</v>
      </c>
      <c r="T5" s="444">
        <v>0</v>
      </c>
      <c r="U5" s="444">
        <v>0</v>
      </c>
      <c r="V5" s="444">
        <v>0</v>
      </c>
      <c r="W5" s="444">
        <v>0</v>
      </c>
      <c r="X5" s="442" t="s">
        <v>674</v>
      </c>
      <c r="Y5" s="442" t="s">
        <v>675</v>
      </c>
      <c r="Z5" s="442" t="s">
        <v>675</v>
      </c>
      <c r="AA5" s="442" t="s">
        <v>675</v>
      </c>
      <c r="AB5" s="442" t="s">
        <v>675</v>
      </c>
      <c r="AC5" s="442"/>
      <c r="AD5" s="442"/>
      <c r="AE5" s="442" t="s">
        <v>676</v>
      </c>
      <c r="AF5" s="442"/>
      <c r="AG5" s="443" t="s">
        <v>1206</v>
      </c>
      <c r="AH5" s="442"/>
      <c r="AI5" s="443" t="s">
        <v>1206</v>
      </c>
      <c r="AJ5" s="443" t="s">
        <v>677</v>
      </c>
      <c r="AK5" s="442" t="s">
        <v>677</v>
      </c>
      <c r="AL5" s="442"/>
      <c r="AM5" s="442"/>
      <c r="AN5" s="442"/>
      <c r="AO5" s="442"/>
      <c r="AP5" s="442"/>
      <c r="AQ5" s="442"/>
      <c r="AR5" s="444"/>
      <c r="AS5" s="442"/>
      <c r="AT5" s="444"/>
      <c r="AU5" s="442" t="s">
        <v>678</v>
      </c>
      <c r="AV5" s="442" t="s">
        <v>677</v>
      </c>
      <c r="AW5" s="442" t="s">
        <v>676</v>
      </c>
      <c r="AX5" s="442" t="s">
        <v>679</v>
      </c>
      <c r="AY5" s="442"/>
      <c r="AZ5" s="442"/>
      <c r="BA5" s="442" t="s">
        <v>679</v>
      </c>
      <c r="BB5" s="442"/>
      <c r="BC5" s="442"/>
      <c r="BD5" s="442"/>
      <c r="BE5" s="444"/>
      <c r="BF5" s="442" t="s">
        <v>298</v>
      </c>
      <c r="BG5" s="442" t="s">
        <v>680</v>
      </c>
      <c r="BH5" s="442" t="s">
        <v>681</v>
      </c>
      <c r="BI5" s="442"/>
    </row>
    <row r="6" spans="1:61">
      <c r="A6" s="442" t="s">
        <v>1203</v>
      </c>
      <c r="B6" s="442" t="s">
        <v>1203</v>
      </c>
      <c r="C6" s="442" t="s">
        <v>1204</v>
      </c>
      <c r="D6" s="442" t="s">
        <v>673</v>
      </c>
      <c r="E6" s="442" t="s">
        <v>3</v>
      </c>
      <c r="F6" s="443" t="s">
        <v>83</v>
      </c>
      <c r="G6" s="443" t="s">
        <v>691</v>
      </c>
      <c r="H6" s="444">
        <v>237600</v>
      </c>
      <c r="I6" s="444">
        <v>237600</v>
      </c>
      <c r="J6" s="444">
        <v>0</v>
      </c>
      <c r="K6" s="444">
        <v>0</v>
      </c>
      <c r="L6" s="444">
        <v>237600</v>
      </c>
      <c r="M6" s="444">
        <v>0</v>
      </c>
      <c r="N6" s="444">
        <v>0</v>
      </c>
      <c r="O6" s="444">
        <v>0</v>
      </c>
      <c r="P6" s="444">
        <v>0</v>
      </c>
      <c r="Q6" s="444">
        <v>0</v>
      </c>
      <c r="R6" s="444">
        <v>0</v>
      </c>
      <c r="S6" s="444">
        <v>0</v>
      </c>
      <c r="T6" s="444">
        <v>0</v>
      </c>
      <c r="U6" s="444">
        <v>0</v>
      </c>
      <c r="V6" s="444">
        <v>0</v>
      </c>
      <c r="W6" s="444">
        <v>0</v>
      </c>
      <c r="X6" s="442" t="s">
        <v>674</v>
      </c>
      <c r="Y6" s="442" t="s">
        <v>675</v>
      </c>
      <c r="Z6" s="442" t="s">
        <v>675</v>
      </c>
      <c r="AA6" s="442" t="s">
        <v>675</v>
      </c>
      <c r="AB6" s="442" t="s">
        <v>675</v>
      </c>
      <c r="AC6" s="442"/>
      <c r="AD6" s="442"/>
      <c r="AE6" s="442" t="s">
        <v>676</v>
      </c>
      <c r="AF6" s="442"/>
      <c r="AG6" s="443" t="s">
        <v>733</v>
      </c>
      <c r="AH6" s="442"/>
      <c r="AI6" s="443" t="s">
        <v>733</v>
      </c>
      <c r="AJ6" s="443" t="s">
        <v>677</v>
      </c>
      <c r="AK6" s="442" t="s">
        <v>677</v>
      </c>
      <c r="AL6" s="442"/>
      <c r="AM6" s="442"/>
      <c r="AN6" s="442"/>
      <c r="AO6" s="442"/>
      <c r="AP6" s="442"/>
      <c r="AQ6" s="442"/>
      <c r="AR6" s="444"/>
      <c r="AS6" s="442"/>
      <c r="AT6" s="444"/>
      <c r="AU6" s="442" t="s">
        <v>678</v>
      </c>
      <c r="AV6" s="442" t="s">
        <v>677</v>
      </c>
      <c r="AW6" s="442" t="s">
        <v>676</v>
      </c>
      <c r="AX6" s="442" t="s">
        <v>679</v>
      </c>
      <c r="AY6" s="442"/>
      <c r="AZ6" s="442"/>
      <c r="BA6" s="442" t="s">
        <v>679</v>
      </c>
      <c r="BB6" s="442"/>
      <c r="BC6" s="442"/>
      <c r="BD6" s="442"/>
      <c r="BE6" s="444"/>
      <c r="BF6" s="442" t="s">
        <v>298</v>
      </c>
      <c r="BG6" s="442" t="s">
        <v>680</v>
      </c>
      <c r="BH6" s="442" t="s">
        <v>681</v>
      </c>
      <c r="BI6" s="442"/>
    </row>
    <row r="7" spans="1:61">
      <c r="A7" s="442" t="s">
        <v>1204</v>
      </c>
      <c r="B7" s="442" t="s">
        <v>1204</v>
      </c>
      <c r="C7" s="442" t="s">
        <v>1207</v>
      </c>
      <c r="D7" s="442" t="s">
        <v>673</v>
      </c>
      <c r="E7" s="442" t="s">
        <v>3</v>
      </c>
      <c r="F7" s="443" t="s">
        <v>83</v>
      </c>
      <c r="G7" s="443" t="s">
        <v>700</v>
      </c>
      <c r="H7" s="444">
        <v>600000</v>
      </c>
      <c r="I7" s="444">
        <v>600000</v>
      </c>
      <c r="J7" s="444">
        <v>0</v>
      </c>
      <c r="K7" s="444">
        <v>0</v>
      </c>
      <c r="L7" s="444">
        <v>600000</v>
      </c>
      <c r="M7" s="444">
        <v>0</v>
      </c>
      <c r="N7" s="444">
        <v>0</v>
      </c>
      <c r="O7" s="444">
        <v>0</v>
      </c>
      <c r="P7" s="444">
        <v>0</v>
      </c>
      <c r="Q7" s="444">
        <v>0</v>
      </c>
      <c r="R7" s="444">
        <v>0</v>
      </c>
      <c r="S7" s="444">
        <v>0</v>
      </c>
      <c r="T7" s="444">
        <v>0</v>
      </c>
      <c r="U7" s="444">
        <v>0</v>
      </c>
      <c r="V7" s="444">
        <v>0</v>
      </c>
      <c r="W7" s="444">
        <v>0</v>
      </c>
      <c r="X7" s="442" t="s">
        <v>674</v>
      </c>
      <c r="Y7" s="442" t="s">
        <v>675</v>
      </c>
      <c r="Z7" s="442" t="s">
        <v>675</v>
      </c>
      <c r="AA7" s="442" t="s">
        <v>675</v>
      </c>
      <c r="AB7" s="442" t="s">
        <v>675</v>
      </c>
      <c r="AC7" s="442"/>
      <c r="AD7" s="442"/>
      <c r="AE7" s="442"/>
      <c r="AF7" s="442"/>
      <c r="AG7" s="443" t="s">
        <v>1208</v>
      </c>
      <c r="AH7" s="442"/>
      <c r="AI7" s="443" t="s">
        <v>1208</v>
      </c>
      <c r="AJ7" s="443" t="s">
        <v>677</v>
      </c>
      <c r="AK7" s="442" t="s">
        <v>677</v>
      </c>
      <c r="AL7" s="442"/>
      <c r="AM7" s="442"/>
      <c r="AN7" s="442"/>
      <c r="AO7" s="442"/>
      <c r="AP7" s="442"/>
      <c r="AQ7" s="442"/>
      <c r="AR7" s="444"/>
      <c r="AS7" s="442"/>
      <c r="AT7" s="444"/>
      <c r="AU7" s="442" t="s">
        <v>678</v>
      </c>
      <c r="AV7" s="442" t="s">
        <v>677</v>
      </c>
      <c r="AW7" s="442" t="s">
        <v>676</v>
      </c>
      <c r="AX7" s="442" t="s">
        <v>679</v>
      </c>
      <c r="AY7" s="442"/>
      <c r="AZ7" s="442"/>
      <c r="BA7" s="442" t="s">
        <v>679</v>
      </c>
      <c r="BB7" s="442"/>
      <c r="BC7" s="442"/>
      <c r="BD7" s="442"/>
      <c r="BE7" s="444"/>
      <c r="BF7" s="442" t="s">
        <v>298</v>
      </c>
      <c r="BG7" s="442" t="s">
        <v>680</v>
      </c>
      <c r="BH7" s="442" t="s">
        <v>681</v>
      </c>
      <c r="BI7" s="442"/>
    </row>
    <row r="8" spans="1:61">
      <c r="A8" s="442" t="s">
        <v>1204</v>
      </c>
      <c r="B8" s="442" t="s">
        <v>1204</v>
      </c>
      <c r="C8" s="442" t="s">
        <v>1207</v>
      </c>
      <c r="D8" s="442" t="s">
        <v>673</v>
      </c>
      <c r="E8" s="442" t="s">
        <v>3</v>
      </c>
      <c r="F8" s="443" t="s">
        <v>83</v>
      </c>
      <c r="G8" s="443" t="s">
        <v>700</v>
      </c>
      <c r="H8" s="444">
        <v>600000</v>
      </c>
      <c r="I8" s="444">
        <v>600000</v>
      </c>
      <c r="J8" s="444">
        <v>0</v>
      </c>
      <c r="K8" s="444">
        <v>0</v>
      </c>
      <c r="L8" s="444">
        <v>600000</v>
      </c>
      <c r="M8" s="444">
        <v>0</v>
      </c>
      <c r="N8" s="444">
        <v>0</v>
      </c>
      <c r="O8" s="444">
        <v>0</v>
      </c>
      <c r="P8" s="444">
        <v>0</v>
      </c>
      <c r="Q8" s="444">
        <v>0</v>
      </c>
      <c r="R8" s="444">
        <v>0</v>
      </c>
      <c r="S8" s="444">
        <v>0</v>
      </c>
      <c r="T8" s="444">
        <v>0</v>
      </c>
      <c r="U8" s="444">
        <v>0</v>
      </c>
      <c r="V8" s="444">
        <v>0</v>
      </c>
      <c r="W8" s="444">
        <v>0</v>
      </c>
      <c r="X8" s="442" t="s">
        <v>674</v>
      </c>
      <c r="Y8" s="442" t="s">
        <v>675</v>
      </c>
      <c r="Z8" s="442" t="s">
        <v>675</v>
      </c>
      <c r="AA8" s="442" t="s">
        <v>675</v>
      </c>
      <c r="AB8" s="442" t="s">
        <v>675</v>
      </c>
      <c r="AC8" s="442"/>
      <c r="AD8" s="442"/>
      <c r="AE8" s="442"/>
      <c r="AF8" s="442"/>
      <c r="AG8" s="443" t="s">
        <v>1208</v>
      </c>
      <c r="AH8" s="442"/>
      <c r="AI8" s="443" t="s">
        <v>1208</v>
      </c>
      <c r="AJ8" s="443" t="s">
        <v>677</v>
      </c>
      <c r="AK8" s="442" t="s">
        <v>677</v>
      </c>
      <c r="AL8" s="442"/>
      <c r="AM8" s="442"/>
      <c r="AN8" s="442"/>
      <c r="AO8" s="442"/>
      <c r="AP8" s="442"/>
      <c r="AQ8" s="442"/>
      <c r="AR8" s="444"/>
      <c r="AS8" s="442"/>
      <c r="AT8" s="444"/>
      <c r="AU8" s="442" t="s">
        <v>678</v>
      </c>
      <c r="AV8" s="442" t="s">
        <v>677</v>
      </c>
      <c r="AW8" s="442" t="s">
        <v>676</v>
      </c>
      <c r="AX8" s="442" t="s">
        <v>679</v>
      </c>
      <c r="AY8" s="442"/>
      <c r="AZ8" s="442"/>
      <c r="BA8" s="442" t="s">
        <v>679</v>
      </c>
      <c r="BB8" s="442"/>
      <c r="BC8" s="442"/>
      <c r="BD8" s="442"/>
      <c r="BE8" s="444"/>
      <c r="BF8" s="442" t="s">
        <v>298</v>
      </c>
      <c r="BG8" s="442" t="s">
        <v>680</v>
      </c>
      <c r="BH8" s="442" t="s">
        <v>681</v>
      </c>
      <c r="BI8" s="442"/>
    </row>
    <row r="9" spans="1:61">
      <c r="A9" s="442" t="s">
        <v>1204</v>
      </c>
      <c r="B9" s="442" t="s">
        <v>1204</v>
      </c>
      <c r="C9" s="442" t="s">
        <v>1207</v>
      </c>
      <c r="D9" s="442" t="s">
        <v>673</v>
      </c>
      <c r="E9" s="442" t="s">
        <v>3</v>
      </c>
      <c r="F9" s="443" t="s">
        <v>83</v>
      </c>
      <c r="G9" s="443" t="s">
        <v>700</v>
      </c>
      <c r="H9" s="444">
        <v>600000</v>
      </c>
      <c r="I9" s="444">
        <v>600000</v>
      </c>
      <c r="J9" s="444">
        <v>0</v>
      </c>
      <c r="K9" s="444">
        <v>0</v>
      </c>
      <c r="L9" s="444">
        <v>600000</v>
      </c>
      <c r="M9" s="444">
        <v>0</v>
      </c>
      <c r="N9" s="444">
        <v>0</v>
      </c>
      <c r="O9" s="444">
        <v>0</v>
      </c>
      <c r="P9" s="444">
        <v>0</v>
      </c>
      <c r="Q9" s="444">
        <v>0</v>
      </c>
      <c r="R9" s="444">
        <v>0</v>
      </c>
      <c r="S9" s="444">
        <v>0</v>
      </c>
      <c r="T9" s="444">
        <v>0</v>
      </c>
      <c r="U9" s="444">
        <v>0</v>
      </c>
      <c r="V9" s="444">
        <v>0</v>
      </c>
      <c r="W9" s="444">
        <v>0</v>
      </c>
      <c r="X9" s="442" t="s">
        <v>674</v>
      </c>
      <c r="Y9" s="442" t="s">
        <v>675</v>
      </c>
      <c r="Z9" s="442" t="s">
        <v>675</v>
      </c>
      <c r="AA9" s="442" t="s">
        <v>675</v>
      </c>
      <c r="AB9" s="442" t="s">
        <v>675</v>
      </c>
      <c r="AC9" s="442"/>
      <c r="AD9" s="442"/>
      <c r="AE9" s="442"/>
      <c r="AF9" s="442"/>
      <c r="AG9" s="443" t="s">
        <v>1208</v>
      </c>
      <c r="AH9" s="442"/>
      <c r="AI9" s="443" t="s">
        <v>1208</v>
      </c>
      <c r="AJ9" s="443" t="s">
        <v>677</v>
      </c>
      <c r="AK9" s="442" t="s">
        <v>677</v>
      </c>
      <c r="AL9" s="442"/>
      <c r="AM9" s="442"/>
      <c r="AN9" s="442"/>
      <c r="AO9" s="442"/>
      <c r="AP9" s="442"/>
      <c r="AQ9" s="442"/>
      <c r="AR9" s="444"/>
      <c r="AS9" s="442"/>
      <c r="AT9" s="444"/>
      <c r="AU9" s="442" t="s">
        <v>678</v>
      </c>
      <c r="AV9" s="442" t="s">
        <v>677</v>
      </c>
      <c r="AW9" s="442" t="s">
        <v>676</v>
      </c>
      <c r="AX9" s="442" t="s">
        <v>679</v>
      </c>
      <c r="AY9" s="442"/>
      <c r="AZ9" s="442"/>
      <c r="BA9" s="442" t="s">
        <v>679</v>
      </c>
      <c r="BB9" s="442"/>
      <c r="BC9" s="442"/>
      <c r="BD9" s="442"/>
      <c r="BE9" s="444"/>
      <c r="BF9" s="442" t="s">
        <v>298</v>
      </c>
      <c r="BG9" s="442" t="s">
        <v>680</v>
      </c>
      <c r="BH9" s="442" t="s">
        <v>681</v>
      </c>
      <c r="BI9" s="442"/>
    </row>
    <row r="10" spans="1:61">
      <c r="A10" s="442" t="s">
        <v>1204</v>
      </c>
      <c r="B10" s="442" t="s">
        <v>1204</v>
      </c>
      <c r="C10" s="442" t="s">
        <v>1207</v>
      </c>
      <c r="D10" s="442" t="s">
        <v>673</v>
      </c>
      <c r="E10" s="442" t="s">
        <v>3</v>
      </c>
      <c r="F10" s="443" t="s">
        <v>83</v>
      </c>
      <c r="G10" s="443" t="s">
        <v>700</v>
      </c>
      <c r="H10" s="444">
        <v>600000</v>
      </c>
      <c r="I10" s="444">
        <v>600000</v>
      </c>
      <c r="J10" s="444">
        <v>0</v>
      </c>
      <c r="K10" s="444">
        <v>0</v>
      </c>
      <c r="L10" s="444">
        <v>600000</v>
      </c>
      <c r="M10" s="444">
        <v>0</v>
      </c>
      <c r="N10" s="444">
        <v>0</v>
      </c>
      <c r="O10" s="444">
        <v>0</v>
      </c>
      <c r="P10" s="444">
        <v>0</v>
      </c>
      <c r="Q10" s="444">
        <v>0</v>
      </c>
      <c r="R10" s="444">
        <v>0</v>
      </c>
      <c r="S10" s="444">
        <v>0</v>
      </c>
      <c r="T10" s="444">
        <v>0</v>
      </c>
      <c r="U10" s="444">
        <v>0</v>
      </c>
      <c r="V10" s="444">
        <v>0</v>
      </c>
      <c r="W10" s="444">
        <v>0</v>
      </c>
      <c r="X10" s="442" t="s">
        <v>674</v>
      </c>
      <c r="Y10" s="442" t="s">
        <v>675</v>
      </c>
      <c r="Z10" s="442" t="s">
        <v>675</v>
      </c>
      <c r="AA10" s="442" t="s">
        <v>675</v>
      </c>
      <c r="AB10" s="442" t="s">
        <v>675</v>
      </c>
      <c r="AC10" s="442"/>
      <c r="AD10" s="442"/>
      <c r="AE10" s="442"/>
      <c r="AF10" s="442"/>
      <c r="AG10" s="443" t="s">
        <v>1208</v>
      </c>
      <c r="AH10" s="442"/>
      <c r="AI10" s="443" t="s">
        <v>1208</v>
      </c>
      <c r="AJ10" s="443" t="s">
        <v>677</v>
      </c>
      <c r="AK10" s="442" t="s">
        <v>677</v>
      </c>
      <c r="AL10" s="442"/>
      <c r="AM10" s="442"/>
      <c r="AN10" s="442"/>
      <c r="AO10" s="442"/>
      <c r="AP10" s="442"/>
      <c r="AQ10" s="442"/>
      <c r="AR10" s="444"/>
      <c r="AS10" s="442"/>
      <c r="AT10" s="444"/>
      <c r="AU10" s="442" t="s">
        <v>678</v>
      </c>
      <c r="AV10" s="442" t="s">
        <v>677</v>
      </c>
      <c r="AW10" s="442" t="s">
        <v>676</v>
      </c>
      <c r="AX10" s="442" t="s">
        <v>679</v>
      </c>
      <c r="AY10" s="442"/>
      <c r="AZ10" s="442"/>
      <c r="BA10" s="442" t="s">
        <v>679</v>
      </c>
      <c r="BB10" s="442"/>
      <c r="BC10" s="442"/>
      <c r="BD10" s="442"/>
      <c r="BE10" s="444"/>
      <c r="BF10" s="442" t="s">
        <v>298</v>
      </c>
      <c r="BG10" s="442" t="s">
        <v>680</v>
      </c>
      <c r="BH10" s="442" t="s">
        <v>681</v>
      </c>
      <c r="BI10" s="442"/>
    </row>
    <row r="11" spans="1:61">
      <c r="A11" s="442" t="s">
        <v>1204</v>
      </c>
      <c r="B11" s="442" t="s">
        <v>1204</v>
      </c>
      <c r="C11" s="442" t="s">
        <v>1207</v>
      </c>
      <c r="D11" s="442" t="s">
        <v>673</v>
      </c>
      <c r="E11" s="442" t="s">
        <v>3</v>
      </c>
      <c r="F11" s="443" t="s">
        <v>83</v>
      </c>
      <c r="G11" s="443" t="s">
        <v>700</v>
      </c>
      <c r="H11" s="444">
        <v>600000</v>
      </c>
      <c r="I11" s="444">
        <v>600000</v>
      </c>
      <c r="J11" s="444">
        <v>0</v>
      </c>
      <c r="K11" s="444">
        <v>0</v>
      </c>
      <c r="L11" s="444">
        <v>600000</v>
      </c>
      <c r="M11" s="444">
        <v>0</v>
      </c>
      <c r="N11" s="444">
        <v>0</v>
      </c>
      <c r="O11" s="444">
        <v>0</v>
      </c>
      <c r="P11" s="444">
        <v>0</v>
      </c>
      <c r="Q11" s="444">
        <v>0</v>
      </c>
      <c r="R11" s="444">
        <v>0</v>
      </c>
      <c r="S11" s="444">
        <v>0</v>
      </c>
      <c r="T11" s="444">
        <v>0</v>
      </c>
      <c r="U11" s="444">
        <v>0</v>
      </c>
      <c r="V11" s="444">
        <v>0</v>
      </c>
      <c r="W11" s="444">
        <v>0</v>
      </c>
      <c r="X11" s="442" t="s">
        <v>674</v>
      </c>
      <c r="Y11" s="442" t="s">
        <v>675</v>
      </c>
      <c r="Z11" s="442" t="s">
        <v>675</v>
      </c>
      <c r="AA11" s="442" t="s">
        <v>675</v>
      </c>
      <c r="AB11" s="442" t="s">
        <v>675</v>
      </c>
      <c r="AC11" s="442"/>
      <c r="AD11" s="442"/>
      <c r="AE11" s="442"/>
      <c r="AF11" s="442"/>
      <c r="AG11" s="443" t="s">
        <v>1208</v>
      </c>
      <c r="AH11" s="442"/>
      <c r="AI11" s="443" t="s">
        <v>1208</v>
      </c>
      <c r="AJ11" s="443" t="s">
        <v>677</v>
      </c>
      <c r="AK11" s="442" t="s">
        <v>677</v>
      </c>
      <c r="AL11" s="442"/>
      <c r="AM11" s="442"/>
      <c r="AN11" s="442"/>
      <c r="AO11" s="442"/>
      <c r="AP11" s="442"/>
      <c r="AQ11" s="442"/>
      <c r="AR11" s="444"/>
      <c r="AS11" s="442"/>
      <c r="AT11" s="444"/>
      <c r="AU11" s="442" t="s">
        <v>678</v>
      </c>
      <c r="AV11" s="442" t="s">
        <v>677</v>
      </c>
      <c r="AW11" s="442" t="s">
        <v>676</v>
      </c>
      <c r="AX11" s="442" t="s">
        <v>679</v>
      </c>
      <c r="AY11" s="442"/>
      <c r="AZ11" s="442"/>
      <c r="BA11" s="442" t="s">
        <v>679</v>
      </c>
      <c r="BB11" s="442"/>
      <c r="BC11" s="442"/>
      <c r="BD11" s="442"/>
      <c r="BE11" s="444"/>
      <c r="BF11" s="442" t="s">
        <v>298</v>
      </c>
      <c r="BG11" s="442" t="s">
        <v>680</v>
      </c>
      <c r="BH11" s="442" t="s">
        <v>681</v>
      </c>
      <c r="BI11" s="442"/>
    </row>
    <row r="12" spans="1:61">
      <c r="A12" s="442" t="s">
        <v>1204</v>
      </c>
      <c r="B12" s="442" t="s">
        <v>1204</v>
      </c>
      <c r="C12" s="442" t="s">
        <v>1207</v>
      </c>
      <c r="D12" s="442" t="s">
        <v>673</v>
      </c>
      <c r="E12" s="442" t="s">
        <v>3</v>
      </c>
      <c r="F12" s="443" t="s">
        <v>7</v>
      </c>
      <c r="G12" s="443" t="s">
        <v>684</v>
      </c>
      <c r="H12" s="444">
        <v>425360</v>
      </c>
      <c r="I12" s="444">
        <v>425360</v>
      </c>
      <c r="J12" s="444">
        <v>0</v>
      </c>
      <c r="K12" s="444">
        <v>0</v>
      </c>
      <c r="L12" s="444">
        <v>425360</v>
      </c>
      <c r="M12" s="444">
        <v>0</v>
      </c>
      <c r="N12" s="444">
        <v>0</v>
      </c>
      <c r="O12" s="444">
        <v>0</v>
      </c>
      <c r="P12" s="444">
        <v>0</v>
      </c>
      <c r="Q12" s="444">
        <v>0</v>
      </c>
      <c r="R12" s="444">
        <v>0</v>
      </c>
      <c r="S12" s="444">
        <v>0</v>
      </c>
      <c r="T12" s="444">
        <v>0</v>
      </c>
      <c r="U12" s="444">
        <v>0</v>
      </c>
      <c r="V12" s="444">
        <v>0</v>
      </c>
      <c r="W12" s="444">
        <v>0</v>
      </c>
      <c r="X12" s="442" t="s">
        <v>674</v>
      </c>
      <c r="Y12" s="442" t="s">
        <v>675</v>
      </c>
      <c r="Z12" s="442" t="s">
        <v>675</v>
      </c>
      <c r="AA12" s="442" t="s">
        <v>675</v>
      </c>
      <c r="AB12" s="442" t="s">
        <v>675</v>
      </c>
      <c r="AC12" s="442"/>
      <c r="AD12" s="442"/>
      <c r="AE12" s="442"/>
      <c r="AF12" s="442"/>
      <c r="AG12" s="443" t="s">
        <v>1209</v>
      </c>
      <c r="AH12" s="442"/>
      <c r="AI12" s="443" t="s">
        <v>1209</v>
      </c>
      <c r="AJ12" s="443" t="s">
        <v>677</v>
      </c>
      <c r="AK12" s="442" t="s">
        <v>677</v>
      </c>
      <c r="AL12" s="442"/>
      <c r="AM12" s="442"/>
      <c r="AN12" s="442"/>
      <c r="AO12" s="442"/>
      <c r="AP12" s="442"/>
      <c r="AQ12" s="442"/>
      <c r="AR12" s="444"/>
      <c r="AS12" s="442"/>
      <c r="AT12" s="444"/>
      <c r="AU12" s="442" t="s">
        <v>678</v>
      </c>
      <c r="AV12" s="442" t="s">
        <v>677</v>
      </c>
      <c r="AW12" s="442" t="s">
        <v>676</v>
      </c>
      <c r="AX12" s="442" t="s">
        <v>679</v>
      </c>
      <c r="AY12" s="442"/>
      <c r="AZ12" s="442"/>
      <c r="BA12" s="442" t="s">
        <v>679</v>
      </c>
      <c r="BB12" s="442"/>
      <c r="BC12" s="442"/>
      <c r="BD12" s="442"/>
      <c r="BE12" s="444"/>
      <c r="BF12" s="442" t="s">
        <v>298</v>
      </c>
      <c r="BG12" s="442" t="s">
        <v>680</v>
      </c>
      <c r="BH12" s="442" t="s">
        <v>681</v>
      </c>
      <c r="BI12" s="442"/>
    </row>
    <row r="13" spans="1:61">
      <c r="A13" s="442" t="s">
        <v>1204</v>
      </c>
      <c r="B13" s="442" t="s">
        <v>1204</v>
      </c>
      <c r="C13" s="442" t="s">
        <v>1207</v>
      </c>
      <c r="D13" s="442" t="s">
        <v>673</v>
      </c>
      <c r="E13" s="442" t="s">
        <v>3</v>
      </c>
      <c r="F13" s="443" t="s">
        <v>7</v>
      </c>
      <c r="G13" s="443" t="s">
        <v>684</v>
      </c>
      <c r="H13" s="444">
        <v>200870</v>
      </c>
      <c r="I13" s="444">
        <v>200870</v>
      </c>
      <c r="J13" s="444">
        <v>0</v>
      </c>
      <c r="K13" s="444">
        <v>0</v>
      </c>
      <c r="L13" s="444">
        <v>200870</v>
      </c>
      <c r="M13" s="444">
        <v>0</v>
      </c>
      <c r="N13" s="444">
        <v>0</v>
      </c>
      <c r="O13" s="444">
        <v>0</v>
      </c>
      <c r="P13" s="444">
        <v>0</v>
      </c>
      <c r="Q13" s="444">
        <v>0</v>
      </c>
      <c r="R13" s="444">
        <v>0</v>
      </c>
      <c r="S13" s="444">
        <v>0</v>
      </c>
      <c r="T13" s="444">
        <v>0</v>
      </c>
      <c r="U13" s="444">
        <v>0</v>
      </c>
      <c r="V13" s="444">
        <v>0</v>
      </c>
      <c r="W13" s="444">
        <v>0</v>
      </c>
      <c r="X13" s="442" t="s">
        <v>674</v>
      </c>
      <c r="Y13" s="442" t="s">
        <v>675</v>
      </c>
      <c r="Z13" s="442" t="s">
        <v>675</v>
      </c>
      <c r="AA13" s="442" t="s">
        <v>675</v>
      </c>
      <c r="AB13" s="442" t="s">
        <v>675</v>
      </c>
      <c r="AC13" s="442"/>
      <c r="AD13" s="442"/>
      <c r="AE13" s="442"/>
      <c r="AF13" s="442"/>
      <c r="AG13" s="443" t="s">
        <v>1210</v>
      </c>
      <c r="AH13" s="442"/>
      <c r="AI13" s="443" t="s">
        <v>1210</v>
      </c>
      <c r="AJ13" s="443" t="s">
        <v>677</v>
      </c>
      <c r="AK13" s="442" t="s">
        <v>677</v>
      </c>
      <c r="AL13" s="442"/>
      <c r="AM13" s="442"/>
      <c r="AN13" s="442"/>
      <c r="AO13" s="442"/>
      <c r="AP13" s="442"/>
      <c r="AQ13" s="442"/>
      <c r="AR13" s="444"/>
      <c r="AS13" s="442"/>
      <c r="AT13" s="444"/>
      <c r="AU13" s="442" t="s">
        <v>678</v>
      </c>
      <c r="AV13" s="442" t="s">
        <v>677</v>
      </c>
      <c r="AW13" s="442" t="s">
        <v>676</v>
      </c>
      <c r="AX13" s="442" t="s">
        <v>679</v>
      </c>
      <c r="AY13" s="442"/>
      <c r="AZ13" s="442"/>
      <c r="BA13" s="442" t="s">
        <v>679</v>
      </c>
      <c r="BB13" s="442"/>
      <c r="BC13" s="442"/>
      <c r="BD13" s="442"/>
      <c r="BE13" s="444"/>
      <c r="BF13" s="442" t="s">
        <v>298</v>
      </c>
      <c r="BG13" s="442" t="s">
        <v>680</v>
      </c>
      <c r="BH13" s="442" t="s">
        <v>681</v>
      </c>
      <c r="BI13" s="442"/>
    </row>
    <row r="14" spans="1:61">
      <c r="A14" s="442" t="s">
        <v>1204</v>
      </c>
      <c r="B14" s="442" t="s">
        <v>1204</v>
      </c>
      <c r="C14" s="442" t="s">
        <v>1207</v>
      </c>
      <c r="D14" s="442" t="s">
        <v>673</v>
      </c>
      <c r="E14" s="442" t="s">
        <v>3</v>
      </c>
      <c r="F14" s="443" t="s">
        <v>7</v>
      </c>
      <c r="G14" s="443" t="s">
        <v>684</v>
      </c>
      <c r="H14" s="444">
        <v>243050</v>
      </c>
      <c r="I14" s="444">
        <v>243050</v>
      </c>
      <c r="J14" s="444">
        <v>0</v>
      </c>
      <c r="K14" s="444">
        <v>0</v>
      </c>
      <c r="L14" s="444">
        <v>243050</v>
      </c>
      <c r="M14" s="444">
        <v>0</v>
      </c>
      <c r="N14" s="444">
        <v>0</v>
      </c>
      <c r="O14" s="444">
        <v>0</v>
      </c>
      <c r="P14" s="444">
        <v>0</v>
      </c>
      <c r="Q14" s="444">
        <v>0</v>
      </c>
      <c r="R14" s="444">
        <v>0</v>
      </c>
      <c r="S14" s="444">
        <v>0</v>
      </c>
      <c r="T14" s="444">
        <v>0</v>
      </c>
      <c r="U14" s="444">
        <v>0</v>
      </c>
      <c r="V14" s="444">
        <v>0</v>
      </c>
      <c r="W14" s="444">
        <v>0</v>
      </c>
      <c r="X14" s="442" t="s">
        <v>674</v>
      </c>
      <c r="Y14" s="442" t="s">
        <v>675</v>
      </c>
      <c r="Z14" s="442" t="s">
        <v>675</v>
      </c>
      <c r="AA14" s="442" t="s">
        <v>675</v>
      </c>
      <c r="AB14" s="442" t="s">
        <v>675</v>
      </c>
      <c r="AC14" s="442"/>
      <c r="AD14" s="442"/>
      <c r="AE14" s="442"/>
      <c r="AF14" s="442"/>
      <c r="AG14" s="443" t="s">
        <v>1211</v>
      </c>
      <c r="AH14" s="442"/>
      <c r="AI14" s="443" t="s">
        <v>1211</v>
      </c>
      <c r="AJ14" s="443" t="s">
        <v>677</v>
      </c>
      <c r="AK14" s="442" t="s">
        <v>677</v>
      </c>
      <c r="AL14" s="442"/>
      <c r="AM14" s="442"/>
      <c r="AN14" s="442"/>
      <c r="AO14" s="442"/>
      <c r="AP14" s="442"/>
      <c r="AQ14" s="442"/>
      <c r="AR14" s="444"/>
      <c r="AS14" s="442"/>
      <c r="AT14" s="444"/>
      <c r="AU14" s="442" t="s">
        <v>678</v>
      </c>
      <c r="AV14" s="442" t="s">
        <v>677</v>
      </c>
      <c r="AW14" s="442" t="s">
        <v>676</v>
      </c>
      <c r="AX14" s="442" t="s">
        <v>679</v>
      </c>
      <c r="AY14" s="442"/>
      <c r="AZ14" s="442"/>
      <c r="BA14" s="442" t="s">
        <v>679</v>
      </c>
      <c r="BB14" s="442"/>
      <c r="BC14" s="442"/>
      <c r="BD14" s="442"/>
      <c r="BE14" s="444"/>
      <c r="BF14" s="442" t="s">
        <v>298</v>
      </c>
      <c r="BG14" s="442" t="s">
        <v>680</v>
      </c>
      <c r="BH14" s="442" t="s">
        <v>681</v>
      </c>
      <c r="BI14" s="442"/>
    </row>
    <row r="15" spans="1:61">
      <c r="A15" s="442" t="s">
        <v>1204</v>
      </c>
      <c r="B15" s="442" t="s">
        <v>1204</v>
      </c>
      <c r="C15" s="442" t="s">
        <v>1207</v>
      </c>
      <c r="D15" s="442" t="s">
        <v>673</v>
      </c>
      <c r="E15" s="442" t="s">
        <v>3</v>
      </c>
      <c r="F15" s="443" t="s">
        <v>7</v>
      </c>
      <c r="G15" s="443" t="s">
        <v>684</v>
      </c>
      <c r="H15" s="444">
        <v>326417</v>
      </c>
      <c r="I15" s="444">
        <v>326417</v>
      </c>
      <c r="J15" s="444">
        <v>0</v>
      </c>
      <c r="K15" s="444">
        <v>0</v>
      </c>
      <c r="L15" s="444">
        <v>326417</v>
      </c>
      <c r="M15" s="444">
        <v>0</v>
      </c>
      <c r="N15" s="444">
        <v>0</v>
      </c>
      <c r="O15" s="444">
        <v>0</v>
      </c>
      <c r="P15" s="444">
        <v>0</v>
      </c>
      <c r="Q15" s="444">
        <v>0</v>
      </c>
      <c r="R15" s="444">
        <v>0</v>
      </c>
      <c r="S15" s="444">
        <v>0</v>
      </c>
      <c r="T15" s="444">
        <v>0</v>
      </c>
      <c r="U15" s="444">
        <v>0</v>
      </c>
      <c r="V15" s="444">
        <v>0</v>
      </c>
      <c r="W15" s="444">
        <v>0</v>
      </c>
      <c r="X15" s="442" t="s">
        <v>674</v>
      </c>
      <c r="Y15" s="442" t="s">
        <v>675</v>
      </c>
      <c r="Z15" s="442" t="s">
        <v>675</v>
      </c>
      <c r="AA15" s="442" t="s">
        <v>675</v>
      </c>
      <c r="AB15" s="442" t="s">
        <v>675</v>
      </c>
      <c r="AC15" s="442"/>
      <c r="AD15" s="442"/>
      <c r="AE15" s="442"/>
      <c r="AF15" s="442"/>
      <c r="AG15" s="443" t="s">
        <v>1211</v>
      </c>
      <c r="AH15" s="442"/>
      <c r="AI15" s="443" t="s">
        <v>1211</v>
      </c>
      <c r="AJ15" s="443" t="s">
        <v>677</v>
      </c>
      <c r="AK15" s="442" t="s">
        <v>677</v>
      </c>
      <c r="AL15" s="442"/>
      <c r="AM15" s="442"/>
      <c r="AN15" s="442"/>
      <c r="AO15" s="442"/>
      <c r="AP15" s="442"/>
      <c r="AQ15" s="442"/>
      <c r="AR15" s="444"/>
      <c r="AS15" s="442"/>
      <c r="AT15" s="444"/>
      <c r="AU15" s="442" t="s">
        <v>678</v>
      </c>
      <c r="AV15" s="442" t="s">
        <v>677</v>
      </c>
      <c r="AW15" s="442" t="s">
        <v>676</v>
      </c>
      <c r="AX15" s="442" t="s">
        <v>679</v>
      </c>
      <c r="AY15" s="442"/>
      <c r="AZ15" s="442"/>
      <c r="BA15" s="442" t="s">
        <v>679</v>
      </c>
      <c r="BB15" s="442"/>
      <c r="BC15" s="442"/>
      <c r="BD15" s="442"/>
      <c r="BE15" s="444"/>
      <c r="BF15" s="442" t="s">
        <v>298</v>
      </c>
      <c r="BG15" s="442" t="s">
        <v>680</v>
      </c>
      <c r="BH15" s="442" t="s">
        <v>681</v>
      </c>
      <c r="BI15" s="442"/>
    </row>
    <row r="16" spans="1:61">
      <c r="A16" s="442" t="s">
        <v>1204</v>
      </c>
      <c r="B16" s="442" t="s">
        <v>1204</v>
      </c>
      <c r="C16" s="442" t="s">
        <v>1207</v>
      </c>
      <c r="D16" s="442" t="s">
        <v>673</v>
      </c>
      <c r="E16" s="442" t="s">
        <v>3</v>
      </c>
      <c r="F16" s="443" t="s">
        <v>7</v>
      </c>
      <c r="G16" s="443" t="s">
        <v>684</v>
      </c>
      <c r="H16" s="444">
        <v>368340</v>
      </c>
      <c r="I16" s="444">
        <v>368340</v>
      </c>
      <c r="J16" s="444">
        <v>0</v>
      </c>
      <c r="K16" s="444">
        <v>0</v>
      </c>
      <c r="L16" s="444">
        <v>368340</v>
      </c>
      <c r="M16" s="444">
        <v>0</v>
      </c>
      <c r="N16" s="444">
        <v>0</v>
      </c>
      <c r="O16" s="444">
        <v>0</v>
      </c>
      <c r="P16" s="444">
        <v>0</v>
      </c>
      <c r="Q16" s="444">
        <v>0</v>
      </c>
      <c r="R16" s="444">
        <v>0</v>
      </c>
      <c r="S16" s="444">
        <v>0</v>
      </c>
      <c r="T16" s="444">
        <v>0</v>
      </c>
      <c r="U16" s="444">
        <v>0</v>
      </c>
      <c r="V16" s="444">
        <v>0</v>
      </c>
      <c r="W16" s="444">
        <v>0</v>
      </c>
      <c r="X16" s="442" t="s">
        <v>674</v>
      </c>
      <c r="Y16" s="442" t="s">
        <v>675</v>
      </c>
      <c r="Z16" s="442" t="s">
        <v>675</v>
      </c>
      <c r="AA16" s="442" t="s">
        <v>675</v>
      </c>
      <c r="AB16" s="442" t="s">
        <v>675</v>
      </c>
      <c r="AC16" s="442"/>
      <c r="AD16" s="442"/>
      <c r="AE16" s="442"/>
      <c r="AF16" s="442"/>
      <c r="AG16" s="443" t="s">
        <v>1212</v>
      </c>
      <c r="AH16" s="442"/>
      <c r="AI16" s="443" t="s">
        <v>1212</v>
      </c>
      <c r="AJ16" s="443" t="s">
        <v>677</v>
      </c>
      <c r="AK16" s="442" t="s">
        <v>677</v>
      </c>
      <c r="AL16" s="442"/>
      <c r="AM16" s="442"/>
      <c r="AN16" s="442"/>
      <c r="AO16" s="442"/>
      <c r="AP16" s="442"/>
      <c r="AQ16" s="442"/>
      <c r="AR16" s="444"/>
      <c r="AS16" s="442"/>
      <c r="AT16" s="444"/>
      <c r="AU16" s="442" t="s">
        <v>678</v>
      </c>
      <c r="AV16" s="442" t="s">
        <v>677</v>
      </c>
      <c r="AW16" s="442" t="s">
        <v>676</v>
      </c>
      <c r="AX16" s="442" t="s">
        <v>679</v>
      </c>
      <c r="AY16" s="442"/>
      <c r="AZ16" s="442"/>
      <c r="BA16" s="442" t="s">
        <v>679</v>
      </c>
      <c r="BB16" s="442"/>
      <c r="BC16" s="442"/>
      <c r="BD16" s="442"/>
      <c r="BE16" s="444"/>
      <c r="BF16" s="442" t="s">
        <v>298</v>
      </c>
      <c r="BG16" s="442" t="s">
        <v>680</v>
      </c>
      <c r="BH16" s="442" t="s">
        <v>681</v>
      </c>
      <c r="BI16" s="442"/>
    </row>
    <row r="17" spans="1:61">
      <c r="A17" s="442" t="s">
        <v>1204</v>
      </c>
      <c r="B17" s="442" t="s">
        <v>1204</v>
      </c>
      <c r="C17" s="442" t="s">
        <v>1207</v>
      </c>
      <c r="D17" s="442" t="s">
        <v>673</v>
      </c>
      <c r="E17" s="442" t="s">
        <v>3</v>
      </c>
      <c r="F17" s="443" t="s">
        <v>7</v>
      </c>
      <c r="G17" s="443" t="s">
        <v>684</v>
      </c>
      <c r="H17" s="444">
        <v>3347790</v>
      </c>
      <c r="I17" s="444">
        <v>3347790</v>
      </c>
      <c r="J17" s="444">
        <v>0</v>
      </c>
      <c r="K17" s="444">
        <v>0</v>
      </c>
      <c r="L17" s="444">
        <v>3347790</v>
      </c>
      <c r="M17" s="444">
        <v>0</v>
      </c>
      <c r="N17" s="444">
        <v>0</v>
      </c>
      <c r="O17" s="444">
        <v>0</v>
      </c>
      <c r="P17" s="444">
        <v>0</v>
      </c>
      <c r="Q17" s="444">
        <v>0</v>
      </c>
      <c r="R17" s="444">
        <v>0</v>
      </c>
      <c r="S17" s="444">
        <v>0</v>
      </c>
      <c r="T17" s="444">
        <v>0</v>
      </c>
      <c r="U17" s="444">
        <v>0</v>
      </c>
      <c r="V17" s="444">
        <v>0</v>
      </c>
      <c r="W17" s="444">
        <v>0</v>
      </c>
      <c r="X17" s="442" t="s">
        <v>674</v>
      </c>
      <c r="Y17" s="442" t="s">
        <v>675</v>
      </c>
      <c r="Z17" s="442" t="s">
        <v>675</v>
      </c>
      <c r="AA17" s="442" t="s">
        <v>675</v>
      </c>
      <c r="AB17" s="442" t="s">
        <v>675</v>
      </c>
      <c r="AC17" s="442"/>
      <c r="AD17" s="442"/>
      <c r="AE17" s="442"/>
      <c r="AF17" s="442"/>
      <c r="AG17" s="443" t="s">
        <v>1213</v>
      </c>
      <c r="AH17" s="442"/>
      <c r="AI17" s="443" t="s">
        <v>1213</v>
      </c>
      <c r="AJ17" s="443" t="s">
        <v>677</v>
      </c>
      <c r="AK17" s="442" t="s">
        <v>677</v>
      </c>
      <c r="AL17" s="442"/>
      <c r="AM17" s="442"/>
      <c r="AN17" s="442"/>
      <c r="AO17" s="442"/>
      <c r="AP17" s="442"/>
      <c r="AQ17" s="442"/>
      <c r="AR17" s="444"/>
      <c r="AS17" s="442"/>
      <c r="AT17" s="444"/>
      <c r="AU17" s="442" t="s">
        <v>678</v>
      </c>
      <c r="AV17" s="442" t="s">
        <v>677</v>
      </c>
      <c r="AW17" s="442" t="s">
        <v>676</v>
      </c>
      <c r="AX17" s="442" t="s">
        <v>679</v>
      </c>
      <c r="AY17" s="442"/>
      <c r="AZ17" s="442"/>
      <c r="BA17" s="442" t="s">
        <v>679</v>
      </c>
      <c r="BB17" s="442"/>
      <c r="BC17" s="442"/>
      <c r="BD17" s="442"/>
      <c r="BE17" s="444"/>
      <c r="BF17" s="442" t="s">
        <v>298</v>
      </c>
      <c r="BG17" s="442" t="s">
        <v>680</v>
      </c>
      <c r="BH17" s="442" t="s">
        <v>681</v>
      </c>
      <c r="BI17" s="442"/>
    </row>
    <row r="18" spans="1:61">
      <c r="A18" s="442" t="s">
        <v>1204</v>
      </c>
      <c r="B18" s="442" t="s">
        <v>1204</v>
      </c>
      <c r="C18" s="442" t="s">
        <v>1207</v>
      </c>
      <c r="D18" s="442" t="s">
        <v>673</v>
      </c>
      <c r="E18" s="442" t="s">
        <v>3</v>
      </c>
      <c r="F18" s="443" t="s">
        <v>7</v>
      </c>
      <c r="G18" s="443" t="s">
        <v>684</v>
      </c>
      <c r="H18" s="444">
        <v>316700</v>
      </c>
      <c r="I18" s="444">
        <v>316700</v>
      </c>
      <c r="J18" s="444">
        <v>0</v>
      </c>
      <c r="K18" s="444">
        <v>0</v>
      </c>
      <c r="L18" s="444">
        <v>316700</v>
      </c>
      <c r="M18" s="444">
        <v>0</v>
      </c>
      <c r="N18" s="444">
        <v>0</v>
      </c>
      <c r="O18" s="444">
        <v>0</v>
      </c>
      <c r="P18" s="444">
        <v>0</v>
      </c>
      <c r="Q18" s="444">
        <v>0</v>
      </c>
      <c r="R18" s="444">
        <v>0</v>
      </c>
      <c r="S18" s="444">
        <v>0</v>
      </c>
      <c r="T18" s="444">
        <v>0</v>
      </c>
      <c r="U18" s="444">
        <v>0</v>
      </c>
      <c r="V18" s="444">
        <v>0</v>
      </c>
      <c r="W18" s="444">
        <v>0</v>
      </c>
      <c r="X18" s="442" t="s">
        <v>674</v>
      </c>
      <c r="Y18" s="442" t="s">
        <v>675</v>
      </c>
      <c r="Z18" s="442" t="s">
        <v>675</v>
      </c>
      <c r="AA18" s="442" t="s">
        <v>675</v>
      </c>
      <c r="AB18" s="442" t="s">
        <v>675</v>
      </c>
      <c r="AC18" s="442"/>
      <c r="AD18" s="442"/>
      <c r="AE18" s="442"/>
      <c r="AF18" s="442"/>
      <c r="AG18" s="443" t="s">
        <v>1209</v>
      </c>
      <c r="AH18" s="442"/>
      <c r="AI18" s="443" t="s">
        <v>1209</v>
      </c>
      <c r="AJ18" s="443" t="s">
        <v>677</v>
      </c>
      <c r="AK18" s="442" t="s">
        <v>677</v>
      </c>
      <c r="AL18" s="442"/>
      <c r="AM18" s="442"/>
      <c r="AN18" s="442"/>
      <c r="AO18" s="442"/>
      <c r="AP18" s="442"/>
      <c r="AQ18" s="442"/>
      <c r="AR18" s="444"/>
      <c r="AS18" s="442"/>
      <c r="AT18" s="444"/>
      <c r="AU18" s="442" t="s">
        <v>678</v>
      </c>
      <c r="AV18" s="442" t="s">
        <v>677</v>
      </c>
      <c r="AW18" s="442" t="s">
        <v>676</v>
      </c>
      <c r="AX18" s="442" t="s">
        <v>679</v>
      </c>
      <c r="AY18" s="442"/>
      <c r="AZ18" s="442"/>
      <c r="BA18" s="442" t="s">
        <v>679</v>
      </c>
      <c r="BB18" s="442"/>
      <c r="BC18" s="442"/>
      <c r="BD18" s="442"/>
      <c r="BE18" s="444"/>
      <c r="BF18" s="442" t="s">
        <v>298</v>
      </c>
      <c r="BG18" s="442" t="s">
        <v>680</v>
      </c>
      <c r="BH18" s="442" t="s">
        <v>681</v>
      </c>
      <c r="BI18" s="442"/>
    </row>
    <row r="19" spans="1:61">
      <c r="A19" s="442" t="s">
        <v>1204</v>
      </c>
      <c r="B19" s="442" t="s">
        <v>1204</v>
      </c>
      <c r="C19" s="442" t="s">
        <v>1207</v>
      </c>
      <c r="D19" s="442" t="s">
        <v>673</v>
      </c>
      <c r="E19" s="442" t="s">
        <v>3</v>
      </c>
      <c r="F19" s="443" t="s">
        <v>7</v>
      </c>
      <c r="G19" s="443" t="s">
        <v>684</v>
      </c>
      <c r="H19" s="444">
        <v>274240</v>
      </c>
      <c r="I19" s="444">
        <v>274240</v>
      </c>
      <c r="J19" s="444">
        <v>0</v>
      </c>
      <c r="K19" s="444">
        <v>0</v>
      </c>
      <c r="L19" s="444">
        <v>274240</v>
      </c>
      <c r="M19" s="444">
        <v>0</v>
      </c>
      <c r="N19" s="444">
        <v>0</v>
      </c>
      <c r="O19" s="444">
        <v>0</v>
      </c>
      <c r="P19" s="444">
        <v>0</v>
      </c>
      <c r="Q19" s="444">
        <v>0</v>
      </c>
      <c r="R19" s="444">
        <v>0</v>
      </c>
      <c r="S19" s="444">
        <v>0</v>
      </c>
      <c r="T19" s="444">
        <v>0</v>
      </c>
      <c r="U19" s="444">
        <v>0</v>
      </c>
      <c r="V19" s="444">
        <v>0</v>
      </c>
      <c r="W19" s="444">
        <v>0</v>
      </c>
      <c r="X19" s="442" t="s">
        <v>674</v>
      </c>
      <c r="Y19" s="442" t="s">
        <v>675</v>
      </c>
      <c r="Z19" s="442" t="s">
        <v>675</v>
      </c>
      <c r="AA19" s="442" t="s">
        <v>675</v>
      </c>
      <c r="AB19" s="442" t="s">
        <v>675</v>
      </c>
      <c r="AC19" s="442"/>
      <c r="AD19" s="442"/>
      <c r="AE19" s="442"/>
      <c r="AF19" s="442"/>
      <c r="AG19" s="443" t="s">
        <v>1212</v>
      </c>
      <c r="AH19" s="442"/>
      <c r="AI19" s="443" t="s">
        <v>1212</v>
      </c>
      <c r="AJ19" s="443" t="s">
        <v>677</v>
      </c>
      <c r="AK19" s="442" t="s">
        <v>677</v>
      </c>
      <c r="AL19" s="442"/>
      <c r="AM19" s="442"/>
      <c r="AN19" s="442"/>
      <c r="AO19" s="442"/>
      <c r="AP19" s="442"/>
      <c r="AQ19" s="442"/>
      <c r="AR19" s="444"/>
      <c r="AS19" s="442"/>
      <c r="AT19" s="444"/>
      <c r="AU19" s="442" t="s">
        <v>678</v>
      </c>
      <c r="AV19" s="442" t="s">
        <v>677</v>
      </c>
      <c r="AW19" s="442" t="s">
        <v>676</v>
      </c>
      <c r="AX19" s="442" t="s">
        <v>679</v>
      </c>
      <c r="AY19" s="442"/>
      <c r="AZ19" s="442"/>
      <c r="BA19" s="442" t="s">
        <v>679</v>
      </c>
      <c r="BB19" s="442"/>
      <c r="BC19" s="442"/>
      <c r="BD19" s="442"/>
      <c r="BE19" s="444"/>
      <c r="BF19" s="442" t="s">
        <v>298</v>
      </c>
      <c r="BG19" s="442" t="s">
        <v>680</v>
      </c>
      <c r="BH19" s="442" t="s">
        <v>681</v>
      </c>
      <c r="BI19" s="442"/>
    </row>
    <row r="20" spans="1:61">
      <c r="A20" s="442" t="s">
        <v>1204</v>
      </c>
      <c r="B20" s="442" t="s">
        <v>1204</v>
      </c>
      <c r="C20" s="442" t="s">
        <v>1207</v>
      </c>
      <c r="D20" s="442" t="s">
        <v>673</v>
      </c>
      <c r="E20" s="442" t="s">
        <v>3</v>
      </c>
      <c r="F20" s="443" t="s">
        <v>7</v>
      </c>
      <c r="G20" s="443" t="s">
        <v>684</v>
      </c>
      <c r="H20" s="444">
        <v>2569587</v>
      </c>
      <c r="I20" s="444">
        <v>2569587</v>
      </c>
      <c r="J20" s="444">
        <v>0</v>
      </c>
      <c r="K20" s="444">
        <v>0</v>
      </c>
      <c r="L20" s="444">
        <v>2569587</v>
      </c>
      <c r="M20" s="444">
        <v>0</v>
      </c>
      <c r="N20" s="444">
        <v>0</v>
      </c>
      <c r="O20" s="444">
        <v>0</v>
      </c>
      <c r="P20" s="444">
        <v>0</v>
      </c>
      <c r="Q20" s="444">
        <v>0</v>
      </c>
      <c r="R20" s="444">
        <v>0</v>
      </c>
      <c r="S20" s="444">
        <v>0</v>
      </c>
      <c r="T20" s="444">
        <v>0</v>
      </c>
      <c r="U20" s="444">
        <v>0</v>
      </c>
      <c r="V20" s="444">
        <v>0</v>
      </c>
      <c r="W20" s="444">
        <v>0</v>
      </c>
      <c r="X20" s="442" t="s">
        <v>674</v>
      </c>
      <c r="Y20" s="442" t="s">
        <v>675</v>
      </c>
      <c r="Z20" s="442" t="s">
        <v>675</v>
      </c>
      <c r="AA20" s="442" t="s">
        <v>675</v>
      </c>
      <c r="AB20" s="442" t="s">
        <v>675</v>
      </c>
      <c r="AC20" s="442"/>
      <c r="AD20" s="442"/>
      <c r="AE20" s="442"/>
      <c r="AF20" s="442"/>
      <c r="AG20" s="443" t="s">
        <v>1213</v>
      </c>
      <c r="AH20" s="442"/>
      <c r="AI20" s="443" t="s">
        <v>1213</v>
      </c>
      <c r="AJ20" s="443" t="s">
        <v>677</v>
      </c>
      <c r="AK20" s="442" t="s">
        <v>677</v>
      </c>
      <c r="AL20" s="442"/>
      <c r="AM20" s="442"/>
      <c r="AN20" s="442"/>
      <c r="AO20" s="442"/>
      <c r="AP20" s="442"/>
      <c r="AQ20" s="442"/>
      <c r="AR20" s="444"/>
      <c r="AS20" s="442"/>
      <c r="AT20" s="444"/>
      <c r="AU20" s="442" t="s">
        <v>678</v>
      </c>
      <c r="AV20" s="442" t="s">
        <v>677</v>
      </c>
      <c r="AW20" s="442" t="s">
        <v>676</v>
      </c>
      <c r="AX20" s="442" t="s">
        <v>679</v>
      </c>
      <c r="AY20" s="442"/>
      <c r="AZ20" s="442"/>
      <c r="BA20" s="442" t="s">
        <v>679</v>
      </c>
      <c r="BB20" s="442"/>
      <c r="BC20" s="442"/>
      <c r="BD20" s="442"/>
      <c r="BE20" s="444"/>
      <c r="BF20" s="442" t="s">
        <v>298</v>
      </c>
      <c r="BG20" s="442" t="s">
        <v>680</v>
      </c>
      <c r="BH20" s="442" t="s">
        <v>681</v>
      </c>
      <c r="BI20" s="442"/>
    </row>
    <row r="21" spans="1:61">
      <c r="A21" s="442" t="s">
        <v>1204</v>
      </c>
      <c r="B21" s="442" t="s">
        <v>1204</v>
      </c>
      <c r="C21" s="442" t="s">
        <v>1207</v>
      </c>
      <c r="D21" s="442" t="s">
        <v>673</v>
      </c>
      <c r="E21" s="442" t="s">
        <v>3</v>
      </c>
      <c r="F21" s="443" t="s">
        <v>7</v>
      </c>
      <c r="G21" s="443" t="s">
        <v>684</v>
      </c>
      <c r="H21" s="444">
        <v>171354</v>
      </c>
      <c r="I21" s="444">
        <v>171354</v>
      </c>
      <c r="J21" s="444">
        <v>0</v>
      </c>
      <c r="K21" s="444">
        <v>0</v>
      </c>
      <c r="L21" s="444">
        <v>171354</v>
      </c>
      <c r="M21" s="444">
        <v>0</v>
      </c>
      <c r="N21" s="444">
        <v>0</v>
      </c>
      <c r="O21" s="444">
        <v>0</v>
      </c>
      <c r="P21" s="444">
        <v>0</v>
      </c>
      <c r="Q21" s="444">
        <v>0</v>
      </c>
      <c r="R21" s="444">
        <v>0</v>
      </c>
      <c r="S21" s="444">
        <v>0</v>
      </c>
      <c r="T21" s="444">
        <v>0</v>
      </c>
      <c r="U21" s="444">
        <v>0</v>
      </c>
      <c r="V21" s="444">
        <v>0</v>
      </c>
      <c r="W21" s="444">
        <v>0</v>
      </c>
      <c r="X21" s="442" t="s">
        <v>674</v>
      </c>
      <c r="Y21" s="442" t="s">
        <v>675</v>
      </c>
      <c r="Z21" s="442" t="s">
        <v>675</v>
      </c>
      <c r="AA21" s="442" t="s">
        <v>675</v>
      </c>
      <c r="AB21" s="442" t="s">
        <v>675</v>
      </c>
      <c r="AC21" s="442"/>
      <c r="AD21" s="442"/>
      <c r="AE21" s="442"/>
      <c r="AF21" s="442"/>
      <c r="AG21" s="443" t="s">
        <v>1211</v>
      </c>
      <c r="AH21" s="442"/>
      <c r="AI21" s="443" t="s">
        <v>1211</v>
      </c>
      <c r="AJ21" s="443" t="s">
        <v>677</v>
      </c>
      <c r="AK21" s="442" t="s">
        <v>677</v>
      </c>
      <c r="AL21" s="442"/>
      <c r="AM21" s="442"/>
      <c r="AN21" s="442"/>
      <c r="AO21" s="442"/>
      <c r="AP21" s="442"/>
      <c r="AQ21" s="442"/>
      <c r="AR21" s="444"/>
      <c r="AS21" s="442"/>
      <c r="AT21" s="444"/>
      <c r="AU21" s="442" t="s">
        <v>678</v>
      </c>
      <c r="AV21" s="442" t="s">
        <v>677</v>
      </c>
      <c r="AW21" s="442" t="s">
        <v>676</v>
      </c>
      <c r="AX21" s="442" t="s">
        <v>679</v>
      </c>
      <c r="AY21" s="442"/>
      <c r="AZ21" s="442"/>
      <c r="BA21" s="442" t="s">
        <v>679</v>
      </c>
      <c r="BB21" s="442"/>
      <c r="BC21" s="442"/>
      <c r="BD21" s="442"/>
      <c r="BE21" s="444"/>
      <c r="BF21" s="442" t="s">
        <v>298</v>
      </c>
      <c r="BG21" s="442" t="s">
        <v>680</v>
      </c>
      <c r="BH21" s="442" t="s">
        <v>681</v>
      </c>
      <c r="BI21" s="442"/>
    </row>
    <row r="22" spans="1:61">
      <c r="A22" s="442" t="s">
        <v>1204</v>
      </c>
      <c r="B22" s="442" t="s">
        <v>1204</v>
      </c>
      <c r="C22" s="442" t="s">
        <v>1207</v>
      </c>
      <c r="D22" s="442" t="s">
        <v>673</v>
      </c>
      <c r="E22" s="442" t="s">
        <v>3</v>
      </c>
      <c r="F22" s="443" t="s">
        <v>7</v>
      </c>
      <c r="G22" s="443" t="s">
        <v>684</v>
      </c>
      <c r="H22" s="444">
        <v>1839670</v>
      </c>
      <c r="I22" s="444">
        <v>1839670</v>
      </c>
      <c r="J22" s="444">
        <v>0</v>
      </c>
      <c r="K22" s="444">
        <v>0</v>
      </c>
      <c r="L22" s="444">
        <v>1839670</v>
      </c>
      <c r="M22" s="444">
        <v>0</v>
      </c>
      <c r="N22" s="444">
        <v>0</v>
      </c>
      <c r="O22" s="444">
        <v>0</v>
      </c>
      <c r="P22" s="444">
        <v>0</v>
      </c>
      <c r="Q22" s="444">
        <v>0</v>
      </c>
      <c r="R22" s="444">
        <v>0</v>
      </c>
      <c r="S22" s="444">
        <v>0</v>
      </c>
      <c r="T22" s="444">
        <v>0</v>
      </c>
      <c r="U22" s="444">
        <v>0</v>
      </c>
      <c r="V22" s="444">
        <v>0</v>
      </c>
      <c r="W22" s="444">
        <v>0</v>
      </c>
      <c r="X22" s="442" t="s">
        <v>674</v>
      </c>
      <c r="Y22" s="442" t="s">
        <v>675</v>
      </c>
      <c r="Z22" s="442" t="s">
        <v>675</v>
      </c>
      <c r="AA22" s="442" t="s">
        <v>675</v>
      </c>
      <c r="AB22" s="442" t="s">
        <v>675</v>
      </c>
      <c r="AC22" s="442"/>
      <c r="AD22" s="442"/>
      <c r="AE22" s="442"/>
      <c r="AF22" s="442"/>
      <c r="AG22" s="443" t="s">
        <v>1213</v>
      </c>
      <c r="AH22" s="442"/>
      <c r="AI22" s="443" t="s">
        <v>1213</v>
      </c>
      <c r="AJ22" s="443" t="s">
        <v>677</v>
      </c>
      <c r="AK22" s="442" t="s">
        <v>677</v>
      </c>
      <c r="AL22" s="442"/>
      <c r="AM22" s="442"/>
      <c r="AN22" s="442"/>
      <c r="AO22" s="442"/>
      <c r="AP22" s="442"/>
      <c r="AQ22" s="442"/>
      <c r="AR22" s="444"/>
      <c r="AS22" s="442"/>
      <c r="AT22" s="444"/>
      <c r="AU22" s="442" t="s">
        <v>678</v>
      </c>
      <c r="AV22" s="442" t="s">
        <v>677</v>
      </c>
      <c r="AW22" s="442" t="s">
        <v>676</v>
      </c>
      <c r="AX22" s="442" t="s">
        <v>679</v>
      </c>
      <c r="AY22" s="442"/>
      <c r="AZ22" s="442"/>
      <c r="BA22" s="442" t="s">
        <v>679</v>
      </c>
      <c r="BB22" s="442"/>
      <c r="BC22" s="442"/>
      <c r="BD22" s="442"/>
      <c r="BE22" s="444"/>
      <c r="BF22" s="442" t="s">
        <v>298</v>
      </c>
      <c r="BG22" s="442" t="s">
        <v>680</v>
      </c>
      <c r="BH22" s="442" t="s">
        <v>681</v>
      </c>
      <c r="BI22" s="442"/>
    </row>
    <row r="23" spans="1:61">
      <c r="A23" s="442" t="s">
        <v>1204</v>
      </c>
      <c r="B23" s="442" t="s">
        <v>1204</v>
      </c>
      <c r="C23" s="442" t="s">
        <v>1207</v>
      </c>
      <c r="D23" s="442" t="s">
        <v>673</v>
      </c>
      <c r="E23" s="442" t="s">
        <v>3</v>
      </c>
      <c r="F23" s="443" t="s">
        <v>7</v>
      </c>
      <c r="G23" s="443" t="s">
        <v>684</v>
      </c>
      <c r="H23" s="444">
        <v>23240</v>
      </c>
      <c r="I23" s="444">
        <v>23240</v>
      </c>
      <c r="J23" s="444">
        <v>0</v>
      </c>
      <c r="K23" s="444">
        <v>0</v>
      </c>
      <c r="L23" s="444">
        <v>23240</v>
      </c>
      <c r="M23" s="444">
        <v>0</v>
      </c>
      <c r="N23" s="444">
        <v>0</v>
      </c>
      <c r="O23" s="444">
        <v>0</v>
      </c>
      <c r="P23" s="444">
        <v>0</v>
      </c>
      <c r="Q23" s="444">
        <v>0</v>
      </c>
      <c r="R23" s="444">
        <v>0</v>
      </c>
      <c r="S23" s="444">
        <v>0</v>
      </c>
      <c r="T23" s="444">
        <v>0</v>
      </c>
      <c r="U23" s="444">
        <v>0</v>
      </c>
      <c r="V23" s="444">
        <v>0</v>
      </c>
      <c r="W23" s="444">
        <v>0</v>
      </c>
      <c r="X23" s="442" t="s">
        <v>674</v>
      </c>
      <c r="Y23" s="442" t="s">
        <v>675</v>
      </c>
      <c r="Z23" s="442" t="s">
        <v>675</v>
      </c>
      <c r="AA23" s="442" t="s">
        <v>675</v>
      </c>
      <c r="AB23" s="442" t="s">
        <v>675</v>
      </c>
      <c r="AC23" s="442"/>
      <c r="AD23" s="442"/>
      <c r="AE23" s="442"/>
      <c r="AF23" s="442"/>
      <c r="AG23" s="443" t="s">
        <v>1210</v>
      </c>
      <c r="AH23" s="442"/>
      <c r="AI23" s="443" t="s">
        <v>1210</v>
      </c>
      <c r="AJ23" s="443" t="s">
        <v>677</v>
      </c>
      <c r="AK23" s="442" t="s">
        <v>677</v>
      </c>
      <c r="AL23" s="442"/>
      <c r="AM23" s="442"/>
      <c r="AN23" s="442"/>
      <c r="AO23" s="442"/>
      <c r="AP23" s="442"/>
      <c r="AQ23" s="442"/>
      <c r="AR23" s="444"/>
      <c r="AS23" s="442"/>
      <c r="AT23" s="444"/>
      <c r="AU23" s="442" t="s">
        <v>678</v>
      </c>
      <c r="AV23" s="442" t="s">
        <v>677</v>
      </c>
      <c r="AW23" s="442" t="s">
        <v>676</v>
      </c>
      <c r="AX23" s="442" t="s">
        <v>679</v>
      </c>
      <c r="AY23" s="442"/>
      <c r="AZ23" s="442"/>
      <c r="BA23" s="442" t="s">
        <v>679</v>
      </c>
      <c r="BB23" s="442"/>
      <c r="BC23" s="442"/>
      <c r="BD23" s="442"/>
      <c r="BE23" s="444"/>
      <c r="BF23" s="442" t="s">
        <v>298</v>
      </c>
      <c r="BG23" s="442" t="s">
        <v>680</v>
      </c>
      <c r="BH23" s="442" t="s">
        <v>681</v>
      </c>
      <c r="BI23" s="442"/>
    </row>
    <row r="24" spans="1:61">
      <c r="A24" s="442" t="s">
        <v>1204</v>
      </c>
      <c r="B24" s="442" t="s">
        <v>1204</v>
      </c>
      <c r="C24" s="442" t="s">
        <v>1207</v>
      </c>
      <c r="D24" s="442" t="s">
        <v>673</v>
      </c>
      <c r="E24" s="442" t="s">
        <v>3</v>
      </c>
      <c r="F24" s="443" t="s">
        <v>7</v>
      </c>
      <c r="G24" s="443" t="s">
        <v>684</v>
      </c>
      <c r="H24" s="444">
        <v>193340</v>
      </c>
      <c r="I24" s="444">
        <v>193340</v>
      </c>
      <c r="J24" s="444">
        <v>0</v>
      </c>
      <c r="K24" s="444">
        <v>0</v>
      </c>
      <c r="L24" s="444">
        <v>193340</v>
      </c>
      <c r="M24" s="444">
        <v>0</v>
      </c>
      <c r="N24" s="444">
        <v>0</v>
      </c>
      <c r="O24" s="444">
        <v>0</v>
      </c>
      <c r="P24" s="444">
        <v>0</v>
      </c>
      <c r="Q24" s="444">
        <v>0</v>
      </c>
      <c r="R24" s="444">
        <v>0</v>
      </c>
      <c r="S24" s="444">
        <v>0</v>
      </c>
      <c r="T24" s="444">
        <v>0</v>
      </c>
      <c r="U24" s="444">
        <v>0</v>
      </c>
      <c r="V24" s="444">
        <v>0</v>
      </c>
      <c r="W24" s="444">
        <v>0</v>
      </c>
      <c r="X24" s="442" t="s">
        <v>674</v>
      </c>
      <c r="Y24" s="442" t="s">
        <v>675</v>
      </c>
      <c r="Z24" s="442" t="s">
        <v>675</v>
      </c>
      <c r="AA24" s="442" t="s">
        <v>675</v>
      </c>
      <c r="AB24" s="442" t="s">
        <v>675</v>
      </c>
      <c r="AC24" s="442"/>
      <c r="AD24" s="442"/>
      <c r="AE24" s="442"/>
      <c r="AF24" s="442"/>
      <c r="AG24" s="443" t="s">
        <v>1212</v>
      </c>
      <c r="AH24" s="442"/>
      <c r="AI24" s="443" t="s">
        <v>1212</v>
      </c>
      <c r="AJ24" s="443" t="s">
        <v>677</v>
      </c>
      <c r="AK24" s="442" t="s">
        <v>677</v>
      </c>
      <c r="AL24" s="442"/>
      <c r="AM24" s="442"/>
      <c r="AN24" s="442"/>
      <c r="AO24" s="442"/>
      <c r="AP24" s="442"/>
      <c r="AQ24" s="442"/>
      <c r="AR24" s="444"/>
      <c r="AS24" s="442"/>
      <c r="AT24" s="444"/>
      <c r="AU24" s="442" t="s">
        <v>678</v>
      </c>
      <c r="AV24" s="442" t="s">
        <v>677</v>
      </c>
      <c r="AW24" s="442" t="s">
        <v>676</v>
      </c>
      <c r="AX24" s="442" t="s">
        <v>679</v>
      </c>
      <c r="AY24" s="442"/>
      <c r="AZ24" s="442"/>
      <c r="BA24" s="442" t="s">
        <v>679</v>
      </c>
      <c r="BB24" s="442"/>
      <c r="BC24" s="442"/>
      <c r="BD24" s="442"/>
      <c r="BE24" s="444"/>
      <c r="BF24" s="442" t="s">
        <v>298</v>
      </c>
      <c r="BG24" s="442" t="s">
        <v>680</v>
      </c>
      <c r="BH24" s="442" t="s">
        <v>681</v>
      </c>
      <c r="BI24" s="442"/>
    </row>
    <row r="25" spans="1:61">
      <c r="A25" s="442" t="s">
        <v>1204</v>
      </c>
      <c r="B25" s="442" t="s">
        <v>1204</v>
      </c>
      <c r="C25" s="442" t="s">
        <v>1207</v>
      </c>
      <c r="D25" s="442" t="s">
        <v>673</v>
      </c>
      <c r="E25" s="442" t="s">
        <v>3</v>
      </c>
      <c r="F25" s="443" t="s">
        <v>7</v>
      </c>
      <c r="G25" s="443" t="s">
        <v>684</v>
      </c>
      <c r="H25" s="444">
        <v>425360</v>
      </c>
      <c r="I25" s="444">
        <v>425360</v>
      </c>
      <c r="J25" s="444">
        <v>0</v>
      </c>
      <c r="K25" s="444">
        <v>0</v>
      </c>
      <c r="L25" s="444">
        <v>425360</v>
      </c>
      <c r="M25" s="444">
        <v>0</v>
      </c>
      <c r="N25" s="444">
        <v>0</v>
      </c>
      <c r="O25" s="444">
        <v>0</v>
      </c>
      <c r="P25" s="444">
        <v>0</v>
      </c>
      <c r="Q25" s="444">
        <v>0</v>
      </c>
      <c r="R25" s="444">
        <v>0</v>
      </c>
      <c r="S25" s="444">
        <v>0</v>
      </c>
      <c r="T25" s="444">
        <v>0</v>
      </c>
      <c r="U25" s="444">
        <v>0</v>
      </c>
      <c r="V25" s="444">
        <v>0</v>
      </c>
      <c r="W25" s="444">
        <v>0</v>
      </c>
      <c r="X25" s="442" t="s">
        <v>674</v>
      </c>
      <c r="Y25" s="442" t="s">
        <v>675</v>
      </c>
      <c r="Z25" s="442" t="s">
        <v>675</v>
      </c>
      <c r="AA25" s="442" t="s">
        <v>675</v>
      </c>
      <c r="AB25" s="442" t="s">
        <v>675</v>
      </c>
      <c r="AC25" s="442"/>
      <c r="AD25" s="442"/>
      <c r="AE25" s="442"/>
      <c r="AF25" s="442"/>
      <c r="AG25" s="443" t="s">
        <v>1209</v>
      </c>
      <c r="AH25" s="442"/>
      <c r="AI25" s="443" t="s">
        <v>1209</v>
      </c>
      <c r="AJ25" s="443" t="s">
        <v>677</v>
      </c>
      <c r="AK25" s="442" t="s">
        <v>677</v>
      </c>
      <c r="AL25" s="442"/>
      <c r="AM25" s="442"/>
      <c r="AN25" s="442"/>
      <c r="AO25" s="442"/>
      <c r="AP25" s="442"/>
      <c r="AQ25" s="442"/>
      <c r="AR25" s="444"/>
      <c r="AS25" s="442"/>
      <c r="AT25" s="444"/>
      <c r="AU25" s="442" t="s">
        <v>678</v>
      </c>
      <c r="AV25" s="442" t="s">
        <v>677</v>
      </c>
      <c r="AW25" s="442" t="s">
        <v>676</v>
      </c>
      <c r="AX25" s="442" t="s">
        <v>679</v>
      </c>
      <c r="AY25" s="442"/>
      <c r="AZ25" s="442"/>
      <c r="BA25" s="442" t="s">
        <v>679</v>
      </c>
      <c r="BB25" s="442"/>
      <c r="BC25" s="442"/>
      <c r="BD25" s="442"/>
      <c r="BE25" s="444"/>
      <c r="BF25" s="442" t="s">
        <v>298</v>
      </c>
      <c r="BG25" s="442" t="s">
        <v>680</v>
      </c>
      <c r="BH25" s="442" t="s">
        <v>681</v>
      </c>
      <c r="BI25" s="442"/>
    </row>
    <row r="26" spans="1:61">
      <c r="A26" s="442" t="s">
        <v>1204</v>
      </c>
      <c r="B26" s="442" t="s">
        <v>1204</v>
      </c>
      <c r="C26" s="442" t="s">
        <v>1207</v>
      </c>
      <c r="D26" s="442" t="s">
        <v>673</v>
      </c>
      <c r="E26" s="442" t="s">
        <v>3</v>
      </c>
      <c r="F26" s="443" t="s">
        <v>7</v>
      </c>
      <c r="G26" s="443" t="s">
        <v>684</v>
      </c>
      <c r="H26" s="444">
        <v>72840</v>
      </c>
      <c r="I26" s="444">
        <v>72840</v>
      </c>
      <c r="J26" s="444">
        <v>0</v>
      </c>
      <c r="K26" s="444">
        <v>0</v>
      </c>
      <c r="L26" s="444">
        <v>72840</v>
      </c>
      <c r="M26" s="444">
        <v>0</v>
      </c>
      <c r="N26" s="444">
        <v>0</v>
      </c>
      <c r="O26" s="444">
        <v>0</v>
      </c>
      <c r="P26" s="444">
        <v>0</v>
      </c>
      <c r="Q26" s="444">
        <v>0</v>
      </c>
      <c r="R26" s="444">
        <v>0</v>
      </c>
      <c r="S26" s="444">
        <v>0</v>
      </c>
      <c r="T26" s="444">
        <v>0</v>
      </c>
      <c r="U26" s="444">
        <v>0</v>
      </c>
      <c r="V26" s="444">
        <v>0</v>
      </c>
      <c r="W26" s="444">
        <v>0</v>
      </c>
      <c r="X26" s="442" t="s">
        <v>674</v>
      </c>
      <c r="Y26" s="442" t="s">
        <v>675</v>
      </c>
      <c r="Z26" s="442" t="s">
        <v>675</v>
      </c>
      <c r="AA26" s="442" t="s">
        <v>675</v>
      </c>
      <c r="AB26" s="442" t="s">
        <v>675</v>
      </c>
      <c r="AC26" s="442"/>
      <c r="AD26" s="442"/>
      <c r="AE26" s="442"/>
      <c r="AF26" s="442"/>
      <c r="AG26" s="443" t="s">
        <v>1210</v>
      </c>
      <c r="AH26" s="442"/>
      <c r="AI26" s="443" t="s">
        <v>1210</v>
      </c>
      <c r="AJ26" s="443" t="s">
        <v>677</v>
      </c>
      <c r="AK26" s="442" t="s">
        <v>677</v>
      </c>
      <c r="AL26" s="442"/>
      <c r="AM26" s="442"/>
      <c r="AN26" s="442"/>
      <c r="AO26" s="442"/>
      <c r="AP26" s="442"/>
      <c r="AQ26" s="442"/>
      <c r="AR26" s="444"/>
      <c r="AS26" s="442"/>
      <c r="AT26" s="444"/>
      <c r="AU26" s="442" t="s">
        <v>678</v>
      </c>
      <c r="AV26" s="442" t="s">
        <v>677</v>
      </c>
      <c r="AW26" s="442" t="s">
        <v>676</v>
      </c>
      <c r="AX26" s="442" t="s">
        <v>679</v>
      </c>
      <c r="AY26" s="442"/>
      <c r="AZ26" s="442"/>
      <c r="BA26" s="442" t="s">
        <v>679</v>
      </c>
      <c r="BB26" s="442"/>
      <c r="BC26" s="442"/>
      <c r="BD26" s="442"/>
      <c r="BE26" s="444"/>
      <c r="BF26" s="442" t="s">
        <v>298</v>
      </c>
      <c r="BG26" s="442" t="s">
        <v>680</v>
      </c>
      <c r="BH26" s="442" t="s">
        <v>681</v>
      </c>
      <c r="BI26" s="442"/>
    </row>
    <row r="27" spans="1:61">
      <c r="A27" s="442" t="s">
        <v>1204</v>
      </c>
      <c r="B27" s="442" t="s">
        <v>1204</v>
      </c>
      <c r="C27" s="442" t="s">
        <v>1207</v>
      </c>
      <c r="D27" s="442" t="s">
        <v>673</v>
      </c>
      <c r="E27" s="442" t="s">
        <v>3</v>
      </c>
      <c r="F27" s="443" t="s">
        <v>7</v>
      </c>
      <c r="G27" s="443" t="s">
        <v>684</v>
      </c>
      <c r="H27" s="444">
        <v>223280</v>
      </c>
      <c r="I27" s="444">
        <v>223280</v>
      </c>
      <c r="J27" s="444">
        <v>0</v>
      </c>
      <c r="K27" s="444">
        <v>0</v>
      </c>
      <c r="L27" s="444">
        <v>223280</v>
      </c>
      <c r="M27" s="444">
        <v>0</v>
      </c>
      <c r="N27" s="444">
        <v>0</v>
      </c>
      <c r="O27" s="444">
        <v>0</v>
      </c>
      <c r="P27" s="444">
        <v>0</v>
      </c>
      <c r="Q27" s="444">
        <v>0</v>
      </c>
      <c r="R27" s="444">
        <v>0</v>
      </c>
      <c r="S27" s="444">
        <v>0</v>
      </c>
      <c r="T27" s="444">
        <v>0</v>
      </c>
      <c r="U27" s="444">
        <v>0</v>
      </c>
      <c r="V27" s="444">
        <v>0</v>
      </c>
      <c r="W27" s="444">
        <v>0</v>
      </c>
      <c r="X27" s="442" t="s">
        <v>674</v>
      </c>
      <c r="Y27" s="442" t="s">
        <v>675</v>
      </c>
      <c r="Z27" s="442" t="s">
        <v>675</v>
      </c>
      <c r="AA27" s="442" t="s">
        <v>675</v>
      </c>
      <c r="AB27" s="442" t="s">
        <v>675</v>
      </c>
      <c r="AC27" s="442"/>
      <c r="AD27" s="442"/>
      <c r="AE27" s="442"/>
      <c r="AF27" s="442"/>
      <c r="AG27" s="443" t="s">
        <v>1209</v>
      </c>
      <c r="AH27" s="442"/>
      <c r="AI27" s="443" t="s">
        <v>1209</v>
      </c>
      <c r="AJ27" s="443" t="s">
        <v>677</v>
      </c>
      <c r="AK27" s="442" t="s">
        <v>677</v>
      </c>
      <c r="AL27" s="442"/>
      <c r="AM27" s="442"/>
      <c r="AN27" s="442"/>
      <c r="AO27" s="442"/>
      <c r="AP27" s="442"/>
      <c r="AQ27" s="442"/>
      <c r="AR27" s="444"/>
      <c r="AS27" s="442"/>
      <c r="AT27" s="444"/>
      <c r="AU27" s="442" t="s">
        <v>678</v>
      </c>
      <c r="AV27" s="442" t="s">
        <v>677</v>
      </c>
      <c r="AW27" s="442" t="s">
        <v>676</v>
      </c>
      <c r="AX27" s="442" t="s">
        <v>679</v>
      </c>
      <c r="AY27" s="442"/>
      <c r="AZ27" s="442"/>
      <c r="BA27" s="442" t="s">
        <v>679</v>
      </c>
      <c r="BB27" s="442"/>
      <c r="BC27" s="442"/>
      <c r="BD27" s="442"/>
      <c r="BE27" s="444"/>
      <c r="BF27" s="442" t="s">
        <v>298</v>
      </c>
      <c r="BG27" s="442" t="s">
        <v>680</v>
      </c>
      <c r="BH27" s="442" t="s">
        <v>681</v>
      </c>
      <c r="BI27" s="442"/>
    </row>
    <row r="28" spans="1:61">
      <c r="A28" s="442" t="s">
        <v>1204</v>
      </c>
      <c r="B28" s="442" t="s">
        <v>1204</v>
      </c>
      <c r="C28" s="442" t="s">
        <v>1207</v>
      </c>
      <c r="D28" s="442" t="s">
        <v>673</v>
      </c>
      <c r="E28" s="442" t="s">
        <v>3</v>
      </c>
      <c r="F28" s="443" t="s">
        <v>7</v>
      </c>
      <c r="G28" s="443" t="s">
        <v>684</v>
      </c>
      <c r="H28" s="444">
        <v>326410</v>
      </c>
      <c r="I28" s="444">
        <v>326410</v>
      </c>
      <c r="J28" s="444">
        <v>0</v>
      </c>
      <c r="K28" s="444">
        <v>0</v>
      </c>
      <c r="L28" s="444">
        <v>326410</v>
      </c>
      <c r="M28" s="444">
        <v>0</v>
      </c>
      <c r="N28" s="444">
        <v>0</v>
      </c>
      <c r="O28" s="444">
        <v>0</v>
      </c>
      <c r="P28" s="444">
        <v>0</v>
      </c>
      <c r="Q28" s="444">
        <v>0</v>
      </c>
      <c r="R28" s="444">
        <v>0</v>
      </c>
      <c r="S28" s="444">
        <v>0</v>
      </c>
      <c r="T28" s="444">
        <v>0</v>
      </c>
      <c r="U28" s="444">
        <v>0</v>
      </c>
      <c r="V28" s="444">
        <v>0</v>
      </c>
      <c r="W28" s="444">
        <v>0</v>
      </c>
      <c r="X28" s="442" t="s">
        <v>674</v>
      </c>
      <c r="Y28" s="442" t="s">
        <v>675</v>
      </c>
      <c r="Z28" s="442" t="s">
        <v>675</v>
      </c>
      <c r="AA28" s="442" t="s">
        <v>675</v>
      </c>
      <c r="AB28" s="442" t="s">
        <v>675</v>
      </c>
      <c r="AC28" s="442"/>
      <c r="AD28" s="442"/>
      <c r="AE28" s="442"/>
      <c r="AF28" s="442"/>
      <c r="AG28" s="443" t="s">
        <v>1211</v>
      </c>
      <c r="AH28" s="442"/>
      <c r="AI28" s="443" t="s">
        <v>1211</v>
      </c>
      <c r="AJ28" s="443" t="s">
        <v>677</v>
      </c>
      <c r="AK28" s="442" t="s">
        <v>677</v>
      </c>
      <c r="AL28" s="442"/>
      <c r="AM28" s="442"/>
      <c r="AN28" s="442"/>
      <c r="AO28" s="442"/>
      <c r="AP28" s="442"/>
      <c r="AQ28" s="442"/>
      <c r="AR28" s="444"/>
      <c r="AS28" s="442"/>
      <c r="AT28" s="444"/>
      <c r="AU28" s="442" t="s">
        <v>678</v>
      </c>
      <c r="AV28" s="442" t="s">
        <v>677</v>
      </c>
      <c r="AW28" s="442" t="s">
        <v>676</v>
      </c>
      <c r="AX28" s="442" t="s">
        <v>679</v>
      </c>
      <c r="AY28" s="442"/>
      <c r="AZ28" s="442"/>
      <c r="BA28" s="442" t="s">
        <v>679</v>
      </c>
      <c r="BB28" s="442"/>
      <c r="BC28" s="442"/>
      <c r="BD28" s="442"/>
      <c r="BE28" s="444"/>
      <c r="BF28" s="442" t="s">
        <v>298</v>
      </c>
      <c r="BG28" s="442" t="s">
        <v>680</v>
      </c>
      <c r="BH28" s="442" t="s">
        <v>681</v>
      </c>
      <c r="BI28" s="442"/>
    </row>
    <row r="29" spans="1:61">
      <c r="A29" s="442" t="s">
        <v>1204</v>
      </c>
      <c r="B29" s="442" t="s">
        <v>1204</v>
      </c>
      <c r="C29" s="442" t="s">
        <v>1207</v>
      </c>
      <c r="D29" s="442" t="s">
        <v>673</v>
      </c>
      <c r="E29" s="442" t="s">
        <v>3</v>
      </c>
      <c r="F29" s="443" t="s">
        <v>7</v>
      </c>
      <c r="G29" s="443" t="s">
        <v>684</v>
      </c>
      <c r="H29" s="444">
        <v>200870</v>
      </c>
      <c r="I29" s="444">
        <v>200870</v>
      </c>
      <c r="J29" s="444">
        <v>0</v>
      </c>
      <c r="K29" s="444">
        <v>0</v>
      </c>
      <c r="L29" s="444">
        <v>200870</v>
      </c>
      <c r="M29" s="444">
        <v>0</v>
      </c>
      <c r="N29" s="444">
        <v>0</v>
      </c>
      <c r="O29" s="444">
        <v>0</v>
      </c>
      <c r="P29" s="444">
        <v>0</v>
      </c>
      <c r="Q29" s="444">
        <v>0</v>
      </c>
      <c r="R29" s="444">
        <v>0</v>
      </c>
      <c r="S29" s="444">
        <v>0</v>
      </c>
      <c r="T29" s="444">
        <v>0</v>
      </c>
      <c r="U29" s="444">
        <v>0</v>
      </c>
      <c r="V29" s="444">
        <v>0</v>
      </c>
      <c r="W29" s="444">
        <v>0</v>
      </c>
      <c r="X29" s="442" t="s">
        <v>674</v>
      </c>
      <c r="Y29" s="442" t="s">
        <v>675</v>
      </c>
      <c r="Z29" s="442" t="s">
        <v>675</v>
      </c>
      <c r="AA29" s="442" t="s">
        <v>675</v>
      </c>
      <c r="AB29" s="442" t="s">
        <v>675</v>
      </c>
      <c r="AC29" s="442"/>
      <c r="AD29" s="442"/>
      <c r="AE29" s="442"/>
      <c r="AF29" s="442"/>
      <c r="AG29" s="443" t="s">
        <v>1210</v>
      </c>
      <c r="AH29" s="442"/>
      <c r="AI29" s="443" t="s">
        <v>1210</v>
      </c>
      <c r="AJ29" s="443" t="s">
        <v>677</v>
      </c>
      <c r="AK29" s="442" t="s">
        <v>677</v>
      </c>
      <c r="AL29" s="442"/>
      <c r="AM29" s="442"/>
      <c r="AN29" s="442"/>
      <c r="AO29" s="442"/>
      <c r="AP29" s="442"/>
      <c r="AQ29" s="442"/>
      <c r="AR29" s="444"/>
      <c r="AS29" s="442"/>
      <c r="AT29" s="444"/>
      <c r="AU29" s="442" t="s">
        <v>678</v>
      </c>
      <c r="AV29" s="442" t="s">
        <v>677</v>
      </c>
      <c r="AW29" s="442" t="s">
        <v>676</v>
      </c>
      <c r="AX29" s="442" t="s">
        <v>679</v>
      </c>
      <c r="AY29" s="442"/>
      <c r="AZ29" s="442"/>
      <c r="BA29" s="442" t="s">
        <v>679</v>
      </c>
      <c r="BB29" s="442"/>
      <c r="BC29" s="442"/>
      <c r="BD29" s="442"/>
      <c r="BE29" s="444"/>
      <c r="BF29" s="442" t="s">
        <v>298</v>
      </c>
      <c r="BG29" s="442" t="s">
        <v>680</v>
      </c>
      <c r="BH29" s="442" t="s">
        <v>681</v>
      </c>
      <c r="BI29" s="442"/>
    </row>
    <row r="30" spans="1:61">
      <c r="A30" s="442" t="s">
        <v>1204</v>
      </c>
      <c r="B30" s="442" t="s">
        <v>1204</v>
      </c>
      <c r="C30" s="442" t="s">
        <v>1207</v>
      </c>
      <c r="D30" s="442" t="s">
        <v>673</v>
      </c>
      <c r="E30" s="442" t="s">
        <v>3</v>
      </c>
      <c r="F30" s="443" t="s">
        <v>7</v>
      </c>
      <c r="G30" s="443" t="s">
        <v>684</v>
      </c>
      <c r="H30" s="444">
        <v>368340</v>
      </c>
      <c r="I30" s="444">
        <v>368340</v>
      </c>
      <c r="J30" s="444">
        <v>0</v>
      </c>
      <c r="K30" s="444">
        <v>0</v>
      </c>
      <c r="L30" s="444">
        <v>368340</v>
      </c>
      <c r="M30" s="444">
        <v>0</v>
      </c>
      <c r="N30" s="444">
        <v>0</v>
      </c>
      <c r="O30" s="444">
        <v>0</v>
      </c>
      <c r="P30" s="444">
        <v>0</v>
      </c>
      <c r="Q30" s="444">
        <v>0</v>
      </c>
      <c r="R30" s="444">
        <v>0</v>
      </c>
      <c r="S30" s="444">
        <v>0</v>
      </c>
      <c r="T30" s="444">
        <v>0</v>
      </c>
      <c r="U30" s="444">
        <v>0</v>
      </c>
      <c r="V30" s="444">
        <v>0</v>
      </c>
      <c r="W30" s="444">
        <v>0</v>
      </c>
      <c r="X30" s="442" t="s">
        <v>674</v>
      </c>
      <c r="Y30" s="442" t="s">
        <v>675</v>
      </c>
      <c r="Z30" s="442" t="s">
        <v>675</v>
      </c>
      <c r="AA30" s="442" t="s">
        <v>675</v>
      </c>
      <c r="AB30" s="442" t="s">
        <v>675</v>
      </c>
      <c r="AC30" s="442"/>
      <c r="AD30" s="442"/>
      <c r="AE30" s="442"/>
      <c r="AF30" s="442"/>
      <c r="AG30" s="443" t="s">
        <v>1212</v>
      </c>
      <c r="AH30" s="442"/>
      <c r="AI30" s="443" t="s">
        <v>1212</v>
      </c>
      <c r="AJ30" s="443" t="s">
        <v>677</v>
      </c>
      <c r="AK30" s="442" t="s">
        <v>677</v>
      </c>
      <c r="AL30" s="442"/>
      <c r="AM30" s="442"/>
      <c r="AN30" s="442"/>
      <c r="AO30" s="442"/>
      <c r="AP30" s="442"/>
      <c r="AQ30" s="442"/>
      <c r="AR30" s="444"/>
      <c r="AS30" s="442"/>
      <c r="AT30" s="444"/>
      <c r="AU30" s="442" t="s">
        <v>678</v>
      </c>
      <c r="AV30" s="442" t="s">
        <v>677</v>
      </c>
      <c r="AW30" s="442" t="s">
        <v>676</v>
      </c>
      <c r="AX30" s="442" t="s">
        <v>679</v>
      </c>
      <c r="AY30" s="442"/>
      <c r="AZ30" s="442"/>
      <c r="BA30" s="442" t="s">
        <v>679</v>
      </c>
      <c r="BB30" s="442"/>
      <c r="BC30" s="442"/>
      <c r="BD30" s="442"/>
      <c r="BE30" s="444"/>
      <c r="BF30" s="442" t="s">
        <v>298</v>
      </c>
      <c r="BG30" s="442" t="s">
        <v>680</v>
      </c>
      <c r="BH30" s="442" t="s">
        <v>681</v>
      </c>
      <c r="BI30" s="442"/>
    </row>
    <row r="31" spans="1:61">
      <c r="A31" s="442" t="s">
        <v>1204</v>
      </c>
      <c r="B31" s="442" t="s">
        <v>1204</v>
      </c>
      <c r="C31" s="442" t="s">
        <v>1207</v>
      </c>
      <c r="D31" s="442" t="s">
        <v>673</v>
      </c>
      <c r="E31" s="442" t="s">
        <v>3</v>
      </c>
      <c r="F31" s="443" t="s">
        <v>7</v>
      </c>
      <c r="G31" s="443" t="s">
        <v>684</v>
      </c>
      <c r="H31" s="444">
        <v>3347790</v>
      </c>
      <c r="I31" s="444">
        <v>3347790</v>
      </c>
      <c r="J31" s="444">
        <v>0</v>
      </c>
      <c r="K31" s="444">
        <v>0</v>
      </c>
      <c r="L31" s="444">
        <v>3347790</v>
      </c>
      <c r="M31" s="444">
        <v>0</v>
      </c>
      <c r="N31" s="444">
        <v>0</v>
      </c>
      <c r="O31" s="444">
        <v>0</v>
      </c>
      <c r="P31" s="444">
        <v>0</v>
      </c>
      <c r="Q31" s="444">
        <v>0</v>
      </c>
      <c r="R31" s="444">
        <v>0</v>
      </c>
      <c r="S31" s="444">
        <v>0</v>
      </c>
      <c r="T31" s="444">
        <v>0</v>
      </c>
      <c r="U31" s="444">
        <v>0</v>
      </c>
      <c r="V31" s="444">
        <v>0</v>
      </c>
      <c r="W31" s="444">
        <v>0</v>
      </c>
      <c r="X31" s="442" t="s">
        <v>674</v>
      </c>
      <c r="Y31" s="442" t="s">
        <v>675</v>
      </c>
      <c r="Z31" s="442" t="s">
        <v>675</v>
      </c>
      <c r="AA31" s="442" t="s">
        <v>675</v>
      </c>
      <c r="AB31" s="442" t="s">
        <v>675</v>
      </c>
      <c r="AC31" s="442"/>
      <c r="AD31" s="442"/>
      <c r="AE31" s="442"/>
      <c r="AF31" s="442"/>
      <c r="AG31" s="443" t="s">
        <v>1213</v>
      </c>
      <c r="AH31" s="442"/>
      <c r="AI31" s="443" t="s">
        <v>1213</v>
      </c>
      <c r="AJ31" s="443" t="s">
        <v>677</v>
      </c>
      <c r="AK31" s="442" t="s">
        <v>677</v>
      </c>
      <c r="AL31" s="442"/>
      <c r="AM31" s="442"/>
      <c r="AN31" s="442"/>
      <c r="AO31" s="442"/>
      <c r="AP31" s="442"/>
      <c r="AQ31" s="442"/>
      <c r="AR31" s="444"/>
      <c r="AS31" s="442"/>
      <c r="AT31" s="444"/>
      <c r="AU31" s="442" t="s">
        <v>678</v>
      </c>
      <c r="AV31" s="442" t="s">
        <v>677</v>
      </c>
      <c r="AW31" s="442" t="s">
        <v>676</v>
      </c>
      <c r="AX31" s="442" t="s">
        <v>679</v>
      </c>
      <c r="AY31" s="442"/>
      <c r="AZ31" s="442"/>
      <c r="BA31" s="442" t="s">
        <v>679</v>
      </c>
      <c r="BB31" s="442"/>
      <c r="BC31" s="442"/>
      <c r="BD31" s="442"/>
      <c r="BE31" s="444"/>
      <c r="BF31" s="442" t="s">
        <v>298</v>
      </c>
      <c r="BG31" s="442" t="s">
        <v>680</v>
      </c>
      <c r="BH31" s="442" t="s">
        <v>681</v>
      </c>
      <c r="BI31" s="442"/>
    </row>
    <row r="32" spans="1:61">
      <c r="A32" s="442" t="s">
        <v>1175</v>
      </c>
      <c r="B32" s="442" t="s">
        <v>1203</v>
      </c>
      <c r="C32" s="442" t="s">
        <v>1203</v>
      </c>
      <c r="D32" s="442" t="s">
        <v>724</v>
      </c>
      <c r="E32" s="442" t="s">
        <v>3</v>
      </c>
      <c r="F32" s="443" t="s">
        <v>83</v>
      </c>
      <c r="G32" s="443" t="s">
        <v>700</v>
      </c>
      <c r="H32" s="444">
        <v>3080000</v>
      </c>
      <c r="I32" s="444">
        <v>3080000</v>
      </c>
      <c r="J32" s="444">
        <v>0</v>
      </c>
      <c r="K32" s="444">
        <v>0</v>
      </c>
      <c r="L32" s="444">
        <v>2800000</v>
      </c>
      <c r="M32" s="444">
        <v>0</v>
      </c>
      <c r="N32" s="444">
        <v>0</v>
      </c>
      <c r="O32" s="444">
        <v>280000</v>
      </c>
      <c r="P32" s="444">
        <v>0</v>
      </c>
      <c r="Q32" s="444">
        <v>0</v>
      </c>
      <c r="R32" s="444">
        <v>0</v>
      </c>
      <c r="S32" s="444">
        <v>0</v>
      </c>
      <c r="T32" s="444">
        <v>0</v>
      </c>
      <c r="U32" s="444">
        <v>0</v>
      </c>
      <c r="V32" s="444">
        <v>0</v>
      </c>
      <c r="W32" s="444">
        <v>0</v>
      </c>
      <c r="X32" s="442" t="s">
        <v>674</v>
      </c>
      <c r="Y32" s="442" t="s">
        <v>675</v>
      </c>
      <c r="Z32" s="442" t="s">
        <v>675</v>
      </c>
      <c r="AA32" s="442" t="s">
        <v>675</v>
      </c>
      <c r="AB32" s="442" t="s">
        <v>675</v>
      </c>
      <c r="AC32" s="442"/>
      <c r="AD32" s="442"/>
      <c r="AE32" s="442"/>
      <c r="AF32" s="442"/>
      <c r="AG32" s="443" t="s">
        <v>1214</v>
      </c>
      <c r="AH32" s="442"/>
      <c r="AI32" s="443" t="s">
        <v>1214</v>
      </c>
      <c r="AJ32" s="443" t="s">
        <v>945</v>
      </c>
      <c r="AK32" s="442" t="s">
        <v>677</v>
      </c>
      <c r="AL32" s="442"/>
      <c r="AM32" s="442" t="s">
        <v>967</v>
      </c>
      <c r="AN32" s="442" t="s">
        <v>1215</v>
      </c>
      <c r="AO32" s="442" t="s">
        <v>1175</v>
      </c>
      <c r="AP32" s="442" t="s">
        <v>1196</v>
      </c>
      <c r="AQ32" s="442" t="s">
        <v>1184</v>
      </c>
      <c r="AR32" s="444">
        <v>3080000</v>
      </c>
      <c r="AS32" s="442" t="s">
        <v>675</v>
      </c>
      <c r="AT32" s="444">
        <v>0</v>
      </c>
      <c r="AU32" s="442" t="s">
        <v>678</v>
      </c>
      <c r="AV32" s="442" t="s">
        <v>677</v>
      </c>
      <c r="AW32" s="442" t="s">
        <v>676</v>
      </c>
      <c r="AX32" s="442" t="s">
        <v>679</v>
      </c>
      <c r="AY32" s="442"/>
      <c r="AZ32" s="442"/>
      <c r="BA32" s="442" t="s">
        <v>679</v>
      </c>
      <c r="BB32" s="442"/>
      <c r="BC32" s="442"/>
      <c r="BD32" s="442"/>
      <c r="BE32" s="444"/>
      <c r="BF32" s="442" t="s">
        <v>298</v>
      </c>
      <c r="BG32" s="442" t="s">
        <v>680</v>
      </c>
      <c r="BH32" s="442" t="s">
        <v>681</v>
      </c>
      <c r="BI32" s="442"/>
    </row>
    <row r="33" spans="1:61">
      <c r="A33" s="442" t="s">
        <v>1175</v>
      </c>
      <c r="B33" s="442" t="s">
        <v>1203</v>
      </c>
      <c r="C33" s="442" t="s">
        <v>1204</v>
      </c>
      <c r="D33" s="442" t="s">
        <v>724</v>
      </c>
      <c r="E33" s="442" t="s">
        <v>3</v>
      </c>
      <c r="F33" s="443" t="s">
        <v>83</v>
      </c>
      <c r="G33" s="443" t="s">
        <v>829</v>
      </c>
      <c r="H33" s="444">
        <v>465000</v>
      </c>
      <c r="I33" s="444">
        <v>465000</v>
      </c>
      <c r="J33" s="444">
        <v>0</v>
      </c>
      <c r="K33" s="444">
        <v>0</v>
      </c>
      <c r="L33" s="444">
        <v>422728</v>
      </c>
      <c r="M33" s="444">
        <v>0</v>
      </c>
      <c r="N33" s="444">
        <v>0</v>
      </c>
      <c r="O33" s="444">
        <v>42272</v>
      </c>
      <c r="P33" s="444">
        <v>0</v>
      </c>
      <c r="Q33" s="444">
        <v>0</v>
      </c>
      <c r="R33" s="444">
        <v>0</v>
      </c>
      <c r="S33" s="444">
        <v>0</v>
      </c>
      <c r="T33" s="444">
        <v>0</v>
      </c>
      <c r="U33" s="444">
        <v>0</v>
      </c>
      <c r="V33" s="444">
        <v>0</v>
      </c>
      <c r="W33" s="444">
        <v>0</v>
      </c>
      <c r="X33" s="442" t="s">
        <v>674</v>
      </c>
      <c r="Y33" s="442" t="s">
        <v>675</v>
      </c>
      <c r="Z33" s="442" t="s">
        <v>675</v>
      </c>
      <c r="AA33" s="442" t="s">
        <v>675</v>
      </c>
      <c r="AB33" s="442" t="s">
        <v>675</v>
      </c>
      <c r="AC33" s="442"/>
      <c r="AD33" s="442"/>
      <c r="AE33" s="442"/>
      <c r="AF33" s="442"/>
      <c r="AG33" s="443" t="s">
        <v>1216</v>
      </c>
      <c r="AH33" s="442"/>
      <c r="AI33" s="443" t="s">
        <v>1216</v>
      </c>
      <c r="AJ33" s="443" t="s">
        <v>762</v>
      </c>
      <c r="AK33" s="442" t="s">
        <v>677</v>
      </c>
      <c r="AL33" s="442"/>
      <c r="AM33" s="442" t="s">
        <v>726</v>
      </c>
      <c r="AN33" s="442" t="s">
        <v>1217</v>
      </c>
      <c r="AO33" s="442" t="s">
        <v>1175</v>
      </c>
      <c r="AP33" s="442" t="s">
        <v>1196</v>
      </c>
      <c r="AQ33" s="442" t="s">
        <v>1184</v>
      </c>
      <c r="AR33" s="444">
        <v>465000</v>
      </c>
      <c r="AS33" s="442" t="s">
        <v>675</v>
      </c>
      <c r="AT33" s="444">
        <v>0</v>
      </c>
      <c r="AU33" s="442" t="s">
        <v>678</v>
      </c>
      <c r="AV33" s="442" t="s">
        <v>677</v>
      </c>
      <c r="AW33" s="442" t="s">
        <v>676</v>
      </c>
      <c r="AX33" s="442" t="s">
        <v>679</v>
      </c>
      <c r="AY33" s="442"/>
      <c r="AZ33" s="442"/>
      <c r="BA33" s="442" t="s">
        <v>679</v>
      </c>
      <c r="BB33" s="442"/>
      <c r="BC33" s="442"/>
      <c r="BD33" s="442"/>
      <c r="BE33" s="444"/>
      <c r="BF33" s="442" t="s">
        <v>298</v>
      </c>
      <c r="BG33" s="442" t="s">
        <v>680</v>
      </c>
      <c r="BH33" s="442" t="s">
        <v>681</v>
      </c>
      <c r="BI33" s="442"/>
    </row>
    <row r="34" spans="1:61">
      <c r="A34" s="442" t="s">
        <v>1175</v>
      </c>
      <c r="B34" s="442" t="s">
        <v>1175</v>
      </c>
      <c r="C34" s="442" t="s">
        <v>1176</v>
      </c>
      <c r="D34" s="442" t="s">
        <v>673</v>
      </c>
      <c r="E34" s="442" t="s">
        <v>3</v>
      </c>
      <c r="F34" s="443" t="s">
        <v>308</v>
      </c>
      <c r="G34" s="443" t="s">
        <v>780</v>
      </c>
      <c r="H34" s="444">
        <v>30000</v>
      </c>
      <c r="I34" s="444">
        <v>30000</v>
      </c>
      <c r="J34" s="444">
        <v>0</v>
      </c>
      <c r="K34" s="444">
        <v>0</v>
      </c>
      <c r="L34" s="444">
        <v>30000</v>
      </c>
      <c r="M34" s="444">
        <v>0</v>
      </c>
      <c r="N34" s="444">
        <v>0</v>
      </c>
      <c r="O34" s="444">
        <v>0</v>
      </c>
      <c r="P34" s="444">
        <v>0</v>
      </c>
      <c r="Q34" s="444">
        <v>0</v>
      </c>
      <c r="R34" s="444">
        <v>0</v>
      </c>
      <c r="S34" s="444">
        <v>0</v>
      </c>
      <c r="T34" s="444">
        <v>0</v>
      </c>
      <c r="U34" s="444">
        <v>0</v>
      </c>
      <c r="V34" s="444">
        <v>0</v>
      </c>
      <c r="W34" s="444">
        <v>0</v>
      </c>
      <c r="X34" s="442" t="s">
        <v>674</v>
      </c>
      <c r="Y34" s="442" t="s">
        <v>675</v>
      </c>
      <c r="Z34" s="442" t="s">
        <v>675</v>
      </c>
      <c r="AA34" s="442" t="s">
        <v>675</v>
      </c>
      <c r="AB34" s="442" t="s">
        <v>675</v>
      </c>
      <c r="AC34" s="442"/>
      <c r="AD34" s="442" t="s">
        <v>807</v>
      </c>
      <c r="AE34" s="442"/>
      <c r="AF34" s="442"/>
      <c r="AG34" s="443" t="s">
        <v>1177</v>
      </c>
      <c r="AH34" s="442"/>
      <c r="AI34" s="443" t="s">
        <v>1177</v>
      </c>
      <c r="AJ34" s="443" t="s">
        <v>677</v>
      </c>
      <c r="AK34" s="442" t="s">
        <v>677</v>
      </c>
      <c r="AL34" s="442"/>
      <c r="AM34" s="442"/>
      <c r="AN34" s="442"/>
      <c r="AO34" s="442"/>
      <c r="AP34" s="442"/>
      <c r="AQ34" s="442"/>
      <c r="AR34" s="444"/>
      <c r="AS34" s="442"/>
      <c r="AT34" s="444"/>
      <c r="AU34" s="442" t="s">
        <v>678</v>
      </c>
      <c r="AV34" s="442" t="s">
        <v>677</v>
      </c>
      <c r="AW34" s="442" t="s">
        <v>676</v>
      </c>
      <c r="AX34" s="442" t="s">
        <v>679</v>
      </c>
      <c r="AY34" s="442"/>
      <c r="AZ34" s="442"/>
      <c r="BA34" s="442" t="s">
        <v>679</v>
      </c>
      <c r="BB34" s="442"/>
      <c r="BC34" s="442"/>
      <c r="BD34" s="442"/>
      <c r="BE34" s="444"/>
      <c r="BF34" s="442" t="s">
        <v>298</v>
      </c>
      <c r="BG34" s="442" t="s">
        <v>680</v>
      </c>
      <c r="BH34" s="442" t="s">
        <v>681</v>
      </c>
      <c r="BI34" s="442"/>
    </row>
    <row r="35" spans="1:61">
      <c r="A35" s="442" t="s">
        <v>1204</v>
      </c>
      <c r="B35" s="442" t="s">
        <v>1203</v>
      </c>
      <c r="C35" s="442" t="s">
        <v>1204</v>
      </c>
      <c r="D35" s="442" t="s">
        <v>716</v>
      </c>
      <c r="E35" s="442" t="s">
        <v>3</v>
      </c>
      <c r="F35" s="443" t="s">
        <v>71</v>
      </c>
      <c r="G35" s="443" t="s">
        <v>719</v>
      </c>
      <c r="H35" s="444">
        <v>5500000</v>
      </c>
      <c r="I35" s="444">
        <v>5500000</v>
      </c>
      <c r="J35" s="444">
        <v>0</v>
      </c>
      <c r="K35" s="444">
        <v>0</v>
      </c>
      <c r="L35" s="444">
        <v>5000000</v>
      </c>
      <c r="M35" s="444">
        <v>0</v>
      </c>
      <c r="N35" s="444">
        <v>0</v>
      </c>
      <c r="O35" s="444">
        <v>500000</v>
      </c>
      <c r="P35" s="444">
        <v>0</v>
      </c>
      <c r="Q35" s="444">
        <v>0</v>
      </c>
      <c r="R35" s="444">
        <v>0</v>
      </c>
      <c r="S35" s="444">
        <v>0</v>
      </c>
      <c r="T35" s="444">
        <v>0</v>
      </c>
      <c r="U35" s="444">
        <v>0</v>
      </c>
      <c r="V35" s="444">
        <v>0</v>
      </c>
      <c r="W35" s="444">
        <v>0</v>
      </c>
      <c r="X35" s="442" t="s">
        <v>674</v>
      </c>
      <c r="Y35" s="442" t="s">
        <v>675</v>
      </c>
      <c r="Z35" s="442" t="s">
        <v>675</v>
      </c>
      <c r="AA35" s="442" t="s">
        <v>675</v>
      </c>
      <c r="AB35" s="442" t="s">
        <v>675</v>
      </c>
      <c r="AC35" s="442"/>
      <c r="AD35" s="442"/>
      <c r="AE35" s="442"/>
      <c r="AF35" s="442"/>
      <c r="AG35" s="443" t="s">
        <v>1218</v>
      </c>
      <c r="AH35" s="442"/>
      <c r="AI35" s="443" t="s">
        <v>1218</v>
      </c>
      <c r="AJ35" s="443" t="s">
        <v>1219</v>
      </c>
      <c r="AK35" s="442" t="s">
        <v>677</v>
      </c>
      <c r="AL35" s="442"/>
      <c r="AM35" s="442"/>
      <c r="AN35" s="442"/>
      <c r="AO35" s="442"/>
      <c r="AP35" s="442"/>
      <c r="AQ35" s="442"/>
      <c r="AR35" s="444"/>
      <c r="AS35" s="442"/>
      <c r="AT35" s="444"/>
      <c r="AU35" s="442" t="s">
        <v>678</v>
      </c>
      <c r="AV35" s="442" t="s">
        <v>677</v>
      </c>
      <c r="AW35" s="442" t="s">
        <v>676</v>
      </c>
      <c r="AX35" s="442" t="s">
        <v>679</v>
      </c>
      <c r="AY35" s="442"/>
      <c r="AZ35" s="442"/>
      <c r="BA35" s="442" t="s">
        <v>679</v>
      </c>
      <c r="BB35" s="442"/>
      <c r="BC35" s="442"/>
      <c r="BD35" s="442"/>
      <c r="BE35" s="444"/>
      <c r="BF35" s="442" t="s">
        <v>298</v>
      </c>
      <c r="BG35" s="442" t="s">
        <v>680</v>
      </c>
      <c r="BH35" s="442" t="s">
        <v>681</v>
      </c>
      <c r="BI35" s="442"/>
    </row>
    <row r="36" spans="1:61">
      <c r="A36" s="442" t="s">
        <v>1107</v>
      </c>
      <c r="B36" s="442" t="s">
        <v>1203</v>
      </c>
      <c r="C36" s="442" t="s">
        <v>1204</v>
      </c>
      <c r="D36" s="442" t="s">
        <v>724</v>
      </c>
      <c r="E36" s="442" t="s">
        <v>3</v>
      </c>
      <c r="F36" s="443" t="s">
        <v>83</v>
      </c>
      <c r="G36" s="443" t="s">
        <v>829</v>
      </c>
      <c r="H36" s="444">
        <v>73100</v>
      </c>
      <c r="I36" s="444">
        <v>73100</v>
      </c>
      <c r="J36" s="444">
        <v>0</v>
      </c>
      <c r="K36" s="444">
        <v>0</v>
      </c>
      <c r="L36" s="444">
        <v>66455</v>
      </c>
      <c r="M36" s="444">
        <v>0</v>
      </c>
      <c r="N36" s="444">
        <v>0</v>
      </c>
      <c r="O36" s="444">
        <v>6645</v>
      </c>
      <c r="P36" s="444">
        <v>0</v>
      </c>
      <c r="Q36" s="444">
        <v>0</v>
      </c>
      <c r="R36" s="444">
        <v>0</v>
      </c>
      <c r="S36" s="444">
        <v>0</v>
      </c>
      <c r="T36" s="444">
        <v>0</v>
      </c>
      <c r="U36" s="444">
        <v>0</v>
      </c>
      <c r="V36" s="444">
        <v>0</v>
      </c>
      <c r="W36" s="444">
        <v>0</v>
      </c>
      <c r="X36" s="442" t="s">
        <v>674</v>
      </c>
      <c r="Y36" s="442" t="s">
        <v>675</v>
      </c>
      <c r="Z36" s="442" t="s">
        <v>675</v>
      </c>
      <c r="AA36" s="442" t="s">
        <v>675</v>
      </c>
      <c r="AB36" s="442" t="s">
        <v>675</v>
      </c>
      <c r="AC36" s="442"/>
      <c r="AD36" s="442"/>
      <c r="AE36" s="442"/>
      <c r="AF36" s="442"/>
      <c r="AG36" s="443" t="s">
        <v>1220</v>
      </c>
      <c r="AH36" s="442"/>
      <c r="AI36" s="443" t="s">
        <v>1220</v>
      </c>
      <c r="AJ36" s="443" t="s">
        <v>833</v>
      </c>
      <c r="AK36" s="442" t="s">
        <v>677</v>
      </c>
      <c r="AL36" s="442"/>
      <c r="AM36" s="442" t="s">
        <v>726</v>
      </c>
      <c r="AN36" s="442" t="s">
        <v>1221</v>
      </c>
      <c r="AO36" s="442" t="s">
        <v>1107</v>
      </c>
      <c r="AP36" s="442" t="s">
        <v>1222</v>
      </c>
      <c r="AQ36" s="442" t="s">
        <v>1184</v>
      </c>
      <c r="AR36" s="444">
        <v>73100</v>
      </c>
      <c r="AS36" s="442" t="s">
        <v>675</v>
      </c>
      <c r="AT36" s="444">
        <v>0</v>
      </c>
      <c r="AU36" s="442" t="s">
        <v>678</v>
      </c>
      <c r="AV36" s="442" t="s">
        <v>677</v>
      </c>
      <c r="AW36" s="442" t="s">
        <v>676</v>
      </c>
      <c r="AX36" s="442" t="s">
        <v>679</v>
      </c>
      <c r="AY36" s="442"/>
      <c r="AZ36" s="442"/>
      <c r="BA36" s="442" t="s">
        <v>679</v>
      </c>
      <c r="BB36" s="442"/>
      <c r="BC36" s="442"/>
      <c r="BD36" s="442"/>
      <c r="BE36" s="444"/>
      <c r="BF36" s="442" t="s">
        <v>298</v>
      </c>
      <c r="BG36" s="442" t="s">
        <v>680</v>
      </c>
      <c r="BH36" s="442" t="s">
        <v>681</v>
      </c>
      <c r="BI36" s="442"/>
    </row>
    <row r="37" spans="1:61">
      <c r="A37" s="442" t="s">
        <v>1105</v>
      </c>
      <c r="B37" s="442" t="s">
        <v>1105</v>
      </c>
      <c r="C37" s="442" t="s">
        <v>1105</v>
      </c>
      <c r="D37" s="442" t="s">
        <v>673</v>
      </c>
      <c r="E37" s="442" t="s">
        <v>3</v>
      </c>
      <c r="F37" s="443" t="s">
        <v>83</v>
      </c>
      <c r="G37" s="443" t="s">
        <v>700</v>
      </c>
      <c r="H37" s="444">
        <v>60000</v>
      </c>
      <c r="I37" s="444">
        <v>60000</v>
      </c>
      <c r="J37" s="444">
        <v>0</v>
      </c>
      <c r="K37" s="444">
        <v>0</v>
      </c>
      <c r="L37" s="444">
        <v>60000</v>
      </c>
      <c r="M37" s="444">
        <v>0</v>
      </c>
      <c r="N37" s="444">
        <v>0</v>
      </c>
      <c r="O37" s="444">
        <v>0</v>
      </c>
      <c r="P37" s="444">
        <v>0</v>
      </c>
      <c r="Q37" s="444">
        <v>0</v>
      </c>
      <c r="R37" s="444">
        <v>0</v>
      </c>
      <c r="S37" s="444">
        <v>0</v>
      </c>
      <c r="T37" s="444">
        <v>0</v>
      </c>
      <c r="U37" s="444">
        <v>0</v>
      </c>
      <c r="V37" s="444">
        <v>0</v>
      </c>
      <c r="W37" s="444">
        <v>0</v>
      </c>
      <c r="X37" s="442" t="s">
        <v>674</v>
      </c>
      <c r="Y37" s="442" t="s">
        <v>675</v>
      </c>
      <c r="Z37" s="442" t="s">
        <v>675</v>
      </c>
      <c r="AA37" s="442" t="s">
        <v>675</v>
      </c>
      <c r="AB37" s="442" t="s">
        <v>675</v>
      </c>
      <c r="AC37" s="442"/>
      <c r="AD37" s="442"/>
      <c r="AE37" s="442"/>
      <c r="AF37" s="442"/>
      <c r="AG37" s="443" t="s">
        <v>1106</v>
      </c>
      <c r="AH37" s="442"/>
      <c r="AI37" s="443" t="s">
        <v>1106</v>
      </c>
      <c r="AJ37" s="443" t="s">
        <v>677</v>
      </c>
      <c r="AK37" s="442" t="s">
        <v>677</v>
      </c>
      <c r="AL37" s="442"/>
      <c r="AM37" s="442"/>
      <c r="AN37" s="442"/>
      <c r="AO37" s="442"/>
      <c r="AP37" s="442"/>
      <c r="AQ37" s="442"/>
      <c r="AR37" s="444"/>
      <c r="AS37" s="442"/>
      <c r="AT37" s="444"/>
      <c r="AU37" s="442" t="s">
        <v>678</v>
      </c>
      <c r="AV37" s="442" t="s">
        <v>677</v>
      </c>
      <c r="AW37" s="442" t="s">
        <v>676</v>
      </c>
      <c r="AX37" s="442" t="s">
        <v>679</v>
      </c>
      <c r="AY37" s="442"/>
      <c r="AZ37" s="442"/>
      <c r="BA37" s="442" t="s">
        <v>679</v>
      </c>
      <c r="BB37" s="442"/>
      <c r="BC37" s="442"/>
      <c r="BD37" s="442"/>
      <c r="BE37" s="444"/>
      <c r="BF37" s="442" t="s">
        <v>298</v>
      </c>
      <c r="BG37" s="442" t="s">
        <v>680</v>
      </c>
      <c r="BH37" s="442" t="s">
        <v>681</v>
      </c>
      <c r="BI37" s="442"/>
    </row>
    <row r="38" spans="1:61">
      <c r="A38" s="442" t="s">
        <v>1105</v>
      </c>
      <c r="B38" s="442" t="s">
        <v>1105</v>
      </c>
      <c r="C38" s="442" t="s">
        <v>1105</v>
      </c>
      <c r="D38" s="442" t="s">
        <v>673</v>
      </c>
      <c r="E38" s="442" t="s">
        <v>3</v>
      </c>
      <c r="F38" s="443" t="s">
        <v>83</v>
      </c>
      <c r="G38" s="443" t="s">
        <v>700</v>
      </c>
      <c r="H38" s="444">
        <v>60000</v>
      </c>
      <c r="I38" s="444">
        <v>60000</v>
      </c>
      <c r="J38" s="444">
        <v>0</v>
      </c>
      <c r="K38" s="444">
        <v>0</v>
      </c>
      <c r="L38" s="444">
        <v>60000</v>
      </c>
      <c r="M38" s="444">
        <v>0</v>
      </c>
      <c r="N38" s="444">
        <v>0</v>
      </c>
      <c r="O38" s="444">
        <v>0</v>
      </c>
      <c r="P38" s="444">
        <v>0</v>
      </c>
      <c r="Q38" s="444">
        <v>0</v>
      </c>
      <c r="R38" s="444">
        <v>0</v>
      </c>
      <c r="S38" s="444">
        <v>0</v>
      </c>
      <c r="T38" s="444">
        <v>0</v>
      </c>
      <c r="U38" s="444">
        <v>0</v>
      </c>
      <c r="V38" s="444">
        <v>0</v>
      </c>
      <c r="W38" s="444">
        <v>0</v>
      </c>
      <c r="X38" s="442" t="s">
        <v>674</v>
      </c>
      <c r="Y38" s="442" t="s">
        <v>675</v>
      </c>
      <c r="Z38" s="442" t="s">
        <v>675</v>
      </c>
      <c r="AA38" s="442" t="s">
        <v>675</v>
      </c>
      <c r="AB38" s="442" t="s">
        <v>675</v>
      </c>
      <c r="AC38" s="442"/>
      <c r="AD38" s="442"/>
      <c r="AE38" s="442"/>
      <c r="AF38" s="442"/>
      <c r="AG38" s="443" t="s">
        <v>1106</v>
      </c>
      <c r="AH38" s="442"/>
      <c r="AI38" s="443" t="s">
        <v>1106</v>
      </c>
      <c r="AJ38" s="443" t="s">
        <v>677</v>
      </c>
      <c r="AK38" s="442" t="s">
        <v>677</v>
      </c>
      <c r="AL38" s="442"/>
      <c r="AM38" s="442"/>
      <c r="AN38" s="442"/>
      <c r="AO38" s="442"/>
      <c r="AP38" s="442"/>
      <c r="AQ38" s="442"/>
      <c r="AR38" s="444"/>
      <c r="AS38" s="442"/>
      <c r="AT38" s="444"/>
      <c r="AU38" s="442" t="s">
        <v>678</v>
      </c>
      <c r="AV38" s="442" t="s">
        <v>677</v>
      </c>
      <c r="AW38" s="442" t="s">
        <v>676</v>
      </c>
      <c r="AX38" s="442" t="s">
        <v>679</v>
      </c>
      <c r="AY38" s="442"/>
      <c r="AZ38" s="442"/>
      <c r="BA38" s="442" t="s">
        <v>679</v>
      </c>
      <c r="BB38" s="442"/>
      <c r="BC38" s="442"/>
      <c r="BD38" s="442"/>
      <c r="BE38" s="444"/>
      <c r="BF38" s="442" t="s">
        <v>298</v>
      </c>
      <c r="BG38" s="442" t="s">
        <v>680</v>
      </c>
      <c r="BH38" s="442" t="s">
        <v>681</v>
      </c>
      <c r="BI38" s="442"/>
    </row>
    <row r="39" spans="1:61">
      <c r="A39" s="442" t="s">
        <v>1105</v>
      </c>
      <c r="B39" s="442" t="s">
        <v>1105</v>
      </c>
      <c r="C39" s="442" t="s">
        <v>1105</v>
      </c>
      <c r="D39" s="442" t="s">
        <v>673</v>
      </c>
      <c r="E39" s="442" t="s">
        <v>3</v>
      </c>
      <c r="F39" s="443" t="s">
        <v>83</v>
      </c>
      <c r="G39" s="443" t="s">
        <v>700</v>
      </c>
      <c r="H39" s="444">
        <v>60000</v>
      </c>
      <c r="I39" s="444">
        <v>60000</v>
      </c>
      <c r="J39" s="444">
        <v>0</v>
      </c>
      <c r="K39" s="444">
        <v>0</v>
      </c>
      <c r="L39" s="444">
        <v>60000</v>
      </c>
      <c r="M39" s="444">
        <v>0</v>
      </c>
      <c r="N39" s="444">
        <v>0</v>
      </c>
      <c r="O39" s="444">
        <v>0</v>
      </c>
      <c r="P39" s="444">
        <v>0</v>
      </c>
      <c r="Q39" s="444">
        <v>0</v>
      </c>
      <c r="R39" s="444">
        <v>0</v>
      </c>
      <c r="S39" s="444">
        <v>0</v>
      </c>
      <c r="T39" s="444">
        <v>0</v>
      </c>
      <c r="U39" s="444">
        <v>0</v>
      </c>
      <c r="V39" s="444">
        <v>0</v>
      </c>
      <c r="W39" s="444">
        <v>0</v>
      </c>
      <c r="X39" s="442" t="s">
        <v>674</v>
      </c>
      <c r="Y39" s="442" t="s">
        <v>675</v>
      </c>
      <c r="Z39" s="442" t="s">
        <v>675</v>
      </c>
      <c r="AA39" s="442" t="s">
        <v>675</v>
      </c>
      <c r="AB39" s="442" t="s">
        <v>675</v>
      </c>
      <c r="AC39" s="442"/>
      <c r="AD39" s="442"/>
      <c r="AE39" s="442"/>
      <c r="AF39" s="442"/>
      <c r="AG39" s="443" t="s">
        <v>1106</v>
      </c>
      <c r="AH39" s="442"/>
      <c r="AI39" s="443" t="s">
        <v>1106</v>
      </c>
      <c r="AJ39" s="443" t="s">
        <v>677</v>
      </c>
      <c r="AK39" s="442" t="s">
        <v>677</v>
      </c>
      <c r="AL39" s="442"/>
      <c r="AM39" s="442"/>
      <c r="AN39" s="442"/>
      <c r="AO39" s="442"/>
      <c r="AP39" s="442"/>
      <c r="AQ39" s="442"/>
      <c r="AR39" s="444"/>
      <c r="AS39" s="442"/>
      <c r="AT39" s="444"/>
      <c r="AU39" s="442" t="s">
        <v>678</v>
      </c>
      <c r="AV39" s="442" t="s">
        <v>677</v>
      </c>
      <c r="AW39" s="442" t="s">
        <v>676</v>
      </c>
      <c r="AX39" s="442" t="s">
        <v>679</v>
      </c>
      <c r="AY39" s="442"/>
      <c r="AZ39" s="442"/>
      <c r="BA39" s="442" t="s">
        <v>679</v>
      </c>
      <c r="BB39" s="442"/>
      <c r="BC39" s="442"/>
      <c r="BD39" s="442"/>
      <c r="BE39" s="444"/>
      <c r="BF39" s="442" t="s">
        <v>298</v>
      </c>
      <c r="BG39" s="442" t="s">
        <v>680</v>
      </c>
      <c r="BH39" s="442" t="s">
        <v>681</v>
      </c>
      <c r="BI39" s="442"/>
    </row>
    <row r="40" spans="1:61">
      <c r="A40" s="442" t="s">
        <v>1105</v>
      </c>
      <c r="B40" s="442" t="s">
        <v>1105</v>
      </c>
      <c r="C40" s="442" t="s">
        <v>1105</v>
      </c>
      <c r="D40" s="442" t="s">
        <v>673</v>
      </c>
      <c r="E40" s="442" t="s">
        <v>3</v>
      </c>
      <c r="F40" s="443" t="s">
        <v>83</v>
      </c>
      <c r="G40" s="443" t="s">
        <v>700</v>
      </c>
      <c r="H40" s="444">
        <v>60000</v>
      </c>
      <c r="I40" s="444">
        <v>60000</v>
      </c>
      <c r="J40" s="444">
        <v>0</v>
      </c>
      <c r="K40" s="444">
        <v>0</v>
      </c>
      <c r="L40" s="444">
        <v>60000</v>
      </c>
      <c r="M40" s="444">
        <v>0</v>
      </c>
      <c r="N40" s="444">
        <v>0</v>
      </c>
      <c r="O40" s="444">
        <v>0</v>
      </c>
      <c r="P40" s="444">
        <v>0</v>
      </c>
      <c r="Q40" s="444">
        <v>0</v>
      </c>
      <c r="R40" s="444">
        <v>0</v>
      </c>
      <c r="S40" s="444">
        <v>0</v>
      </c>
      <c r="T40" s="444">
        <v>0</v>
      </c>
      <c r="U40" s="444">
        <v>0</v>
      </c>
      <c r="V40" s="444">
        <v>0</v>
      </c>
      <c r="W40" s="444">
        <v>0</v>
      </c>
      <c r="X40" s="442" t="s">
        <v>674</v>
      </c>
      <c r="Y40" s="442" t="s">
        <v>675</v>
      </c>
      <c r="Z40" s="442" t="s">
        <v>675</v>
      </c>
      <c r="AA40" s="442" t="s">
        <v>675</v>
      </c>
      <c r="AB40" s="442" t="s">
        <v>675</v>
      </c>
      <c r="AC40" s="442"/>
      <c r="AD40" s="442"/>
      <c r="AE40" s="442"/>
      <c r="AF40" s="442"/>
      <c r="AG40" s="443" t="s">
        <v>1106</v>
      </c>
      <c r="AH40" s="442"/>
      <c r="AI40" s="443" t="s">
        <v>1106</v>
      </c>
      <c r="AJ40" s="443" t="s">
        <v>677</v>
      </c>
      <c r="AK40" s="442" t="s">
        <v>677</v>
      </c>
      <c r="AL40" s="442"/>
      <c r="AM40" s="442"/>
      <c r="AN40" s="442"/>
      <c r="AO40" s="442"/>
      <c r="AP40" s="442"/>
      <c r="AQ40" s="442"/>
      <c r="AR40" s="444"/>
      <c r="AS40" s="442"/>
      <c r="AT40" s="444"/>
      <c r="AU40" s="442" t="s">
        <v>678</v>
      </c>
      <c r="AV40" s="442" t="s">
        <v>677</v>
      </c>
      <c r="AW40" s="442" t="s">
        <v>676</v>
      </c>
      <c r="AX40" s="442" t="s">
        <v>679</v>
      </c>
      <c r="AY40" s="442"/>
      <c r="AZ40" s="442"/>
      <c r="BA40" s="442" t="s">
        <v>679</v>
      </c>
      <c r="BB40" s="442"/>
      <c r="BC40" s="442"/>
      <c r="BD40" s="442"/>
      <c r="BE40" s="444"/>
      <c r="BF40" s="442" t="s">
        <v>298</v>
      </c>
      <c r="BG40" s="442" t="s">
        <v>680</v>
      </c>
      <c r="BH40" s="442" t="s">
        <v>681</v>
      </c>
      <c r="BI40" s="442"/>
    </row>
    <row r="41" spans="1:61">
      <c r="A41" s="442" t="s">
        <v>1105</v>
      </c>
      <c r="B41" s="442" t="s">
        <v>1105</v>
      </c>
      <c r="C41" s="442" t="s">
        <v>1105</v>
      </c>
      <c r="D41" s="442" t="s">
        <v>673</v>
      </c>
      <c r="E41" s="442" t="s">
        <v>3</v>
      </c>
      <c r="F41" s="443" t="s">
        <v>83</v>
      </c>
      <c r="G41" s="443" t="s">
        <v>700</v>
      </c>
      <c r="H41" s="444">
        <v>150000</v>
      </c>
      <c r="I41" s="444">
        <v>150000</v>
      </c>
      <c r="J41" s="444">
        <v>0</v>
      </c>
      <c r="K41" s="444">
        <v>0</v>
      </c>
      <c r="L41" s="444">
        <v>150000</v>
      </c>
      <c r="M41" s="444">
        <v>0</v>
      </c>
      <c r="N41" s="444">
        <v>0</v>
      </c>
      <c r="O41" s="444">
        <v>0</v>
      </c>
      <c r="P41" s="444">
        <v>0</v>
      </c>
      <c r="Q41" s="444">
        <v>0</v>
      </c>
      <c r="R41" s="444">
        <v>0</v>
      </c>
      <c r="S41" s="444">
        <v>0</v>
      </c>
      <c r="T41" s="444">
        <v>0</v>
      </c>
      <c r="U41" s="444">
        <v>0</v>
      </c>
      <c r="V41" s="444">
        <v>0</v>
      </c>
      <c r="W41" s="444">
        <v>0</v>
      </c>
      <c r="X41" s="442" t="s">
        <v>674</v>
      </c>
      <c r="Y41" s="442" t="s">
        <v>675</v>
      </c>
      <c r="Z41" s="442" t="s">
        <v>675</v>
      </c>
      <c r="AA41" s="442" t="s">
        <v>675</v>
      </c>
      <c r="AB41" s="442" t="s">
        <v>675</v>
      </c>
      <c r="AC41" s="442"/>
      <c r="AD41" s="442"/>
      <c r="AE41" s="442"/>
      <c r="AF41" s="442"/>
      <c r="AG41" s="443" t="s">
        <v>1106</v>
      </c>
      <c r="AH41" s="442"/>
      <c r="AI41" s="443" t="s">
        <v>1106</v>
      </c>
      <c r="AJ41" s="443" t="s">
        <v>677</v>
      </c>
      <c r="AK41" s="442" t="s">
        <v>677</v>
      </c>
      <c r="AL41" s="442"/>
      <c r="AM41" s="442"/>
      <c r="AN41" s="442"/>
      <c r="AO41" s="442"/>
      <c r="AP41" s="442"/>
      <c r="AQ41" s="442"/>
      <c r="AR41" s="444"/>
      <c r="AS41" s="442"/>
      <c r="AT41" s="444"/>
      <c r="AU41" s="442" t="s">
        <v>678</v>
      </c>
      <c r="AV41" s="442" t="s">
        <v>677</v>
      </c>
      <c r="AW41" s="442" t="s">
        <v>676</v>
      </c>
      <c r="AX41" s="442" t="s">
        <v>679</v>
      </c>
      <c r="AY41" s="442"/>
      <c r="AZ41" s="442"/>
      <c r="BA41" s="442" t="s">
        <v>679</v>
      </c>
      <c r="BB41" s="442"/>
      <c r="BC41" s="442"/>
      <c r="BD41" s="442"/>
      <c r="BE41" s="444"/>
      <c r="BF41" s="442" t="s">
        <v>298</v>
      </c>
      <c r="BG41" s="442" t="s">
        <v>680</v>
      </c>
      <c r="BH41" s="442" t="s">
        <v>681</v>
      </c>
      <c r="BI41" s="442"/>
    </row>
    <row r="42" spans="1:61">
      <c r="A42" s="442" t="s">
        <v>1105</v>
      </c>
      <c r="B42" s="442" t="s">
        <v>1105</v>
      </c>
      <c r="C42" s="442" t="s">
        <v>1105</v>
      </c>
      <c r="D42" s="442" t="s">
        <v>673</v>
      </c>
      <c r="E42" s="442" t="s">
        <v>3</v>
      </c>
      <c r="F42" s="443" t="s">
        <v>83</v>
      </c>
      <c r="G42" s="443" t="s">
        <v>700</v>
      </c>
      <c r="H42" s="444">
        <v>60000</v>
      </c>
      <c r="I42" s="444">
        <v>60000</v>
      </c>
      <c r="J42" s="444">
        <v>0</v>
      </c>
      <c r="K42" s="444">
        <v>0</v>
      </c>
      <c r="L42" s="444">
        <v>60000</v>
      </c>
      <c r="M42" s="444">
        <v>0</v>
      </c>
      <c r="N42" s="444">
        <v>0</v>
      </c>
      <c r="O42" s="444">
        <v>0</v>
      </c>
      <c r="P42" s="444">
        <v>0</v>
      </c>
      <c r="Q42" s="444">
        <v>0</v>
      </c>
      <c r="R42" s="444">
        <v>0</v>
      </c>
      <c r="S42" s="444">
        <v>0</v>
      </c>
      <c r="T42" s="444">
        <v>0</v>
      </c>
      <c r="U42" s="444">
        <v>0</v>
      </c>
      <c r="V42" s="444">
        <v>0</v>
      </c>
      <c r="W42" s="444">
        <v>0</v>
      </c>
      <c r="X42" s="442" t="s">
        <v>674</v>
      </c>
      <c r="Y42" s="442" t="s">
        <v>675</v>
      </c>
      <c r="Z42" s="442" t="s">
        <v>675</v>
      </c>
      <c r="AA42" s="442" t="s">
        <v>675</v>
      </c>
      <c r="AB42" s="442" t="s">
        <v>675</v>
      </c>
      <c r="AC42" s="442"/>
      <c r="AD42" s="442"/>
      <c r="AE42" s="442"/>
      <c r="AF42" s="442"/>
      <c r="AG42" s="443" t="s">
        <v>1106</v>
      </c>
      <c r="AH42" s="442"/>
      <c r="AI42" s="443" t="s">
        <v>1106</v>
      </c>
      <c r="AJ42" s="443" t="s">
        <v>677</v>
      </c>
      <c r="AK42" s="442" t="s">
        <v>677</v>
      </c>
      <c r="AL42" s="442"/>
      <c r="AM42" s="442"/>
      <c r="AN42" s="442"/>
      <c r="AO42" s="442"/>
      <c r="AP42" s="442"/>
      <c r="AQ42" s="442"/>
      <c r="AR42" s="444"/>
      <c r="AS42" s="442"/>
      <c r="AT42" s="444"/>
      <c r="AU42" s="442" t="s">
        <v>678</v>
      </c>
      <c r="AV42" s="442" t="s">
        <v>677</v>
      </c>
      <c r="AW42" s="442" t="s">
        <v>676</v>
      </c>
      <c r="AX42" s="442" t="s">
        <v>679</v>
      </c>
      <c r="AY42" s="442"/>
      <c r="AZ42" s="442"/>
      <c r="BA42" s="442" t="s">
        <v>679</v>
      </c>
      <c r="BB42" s="442"/>
      <c r="BC42" s="442"/>
      <c r="BD42" s="442"/>
      <c r="BE42" s="444"/>
      <c r="BF42" s="442" t="s">
        <v>298</v>
      </c>
      <c r="BG42" s="442" t="s">
        <v>680</v>
      </c>
      <c r="BH42" s="442" t="s">
        <v>681</v>
      </c>
      <c r="BI42" s="442"/>
    </row>
    <row r="43" spans="1:61">
      <c r="A43" s="442" t="s">
        <v>1105</v>
      </c>
      <c r="B43" s="442" t="s">
        <v>1105</v>
      </c>
      <c r="C43" s="442" t="s">
        <v>1105</v>
      </c>
      <c r="D43" s="442" t="s">
        <v>673</v>
      </c>
      <c r="E43" s="442" t="s">
        <v>3</v>
      </c>
      <c r="F43" s="443" t="s">
        <v>83</v>
      </c>
      <c r="G43" s="443" t="s">
        <v>700</v>
      </c>
      <c r="H43" s="444">
        <v>60000</v>
      </c>
      <c r="I43" s="444">
        <v>60000</v>
      </c>
      <c r="J43" s="444">
        <v>0</v>
      </c>
      <c r="K43" s="444">
        <v>0</v>
      </c>
      <c r="L43" s="444">
        <v>60000</v>
      </c>
      <c r="M43" s="444">
        <v>0</v>
      </c>
      <c r="N43" s="444">
        <v>0</v>
      </c>
      <c r="O43" s="444">
        <v>0</v>
      </c>
      <c r="P43" s="444">
        <v>0</v>
      </c>
      <c r="Q43" s="444">
        <v>0</v>
      </c>
      <c r="R43" s="444">
        <v>0</v>
      </c>
      <c r="S43" s="444">
        <v>0</v>
      </c>
      <c r="T43" s="444">
        <v>0</v>
      </c>
      <c r="U43" s="444">
        <v>0</v>
      </c>
      <c r="V43" s="444">
        <v>0</v>
      </c>
      <c r="W43" s="444">
        <v>0</v>
      </c>
      <c r="X43" s="442" t="s">
        <v>674</v>
      </c>
      <c r="Y43" s="442" t="s">
        <v>675</v>
      </c>
      <c r="Z43" s="442" t="s">
        <v>675</v>
      </c>
      <c r="AA43" s="442" t="s">
        <v>675</v>
      </c>
      <c r="AB43" s="442" t="s">
        <v>675</v>
      </c>
      <c r="AC43" s="442"/>
      <c r="AD43" s="442"/>
      <c r="AE43" s="442"/>
      <c r="AF43" s="442"/>
      <c r="AG43" s="443" t="s">
        <v>1106</v>
      </c>
      <c r="AH43" s="442"/>
      <c r="AI43" s="443" t="s">
        <v>1106</v>
      </c>
      <c r="AJ43" s="443" t="s">
        <v>677</v>
      </c>
      <c r="AK43" s="442" t="s">
        <v>677</v>
      </c>
      <c r="AL43" s="442"/>
      <c r="AM43" s="442"/>
      <c r="AN43" s="442"/>
      <c r="AO43" s="442"/>
      <c r="AP43" s="442"/>
      <c r="AQ43" s="442"/>
      <c r="AR43" s="444"/>
      <c r="AS43" s="442"/>
      <c r="AT43" s="444"/>
      <c r="AU43" s="442" t="s">
        <v>678</v>
      </c>
      <c r="AV43" s="442" t="s">
        <v>677</v>
      </c>
      <c r="AW43" s="442" t="s">
        <v>676</v>
      </c>
      <c r="AX43" s="442" t="s">
        <v>679</v>
      </c>
      <c r="AY43" s="442"/>
      <c r="AZ43" s="442"/>
      <c r="BA43" s="442" t="s">
        <v>679</v>
      </c>
      <c r="BB43" s="442"/>
      <c r="BC43" s="442"/>
      <c r="BD43" s="442"/>
      <c r="BE43" s="444"/>
      <c r="BF43" s="442" t="s">
        <v>298</v>
      </c>
      <c r="BG43" s="442" t="s">
        <v>680</v>
      </c>
      <c r="BH43" s="442" t="s">
        <v>681</v>
      </c>
      <c r="BI43" s="442"/>
    </row>
    <row r="44" spans="1:61">
      <c r="A44" s="442" t="s">
        <v>1105</v>
      </c>
      <c r="B44" s="442" t="s">
        <v>1105</v>
      </c>
      <c r="C44" s="442" t="s">
        <v>1105</v>
      </c>
      <c r="D44" s="442" t="s">
        <v>673</v>
      </c>
      <c r="E44" s="442" t="s">
        <v>3</v>
      </c>
      <c r="F44" s="443" t="s">
        <v>83</v>
      </c>
      <c r="G44" s="443" t="s">
        <v>700</v>
      </c>
      <c r="H44" s="444">
        <v>60000</v>
      </c>
      <c r="I44" s="444">
        <v>60000</v>
      </c>
      <c r="J44" s="444">
        <v>0</v>
      </c>
      <c r="K44" s="444">
        <v>0</v>
      </c>
      <c r="L44" s="444">
        <v>60000</v>
      </c>
      <c r="M44" s="444">
        <v>0</v>
      </c>
      <c r="N44" s="444">
        <v>0</v>
      </c>
      <c r="O44" s="444">
        <v>0</v>
      </c>
      <c r="P44" s="444">
        <v>0</v>
      </c>
      <c r="Q44" s="444">
        <v>0</v>
      </c>
      <c r="R44" s="444">
        <v>0</v>
      </c>
      <c r="S44" s="444">
        <v>0</v>
      </c>
      <c r="T44" s="444">
        <v>0</v>
      </c>
      <c r="U44" s="444">
        <v>0</v>
      </c>
      <c r="V44" s="444">
        <v>0</v>
      </c>
      <c r="W44" s="444">
        <v>0</v>
      </c>
      <c r="X44" s="442" t="s">
        <v>674</v>
      </c>
      <c r="Y44" s="442" t="s">
        <v>675</v>
      </c>
      <c r="Z44" s="442" t="s">
        <v>675</v>
      </c>
      <c r="AA44" s="442" t="s">
        <v>675</v>
      </c>
      <c r="AB44" s="442" t="s">
        <v>675</v>
      </c>
      <c r="AC44" s="442"/>
      <c r="AD44" s="442"/>
      <c r="AE44" s="442"/>
      <c r="AF44" s="442"/>
      <c r="AG44" s="443" t="s">
        <v>1106</v>
      </c>
      <c r="AH44" s="442"/>
      <c r="AI44" s="443" t="s">
        <v>1106</v>
      </c>
      <c r="AJ44" s="443" t="s">
        <v>677</v>
      </c>
      <c r="AK44" s="442" t="s">
        <v>677</v>
      </c>
      <c r="AL44" s="442"/>
      <c r="AM44" s="442"/>
      <c r="AN44" s="442"/>
      <c r="AO44" s="442"/>
      <c r="AP44" s="442"/>
      <c r="AQ44" s="442"/>
      <c r="AR44" s="444"/>
      <c r="AS44" s="442"/>
      <c r="AT44" s="444"/>
      <c r="AU44" s="442" t="s">
        <v>678</v>
      </c>
      <c r="AV44" s="442" t="s">
        <v>677</v>
      </c>
      <c r="AW44" s="442" t="s">
        <v>676</v>
      </c>
      <c r="AX44" s="442" t="s">
        <v>679</v>
      </c>
      <c r="AY44" s="442"/>
      <c r="AZ44" s="442"/>
      <c r="BA44" s="442" t="s">
        <v>679</v>
      </c>
      <c r="BB44" s="442"/>
      <c r="BC44" s="442"/>
      <c r="BD44" s="442"/>
      <c r="BE44" s="444"/>
      <c r="BF44" s="442" t="s">
        <v>298</v>
      </c>
      <c r="BG44" s="442" t="s">
        <v>680</v>
      </c>
      <c r="BH44" s="442" t="s">
        <v>681</v>
      </c>
      <c r="BI44" s="442"/>
    </row>
    <row r="45" spans="1:61">
      <c r="A45" s="442" t="s">
        <v>1105</v>
      </c>
      <c r="B45" s="442" t="s">
        <v>1105</v>
      </c>
      <c r="C45" s="442" t="s">
        <v>1105</v>
      </c>
      <c r="D45" s="442" t="s">
        <v>673</v>
      </c>
      <c r="E45" s="442" t="s">
        <v>3</v>
      </c>
      <c r="F45" s="443" t="s">
        <v>83</v>
      </c>
      <c r="G45" s="443" t="s">
        <v>700</v>
      </c>
      <c r="H45" s="444">
        <v>60000</v>
      </c>
      <c r="I45" s="444">
        <v>60000</v>
      </c>
      <c r="J45" s="444">
        <v>0</v>
      </c>
      <c r="K45" s="444">
        <v>0</v>
      </c>
      <c r="L45" s="444">
        <v>60000</v>
      </c>
      <c r="M45" s="444">
        <v>0</v>
      </c>
      <c r="N45" s="444">
        <v>0</v>
      </c>
      <c r="O45" s="444">
        <v>0</v>
      </c>
      <c r="P45" s="444">
        <v>0</v>
      </c>
      <c r="Q45" s="444">
        <v>0</v>
      </c>
      <c r="R45" s="444">
        <v>0</v>
      </c>
      <c r="S45" s="444">
        <v>0</v>
      </c>
      <c r="T45" s="444">
        <v>0</v>
      </c>
      <c r="U45" s="444">
        <v>0</v>
      </c>
      <c r="V45" s="444">
        <v>0</v>
      </c>
      <c r="W45" s="444">
        <v>0</v>
      </c>
      <c r="X45" s="442" t="s">
        <v>674</v>
      </c>
      <c r="Y45" s="442" t="s">
        <v>675</v>
      </c>
      <c r="Z45" s="442" t="s">
        <v>675</v>
      </c>
      <c r="AA45" s="442" t="s">
        <v>675</v>
      </c>
      <c r="AB45" s="442" t="s">
        <v>675</v>
      </c>
      <c r="AC45" s="442"/>
      <c r="AD45" s="442"/>
      <c r="AE45" s="442"/>
      <c r="AF45" s="442"/>
      <c r="AG45" s="443" t="s">
        <v>1106</v>
      </c>
      <c r="AH45" s="442"/>
      <c r="AI45" s="443" t="s">
        <v>1106</v>
      </c>
      <c r="AJ45" s="443" t="s">
        <v>677</v>
      </c>
      <c r="AK45" s="442" t="s">
        <v>677</v>
      </c>
      <c r="AL45" s="442"/>
      <c r="AM45" s="442"/>
      <c r="AN45" s="442"/>
      <c r="AO45" s="442"/>
      <c r="AP45" s="442"/>
      <c r="AQ45" s="442"/>
      <c r="AR45" s="444"/>
      <c r="AS45" s="442"/>
      <c r="AT45" s="444"/>
      <c r="AU45" s="442" t="s">
        <v>678</v>
      </c>
      <c r="AV45" s="442" t="s">
        <v>677</v>
      </c>
      <c r="AW45" s="442" t="s">
        <v>676</v>
      </c>
      <c r="AX45" s="442" t="s">
        <v>679</v>
      </c>
      <c r="AY45" s="442"/>
      <c r="AZ45" s="442"/>
      <c r="BA45" s="442" t="s">
        <v>679</v>
      </c>
      <c r="BB45" s="442"/>
      <c r="BC45" s="442"/>
      <c r="BD45" s="442"/>
      <c r="BE45" s="444"/>
      <c r="BF45" s="442" t="s">
        <v>298</v>
      </c>
      <c r="BG45" s="442" t="s">
        <v>680</v>
      </c>
      <c r="BH45" s="442" t="s">
        <v>681</v>
      </c>
      <c r="BI45" s="442"/>
    </row>
    <row r="46" spans="1:61">
      <c r="A46" s="442" t="s">
        <v>1105</v>
      </c>
      <c r="B46" s="442" t="s">
        <v>1105</v>
      </c>
      <c r="C46" s="442" t="s">
        <v>1105</v>
      </c>
      <c r="D46" s="442" t="s">
        <v>673</v>
      </c>
      <c r="E46" s="442" t="s">
        <v>3</v>
      </c>
      <c r="F46" s="443" t="s">
        <v>83</v>
      </c>
      <c r="G46" s="443" t="s">
        <v>700</v>
      </c>
      <c r="H46" s="444">
        <v>60000</v>
      </c>
      <c r="I46" s="444">
        <v>60000</v>
      </c>
      <c r="J46" s="444">
        <v>0</v>
      </c>
      <c r="K46" s="444">
        <v>0</v>
      </c>
      <c r="L46" s="444">
        <v>60000</v>
      </c>
      <c r="M46" s="444">
        <v>0</v>
      </c>
      <c r="N46" s="444">
        <v>0</v>
      </c>
      <c r="O46" s="444">
        <v>0</v>
      </c>
      <c r="P46" s="444">
        <v>0</v>
      </c>
      <c r="Q46" s="444">
        <v>0</v>
      </c>
      <c r="R46" s="444">
        <v>0</v>
      </c>
      <c r="S46" s="444">
        <v>0</v>
      </c>
      <c r="T46" s="444">
        <v>0</v>
      </c>
      <c r="U46" s="444">
        <v>0</v>
      </c>
      <c r="V46" s="444">
        <v>0</v>
      </c>
      <c r="W46" s="444">
        <v>0</v>
      </c>
      <c r="X46" s="442" t="s">
        <v>674</v>
      </c>
      <c r="Y46" s="442" t="s">
        <v>675</v>
      </c>
      <c r="Z46" s="442" t="s">
        <v>675</v>
      </c>
      <c r="AA46" s="442" t="s">
        <v>675</v>
      </c>
      <c r="AB46" s="442" t="s">
        <v>675</v>
      </c>
      <c r="AC46" s="442"/>
      <c r="AD46" s="442"/>
      <c r="AE46" s="442"/>
      <c r="AF46" s="442"/>
      <c r="AG46" s="443" t="s">
        <v>1106</v>
      </c>
      <c r="AH46" s="442"/>
      <c r="AI46" s="443" t="s">
        <v>1106</v>
      </c>
      <c r="AJ46" s="443" t="s">
        <v>677</v>
      </c>
      <c r="AK46" s="442" t="s">
        <v>677</v>
      </c>
      <c r="AL46" s="442"/>
      <c r="AM46" s="442"/>
      <c r="AN46" s="442"/>
      <c r="AO46" s="442"/>
      <c r="AP46" s="442"/>
      <c r="AQ46" s="442"/>
      <c r="AR46" s="444"/>
      <c r="AS46" s="442"/>
      <c r="AT46" s="444"/>
      <c r="AU46" s="442" t="s">
        <v>678</v>
      </c>
      <c r="AV46" s="442" t="s">
        <v>677</v>
      </c>
      <c r="AW46" s="442" t="s">
        <v>676</v>
      </c>
      <c r="AX46" s="442" t="s">
        <v>679</v>
      </c>
      <c r="AY46" s="442"/>
      <c r="AZ46" s="442"/>
      <c r="BA46" s="442" t="s">
        <v>679</v>
      </c>
      <c r="BB46" s="442"/>
      <c r="BC46" s="442"/>
      <c r="BD46" s="442"/>
      <c r="BE46" s="444"/>
      <c r="BF46" s="442" t="s">
        <v>298</v>
      </c>
      <c r="BG46" s="442" t="s">
        <v>680</v>
      </c>
      <c r="BH46" s="442" t="s">
        <v>681</v>
      </c>
      <c r="BI46" s="442"/>
    </row>
    <row r="47" spans="1:61">
      <c r="A47" s="442" t="s">
        <v>1105</v>
      </c>
      <c r="B47" s="442" t="s">
        <v>1105</v>
      </c>
      <c r="C47" s="442" t="s">
        <v>1105</v>
      </c>
      <c r="D47" s="442" t="s">
        <v>673</v>
      </c>
      <c r="E47" s="442" t="s">
        <v>3</v>
      </c>
      <c r="F47" s="443" t="s">
        <v>83</v>
      </c>
      <c r="G47" s="443" t="s">
        <v>700</v>
      </c>
      <c r="H47" s="444">
        <v>60000</v>
      </c>
      <c r="I47" s="444">
        <v>60000</v>
      </c>
      <c r="J47" s="444">
        <v>0</v>
      </c>
      <c r="K47" s="444">
        <v>0</v>
      </c>
      <c r="L47" s="444">
        <v>60000</v>
      </c>
      <c r="M47" s="444">
        <v>0</v>
      </c>
      <c r="N47" s="444">
        <v>0</v>
      </c>
      <c r="O47" s="444">
        <v>0</v>
      </c>
      <c r="P47" s="444">
        <v>0</v>
      </c>
      <c r="Q47" s="444">
        <v>0</v>
      </c>
      <c r="R47" s="444">
        <v>0</v>
      </c>
      <c r="S47" s="444">
        <v>0</v>
      </c>
      <c r="T47" s="444">
        <v>0</v>
      </c>
      <c r="U47" s="444">
        <v>0</v>
      </c>
      <c r="V47" s="444">
        <v>0</v>
      </c>
      <c r="W47" s="444">
        <v>0</v>
      </c>
      <c r="X47" s="442" t="s">
        <v>674</v>
      </c>
      <c r="Y47" s="442" t="s">
        <v>675</v>
      </c>
      <c r="Z47" s="442" t="s">
        <v>675</v>
      </c>
      <c r="AA47" s="442" t="s">
        <v>675</v>
      </c>
      <c r="AB47" s="442" t="s">
        <v>675</v>
      </c>
      <c r="AC47" s="442"/>
      <c r="AD47" s="442"/>
      <c r="AE47" s="442"/>
      <c r="AF47" s="442"/>
      <c r="AG47" s="443" t="s">
        <v>1106</v>
      </c>
      <c r="AH47" s="442"/>
      <c r="AI47" s="443" t="s">
        <v>1106</v>
      </c>
      <c r="AJ47" s="443" t="s">
        <v>677</v>
      </c>
      <c r="AK47" s="442" t="s">
        <v>677</v>
      </c>
      <c r="AL47" s="442"/>
      <c r="AM47" s="442"/>
      <c r="AN47" s="442"/>
      <c r="AO47" s="442"/>
      <c r="AP47" s="442"/>
      <c r="AQ47" s="442"/>
      <c r="AR47" s="444"/>
      <c r="AS47" s="442"/>
      <c r="AT47" s="444"/>
      <c r="AU47" s="442" t="s">
        <v>678</v>
      </c>
      <c r="AV47" s="442" t="s">
        <v>677</v>
      </c>
      <c r="AW47" s="442" t="s">
        <v>676</v>
      </c>
      <c r="AX47" s="442" t="s">
        <v>679</v>
      </c>
      <c r="AY47" s="442"/>
      <c r="AZ47" s="442"/>
      <c r="BA47" s="442" t="s">
        <v>679</v>
      </c>
      <c r="BB47" s="442"/>
      <c r="BC47" s="442"/>
      <c r="BD47" s="442"/>
      <c r="BE47" s="444"/>
      <c r="BF47" s="442" t="s">
        <v>298</v>
      </c>
      <c r="BG47" s="442" t="s">
        <v>680</v>
      </c>
      <c r="BH47" s="442" t="s">
        <v>681</v>
      </c>
      <c r="BI47" s="442"/>
    </row>
    <row r="48" spans="1:61">
      <c r="A48" s="442" t="s">
        <v>1105</v>
      </c>
      <c r="B48" s="442" t="s">
        <v>1105</v>
      </c>
      <c r="C48" s="442" t="s">
        <v>1105</v>
      </c>
      <c r="D48" s="442" t="s">
        <v>673</v>
      </c>
      <c r="E48" s="442" t="s">
        <v>3</v>
      </c>
      <c r="F48" s="443" t="s">
        <v>83</v>
      </c>
      <c r="G48" s="443" t="s">
        <v>700</v>
      </c>
      <c r="H48" s="444">
        <v>60000</v>
      </c>
      <c r="I48" s="444">
        <v>60000</v>
      </c>
      <c r="J48" s="444">
        <v>0</v>
      </c>
      <c r="K48" s="444">
        <v>0</v>
      </c>
      <c r="L48" s="444">
        <v>60000</v>
      </c>
      <c r="M48" s="444">
        <v>0</v>
      </c>
      <c r="N48" s="444">
        <v>0</v>
      </c>
      <c r="O48" s="444">
        <v>0</v>
      </c>
      <c r="P48" s="444">
        <v>0</v>
      </c>
      <c r="Q48" s="444">
        <v>0</v>
      </c>
      <c r="R48" s="444">
        <v>0</v>
      </c>
      <c r="S48" s="444">
        <v>0</v>
      </c>
      <c r="T48" s="444">
        <v>0</v>
      </c>
      <c r="U48" s="444">
        <v>0</v>
      </c>
      <c r="V48" s="444">
        <v>0</v>
      </c>
      <c r="W48" s="444">
        <v>0</v>
      </c>
      <c r="X48" s="442" t="s">
        <v>674</v>
      </c>
      <c r="Y48" s="442" t="s">
        <v>675</v>
      </c>
      <c r="Z48" s="442" t="s">
        <v>675</v>
      </c>
      <c r="AA48" s="442" t="s">
        <v>675</v>
      </c>
      <c r="AB48" s="442" t="s">
        <v>675</v>
      </c>
      <c r="AC48" s="442"/>
      <c r="AD48" s="442"/>
      <c r="AE48" s="442"/>
      <c r="AF48" s="442"/>
      <c r="AG48" s="443" t="s">
        <v>1106</v>
      </c>
      <c r="AH48" s="442"/>
      <c r="AI48" s="443" t="s">
        <v>1106</v>
      </c>
      <c r="AJ48" s="443" t="s">
        <v>677</v>
      </c>
      <c r="AK48" s="442" t="s">
        <v>677</v>
      </c>
      <c r="AL48" s="442"/>
      <c r="AM48" s="442"/>
      <c r="AN48" s="442"/>
      <c r="AO48" s="442"/>
      <c r="AP48" s="442"/>
      <c r="AQ48" s="442"/>
      <c r="AR48" s="444"/>
      <c r="AS48" s="442"/>
      <c r="AT48" s="444"/>
      <c r="AU48" s="442" t="s">
        <v>678</v>
      </c>
      <c r="AV48" s="442" t="s">
        <v>677</v>
      </c>
      <c r="AW48" s="442" t="s">
        <v>676</v>
      </c>
      <c r="AX48" s="442" t="s">
        <v>679</v>
      </c>
      <c r="AY48" s="442"/>
      <c r="AZ48" s="442"/>
      <c r="BA48" s="442" t="s">
        <v>679</v>
      </c>
      <c r="BB48" s="442"/>
      <c r="BC48" s="442"/>
      <c r="BD48" s="442"/>
      <c r="BE48" s="444"/>
      <c r="BF48" s="442" t="s">
        <v>298</v>
      </c>
      <c r="BG48" s="442" t="s">
        <v>680</v>
      </c>
      <c r="BH48" s="442" t="s">
        <v>681</v>
      </c>
      <c r="BI48" s="442"/>
    </row>
    <row r="49" spans="1:61">
      <c r="A49" s="442" t="s">
        <v>1105</v>
      </c>
      <c r="B49" s="442" t="s">
        <v>1105</v>
      </c>
      <c r="C49" s="442" t="s">
        <v>1105</v>
      </c>
      <c r="D49" s="442" t="s">
        <v>673</v>
      </c>
      <c r="E49" s="442" t="s">
        <v>3</v>
      </c>
      <c r="F49" s="443" t="s">
        <v>83</v>
      </c>
      <c r="G49" s="443" t="s">
        <v>700</v>
      </c>
      <c r="H49" s="444">
        <v>60000</v>
      </c>
      <c r="I49" s="444">
        <v>60000</v>
      </c>
      <c r="J49" s="444">
        <v>0</v>
      </c>
      <c r="K49" s="444">
        <v>0</v>
      </c>
      <c r="L49" s="444">
        <v>60000</v>
      </c>
      <c r="M49" s="444">
        <v>0</v>
      </c>
      <c r="N49" s="444">
        <v>0</v>
      </c>
      <c r="O49" s="444">
        <v>0</v>
      </c>
      <c r="P49" s="444">
        <v>0</v>
      </c>
      <c r="Q49" s="444">
        <v>0</v>
      </c>
      <c r="R49" s="444">
        <v>0</v>
      </c>
      <c r="S49" s="444">
        <v>0</v>
      </c>
      <c r="T49" s="444">
        <v>0</v>
      </c>
      <c r="U49" s="444">
        <v>0</v>
      </c>
      <c r="V49" s="444">
        <v>0</v>
      </c>
      <c r="W49" s="444">
        <v>0</v>
      </c>
      <c r="X49" s="442" t="s">
        <v>674</v>
      </c>
      <c r="Y49" s="442" t="s">
        <v>675</v>
      </c>
      <c r="Z49" s="442" t="s">
        <v>675</v>
      </c>
      <c r="AA49" s="442" t="s">
        <v>675</v>
      </c>
      <c r="AB49" s="442" t="s">
        <v>675</v>
      </c>
      <c r="AC49" s="442"/>
      <c r="AD49" s="442"/>
      <c r="AE49" s="442"/>
      <c r="AF49" s="442"/>
      <c r="AG49" s="443" t="s">
        <v>1106</v>
      </c>
      <c r="AH49" s="442"/>
      <c r="AI49" s="443" t="s">
        <v>1106</v>
      </c>
      <c r="AJ49" s="443" t="s">
        <v>677</v>
      </c>
      <c r="AK49" s="442" t="s">
        <v>677</v>
      </c>
      <c r="AL49" s="442"/>
      <c r="AM49" s="442"/>
      <c r="AN49" s="442"/>
      <c r="AO49" s="442"/>
      <c r="AP49" s="442"/>
      <c r="AQ49" s="442"/>
      <c r="AR49" s="444"/>
      <c r="AS49" s="442"/>
      <c r="AT49" s="444"/>
      <c r="AU49" s="442" t="s">
        <v>678</v>
      </c>
      <c r="AV49" s="442" t="s">
        <v>677</v>
      </c>
      <c r="AW49" s="442" t="s">
        <v>676</v>
      </c>
      <c r="AX49" s="442" t="s">
        <v>679</v>
      </c>
      <c r="AY49" s="442"/>
      <c r="AZ49" s="442"/>
      <c r="BA49" s="442" t="s">
        <v>679</v>
      </c>
      <c r="BB49" s="442"/>
      <c r="BC49" s="442"/>
      <c r="BD49" s="442"/>
      <c r="BE49" s="444"/>
      <c r="BF49" s="442" t="s">
        <v>298</v>
      </c>
      <c r="BG49" s="442" t="s">
        <v>680</v>
      </c>
      <c r="BH49" s="442" t="s">
        <v>681</v>
      </c>
      <c r="BI49" s="442"/>
    </row>
    <row r="50" spans="1:61">
      <c r="A50" s="442" t="s">
        <v>1105</v>
      </c>
      <c r="B50" s="442" t="s">
        <v>1105</v>
      </c>
      <c r="C50" s="442" t="s">
        <v>1105</v>
      </c>
      <c r="D50" s="442" t="s">
        <v>673</v>
      </c>
      <c r="E50" s="442" t="s">
        <v>3</v>
      </c>
      <c r="F50" s="443" t="s">
        <v>83</v>
      </c>
      <c r="G50" s="443" t="s">
        <v>700</v>
      </c>
      <c r="H50" s="444">
        <v>60000</v>
      </c>
      <c r="I50" s="444">
        <v>60000</v>
      </c>
      <c r="J50" s="444">
        <v>0</v>
      </c>
      <c r="K50" s="444">
        <v>0</v>
      </c>
      <c r="L50" s="444">
        <v>60000</v>
      </c>
      <c r="M50" s="444">
        <v>0</v>
      </c>
      <c r="N50" s="444">
        <v>0</v>
      </c>
      <c r="O50" s="444">
        <v>0</v>
      </c>
      <c r="P50" s="444">
        <v>0</v>
      </c>
      <c r="Q50" s="444">
        <v>0</v>
      </c>
      <c r="R50" s="444">
        <v>0</v>
      </c>
      <c r="S50" s="444">
        <v>0</v>
      </c>
      <c r="T50" s="444">
        <v>0</v>
      </c>
      <c r="U50" s="444">
        <v>0</v>
      </c>
      <c r="V50" s="444">
        <v>0</v>
      </c>
      <c r="W50" s="444">
        <v>0</v>
      </c>
      <c r="X50" s="442" t="s">
        <v>674</v>
      </c>
      <c r="Y50" s="442" t="s">
        <v>675</v>
      </c>
      <c r="Z50" s="442" t="s">
        <v>675</v>
      </c>
      <c r="AA50" s="442" t="s">
        <v>675</v>
      </c>
      <c r="AB50" s="442" t="s">
        <v>675</v>
      </c>
      <c r="AC50" s="442"/>
      <c r="AD50" s="442"/>
      <c r="AE50" s="442"/>
      <c r="AF50" s="442"/>
      <c r="AG50" s="443" t="s">
        <v>1106</v>
      </c>
      <c r="AH50" s="442"/>
      <c r="AI50" s="443" t="s">
        <v>1106</v>
      </c>
      <c r="AJ50" s="443" t="s">
        <v>677</v>
      </c>
      <c r="AK50" s="442" t="s">
        <v>677</v>
      </c>
      <c r="AL50" s="442"/>
      <c r="AM50" s="442"/>
      <c r="AN50" s="442"/>
      <c r="AO50" s="442"/>
      <c r="AP50" s="442"/>
      <c r="AQ50" s="442"/>
      <c r="AR50" s="444"/>
      <c r="AS50" s="442"/>
      <c r="AT50" s="444"/>
      <c r="AU50" s="442" t="s">
        <v>678</v>
      </c>
      <c r="AV50" s="442" t="s">
        <v>677</v>
      </c>
      <c r="AW50" s="442" t="s">
        <v>676</v>
      </c>
      <c r="AX50" s="442" t="s">
        <v>679</v>
      </c>
      <c r="AY50" s="442"/>
      <c r="AZ50" s="442"/>
      <c r="BA50" s="442" t="s">
        <v>679</v>
      </c>
      <c r="BB50" s="442"/>
      <c r="BC50" s="442"/>
      <c r="BD50" s="442"/>
      <c r="BE50" s="444"/>
      <c r="BF50" s="442" t="s">
        <v>298</v>
      </c>
      <c r="BG50" s="442" t="s">
        <v>680</v>
      </c>
      <c r="BH50" s="442" t="s">
        <v>681</v>
      </c>
      <c r="BI50" s="442"/>
    </row>
    <row r="51" spans="1:61">
      <c r="A51" s="442" t="s">
        <v>1105</v>
      </c>
      <c r="B51" s="442" t="s">
        <v>1105</v>
      </c>
      <c r="C51" s="442" t="s">
        <v>1105</v>
      </c>
      <c r="D51" s="442" t="s">
        <v>673</v>
      </c>
      <c r="E51" s="442" t="s">
        <v>3</v>
      </c>
      <c r="F51" s="443" t="s">
        <v>83</v>
      </c>
      <c r="G51" s="443" t="s">
        <v>700</v>
      </c>
      <c r="H51" s="444">
        <v>60000</v>
      </c>
      <c r="I51" s="444">
        <v>60000</v>
      </c>
      <c r="J51" s="444">
        <v>0</v>
      </c>
      <c r="K51" s="444">
        <v>0</v>
      </c>
      <c r="L51" s="444">
        <v>60000</v>
      </c>
      <c r="M51" s="444">
        <v>0</v>
      </c>
      <c r="N51" s="444">
        <v>0</v>
      </c>
      <c r="O51" s="444">
        <v>0</v>
      </c>
      <c r="P51" s="444">
        <v>0</v>
      </c>
      <c r="Q51" s="444">
        <v>0</v>
      </c>
      <c r="R51" s="444">
        <v>0</v>
      </c>
      <c r="S51" s="444">
        <v>0</v>
      </c>
      <c r="T51" s="444">
        <v>0</v>
      </c>
      <c r="U51" s="444">
        <v>0</v>
      </c>
      <c r="V51" s="444">
        <v>0</v>
      </c>
      <c r="W51" s="444">
        <v>0</v>
      </c>
      <c r="X51" s="442" t="s">
        <v>674</v>
      </c>
      <c r="Y51" s="442" t="s">
        <v>675</v>
      </c>
      <c r="Z51" s="442" t="s">
        <v>675</v>
      </c>
      <c r="AA51" s="442" t="s">
        <v>675</v>
      </c>
      <c r="AB51" s="442" t="s">
        <v>675</v>
      </c>
      <c r="AC51" s="442"/>
      <c r="AD51" s="442"/>
      <c r="AE51" s="442"/>
      <c r="AF51" s="442"/>
      <c r="AG51" s="443" t="s">
        <v>1106</v>
      </c>
      <c r="AH51" s="442"/>
      <c r="AI51" s="443" t="s">
        <v>1106</v>
      </c>
      <c r="AJ51" s="443" t="s">
        <v>677</v>
      </c>
      <c r="AK51" s="442" t="s">
        <v>677</v>
      </c>
      <c r="AL51" s="442"/>
      <c r="AM51" s="442"/>
      <c r="AN51" s="442"/>
      <c r="AO51" s="442"/>
      <c r="AP51" s="442"/>
      <c r="AQ51" s="442"/>
      <c r="AR51" s="444"/>
      <c r="AS51" s="442"/>
      <c r="AT51" s="444"/>
      <c r="AU51" s="442" t="s">
        <v>678</v>
      </c>
      <c r="AV51" s="442" t="s">
        <v>677</v>
      </c>
      <c r="AW51" s="442" t="s">
        <v>676</v>
      </c>
      <c r="AX51" s="442" t="s">
        <v>679</v>
      </c>
      <c r="AY51" s="442"/>
      <c r="AZ51" s="442"/>
      <c r="BA51" s="442" t="s">
        <v>679</v>
      </c>
      <c r="BB51" s="442"/>
      <c r="BC51" s="442"/>
      <c r="BD51" s="442"/>
      <c r="BE51" s="444"/>
      <c r="BF51" s="442" t="s">
        <v>298</v>
      </c>
      <c r="BG51" s="442" t="s">
        <v>680</v>
      </c>
      <c r="BH51" s="442" t="s">
        <v>681</v>
      </c>
      <c r="BI51" s="442"/>
    </row>
    <row r="52" spans="1:61">
      <c r="A52" s="442" t="s">
        <v>1105</v>
      </c>
      <c r="B52" s="442" t="s">
        <v>1105</v>
      </c>
      <c r="C52" s="442" t="s">
        <v>1105</v>
      </c>
      <c r="D52" s="442" t="s">
        <v>673</v>
      </c>
      <c r="E52" s="442" t="s">
        <v>3</v>
      </c>
      <c r="F52" s="443" t="s">
        <v>83</v>
      </c>
      <c r="G52" s="443" t="s">
        <v>700</v>
      </c>
      <c r="H52" s="444">
        <v>60000</v>
      </c>
      <c r="I52" s="444">
        <v>60000</v>
      </c>
      <c r="J52" s="444">
        <v>0</v>
      </c>
      <c r="K52" s="444">
        <v>0</v>
      </c>
      <c r="L52" s="444">
        <v>60000</v>
      </c>
      <c r="M52" s="444">
        <v>0</v>
      </c>
      <c r="N52" s="444">
        <v>0</v>
      </c>
      <c r="O52" s="444">
        <v>0</v>
      </c>
      <c r="P52" s="444">
        <v>0</v>
      </c>
      <c r="Q52" s="444">
        <v>0</v>
      </c>
      <c r="R52" s="444">
        <v>0</v>
      </c>
      <c r="S52" s="444">
        <v>0</v>
      </c>
      <c r="T52" s="444">
        <v>0</v>
      </c>
      <c r="U52" s="444">
        <v>0</v>
      </c>
      <c r="V52" s="444">
        <v>0</v>
      </c>
      <c r="W52" s="444">
        <v>0</v>
      </c>
      <c r="X52" s="442" t="s">
        <v>674</v>
      </c>
      <c r="Y52" s="442" t="s">
        <v>675</v>
      </c>
      <c r="Z52" s="442" t="s">
        <v>675</v>
      </c>
      <c r="AA52" s="442" t="s">
        <v>675</v>
      </c>
      <c r="AB52" s="442" t="s">
        <v>675</v>
      </c>
      <c r="AC52" s="442"/>
      <c r="AD52" s="442"/>
      <c r="AE52" s="442"/>
      <c r="AF52" s="442"/>
      <c r="AG52" s="443" t="s">
        <v>1106</v>
      </c>
      <c r="AH52" s="442"/>
      <c r="AI52" s="443" t="s">
        <v>1106</v>
      </c>
      <c r="AJ52" s="443" t="s">
        <v>677</v>
      </c>
      <c r="AK52" s="442" t="s">
        <v>677</v>
      </c>
      <c r="AL52" s="442"/>
      <c r="AM52" s="442"/>
      <c r="AN52" s="442"/>
      <c r="AO52" s="442"/>
      <c r="AP52" s="442"/>
      <c r="AQ52" s="442"/>
      <c r="AR52" s="444"/>
      <c r="AS52" s="442"/>
      <c r="AT52" s="444"/>
      <c r="AU52" s="442" t="s">
        <v>678</v>
      </c>
      <c r="AV52" s="442" t="s">
        <v>677</v>
      </c>
      <c r="AW52" s="442" t="s">
        <v>676</v>
      </c>
      <c r="AX52" s="442" t="s">
        <v>679</v>
      </c>
      <c r="AY52" s="442"/>
      <c r="AZ52" s="442"/>
      <c r="BA52" s="442" t="s">
        <v>679</v>
      </c>
      <c r="BB52" s="442"/>
      <c r="BC52" s="442"/>
      <c r="BD52" s="442"/>
      <c r="BE52" s="444"/>
      <c r="BF52" s="442" t="s">
        <v>298</v>
      </c>
      <c r="BG52" s="442" t="s">
        <v>680</v>
      </c>
      <c r="BH52" s="442" t="s">
        <v>681</v>
      </c>
      <c r="BI52" s="442"/>
    </row>
    <row r="53" spans="1:61">
      <c r="A53" s="442" t="s">
        <v>1105</v>
      </c>
      <c r="B53" s="442" t="s">
        <v>1105</v>
      </c>
      <c r="C53" s="442" t="s">
        <v>1105</v>
      </c>
      <c r="D53" s="442" t="s">
        <v>673</v>
      </c>
      <c r="E53" s="442" t="s">
        <v>3</v>
      </c>
      <c r="F53" s="443" t="s">
        <v>83</v>
      </c>
      <c r="G53" s="443" t="s">
        <v>700</v>
      </c>
      <c r="H53" s="444">
        <v>60000</v>
      </c>
      <c r="I53" s="444">
        <v>60000</v>
      </c>
      <c r="J53" s="444">
        <v>0</v>
      </c>
      <c r="K53" s="444">
        <v>0</v>
      </c>
      <c r="L53" s="444">
        <v>60000</v>
      </c>
      <c r="M53" s="444">
        <v>0</v>
      </c>
      <c r="N53" s="444">
        <v>0</v>
      </c>
      <c r="O53" s="444">
        <v>0</v>
      </c>
      <c r="P53" s="444">
        <v>0</v>
      </c>
      <c r="Q53" s="444">
        <v>0</v>
      </c>
      <c r="R53" s="444">
        <v>0</v>
      </c>
      <c r="S53" s="444">
        <v>0</v>
      </c>
      <c r="T53" s="444">
        <v>0</v>
      </c>
      <c r="U53" s="444">
        <v>0</v>
      </c>
      <c r="V53" s="444">
        <v>0</v>
      </c>
      <c r="W53" s="444">
        <v>0</v>
      </c>
      <c r="X53" s="442" t="s">
        <v>674</v>
      </c>
      <c r="Y53" s="442" t="s">
        <v>675</v>
      </c>
      <c r="Z53" s="442" t="s">
        <v>675</v>
      </c>
      <c r="AA53" s="442" t="s">
        <v>675</v>
      </c>
      <c r="AB53" s="442" t="s">
        <v>675</v>
      </c>
      <c r="AC53" s="442"/>
      <c r="AD53" s="442"/>
      <c r="AE53" s="442"/>
      <c r="AF53" s="442"/>
      <c r="AG53" s="443" t="s">
        <v>1106</v>
      </c>
      <c r="AH53" s="442"/>
      <c r="AI53" s="443" t="s">
        <v>1106</v>
      </c>
      <c r="AJ53" s="443" t="s">
        <v>677</v>
      </c>
      <c r="AK53" s="442" t="s">
        <v>677</v>
      </c>
      <c r="AL53" s="442"/>
      <c r="AM53" s="442"/>
      <c r="AN53" s="442"/>
      <c r="AO53" s="442"/>
      <c r="AP53" s="442"/>
      <c r="AQ53" s="442"/>
      <c r="AR53" s="444"/>
      <c r="AS53" s="442"/>
      <c r="AT53" s="444"/>
      <c r="AU53" s="442" t="s">
        <v>678</v>
      </c>
      <c r="AV53" s="442" t="s">
        <v>677</v>
      </c>
      <c r="AW53" s="442" t="s">
        <v>676</v>
      </c>
      <c r="AX53" s="442" t="s">
        <v>679</v>
      </c>
      <c r="AY53" s="442"/>
      <c r="AZ53" s="442"/>
      <c r="BA53" s="442" t="s">
        <v>679</v>
      </c>
      <c r="BB53" s="442"/>
      <c r="BC53" s="442"/>
      <c r="BD53" s="442"/>
      <c r="BE53" s="444"/>
      <c r="BF53" s="442" t="s">
        <v>298</v>
      </c>
      <c r="BG53" s="442" t="s">
        <v>680</v>
      </c>
      <c r="BH53" s="442" t="s">
        <v>681</v>
      </c>
      <c r="BI53" s="442"/>
    </row>
    <row r="54" spans="1:61">
      <c r="A54" s="442" t="s">
        <v>1105</v>
      </c>
      <c r="B54" s="442" t="s">
        <v>1105</v>
      </c>
      <c r="C54" s="442" t="s">
        <v>1105</v>
      </c>
      <c r="D54" s="442" t="s">
        <v>673</v>
      </c>
      <c r="E54" s="442" t="s">
        <v>3</v>
      </c>
      <c r="F54" s="443" t="s">
        <v>83</v>
      </c>
      <c r="G54" s="443" t="s">
        <v>700</v>
      </c>
      <c r="H54" s="444">
        <v>60000</v>
      </c>
      <c r="I54" s="444">
        <v>60000</v>
      </c>
      <c r="J54" s="444">
        <v>0</v>
      </c>
      <c r="K54" s="444">
        <v>0</v>
      </c>
      <c r="L54" s="444">
        <v>60000</v>
      </c>
      <c r="M54" s="444">
        <v>0</v>
      </c>
      <c r="N54" s="444">
        <v>0</v>
      </c>
      <c r="O54" s="444">
        <v>0</v>
      </c>
      <c r="P54" s="444">
        <v>0</v>
      </c>
      <c r="Q54" s="444">
        <v>0</v>
      </c>
      <c r="R54" s="444">
        <v>0</v>
      </c>
      <c r="S54" s="444">
        <v>0</v>
      </c>
      <c r="T54" s="444">
        <v>0</v>
      </c>
      <c r="U54" s="444">
        <v>0</v>
      </c>
      <c r="V54" s="444">
        <v>0</v>
      </c>
      <c r="W54" s="444">
        <v>0</v>
      </c>
      <c r="X54" s="442" t="s">
        <v>674</v>
      </c>
      <c r="Y54" s="442" t="s">
        <v>675</v>
      </c>
      <c r="Z54" s="442" t="s">
        <v>675</v>
      </c>
      <c r="AA54" s="442" t="s">
        <v>675</v>
      </c>
      <c r="AB54" s="442" t="s">
        <v>675</v>
      </c>
      <c r="AC54" s="442"/>
      <c r="AD54" s="442"/>
      <c r="AE54" s="442"/>
      <c r="AF54" s="442"/>
      <c r="AG54" s="443" t="s">
        <v>1106</v>
      </c>
      <c r="AH54" s="442"/>
      <c r="AI54" s="443" t="s">
        <v>1106</v>
      </c>
      <c r="AJ54" s="443" t="s">
        <v>677</v>
      </c>
      <c r="AK54" s="442" t="s">
        <v>677</v>
      </c>
      <c r="AL54" s="442"/>
      <c r="AM54" s="442"/>
      <c r="AN54" s="442"/>
      <c r="AO54" s="442"/>
      <c r="AP54" s="442"/>
      <c r="AQ54" s="442"/>
      <c r="AR54" s="444"/>
      <c r="AS54" s="442"/>
      <c r="AT54" s="444"/>
      <c r="AU54" s="442" t="s">
        <v>678</v>
      </c>
      <c r="AV54" s="442" t="s">
        <v>677</v>
      </c>
      <c r="AW54" s="442" t="s">
        <v>676</v>
      </c>
      <c r="AX54" s="442" t="s">
        <v>679</v>
      </c>
      <c r="AY54" s="442"/>
      <c r="AZ54" s="442"/>
      <c r="BA54" s="442" t="s">
        <v>679</v>
      </c>
      <c r="BB54" s="442"/>
      <c r="BC54" s="442"/>
      <c r="BD54" s="442"/>
      <c r="BE54" s="444"/>
      <c r="BF54" s="442" t="s">
        <v>298</v>
      </c>
      <c r="BG54" s="442" t="s">
        <v>680</v>
      </c>
      <c r="BH54" s="442" t="s">
        <v>681</v>
      </c>
      <c r="BI54" s="442"/>
    </row>
    <row r="55" spans="1:61">
      <c r="A55" s="442" t="s">
        <v>1105</v>
      </c>
      <c r="B55" s="442" t="s">
        <v>1105</v>
      </c>
      <c r="C55" s="442" t="s">
        <v>1105</v>
      </c>
      <c r="D55" s="442" t="s">
        <v>673</v>
      </c>
      <c r="E55" s="442" t="s">
        <v>3</v>
      </c>
      <c r="F55" s="443" t="s">
        <v>83</v>
      </c>
      <c r="G55" s="443" t="s">
        <v>700</v>
      </c>
      <c r="H55" s="444">
        <v>60000</v>
      </c>
      <c r="I55" s="444">
        <v>60000</v>
      </c>
      <c r="J55" s="444">
        <v>0</v>
      </c>
      <c r="K55" s="444">
        <v>0</v>
      </c>
      <c r="L55" s="444">
        <v>60000</v>
      </c>
      <c r="M55" s="444">
        <v>0</v>
      </c>
      <c r="N55" s="444">
        <v>0</v>
      </c>
      <c r="O55" s="444">
        <v>0</v>
      </c>
      <c r="P55" s="444">
        <v>0</v>
      </c>
      <c r="Q55" s="444">
        <v>0</v>
      </c>
      <c r="R55" s="444">
        <v>0</v>
      </c>
      <c r="S55" s="444">
        <v>0</v>
      </c>
      <c r="T55" s="444">
        <v>0</v>
      </c>
      <c r="U55" s="444">
        <v>0</v>
      </c>
      <c r="V55" s="444">
        <v>0</v>
      </c>
      <c r="W55" s="444">
        <v>0</v>
      </c>
      <c r="X55" s="442" t="s">
        <v>674</v>
      </c>
      <c r="Y55" s="442" t="s">
        <v>675</v>
      </c>
      <c r="Z55" s="442" t="s">
        <v>675</v>
      </c>
      <c r="AA55" s="442" t="s">
        <v>675</v>
      </c>
      <c r="AB55" s="442" t="s">
        <v>675</v>
      </c>
      <c r="AC55" s="442"/>
      <c r="AD55" s="442"/>
      <c r="AE55" s="442"/>
      <c r="AF55" s="442"/>
      <c r="AG55" s="443" t="s">
        <v>1106</v>
      </c>
      <c r="AH55" s="442"/>
      <c r="AI55" s="443" t="s">
        <v>1106</v>
      </c>
      <c r="AJ55" s="443" t="s">
        <v>677</v>
      </c>
      <c r="AK55" s="442" t="s">
        <v>677</v>
      </c>
      <c r="AL55" s="442"/>
      <c r="AM55" s="442"/>
      <c r="AN55" s="442"/>
      <c r="AO55" s="442"/>
      <c r="AP55" s="442"/>
      <c r="AQ55" s="442"/>
      <c r="AR55" s="444"/>
      <c r="AS55" s="442"/>
      <c r="AT55" s="444"/>
      <c r="AU55" s="442" t="s">
        <v>678</v>
      </c>
      <c r="AV55" s="442" t="s">
        <v>677</v>
      </c>
      <c r="AW55" s="442" t="s">
        <v>676</v>
      </c>
      <c r="AX55" s="442" t="s">
        <v>679</v>
      </c>
      <c r="AY55" s="442"/>
      <c r="AZ55" s="442"/>
      <c r="BA55" s="442" t="s">
        <v>679</v>
      </c>
      <c r="BB55" s="442"/>
      <c r="BC55" s="442"/>
      <c r="BD55" s="442"/>
      <c r="BE55" s="444"/>
      <c r="BF55" s="442" t="s">
        <v>298</v>
      </c>
      <c r="BG55" s="442" t="s">
        <v>680</v>
      </c>
      <c r="BH55" s="442" t="s">
        <v>681</v>
      </c>
      <c r="BI55" s="442"/>
    </row>
    <row r="56" spans="1:61">
      <c r="A56" s="442" t="s">
        <v>1105</v>
      </c>
      <c r="B56" s="442" t="s">
        <v>1105</v>
      </c>
      <c r="C56" s="442" t="s">
        <v>1107</v>
      </c>
      <c r="D56" s="442" t="s">
        <v>673</v>
      </c>
      <c r="E56" s="442" t="s">
        <v>3</v>
      </c>
      <c r="F56" s="443" t="s">
        <v>83</v>
      </c>
      <c r="G56" s="443" t="s">
        <v>700</v>
      </c>
      <c r="H56" s="444">
        <v>277200</v>
      </c>
      <c r="I56" s="444">
        <v>277200</v>
      </c>
      <c r="J56" s="444">
        <v>0</v>
      </c>
      <c r="K56" s="444">
        <v>0</v>
      </c>
      <c r="L56" s="444">
        <v>277200</v>
      </c>
      <c r="M56" s="444">
        <v>0</v>
      </c>
      <c r="N56" s="444">
        <v>0</v>
      </c>
      <c r="O56" s="444">
        <v>0</v>
      </c>
      <c r="P56" s="444">
        <v>0</v>
      </c>
      <c r="Q56" s="444">
        <v>0</v>
      </c>
      <c r="R56" s="444">
        <v>0</v>
      </c>
      <c r="S56" s="444">
        <v>0</v>
      </c>
      <c r="T56" s="444">
        <v>0</v>
      </c>
      <c r="U56" s="444">
        <v>0</v>
      </c>
      <c r="V56" s="444">
        <v>0</v>
      </c>
      <c r="W56" s="444">
        <v>0</v>
      </c>
      <c r="X56" s="442" t="s">
        <v>674</v>
      </c>
      <c r="Y56" s="442" t="s">
        <v>675</v>
      </c>
      <c r="Z56" s="442" t="s">
        <v>675</v>
      </c>
      <c r="AA56" s="442" t="s">
        <v>675</v>
      </c>
      <c r="AB56" s="442" t="s">
        <v>675</v>
      </c>
      <c r="AC56" s="442"/>
      <c r="AD56" s="442"/>
      <c r="AE56" s="442"/>
      <c r="AF56" s="442"/>
      <c r="AG56" s="443" t="s">
        <v>1108</v>
      </c>
      <c r="AH56" s="442"/>
      <c r="AI56" s="443" t="s">
        <v>1108</v>
      </c>
      <c r="AJ56" s="443" t="s">
        <v>677</v>
      </c>
      <c r="AK56" s="442" t="s">
        <v>677</v>
      </c>
      <c r="AL56" s="442"/>
      <c r="AM56" s="442"/>
      <c r="AN56" s="442"/>
      <c r="AO56" s="442"/>
      <c r="AP56" s="442"/>
      <c r="AQ56" s="442"/>
      <c r="AR56" s="444"/>
      <c r="AS56" s="442"/>
      <c r="AT56" s="444"/>
      <c r="AU56" s="442" t="s">
        <v>678</v>
      </c>
      <c r="AV56" s="442" t="s">
        <v>677</v>
      </c>
      <c r="AW56" s="442" t="s">
        <v>676</v>
      </c>
      <c r="AX56" s="442" t="s">
        <v>679</v>
      </c>
      <c r="AY56" s="442"/>
      <c r="AZ56" s="442"/>
      <c r="BA56" s="442" t="s">
        <v>679</v>
      </c>
      <c r="BB56" s="442"/>
      <c r="BC56" s="442"/>
      <c r="BD56" s="442"/>
      <c r="BE56" s="444"/>
      <c r="BF56" s="442" t="s">
        <v>298</v>
      </c>
      <c r="BG56" s="442" t="s">
        <v>680</v>
      </c>
      <c r="BH56" s="442" t="s">
        <v>681</v>
      </c>
      <c r="BI56" s="442"/>
    </row>
    <row r="57" spans="1:61">
      <c r="A57" s="442" t="s">
        <v>1105</v>
      </c>
      <c r="B57" s="442" t="s">
        <v>1105</v>
      </c>
      <c r="C57" s="442" t="s">
        <v>1107</v>
      </c>
      <c r="D57" s="442" t="s">
        <v>673</v>
      </c>
      <c r="E57" s="442" t="s">
        <v>3</v>
      </c>
      <c r="F57" s="443" t="s">
        <v>83</v>
      </c>
      <c r="G57" s="443" t="s">
        <v>700</v>
      </c>
      <c r="H57" s="444">
        <v>2872800</v>
      </c>
      <c r="I57" s="444">
        <v>2872800</v>
      </c>
      <c r="J57" s="444">
        <v>0</v>
      </c>
      <c r="K57" s="444">
        <v>0</v>
      </c>
      <c r="L57" s="444">
        <v>2872800</v>
      </c>
      <c r="M57" s="444">
        <v>0</v>
      </c>
      <c r="N57" s="444">
        <v>0</v>
      </c>
      <c r="O57" s="444">
        <v>0</v>
      </c>
      <c r="P57" s="444">
        <v>0</v>
      </c>
      <c r="Q57" s="444">
        <v>0</v>
      </c>
      <c r="R57" s="444">
        <v>0</v>
      </c>
      <c r="S57" s="444">
        <v>0</v>
      </c>
      <c r="T57" s="444">
        <v>0</v>
      </c>
      <c r="U57" s="444">
        <v>0</v>
      </c>
      <c r="V57" s="444">
        <v>0</v>
      </c>
      <c r="W57" s="444">
        <v>0</v>
      </c>
      <c r="X57" s="442" t="s">
        <v>674</v>
      </c>
      <c r="Y57" s="442" t="s">
        <v>675</v>
      </c>
      <c r="Z57" s="442" t="s">
        <v>675</v>
      </c>
      <c r="AA57" s="442" t="s">
        <v>675</v>
      </c>
      <c r="AB57" s="442" t="s">
        <v>675</v>
      </c>
      <c r="AC57" s="442"/>
      <c r="AD57" s="442"/>
      <c r="AE57" s="442"/>
      <c r="AF57" s="442"/>
      <c r="AG57" s="443" t="s">
        <v>1109</v>
      </c>
      <c r="AH57" s="442"/>
      <c r="AI57" s="443" t="s">
        <v>1109</v>
      </c>
      <c r="AJ57" s="443" t="s">
        <v>677</v>
      </c>
      <c r="AK57" s="442" t="s">
        <v>677</v>
      </c>
      <c r="AL57" s="442"/>
      <c r="AM57" s="442"/>
      <c r="AN57" s="442"/>
      <c r="AO57" s="442"/>
      <c r="AP57" s="442"/>
      <c r="AQ57" s="442"/>
      <c r="AR57" s="444"/>
      <c r="AS57" s="442"/>
      <c r="AT57" s="444"/>
      <c r="AU57" s="442" t="s">
        <v>678</v>
      </c>
      <c r="AV57" s="442" t="s">
        <v>677</v>
      </c>
      <c r="AW57" s="442" t="s">
        <v>676</v>
      </c>
      <c r="AX57" s="442" t="s">
        <v>679</v>
      </c>
      <c r="AY57" s="442"/>
      <c r="AZ57" s="442"/>
      <c r="BA57" s="442" t="s">
        <v>679</v>
      </c>
      <c r="BB57" s="442"/>
      <c r="BC57" s="442"/>
      <c r="BD57" s="442"/>
      <c r="BE57" s="444"/>
      <c r="BF57" s="442" t="s">
        <v>298</v>
      </c>
      <c r="BG57" s="442" t="s">
        <v>680</v>
      </c>
      <c r="BH57" s="442" t="s">
        <v>681</v>
      </c>
      <c r="BI57" s="442"/>
    </row>
    <row r="58" spans="1:61">
      <c r="A58" s="442" t="s">
        <v>1105</v>
      </c>
      <c r="B58" s="442" t="s">
        <v>1105</v>
      </c>
      <c r="C58" s="442" t="s">
        <v>1107</v>
      </c>
      <c r="D58" s="442" t="s">
        <v>673</v>
      </c>
      <c r="E58" s="442" t="s">
        <v>3</v>
      </c>
      <c r="F58" s="443" t="s">
        <v>83</v>
      </c>
      <c r="G58" s="443" t="s">
        <v>700</v>
      </c>
      <c r="H58" s="444">
        <v>150000</v>
      </c>
      <c r="I58" s="444">
        <v>150000</v>
      </c>
      <c r="J58" s="444">
        <v>0</v>
      </c>
      <c r="K58" s="444">
        <v>0</v>
      </c>
      <c r="L58" s="444">
        <v>150000</v>
      </c>
      <c r="M58" s="444">
        <v>0</v>
      </c>
      <c r="N58" s="444">
        <v>0</v>
      </c>
      <c r="O58" s="444">
        <v>0</v>
      </c>
      <c r="P58" s="444">
        <v>0</v>
      </c>
      <c r="Q58" s="444">
        <v>0</v>
      </c>
      <c r="R58" s="444">
        <v>0</v>
      </c>
      <c r="S58" s="444">
        <v>0</v>
      </c>
      <c r="T58" s="444">
        <v>0</v>
      </c>
      <c r="U58" s="444">
        <v>0</v>
      </c>
      <c r="V58" s="444">
        <v>0</v>
      </c>
      <c r="W58" s="444">
        <v>0</v>
      </c>
      <c r="X58" s="442" t="s">
        <v>674</v>
      </c>
      <c r="Y58" s="442" t="s">
        <v>675</v>
      </c>
      <c r="Z58" s="442" t="s">
        <v>675</v>
      </c>
      <c r="AA58" s="442" t="s">
        <v>675</v>
      </c>
      <c r="AB58" s="442" t="s">
        <v>675</v>
      </c>
      <c r="AC58" s="442"/>
      <c r="AD58" s="442"/>
      <c r="AE58" s="442"/>
      <c r="AF58" s="442"/>
      <c r="AG58" s="443" t="s">
        <v>1106</v>
      </c>
      <c r="AH58" s="442"/>
      <c r="AI58" s="443" t="s">
        <v>1106</v>
      </c>
      <c r="AJ58" s="443" t="s">
        <v>677</v>
      </c>
      <c r="AK58" s="442" t="s">
        <v>677</v>
      </c>
      <c r="AL58" s="442"/>
      <c r="AM58" s="442"/>
      <c r="AN58" s="442"/>
      <c r="AO58" s="442"/>
      <c r="AP58" s="442"/>
      <c r="AQ58" s="442"/>
      <c r="AR58" s="444"/>
      <c r="AS58" s="442"/>
      <c r="AT58" s="444"/>
      <c r="AU58" s="442" t="s">
        <v>678</v>
      </c>
      <c r="AV58" s="442" t="s">
        <v>677</v>
      </c>
      <c r="AW58" s="442" t="s">
        <v>676</v>
      </c>
      <c r="AX58" s="442" t="s">
        <v>679</v>
      </c>
      <c r="AY58" s="442"/>
      <c r="AZ58" s="442"/>
      <c r="BA58" s="442" t="s">
        <v>679</v>
      </c>
      <c r="BB58" s="442"/>
      <c r="BC58" s="442"/>
      <c r="BD58" s="442"/>
      <c r="BE58" s="444"/>
      <c r="BF58" s="442" t="s">
        <v>298</v>
      </c>
      <c r="BG58" s="442" t="s">
        <v>680</v>
      </c>
      <c r="BH58" s="442" t="s">
        <v>681</v>
      </c>
      <c r="BI58" s="442"/>
    </row>
    <row r="59" spans="1:61">
      <c r="A59" s="442" t="s">
        <v>1105</v>
      </c>
      <c r="B59" s="442" t="s">
        <v>1105</v>
      </c>
      <c r="C59" s="442" t="s">
        <v>1107</v>
      </c>
      <c r="D59" s="442" t="s">
        <v>673</v>
      </c>
      <c r="E59" s="442" t="s">
        <v>3</v>
      </c>
      <c r="F59" s="443" t="s">
        <v>83</v>
      </c>
      <c r="G59" s="443" t="s">
        <v>700</v>
      </c>
      <c r="H59" s="444">
        <v>60000</v>
      </c>
      <c r="I59" s="444">
        <v>60000</v>
      </c>
      <c r="J59" s="444">
        <v>0</v>
      </c>
      <c r="K59" s="444">
        <v>0</v>
      </c>
      <c r="L59" s="444">
        <v>60000</v>
      </c>
      <c r="M59" s="444">
        <v>0</v>
      </c>
      <c r="N59" s="444">
        <v>0</v>
      </c>
      <c r="O59" s="444">
        <v>0</v>
      </c>
      <c r="P59" s="444">
        <v>0</v>
      </c>
      <c r="Q59" s="444">
        <v>0</v>
      </c>
      <c r="R59" s="444">
        <v>0</v>
      </c>
      <c r="S59" s="444">
        <v>0</v>
      </c>
      <c r="T59" s="444">
        <v>0</v>
      </c>
      <c r="U59" s="444">
        <v>0</v>
      </c>
      <c r="V59" s="444">
        <v>0</v>
      </c>
      <c r="W59" s="444">
        <v>0</v>
      </c>
      <c r="X59" s="442" t="s">
        <v>674</v>
      </c>
      <c r="Y59" s="442" t="s">
        <v>675</v>
      </c>
      <c r="Z59" s="442" t="s">
        <v>675</v>
      </c>
      <c r="AA59" s="442" t="s">
        <v>675</v>
      </c>
      <c r="AB59" s="442" t="s">
        <v>675</v>
      </c>
      <c r="AC59" s="442"/>
      <c r="AD59" s="442"/>
      <c r="AE59" s="442"/>
      <c r="AF59" s="442"/>
      <c r="AG59" s="443" t="s">
        <v>1106</v>
      </c>
      <c r="AH59" s="442"/>
      <c r="AI59" s="443" t="s">
        <v>1106</v>
      </c>
      <c r="AJ59" s="443" t="s">
        <v>677</v>
      </c>
      <c r="AK59" s="442" t="s">
        <v>677</v>
      </c>
      <c r="AL59" s="442"/>
      <c r="AM59" s="442"/>
      <c r="AN59" s="442"/>
      <c r="AO59" s="442"/>
      <c r="AP59" s="442"/>
      <c r="AQ59" s="442"/>
      <c r="AR59" s="444"/>
      <c r="AS59" s="442"/>
      <c r="AT59" s="444"/>
      <c r="AU59" s="442" t="s">
        <v>678</v>
      </c>
      <c r="AV59" s="442" t="s">
        <v>677</v>
      </c>
      <c r="AW59" s="442" t="s">
        <v>676</v>
      </c>
      <c r="AX59" s="442" t="s">
        <v>679</v>
      </c>
      <c r="AY59" s="442"/>
      <c r="AZ59" s="442"/>
      <c r="BA59" s="442" t="s">
        <v>679</v>
      </c>
      <c r="BB59" s="442"/>
      <c r="BC59" s="442"/>
      <c r="BD59" s="442"/>
      <c r="BE59" s="444"/>
      <c r="BF59" s="442" t="s">
        <v>298</v>
      </c>
      <c r="BG59" s="442" t="s">
        <v>680</v>
      </c>
      <c r="BH59" s="442" t="s">
        <v>681</v>
      </c>
      <c r="BI59" s="442"/>
    </row>
    <row r="60" spans="1:61">
      <c r="A60" s="442" t="s">
        <v>1105</v>
      </c>
      <c r="B60" s="442" t="s">
        <v>1105</v>
      </c>
      <c r="C60" s="442" t="s">
        <v>1107</v>
      </c>
      <c r="D60" s="442" t="s">
        <v>673</v>
      </c>
      <c r="E60" s="442" t="s">
        <v>3</v>
      </c>
      <c r="F60" s="443" t="s">
        <v>83</v>
      </c>
      <c r="G60" s="443" t="s">
        <v>700</v>
      </c>
      <c r="H60" s="444">
        <v>60000</v>
      </c>
      <c r="I60" s="444">
        <v>60000</v>
      </c>
      <c r="J60" s="444">
        <v>0</v>
      </c>
      <c r="K60" s="444">
        <v>0</v>
      </c>
      <c r="L60" s="444">
        <v>60000</v>
      </c>
      <c r="M60" s="444">
        <v>0</v>
      </c>
      <c r="N60" s="444">
        <v>0</v>
      </c>
      <c r="O60" s="444">
        <v>0</v>
      </c>
      <c r="P60" s="444">
        <v>0</v>
      </c>
      <c r="Q60" s="444">
        <v>0</v>
      </c>
      <c r="R60" s="444">
        <v>0</v>
      </c>
      <c r="S60" s="444">
        <v>0</v>
      </c>
      <c r="T60" s="444">
        <v>0</v>
      </c>
      <c r="U60" s="444">
        <v>0</v>
      </c>
      <c r="V60" s="444">
        <v>0</v>
      </c>
      <c r="W60" s="444">
        <v>0</v>
      </c>
      <c r="X60" s="442" t="s">
        <v>674</v>
      </c>
      <c r="Y60" s="442" t="s">
        <v>675</v>
      </c>
      <c r="Z60" s="442" t="s">
        <v>675</v>
      </c>
      <c r="AA60" s="442" t="s">
        <v>675</v>
      </c>
      <c r="AB60" s="442" t="s">
        <v>675</v>
      </c>
      <c r="AC60" s="442"/>
      <c r="AD60" s="442"/>
      <c r="AE60" s="442"/>
      <c r="AF60" s="442"/>
      <c r="AG60" s="443" t="s">
        <v>1106</v>
      </c>
      <c r="AH60" s="442"/>
      <c r="AI60" s="443" t="s">
        <v>1106</v>
      </c>
      <c r="AJ60" s="443" t="s">
        <v>677</v>
      </c>
      <c r="AK60" s="442" t="s">
        <v>677</v>
      </c>
      <c r="AL60" s="442"/>
      <c r="AM60" s="442"/>
      <c r="AN60" s="442"/>
      <c r="AO60" s="442"/>
      <c r="AP60" s="442"/>
      <c r="AQ60" s="442"/>
      <c r="AR60" s="444"/>
      <c r="AS60" s="442"/>
      <c r="AT60" s="444"/>
      <c r="AU60" s="442" t="s">
        <v>678</v>
      </c>
      <c r="AV60" s="442" t="s">
        <v>677</v>
      </c>
      <c r="AW60" s="442" t="s">
        <v>676</v>
      </c>
      <c r="AX60" s="442" t="s">
        <v>679</v>
      </c>
      <c r="AY60" s="442"/>
      <c r="AZ60" s="442"/>
      <c r="BA60" s="442" t="s">
        <v>679</v>
      </c>
      <c r="BB60" s="442"/>
      <c r="BC60" s="442"/>
      <c r="BD60" s="442"/>
      <c r="BE60" s="444"/>
      <c r="BF60" s="442" t="s">
        <v>298</v>
      </c>
      <c r="BG60" s="442" t="s">
        <v>680</v>
      </c>
      <c r="BH60" s="442" t="s">
        <v>681</v>
      </c>
      <c r="BI60" s="442"/>
    </row>
    <row r="61" spans="1:61">
      <c r="A61" s="442" t="s">
        <v>1105</v>
      </c>
      <c r="B61" s="442" t="s">
        <v>1105</v>
      </c>
      <c r="C61" s="442" t="s">
        <v>1107</v>
      </c>
      <c r="D61" s="442" t="s">
        <v>673</v>
      </c>
      <c r="E61" s="442" t="s">
        <v>3</v>
      </c>
      <c r="F61" s="443" t="s">
        <v>83</v>
      </c>
      <c r="G61" s="443" t="s">
        <v>700</v>
      </c>
      <c r="H61" s="444">
        <v>60000</v>
      </c>
      <c r="I61" s="444">
        <v>60000</v>
      </c>
      <c r="J61" s="444">
        <v>0</v>
      </c>
      <c r="K61" s="444">
        <v>0</v>
      </c>
      <c r="L61" s="444">
        <v>60000</v>
      </c>
      <c r="M61" s="444">
        <v>0</v>
      </c>
      <c r="N61" s="444">
        <v>0</v>
      </c>
      <c r="O61" s="444">
        <v>0</v>
      </c>
      <c r="P61" s="444">
        <v>0</v>
      </c>
      <c r="Q61" s="444">
        <v>0</v>
      </c>
      <c r="R61" s="444">
        <v>0</v>
      </c>
      <c r="S61" s="444">
        <v>0</v>
      </c>
      <c r="T61" s="444">
        <v>0</v>
      </c>
      <c r="U61" s="444">
        <v>0</v>
      </c>
      <c r="V61" s="444">
        <v>0</v>
      </c>
      <c r="W61" s="444">
        <v>0</v>
      </c>
      <c r="X61" s="442" t="s">
        <v>674</v>
      </c>
      <c r="Y61" s="442" t="s">
        <v>675</v>
      </c>
      <c r="Z61" s="442" t="s">
        <v>675</v>
      </c>
      <c r="AA61" s="442" t="s">
        <v>675</v>
      </c>
      <c r="AB61" s="442" t="s">
        <v>675</v>
      </c>
      <c r="AC61" s="442"/>
      <c r="AD61" s="442"/>
      <c r="AE61" s="442"/>
      <c r="AF61" s="442"/>
      <c r="AG61" s="443" t="s">
        <v>1106</v>
      </c>
      <c r="AH61" s="442"/>
      <c r="AI61" s="443" t="s">
        <v>1106</v>
      </c>
      <c r="AJ61" s="443" t="s">
        <v>677</v>
      </c>
      <c r="AK61" s="442" t="s">
        <v>677</v>
      </c>
      <c r="AL61" s="442"/>
      <c r="AM61" s="442"/>
      <c r="AN61" s="442"/>
      <c r="AO61" s="442"/>
      <c r="AP61" s="442"/>
      <c r="AQ61" s="442"/>
      <c r="AR61" s="444"/>
      <c r="AS61" s="442"/>
      <c r="AT61" s="444"/>
      <c r="AU61" s="442" t="s">
        <v>678</v>
      </c>
      <c r="AV61" s="442" t="s">
        <v>677</v>
      </c>
      <c r="AW61" s="442" t="s">
        <v>676</v>
      </c>
      <c r="AX61" s="442" t="s">
        <v>679</v>
      </c>
      <c r="AY61" s="442"/>
      <c r="AZ61" s="442"/>
      <c r="BA61" s="442" t="s">
        <v>679</v>
      </c>
      <c r="BB61" s="442"/>
      <c r="BC61" s="442"/>
      <c r="BD61" s="442"/>
      <c r="BE61" s="444"/>
      <c r="BF61" s="442" t="s">
        <v>298</v>
      </c>
      <c r="BG61" s="442" t="s">
        <v>680</v>
      </c>
      <c r="BH61" s="442" t="s">
        <v>681</v>
      </c>
      <c r="BI61" s="442"/>
    </row>
    <row r="62" spans="1:61">
      <c r="A62" s="442" t="s">
        <v>1105</v>
      </c>
      <c r="B62" s="442" t="s">
        <v>1105</v>
      </c>
      <c r="C62" s="442" t="s">
        <v>1107</v>
      </c>
      <c r="D62" s="442" t="s">
        <v>673</v>
      </c>
      <c r="E62" s="442" t="s">
        <v>3</v>
      </c>
      <c r="F62" s="443" t="s">
        <v>83</v>
      </c>
      <c r="G62" s="443" t="s">
        <v>700</v>
      </c>
      <c r="H62" s="444">
        <v>60000</v>
      </c>
      <c r="I62" s="444">
        <v>60000</v>
      </c>
      <c r="J62" s="444">
        <v>0</v>
      </c>
      <c r="K62" s="444">
        <v>0</v>
      </c>
      <c r="L62" s="444">
        <v>60000</v>
      </c>
      <c r="M62" s="444">
        <v>0</v>
      </c>
      <c r="N62" s="444">
        <v>0</v>
      </c>
      <c r="O62" s="444">
        <v>0</v>
      </c>
      <c r="P62" s="444">
        <v>0</v>
      </c>
      <c r="Q62" s="444">
        <v>0</v>
      </c>
      <c r="R62" s="444">
        <v>0</v>
      </c>
      <c r="S62" s="444">
        <v>0</v>
      </c>
      <c r="T62" s="444">
        <v>0</v>
      </c>
      <c r="U62" s="444">
        <v>0</v>
      </c>
      <c r="V62" s="444">
        <v>0</v>
      </c>
      <c r="W62" s="444">
        <v>0</v>
      </c>
      <c r="X62" s="442" t="s">
        <v>674</v>
      </c>
      <c r="Y62" s="442" t="s">
        <v>675</v>
      </c>
      <c r="Z62" s="442" t="s">
        <v>675</v>
      </c>
      <c r="AA62" s="442" t="s">
        <v>675</v>
      </c>
      <c r="AB62" s="442" t="s">
        <v>675</v>
      </c>
      <c r="AC62" s="442"/>
      <c r="AD62" s="442"/>
      <c r="AE62" s="442"/>
      <c r="AF62" s="442"/>
      <c r="AG62" s="443" t="s">
        <v>1106</v>
      </c>
      <c r="AH62" s="442"/>
      <c r="AI62" s="443" t="s">
        <v>1106</v>
      </c>
      <c r="AJ62" s="443" t="s">
        <v>677</v>
      </c>
      <c r="AK62" s="442" t="s">
        <v>677</v>
      </c>
      <c r="AL62" s="442"/>
      <c r="AM62" s="442"/>
      <c r="AN62" s="442"/>
      <c r="AO62" s="442"/>
      <c r="AP62" s="442"/>
      <c r="AQ62" s="442"/>
      <c r="AR62" s="444"/>
      <c r="AS62" s="442"/>
      <c r="AT62" s="444"/>
      <c r="AU62" s="442" t="s">
        <v>678</v>
      </c>
      <c r="AV62" s="442" t="s">
        <v>677</v>
      </c>
      <c r="AW62" s="442" t="s">
        <v>676</v>
      </c>
      <c r="AX62" s="442" t="s">
        <v>679</v>
      </c>
      <c r="AY62" s="442"/>
      <c r="AZ62" s="442"/>
      <c r="BA62" s="442" t="s">
        <v>679</v>
      </c>
      <c r="BB62" s="442"/>
      <c r="BC62" s="442"/>
      <c r="BD62" s="442"/>
      <c r="BE62" s="444"/>
      <c r="BF62" s="442" t="s">
        <v>298</v>
      </c>
      <c r="BG62" s="442" t="s">
        <v>680</v>
      </c>
      <c r="BH62" s="442" t="s">
        <v>681</v>
      </c>
      <c r="BI62" s="442"/>
    </row>
    <row r="63" spans="1:61">
      <c r="A63" s="442" t="s">
        <v>1105</v>
      </c>
      <c r="B63" s="442" t="s">
        <v>1105</v>
      </c>
      <c r="C63" s="442" t="s">
        <v>1107</v>
      </c>
      <c r="D63" s="442" t="s">
        <v>673</v>
      </c>
      <c r="E63" s="442" t="s">
        <v>3</v>
      </c>
      <c r="F63" s="443" t="s">
        <v>83</v>
      </c>
      <c r="G63" s="443" t="s">
        <v>700</v>
      </c>
      <c r="H63" s="444">
        <v>60000</v>
      </c>
      <c r="I63" s="444">
        <v>60000</v>
      </c>
      <c r="J63" s="444">
        <v>0</v>
      </c>
      <c r="K63" s="444">
        <v>0</v>
      </c>
      <c r="L63" s="444">
        <v>60000</v>
      </c>
      <c r="M63" s="444">
        <v>0</v>
      </c>
      <c r="N63" s="444">
        <v>0</v>
      </c>
      <c r="O63" s="444">
        <v>0</v>
      </c>
      <c r="P63" s="444">
        <v>0</v>
      </c>
      <c r="Q63" s="444">
        <v>0</v>
      </c>
      <c r="R63" s="444">
        <v>0</v>
      </c>
      <c r="S63" s="444">
        <v>0</v>
      </c>
      <c r="T63" s="444">
        <v>0</v>
      </c>
      <c r="U63" s="444">
        <v>0</v>
      </c>
      <c r="V63" s="444">
        <v>0</v>
      </c>
      <c r="W63" s="444">
        <v>0</v>
      </c>
      <c r="X63" s="442" t="s">
        <v>674</v>
      </c>
      <c r="Y63" s="442" t="s">
        <v>675</v>
      </c>
      <c r="Z63" s="442" t="s">
        <v>675</v>
      </c>
      <c r="AA63" s="442" t="s">
        <v>675</v>
      </c>
      <c r="AB63" s="442" t="s">
        <v>675</v>
      </c>
      <c r="AC63" s="442"/>
      <c r="AD63" s="442"/>
      <c r="AE63" s="442"/>
      <c r="AF63" s="442"/>
      <c r="AG63" s="443" t="s">
        <v>1106</v>
      </c>
      <c r="AH63" s="442"/>
      <c r="AI63" s="443" t="s">
        <v>1106</v>
      </c>
      <c r="AJ63" s="443" t="s">
        <v>677</v>
      </c>
      <c r="AK63" s="442" t="s">
        <v>677</v>
      </c>
      <c r="AL63" s="442"/>
      <c r="AM63" s="442"/>
      <c r="AN63" s="442"/>
      <c r="AO63" s="442"/>
      <c r="AP63" s="442"/>
      <c r="AQ63" s="442"/>
      <c r="AR63" s="444"/>
      <c r="AS63" s="442"/>
      <c r="AT63" s="444"/>
      <c r="AU63" s="442" t="s">
        <v>678</v>
      </c>
      <c r="AV63" s="442" t="s">
        <v>677</v>
      </c>
      <c r="AW63" s="442" t="s">
        <v>676</v>
      </c>
      <c r="AX63" s="442" t="s">
        <v>679</v>
      </c>
      <c r="AY63" s="442"/>
      <c r="AZ63" s="442"/>
      <c r="BA63" s="442" t="s">
        <v>679</v>
      </c>
      <c r="BB63" s="442"/>
      <c r="BC63" s="442"/>
      <c r="BD63" s="442"/>
      <c r="BE63" s="444"/>
      <c r="BF63" s="442" t="s">
        <v>298</v>
      </c>
      <c r="BG63" s="442" t="s">
        <v>680</v>
      </c>
      <c r="BH63" s="442" t="s">
        <v>681</v>
      </c>
      <c r="BI63" s="442"/>
    </row>
    <row r="64" spans="1:61">
      <c r="A64" s="442" t="s">
        <v>1105</v>
      </c>
      <c r="B64" s="442" t="s">
        <v>1105</v>
      </c>
      <c r="C64" s="442" t="s">
        <v>1107</v>
      </c>
      <c r="D64" s="442" t="s">
        <v>673</v>
      </c>
      <c r="E64" s="442" t="s">
        <v>3</v>
      </c>
      <c r="F64" s="443" t="s">
        <v>83</v>
      </c>
      <c r="G64" s="443" t="s">
        <v>700</v>
      </c>
      <c r="H64" s="444">
        <v>60000</v>
      </c>
      <c r="I64" s="444">
        <v>60000</v>
      </c>
      <c r="J64" s="444">
        <v>0</v>
      </c>
      <c r="K64" s="444">
        <v>0</v>
      </c>
      <c r="L64" s="444">
        <v>60000</v>
      </c>
      <c r="M64" s="444">
        <v>0</v>
      </c>
      <c r="N64" s="444">
        <v>0</v>
      </c>
      <c r="O64" s="444">
        <v>0</v>
      </c>
      <c r="P64" s="444">
        <v>0</v>
      </c>
      <c r="Q64" s="444">
        <v>0</v>
      </c>
      <c r="R64" s="444">
        <v>0</v>
      </c>
      <c r="S64" s="444">
        <v>0</v>
      </c>
      <c r="T64" s="444">
        <v>0</v>
      </c>
      <c r="U64" s="444">
        <v>0</v>
      </c>
      <c r="V64" s="444">
        <v>0</v>
      </c>
      <c r="W64" s="444">
        <v>0</v>
      </c>
      <c r="X64" s="442" t="s">
        <v>674</v>
      </c>
      <c r="Y64" s="442" t="s">
        <v>675</v>
      </c>
      <c r="Z64" s="442" t="s">
        <v>675</v>
      </c>
      <c r="AA64" s="442" t="s">
        <v>675</v>
      </c>
      <c r="AB64" s="442" t="s">
        <v>675</v>
      </c>
      <c r="AC64" s="442"/>
      <c r="AD64" s="442"/>
      <c r="AE64" s="442"/>
      <c r="AF64" s="442"/>
      <c r="AG64" s="443" t="s">
        <v>1106</v>
      </c>
      <c r="AH64" s="442"/>
      <c r="AI64" s="443" t="s">
        <v>1106</v>
      </c>
      <c r="AJ64" s="443" t="s">
        <v>677</v>
      </c>
      <c r="AK64" s="442" t="s">
        <v>677</v>
      </c>
      <c r="AL64" s="442"/>
      <c r="AM64" s="442"/>
      <c r="AN64" s="442"/>
      <c r="AO64" s="442"/>
      <c r="AP64" s="442"/>
      <c r="AQ64" s="442"/>
      <c r="AR64" s="444"/>
      <c r="AS64" s="442"/>
      <c r="AT64" s="444"/>
      <c r="AU64" s="442" t="s">
        <v>678</v>
      </c>
      <c r="AV64" s="442" t="s">
        <v>677</v>
      </c>
      <c r="AW64" s="442" t="s">
        <v>676</v>
      </c>
      <c r="AX64" s="442" t="s">
        <v>679</v>
      </c>
      <c r="AY64" s="442"/>
      <c r="AZ64" s="442"/>
      <c r="BA64" s="442" t="s">
        <v>679</v>
      </c>
      <c r="BB64" s="442"/>
      <c r="BC64" s="442"/>
      <c r="BD64" s="442"/>
      <c r="BE64" s="444"/>
      <c r="BF64" s="442" t="s">
        <v>298</v>
      </c>
      <c r="BG64" s="442" t="s">
        <v>680</v>
      </c>
      <c r="BH64" s="442" t="s">
        <v>681</v>
      </c>
      <c r="BI64" s="442"/>
    </row>
    <row r="65" spans="1:61">
      <c r="A65" s="442" t="s">
        <v>1105</v>
      </c>
      <c r="B65" s="442" t="s">
        <v>1105</v>
      </c>
      <c r="C65" s="442" t="s">
        <v>1107</v>
      </c>
      <c r="D65" s="442" t="s">
        <v>673</v>
      </c>
      <c r="E65" s="442" t="s">
        <v>3</v>
      </c>
      <c r="F65" s="443" t="s">
        <v>83</v>
      </c>
      <c r="G65" s="443" t="s">
        <v>700</v>
      </c>
      <c r="H65" s="444">
        <v>60000</v>
      </c>
      <c r="I65" s="444">
        <v>60000</v>
      </c>
      <c r="J65" s="444">
        <v>0</v>
      </c>
      <c r="K65" s="444">
        <v>0</v>
      </c>
      <c r="L65" s="444">
        <v>60000</v>
      </c>
      <c r="M65" s="444">
        <v>0</v>
      </c>
      <c r="N65" s="444">
        <v>0</v>
      </c>
      <c r="O65" s="444">
        <v>0</v>
      </c>
      <c r="P65" s="444">
        <v>0</v>
      </c>
      <c r="Q65" s="444">
        <v>0</v>
      </c>
      <c r="R65" s="444">
        <v>0</v>
      </c>
      <c r="S65" s="444">
        <v>0</v>
      </c>
      <c r="T65" s="444">
        <v>0</v>
      </c>
      <c r="U65" s="444">
        <v>0</v>
      </c>
      <c r="V65" s="444">
        <v>0</v>
      </c>
      <c r="W65" s="444">
        <v>0</v>
      </c>
      <c r="X65" s="442" t="s">
        <v>674</v>
      </c>
      <c r="Y65" s="442" t="s">
        <v>675</v>
      </c>
      <c r="Z65" s="442" t="s">
        <v>675</v>
      </c>
      <c r="AA65" s="442" t="s">
        <v>675</v>
      </c>
      <c r="AB65" s="442" t="s">
        <v>675</v>
      </c>
      <c r="AC65" s="442"/>
      <c r="AD65" s="442"/>
      <c r="AE65" s="442"/>
      <c r="AF65" s="442"/>
      <c r="AG65" s="443" t="s">
        <v>1106</v>
      </c>
      <c r="AH65" s="442"/>
      <c r="AI65" s="443" t="s">
        <v>1106</v>
      </c>
      <c r="AJ65" s="443" t="s">
        <v>677</v>
      </c>
      <c r="AK65" s="442" t="s">
        <v>677</v>
      </c>
      <c r="AL65" s="442"/>
      <c r="AM65" s="442"/>
      <c r="AN65" s="442"/>
      <c r="AO65" s="442"/>
      <c r="AP65" s="442"/>
      <c r="AQ65" s="442"/>
      <c r="AR65" s="444"/>
      <c r="AS65" s="442"/>
      <c r="AT65" s="444"/>
      <c r="AU65" s="442" t="s">
        <v>678</v>
      </c>
      <c r="AV65" s="442" t="s">
        <v>677</v>
      </c>
      <c r="AW65" s="442" t="s">
        <v>676</v>
      </c>
      <c r="AX65" s="442" t="s">
        <v>679</v>
      </c>
      <c r="AY65" s="442"/>
      <c r="AZ65" s="442"/>
      <c r="BA65" s="442" t="s">
        <v>679</v>
      </c>
      <c r="BB65" s="442"/>
      <c r="BC65" s="442"/>
      <c r="BD65" s="442"/>
      <c r="BE65" s="444"/>
      <c r="BF65" s="442" t="s">
        <v>298</v>
      </c>
      <c r="BG65" s="442" t="s">
        <v>680</v>
      </c>
      <c r="BH65" s="442" t="s">
        <v>681</v>
      </c>
      <c r="BI65" s="442"/>
    </row>
    <row r="66" spans="1:61">
      <c r="A66" s="442" t="s">
        <v>1204</v>
      </c>
      <c r="B66" s="442" t="s">
        <v>1203</v>
      </c>
      <c r="C66" s="442" t="s">
        <v>1204</v>
      </c>
      <c r="D66" s="442" t="s">
        <v>716</v>
      </c>
      <c r="E66" s="442" t="s">
        <v>3</v>
      </c>
      <c r="F66" s="443" t="s">
        <v>71</v>
      </c>
      <c r="G66" s="443" t="s">
        <v>719</v>
      </c>
      <c r="H66" s="444">
        <v>453970</v>
      </c>
      <c r="I66" s="444">
        <v>453970</v>
      </c>
      <c r="J66" s="444">
        <v>0</v>
      </c>
      <c r="K66" s="444">
        <v>0</v>
      </c>
      <c r="L66" s="444">
        <v>412700</v>
      </c>
      <c r="M66" s="444">
        <v>0</v>
      </c>
      <c r="N66" s="444">
        <v>0</v>
      </c>
      <c r="O66" s="444">
        <v>41270</v>
      </c>
      <c r="P66" s="444">
        <v>0</v>
      </c>
      <c r="Q66" s="444">
        <v>0</v>
      </c>
      <c r="R66" s="444">
        <v>0</v>
      </c>
      <c r="S66" s="444">
        <v>0</v>
      </c>
      <c r="T66" s="444">
        <v>0</v>
      </c>
      <c r="U66" s="444">
        <v>0</v>
      </c>
      <c r="V66" s="444">
        <v>0</v>
      </c>
      <c r="W66" s="444">
        <v>0</v>
      </c>
      <c r="X66" s="442" t="s">
        <v>674</v>
      </c>
      <c r="Y66" s="442" t="s">
        <v>675</v>
      </c>
      <c r="Z66" s="442" t="s">
        <v>675</v>
      </c>
      <c r="AA66" s="442" t="s">
        <v>675</v>
      </c>
      <c r="AB66" s="442" t="s">
        <v>675</v>
      </c>
      <c r="AC66" s="442"/>
      <c r="AD66" s="442"/>
      <c r="AE66" s="442"/>
      <c r="AF66" s="442"/>
      <c r="AG66" s="443" t="s">
        <v>1223</v>
      </c>
      <c r="AH66" s="442"/>
      <c r="AI66" s="443" t="s">
        <v>1223</v>
      </c>
      <c r="AJ66" s="443" t="s">
        <v>815</v>
      </c>
      <c r="AK66" s="442" t="s">
        <v>677</v>
      </c>
      <c r="AL66" s="442"/>
      <c r="AM66" s="442"/>
      <c r="AN66" s="442"/>
      <c r="AO66" s="442"/>
      <c r="AP66" s="442"/>
      <c r="AQ66" s="442"/>
      <c r="AR66" s="444"/>
      <c r="AS66" s="442"/>
      <c r="AT66" s="444"/>
      <c r="AU66" s="442" t="s">
        <v>678</v>
      </c>
      <c r="AV66" s="442" t="s">
        <v>677</v>
      </c>
      <c r="AW66" s="442" t="s">
        <v>676</v>
      </c>
      <c r="AX66" s="442" t="s">
        <v>679</v>
      </c>
      <c r="AY66" s="442"/>
      <c r="AZ66" s="442"/>
      <c r="BA66" s="442" t="s">
        <v>679</v>
      </c>
      <c r="BB66" s="442"/>
      <c r="BC66" s="442"/>
      <c r="BD66" s="442"/>
      <c r="BE66" s="444"/>
      <c r="BF66" s="442" t="s">
        <v>298</v>
      </c>
      <c r="BG66" s="442" t="s">
        <v>680</v>
      </c>
      <c r="BH66" s="442" t="s">
        <v>681</v>
      </c>
      <c r="BI66" s="442"/>
    </row>
    <row r="67" spans="1:61">
      <c r="A67" s="442" t="s">
        <v>1107</v>
      </c>
      <c r="B67" s="442" t="s">
        <v>1105</v>
      </c>
      <c r="C67" s="442" t="s">
        <v>1107</v>
      </c>
      <c r="D67" s="442" t="s">
        <v>716</v>
      </c>
      <c r="E67" s="442" t="s">
        <v>3</v>
      </c>
      <c r="F67" s="443" t="s">
        <v>308</v>
      </c>
      <c r="G67" s="443" t="s">
        <v>780</v>
      </c>
      <c r="H67" s="444">
        <v>506088000</v>
      </c>
      <c r="I67" s="444">
        <v>410100190</v>
      </c>
      <c r="J67" s="444">
        <v>0</v>
      </c>
      <c r="K67" s="444">
        <v>95987810</v>
      </c>
      <c r="L67" s="444">
        <v>372818355</v>
      </c>
      <c r="M67" s="444">
        <v>0</v>
      </c>
      <c r="N67" s="444">
        <v>87261645</v>
      </c>
      <c r="O67" s="444">
        <v>37281835</v>
      </c>
      <c r="P67" s="444">
        <v>0</v>
      </c>
      <c r="Q67" s="444">
        <v>8726165</v>
      </c>
      <c r="R67" s="444">
        <v>0</v>
      </c>
      <c r="S67" s="444">
        <v>0</v>
      </c>
      <c r="T67" s="444">
        <v>0</v>
      </c>
      <c r="U67" s="444">
        <v>0</v>
      </c>
      <c r="V67" s="444">
        <v>0</v>
      </c>
      <c r="W67" s="444">
        <v>0</v>
      </c>
      <c r="X67" s="442" t="s">
        <v>674</v>
      </c>
      <c r="Y67" s="442" t="s">
        <v>675</v>
      </c>
      <c r="Z67" s="442" t="s">
        <v>675</v>
      </c>
      <c r="AA67" s="442" t="s">
        <v>675</v>
      </c>
      <c r="AB67" s="442" t="s">
        <v>675</v>
      </c>
      <c r="AC67" s="442"/>
      <c r="AD67" s="442" t="s">
        <v>781</v>
      </c>
      <c r="AE67" s="442"/>
      <c r="AF67" s="442"/>
      <c r="AG67" s="443" t="s">
        <v>1110</v>
      </c>
      <c r="AH67" s="442"/>
      <c r="AI67" s="443" t="s">
        <v>1110</v>
      </c>
      <c r="AJ67" s="443" t="s">
        <v>1111</v>
      </c>
      <c r="AK67" s="442" t="s">
        <v>677</v>
      </c>
      <c r="AL67" s="442"/>
      <c r="AM67" s="442"/>
      <c r="AN67" s="442"/>
      <c r="AO67" s="442"/>
      <c r="AP67" s="442"/>
      <c r="AQ67" s="442"/>
      <c r="AR67" s="444"/>
      <c r="AS67" s="442"/>
      <c r="AT67" s="444"/>
      <c r="AU67" s="442" t="s">
        <v>678</v>
      </c>
      <c r="AV67" s="442" t="s">
        <v>677</v>
      </c>
      <c r="AW67" s="442" t="s">
        <v>676</v>
      </c>
      <c r="AX67" s="442" t="s">
        <v>679</v>
      </c>
      <c r="AY67" s="442"/>
      <c r="AZ67" s="442"/>
      <c r="BA67" s="442" t="s">
        <v>679</v>
      </c>
      <c r="BB67" s="442"/>
      <c r="BC67" s="442"/>
      <c r="BD67" s="442"/>
      <c r="BE67" s="444"/>
      <c r="BF67" s="442" t="s">
        <v>298</v>
      </c>
      <c r="BG67" s="442" t="s">
        <v>680</v>
      </c>
      <c r="BH67" s="442" t="s">
        <v>681</v>
      </c>
      <c r="BI67" s="442"/>
    </row>
    <row r="68" spans="1:61">
      <c r="A68" s="442" t="s">
        <v>671</v>
      </c>
      <c r="B68" s="442" t="s">
        <v>671</v>
      </c>
      <c r="C68" s="442" t="s">
        <v>672</v>
      </c>
      <c r="D68" s="442" t="s">
        <v>673</v>
      </c>
      <c r="E68" s="442" t="s">
        <v>3</v>
      </c>
      <c r="F68" s="443" t="s">
        <v>83</v>
      </c>
      <c r="G68" s="443" t="s">
        <v>93</v>
      </c>
      <c r="H68" s="444">
        <v>83700</v>
      </c>
      <c r="I68" s="444">
        <v>83700</v>
      </c>
      <c r="J68" s="444">
        <v>0</v>
      </c>
      <c r="K68" s="444">
        <v>0</v>
      </c>
      <c r="L68" s="444">
        <v>83700</v>
      </c>
      <c r="M68" s="444">
        <v>0</v>
      </c>
      <c r="N68" s="444">
        <v>0</v>
      </c>
      <c r="O68" s="444">
        <v>0</v>
      </c>
      <c r="P68" s="444">
        <v>0</v>
      </c>
      <c r="Q68" s="444">
        <v>0</v>
      </c>
      <c r="R68" s="444">
        <v>0</v>
      </c>
      <c r="S68" s="444">
        <v>0</v>
      </c>
      <c r="T68" s="444">
        <v>0</v>
      </c>
      <c r="U68" s="444">
        <v>0</v>
      </c>
      <c r="V68" s="444">
        <v>0</v>
      </c>
      <c r="W68" s="444">
        <v>0</v>
      </c>
      <c r="X68" s="442" t="s">
        <v>674</v>
      </c>
      <c r="Y68" s="442" t="s">
        <v>675</v>
      </c>
      <c r="Z68" s="442" t="s">
        <v>675</v>
      </c>
      <c r="AA68" s="442" t="s">
        <v>675</v>
      </c>
      <c r="AB68" s="442" t="s">
        <v>675</v>
      </c>
      <c r="AC68" s="442"/>
      <c r="AD68" s="442"/>
      <c r="AE68" s="442" t="s">
        <v>676</v>
      </c>
      <c r="AF68" s="442"/>
      <c r="AG68" s="443" t="s">
        <v>557</v>
      </c>
      <c r="AH68" s="442"/>
      <c r="AI68" s="443" t="s">
        <v>557</v>
      </c>
      <c r="AJ68" s="443" t="s">
        <v>677</v>
      </c>
      <c r="AK68" s="442" t="s">
        <v>677</v>
      </c>
      <c r="AL68" s="442"/>
      <c r="AM68" s="442"/>
      <c r="AN68" s="442"/>
      <c r="AO68" s="442"/>
      <c r="AP68" s="442"/>
      <c r="AQ68" s="442"/>
      <c r="AR68" s="444"/>
      <c r="AS68" s="442"/>
      <c r="AT68" s="444"/>
      <c r="AU68" s="442" t="s">
        <v>678</v>
      </c>
      <c r="AV68" s="442" t="s">
        <v>677</v>
      </c>
      <c r="AW68" s="442" t="s">
        <v>676</v>
      </c>
      <c r="AX68" s="442" t="s">
        <v>784</v>
      </c>
      <c r="AY68" s="442" t="s">
        <v>785</v>
      </c>
      <c r="AZ68" s="442" t="s">
        <v>1178</v>
      </c>
      <c r="BA68" s="442" t="s">
        <v>679</v>
      </c>
      <c r="BB68" s="442"/>
      <c r="BC68" s="442"/>
      <c r="BD68" s="442"/>
      <c r="BE68" s="444"/>
      <c r="BF68" s="442" t="s">
        <v>298</v>
      </c>
      <c r="BG68" s="442" t="s">
        <v>680</v>
      </c>
      <c r="BH68" s="442" t="s">
        <v>681</v>
      </c>
      <c r="BI68" s="442"/>
    </row>
    <row r="69" spans="1:61">
      <c r="A69" s="442" t="s">
        <v>671</v>
      </c>
      <c r="B69" s="442" t="s">
        <v>671</v>
      </c>
      <c r="C69" s="442" t="s">
        <v>672</v>
      </c>
      <c r="D69" s="442" t="s">
        <v>673</v>
      </c>
      <c r="E69" s="442" t="s">
        <v>3</v>
      </c>
      <c r="F69" s="443" t="s">
        <v>83</v>
      </c>
      <c r="G69" s="443" t="s">
        <v>93</v>
      </c>
      <c r="H69" s="444">
        <v>70000</v>
      </c>
      <c r="I69" s="444">
        <v>70000</v>
      </c>
      <c r="J69" s="444">
        <v>0</v>
      </c>
      <c r="K69" s="444">
        <v>0</v>
      </c>
      <c r="L69" s="444">
        <v>70000</v>
      </c>
      <c r="M69" s="444">
        <v>0</v>
      </c>
      <c r="N69" s="444">
        <v>0</v>
      </c>
      <c r="O69" s="444">
        <v>0</v>
      </c>
      <c r="P69" s="444">
        <v>0</v>
      </c>
      <c r="Q69" s="444">
        <v>0</v>
      </c>
      <c r="R69" s="444">
        <v>0</v>
      </c>
      <c r="S69" s="444">
        <v>0</v>
      </c>
      <c r="T69" s="444">
        <v>0</v>
      </c>
      <c r="U69" s="444">
        <v>0</v>
      </c>
      <c r="V69" s="444">
        <v>0</v>
      </c>
      <c r="W69" s="444">
        <v>0</v>
      </c>
      <c r="X69" s="442" t="s">
        <v>674</v>
      </c>
      <c r="Y69" s="442" t="s">
        <v>675</v>
      </c>
      <c r="Z69" s="442" t="s">
        <v>675</v>
      </c>
      <c r="AA69" s="442" t="s">
        <v>675</v>
      </c>
      <c r="AB69" s="442" t="s">
        <v>675</v>
      </c>
      <c r="AC69" s="442"/>
      <c r="AD69" s="442"/>
      <c r="AE69" s="442" t="s">
        <v>676</v>
      </c>
      <c r="AF69" s="442"/>
      <c r="AG69" s="443" t="s">
        <v>557</v>
      </c>
      <c r="AH69" s="442"/>
      <c r="AI69" s="443" t="s">
        <v>557</v>
      </c>
      <c r="AJ69" s="443" t="s">
        <v>677</v>
      </c>
      <c r="AK69" s="442" t="s">
        <v>677</v>
      </c>
      <c r="AL69" s="442"/>
      <c r="AM69" s="442"/>
      <c r="AN69" s="442"/>
      <c r="AO69" s="442"/>
      <c r="AP69" s="442"/>
      <c r="AQ69" s="442"/>
      <c r="AR69" s="444"/>
      <c r="AS69" s="442"/>
      <c r="AT69" s="444"/>
      <c r="AU69" s="442" t="s">
        <v>678</v>
      </c>
      <c r="AV69" s="442" t="s">
        <v>677</v>
      </c>
      <c r="AW69" s="442" t="s">
        <v>676</v>
      </c>
      <c r="AX69" s="442" t="s">
        <v>674</v>
      </c>
      <c r="AY69" s="442"/>
      <c r="AZ69" s="442"/>
      <c r="BA69" s="442" t="s">
        <v>679</v>
      </c>
      <c r="BB69" s="442"/>
      <c r="BC69" s="442"/>
      <c r="BD69" s="442"/>
      <c r="BE69" s="444"/>
      <c r="BF69" s="442" t="s">
        <v>298</v>
      </c>
      <c r="BG69" s="442" t="s">
        <v>680</v>
      </c>
      <c r="BH69" s="442" t="s">
        <v>681</v>
      </c>
      <c r="BI69" s="442"/>
    </row>
    <row r="70" spans="1:61">
      <c r="A70" s="442" t="s">
        <v>683</v>
      </c>
      <c r="B70" s="442" t="s">
        <v>1179</v>
      </c>
      <c r="C70" s="442" t="s">
        <v>729</v>
      </c>
      <c r="D70" s="442" t="s">
        <v>724</v>
      </c>
      <c r="E70" s="442" t="s">
        <v>3</v>
      </c>
      <c r="F70" s="443" t="s">
        <v>83</v>
      </c>
      <c r="G70" s="443" t="s">
        <v>93</v>
      </c>
      <c r="H70" s="444">
        <v>39800</v>
      </c>
      <c r="I70" s="444">
        <v>39800</v>
      </c>
      <c r="J70" s="444">
        <v>0</v>
      </c>
      <c r="K70" s="444">
        <v>0</v>
      </c>
      <c r="L70" s="444">
        <v>36182</v>
      </c>
      <c r="M70" s="444">
        <v>0</v>
      </c>
      <c r="N70" s="444">
        <v>0</v>
      </c>
      <c r="O70" s="444">
        <v>3618</v>
      </c>
      <c r="P70" s="444">
        <v>0</v>
      </c>
      <c r="Q70" s="444">
        <v>0</v>
      </c>
      <c r="R70" s="444">
        <v>0</v>
      </c>
      <c r="S70" s="444">
        <v>0</v>
      </c>
      <c r="T70" s="444">
        <v>0</v>
      </c>
      <c r="U70" s="444">
        <v>0</v>
      </c>
      <c r="V70" s="444">
        <v>0</v>
      </c>
      <c r="W70" s="444">
        <v>0</v>
      </c>
      <c r="X70" s="442" t="s">
        <v>674</v>
      </c>
      <c r="Y70" s="442" t="s">
        <v>675</v>
      </c>
      <c r="Z70" s="442" t="s">
        <v>675</v>
      </c>
      <c r="AA70" s="442" t="s">
        <v>675</v>
      </c>
      <c r="AB70" s="442" t="s">
        <v>675</v>
      </c>
      <c r="AC70" s="442"/>
      <c r="AD70" s="442"/>
      <c r="AE70" s="442" t="s">
        <v>676</v>
      </c>
      <c r="AF70" s="442"/>
      <c r="AG70" s="443" t="s">
        <v>1180</v>
      </c>
      <c r="AH70" s="442"/>
      <c r="AI70" s="443" t="s">
        <v>1180</v>
      </c>
      <c r="AJ70" s="443" t="s">
        <v>1181</v>
      </c>
      <c r="AK70" s="442" t="s">
        <v>677</v>
      </c>
      <c r="AL70" s="442"/>
      <c r="AM70" s="442" t="s">
        <v>726</v>
      </c>
      <c r="AN70" s="442" t="s">
        <v>1182</v>
      </c>
      <c r="AO70" s="442" t="s">
        <v>683</v>
      </c>
      <c r="AP70" s="442" t="s">
        <v>1183</v>
      </c>
      <c r="AQ70" s="442" t="s">
        <v>1184</v>
      </c>
      <c r="AR70" s="444">
        <v>39800</v>
      </c>
      <c r="AS70" s="442" t="s">
        <v>675</v>
      </c>
      <c r="AT70" s="444">
        <v>0</v>
      </c>
      <c r="AU70" s="442" t="s">
        <v>678</v>
      </c>
      <c r="AV70" s="442" t="s">
        <v>677</v>
      </c>
      <c r="AW70" s="442" t="s">
        <v>676</v>
      </c>
      <c r="AX70" s="442" t="s">
        <v>674</v>
      </c>
      <c r="AY70" s="442"/>
      <c r="AZ70" s="442"/>
      <c r="BA70" s="442" t="s">
        <v>679</v>
      </c>
      <c r="BB70" s="442"/>
      <c r="BC70" s="442"/>
      <c r="BD70" s="442"/>
      <c r="BE70" s="444"/>
      <c r="BF70" s="442" t="s">
        <v>298</v>
      </c>
      <c r="BG70" s="442" t="s">
        <v>680</v>
      </c>
      <c r="BH70" s="442" t="s">
        <v>681</v>
      </c>
      <c r="BI70" s="442"/>
    </row>
    <row r="71" spans="1:61">
      <c r="A71" s="442" t="s">
        <v>683</v>
      </c>
      <c r="B71" s="442" t="s">
        <v>1179</v>
      </c>
      <c r="C71" s="442" t="s">
        <v>729</v>
      </c>
      <c r="D71" s="442" t="s">
        <v>724</v>
      </c>
      <c r="E71" s="442" t="s">
        <v>3</v>
      </c>
      <c r="F71" s="443" t="s">
        <v>83</v>
      </c>
      <c r="G71" s="443" t="s">
        <v>700</v>
      </c>
      <c r="H71" s="444">
        <v>517400</v>
      </c>
      <c r="I71" s="444">
        <v>517400</v>
      </c>
      <c r="J71" s="444">
        <v>0</v>
      </c>
      <c r="K71" s="444">
        <v>0</v>
      </c>
      <c r="L71" s="444">
        <v>470364</v>
      </c>
      <c r="M71" s="444">
        <v>0</v>
      </c>
      <c r="N71" s="444">
        <v>0</v>
      </c>
      <c r="O71" s="444">
        <v>47036</v>
      </c>
      <c r="P71" s="444">
        <v>0</v>
      </c>
      <c r="Q71" s="444">
        <v>0</v>
      </c>
      <c r="R71" s="444">
        <v>0</v>
      </c>
      <c r="S71" s="444">
        <v>0</v>
      </c>
      <c r="T71" s="444">
        <v>0</v>
      </c>
      <c r="U71" s="444">
        <v>0</v>
      </c>
      <c r="V71" s="444">
        <v>0</v>
      </c>
      <c r="W71" s="444">
        <v>0</v>
      </c>
      <c r="X71" s="442" t="s">
        <v>674</v>
      </c>
      <c r="Y71" s="442" t="s">
        <v>675</v>
      </c>
      <c r="Z71" s="442" t="s">
        <v>675</v>
      </c>
      <c r="AA71" s="442" t="s">
        <v>675</v>
      </c>
      <c r="AB71" s="442" t="s">
        <v>675</v>
      </c>
      <c r="AC71" s="442"/>
      <c r="AD71" s="442"/>
      <c r="AE71" s="442"/>
      <c r="AF71" s="442"/>
      <c r="AG71" s="443" t="s">
        <v>1185</v>
      </c>
      <c r="AH71" s="442"/>
      <c r="AI71" s="443" t="s">
        <v>1185</v>
      </c>
      <c r="AJ71" s="443" t="s">
        <v>1181</v>
      </c>
      <c r="AK71" s="442" t="s">
        <v>677</v>
      </c>
      <c r="AL71" s="442"/>
      <c r="AM71" s="442" t="s">
        <v>726</v>
      </c>
      <c r="AN71" s="442" t="s">
        <v>1186</v>
      </c>
      <c r="AO71" s="442" t="s">
        <v>683</v>
      </c>
      <c r="AP71" s="442" t="s">
        <v>1183</v>
      </c>
      <c r="AQ71" s="442" t="s">
        <v>1184</v>
      </c>
      <c r="AR71" s="444">
        <v>517400</v>
      </c>
      <c r="AS71" s="442" t="s">
        <v>675</v>
      </c>
      <c r="AT71" s="444">
        <v>0</v>
      </c>
      <c r="AU71" s="442" t="s">
        <v>678</v>
      </c>
      <c r="AV71" s="442" t="s">
        <v>677</v>
      </c>
      <c r="AW71" s="442" t="s">
        <v>676</v>
      </c>
      <c r="AX71" s="442" t="s">
        <v>674</v>
      </c>
      <c r="AY71" s="442"/>
      <c r="AZ71" s="442"/>
      <c r="BA71" s="442" t="s">
        <v>679</v>
      </c>
      <c r="BB71" s="442"/>
      <c r="BC71" s="442"/>
      <c r="BD71" s="442"/>
      <c r="BE71" s="444"/>
      <c r="BF71" s="442" t="s">
        <v>298</v>
      </c>
      <c r="BG71" s="442" t="s">
        <v>680</v>
      </c>
      <c r="BH71" s="442" t="s">
        <v>681</v>
      </c>
      <c r="BI71" s="442"/>
    </row>
    <row r="72" spans="1:61">
      <c r="A72" s="442" t="s">
        <v>682</v>
      </c>
      <c r="B72" s="442" t="s">
        <v>682</v>
      </c>
      <c r="C72" s="442" t="s">
        <v>683</v>
      </c>
      <c r="D72" s="442" t="s">
        <v>673</v>
      </c>
      <c r="E72" s="442" t="s">
        <v>3</v>
      </c>
      <c r="F72" s="443" t="s">
        <v>7</v>
      </c>
      <c r="G72" s="443" t="s">
        <v>684</v>
      </c>
      <c r="H72" s="444">
        <v>3347790</v>
      </c>
      <c r="I72" s="444">
        <v>3347790</v>
      </c>
      <c r="J72" s="444">
        <v>0</v>
      </c>
      <c r="K72" s="444">
        <v>0</v>
      </c>
      <c r="L72" s="444">
        <v>3347790</v>
      </c>
      <c r="M72" s="444">
        <v>0</v>
      </c>
      <c r="N72" s="444">
        <v>0</v>
      </c>
      <c r="O72" s="444">
        <v>0</v>
      </c>
      <c r="P72" s="444">
        <v>0</v>
      </c>
      <c r="Q72" s="444">
        <v>0</v>
      </c>
      <c r="R72" s="444">
        <v>0</v>
      </c>
      <c r="S72" s="444">
        <v>0</v>
      </c>
      <c r="T72" s="444">
        <v>0</v>
      </c>
      <c r="U72" s="444">
        <v>0</v>
      </c>
      <c r="V72" s="444">
        <v>0</v>
      </c>
      <c r="W72" s="444">
        <v>0</v>
      </c>
      <c r="X72" s="442" t="s">
        <v>674</v>
      </c>
      <c r="Y72" s="442" t="s">
        <v>675</v>
      </c>
      <c r="Z72" s="442" t="s">
        <v>675</v>
      </c>
      <c r="AA72" s="442" t="s">
        <v>675</v>
      </c>
      <c r="AB72" s="442" t="s">
        <v>675</v>
      </c>
      <c r="AC72" s="442"/>
      <c r="AD72" s="442"/>
      <c r="AE72" s="442"/>
      <c r="AF72" s="442"/>
      <c r="AG72" s="443" t="s">
        <v>685</v>
      </c>
      <c r="AH72" s="442"/>
      <c r="AI72" s="443" t="s">
        <v>685</v>
      </c>
      <c r="AJ72" s="443" t="s">
        <v>677</v>
      </c>
      <c r="AK72" s="442" t="s">
        <v>677</v>
      </c>
      <c r="AL72" s="442"/>
      <c r="AM72" s="442"/>
      <c r="AN72" s="442"/>
      <c r="AO72" s="442"/>
      <c r="AP72" s="442"/>
      <c r="AQ72" s="442"/>
      <c r="AR72" s="444"/>
      <c r="AS72" s="442"/>
      <c r="AT72" s="444"/>
      <c r="AU72" s="442" t="s">
        <v>678</v>
      </c>
      <c r="AV72" s="442" t="s">
        <v>677</v>
      </c>
      <c r="AW72" s="442" t="s">
        <v>676</v>
      </c>
      <c r="AX72" s="442" t="s">
        <v>674</v>
      </c>
      <c r="AY72" s="442"/>
      <c r="AZ72" s="442"/>
      <c r="BA72" s="442" t="s">
        <v>679</v>
      </c>
      <c r="BB72" s="442"/>
      <c r="BC72" s="442"/>
      <c r="BD72" s="442"/>
      <c r="BE72" s="444"/>
      <c r="BF72" s="442" t="s">
        <v>298</v>
      </c>
      <c r="BG72" s="442" t="s">
        <v>680</v>
      </c>
      <c r="BH72" s="442" t="s">
        <v>681</v>
      </c>
      <c r="BI72" s="442"/>
    </row>
    <row r="73" spans="1:61">
      <c r="A73" s="442" t="s">
        <v>682</v>
      </c>
      <c r="B73" s="442" t="s">
        <v>682</v>
      </c>
      <c r="C73" s="442" t="s">
        <v>683</v>
      </c>
      <c r="D73" s="442" t="s">
        <v>673</v>
      </c>
      <c r="E73" s="442" t="s">
        <v>3</v>
      </c>
      <c r="F73" s="443" t="s">
        <v>7</v>
      </c>
      <c r="G73" s="443" t="s">
        <v>684</v>
      </c>
      <c r="H73" s="444">
        <v>368340</v>
      </c>
      <c r="I73" s="444">
        <v>368340</v>
      </c>
      <c r="J73" s="444">
        <v>0</v>
      </c>
      <c r="K73" s="444">
        <v>0</v>
      </c>
      <c r="L73" s="444">
        <v>368340</v>
      </c>
      <c r="M73" s="444">
        <v>0</v>
      </c>
      <c r="N73" s="444">
        <v>0</v>
      </c>
      <c r="O73" s="444">
        <v>0</v>
      </c>
      <c r="P73" s="444">
        <v>0</v>
      </c>
      <c r="Q73" s="444">
        <v>0</v>
      </c>
      <c r="R73" s="444">
        <v>0</v>
      </c>
      <c r="S73" s="444">
        <v>0</v>
      </c>
      <c r="T73" s="444">
        <v>0</v>
      </c>
      <c r="U73" s="444">
        <v>0</v>
      </c>
      <c r="V73" s="444">
        <v>0</v>
      </c>
      <c r="W73" s="444">
        <v>0</v>
      </c>
      <c r="X73" s="442" t="s">
        <v>674</v>
      </c>
      <c r="Y73" s="442" t="s">
        <v>675</v>
      </c>
      <c r="Z73" s="442" t="s">
        <v>675</v>
      </c>
      <c r="AA73" s="442" t="s">
        <v>675</v>
      </c>
      <c r="AB73" s="442" t="s">
        <v>675</v>
      </c>
      <c r="AC73" s="442"/>
      <c r="AD73" s="442"/>
      <c r="AE73" s="442"/>
      <c r="AF73" s="442"/>
      <c r="AG73" s="443" t="s">
        <v>686</v>
      </c>
      <c r="AH73" s="442"/>
      <c r="AI73" s="443" t="s">
        <v>686</v>
      </c>
      <c r="AJ73" s="443" t="s">
        <v>677</v>
      </c>
      <c r="AK73" s="442" t="s">
        <v>677</v>
      </c>
      <c r="AL73" s="442"/>
      <c r="AM73" s="442"/>
      <c r="AN73" s="442"/>
      <c r="AO73" s="442"/>
      <c r="AP73" s="442"/>
      <c r="AQ73" s="442"/>
      <c r="AR73" s="444"/>
      <c r="AS73" s="442"/>
      <c r="AT73" s="444"/>
      <c r="AU73" s="442" t="s">
        <v>678</v>
      </c>
      <c r="AV73" s="442" t="s">
        <v>677</v>
      </c>
      <c r="AW73" s="442" t="s">
        <v>676</v>
      </c>
      <c r="AX73" s="442" t="s">
        <v>674</v>
      </c>
      <c r="AY73" s="442"/>
      <c r="AZ73" s="442"/>
      <c r="BA73" s="442" t="s">
        <v>679</v>
      </c>
      <c r="BB73" s="442"/>
      <c r="BC73" s="442"/>
      <c r="BD73" s="442"/>
      <c r="BE73" s="444"/>
      <c r="BF73" s="442" t="s">
        <v>298</v>
      </c>
      <c r="BG73" s="442" t="s">
        <v>680</v>
      </c>
      <c r="BH73" s="442" t="s">
        <v>681</v>
      </c>
      <c r="BI73" s="442"/>
    </row>
    <row r="74" spans="1:61">
      <c r="A74" s="442" t="s">
        <v>682</v>
      </c>
      <c r="B74" s="442" t="s">
        <v>682</v>
      </c>
      <c r="C74" s="442" t="s">
        <v>683</v>
      </c>
      <c r="D74" s="442" t="s">
        <v>673</v>
      </c>
      <c r="E74" s="442" t="s">
        <v>3</v>
      </c>
      <c r="F74" s="443" t="s">
        <v>7</v>
      </c>
      <c r="G74" s="443" t="s">
        <v>684</v>
      </c>
      <c r="H74" s="444">
        <v>200870</v>
      </c>
      <c r="I74" s="444">
        <v>200870</v>
      </c>
      <c r="J74" s="444">
        <v>0</v>
      </c>
      <c r="K74" s="444">
        <v>0</v>
      </c>
      <c r="L74" s="444">
        <v>200870</v>
      </c>
      <c r="M74" s="444">
        <v>0</v>
      </c>
      <c r="N74" s="444">
        <v>0</v>
      </c>
      <c r="O74" s="444">
        <v>0</v>
      </c>
      <c r="P74" s="444">
        <v>0</v>
      </c>
      <c r="Q74" s="444">
        <v>0</v>
      </c>
      <c r="R74" s="444">
        <v>0</v>
      </c>
      <c r="S74" s="444">
        <v>0</v>
      </c>
      <c r="T74" s="444">
        <v>0</v>
      </c>
      <c r="U74" s="444">
        <v>0</v>
      </c>
      <c r="V74" s="444">
        <v>0</v>
      </c>
      <c r="W74" s="444">
        <v>0</v>
      </c>
      <c r="X74" s="442" t="s">
        <v>674</v>
      </c>
      <c r="Y74" s="442" t="s">
        <v>675</v>
      </c>
      <c r="Z74" s="442" t="s">
        <v>675</v>
      </c>
      <c r="AA74" s="442" t="s">
        <v>675</v>
      </c>
      <c r="AB74" s="442" t="s">
        <v>675</v>
      </c>
      <c r="AC74" s="442"/>
      <c r="AD74" s="442"/>
      <c r="AE74" s="442"/>
      <c r="AF74" s="442"/>
      <c r="AG74" s="443" t="s">
        <v>687</v>
      </c>
      <c r="AH74" s="442"/>
      <c r="AI74" s="443" t="s">
        <v>687</v>
      </c>
      <c r="AJ74" s="443" t="s">
        <v>677</v>
      </c>
      <c r="AK74" s="442" t="s">
        <v>677</v>
      </c>
      <c r="AL74" s="442"/>
      <c r="AM74" s="442"/>
      <c r="AN74" s="442"/>
      <c r="AO74" s="442"/>
      <c r="AP74" s="442"/>
      <c r="AQ74" s="442"/>
      <c r="AR74" s="444"/>
      <c r="AS74" s="442"/>
      <c r="AT74" s="444"/>
      <c r="AU74" s="442" t="s">
        <v>678</v>
      </c>
      <c r="AV74" s="442" t="s">
        <v>677</v>
      </c>
      <c r="AW74" s="442" t="s">
        <v>676</v>
      </c>
      <c r="AX74" s="442" t="s">
        <v>674</v>
      </c>
      <c r="AY74" s="442"/>
      <c r="AZ74" s="442"/>
      <c r="BA74" s="442" t="s">
        <v>679</v>
      </c>
      <c r="BB74" s="442"/>
      <c r="BC74" s="442"/>
      <c r="BD74" s="442"/>
      <c r="BE74" s="444"/>
      <c r="BF74" s="442" t="s">
        <v>298</v>
      </c>
      <c r="BG74" s="442" t="s">
        <v>680</v>
      </c>
      <c r="BH74" s="442" t="s">
        <v>681</v>
      </c>
      <c r="BI74" s="442"/>
    </row>
    <row r="75" spans="1:61">
      <c r="A75" s="442" t="s">
        <v>682</v>
      </c>
      <c r="B75" s="442" t="s">
        <v>682</v>
      </c>
      <c r="C75" s="442" t="s">
        <v>683</v>
      </c>
      <c r="D75" s="442" t="s">
        <v>673</v>
      </c>
      <c r="E75" s="442" t="s">
        <v>3</v>
      </c>
      <c r="F75" s="443" t="s">
        <v>7</v>
      </c>
      <c r="G75" s="443" t="s">
        <v>684</v>
      </c>
      <c r="H75" s="444">
        <v>425360</v>
      </c>
      <c r="I75" s="444">
        <v>425360</v>
      </c>
      <c r="J75" s="444">
        <v>0</v>
      </c>
      <c r="K75" s="444">
        <v>0</v>
      </c>
      <c r="L75" s="444">
        <v>425360</v>
      </c>
      <c r="M75" s="444">
        <v>0</v>
      </c>
      <c r="N75" s="444">
        <v>0</v>
      </c>
      <c r="O75" s="444">
        <v>0</v>
      </c>
      <c r="P75" s="444">
        <v>0</v>
      </c>
      <c r="Q75" s="444">
        <v>0</v>
      </c>
      <c r="R75" s="444">
        <v>0</v>
      </c>
      <c r="S75" s="444">
        <v>0</v>
      </c>
      <c r="T75" s="444">
        <v>0</v>
      </c>
      <c r="U75" s="444">
        <v>0</v>
      </c>
      <c r="V75" s="444">
        <v>0</v>
      </c>
      <c r="W75" s="444">
        <v>0</v>
      </c>
      <c r="X75" s="442" t="s">
        <v>674</v>
      </c>
      <c r="Y75" s="442" t="s">
        <v>675</v>
      </c>
      <c r="Z75" s="442" t="s">
        <v>675</v>
      </c>
      <c r="AA75" s="442" t="s">
        <v>675</v>
      </c>
      <c r="AB75" s="442" t="s">
        <v>675</v>
      </c>
      <c r="AC75" s="442"/>
      <c r="AD75" s="442"/>
      <c r="AE75" s="442"/>
      <c r="AF75" s="442"/>
      <c r="AG75" s="443" t="s">
        <v>688</v>
      </c>
      <c r="AH75" s="442"/>
      <c r="AI75" s="443" t="s">
        <v>688</v>
      </c>
      <c r="AJ75" s="443" t="s">
        <v>677</v>
      </c>
      <c r="AK75" s="442" t="s">
        <v>677</v>
      </c>
      <c r="AL75" s="442"/>
      <c r="AM75" s="442"/>
      <c r="AN75" s="442"/>
      <c r="AO75" s="442"/>
      <c r="AP75" s="442"/>
      <c r="AQ75" s="442"/>
      <c r="AR75" s="444"/>
      <c r="AS75" s="442"/>
      <c r="AT75" s="444"/>
      <c r="AU75" s="442" t="s">
        <v>678</v>
      </c>
      <c r="AV75" s="442" t="s">
        <v>677</v>
      </c>
      <c r="AW75" s="442" t="s">
        <v>676</v>
      </c>
      <c r="AX75" s="442" t="s">
        <v>674</v>
      </c>
      <c r="AY75" s="442"/>
      <c r="AZ75" s="442"/>
      <c r="BA75" s="442" t="s">
        <v>679</v>
      </c>
      <c r="BB75" s="442"/>
      <c r="BC75" s="442"/>
      <c r="BD75" s="442"/>
      <c r="BE75" s="444"/>
      <c r="BF75" s="442" t="s">
        <v>298</v>
      </c>
      <c r="BG75" s="442" t="s">
        <v>680</v>
      </c>
      <c r="BH75" s="442" t="s">
        <v>681</v>
      </c>
      <c r="BI75" s="442"/>
    </row>
    <row r="76" spans="1:61">
      <c r="A76" s="442" t="s">
        <v>682</v>
      </c>
      <c r="B76" s="442" t="s">
        <v>682</v>
      </c>
      <c r="C76" s="442" t="s">
        <v>683</v>
      </c>
      <c r="D76" s="442" t="s">
        <v>673</v>
      </c>
      <c r="E76" s="442" t="s">
        <v>3</v>
      </c>
      <c r="F76" s="443" t="s">
        <v>7</v>
      </c>
      <c r="G76" s="443" t="s">
        <v>684</v>
      </c>
      <c r="H76" s="444">
        <v>368340</v>
      </c>
      <c r="I76" s="444">
        <v>368340</v>
      </c>
      <c r="J76" s="444">
        <v>0</v>
      </c>
      <c r="K76" s="444">
        <v>0</v>
      </c>
      <c r="L76" s="444">
        <v>368340</v>
      </c>
      <c r="M76" s="444">
        <v>0</v>
      </c>
      <c r="N76" s="444">
        <v>0</v>
      </c>
      <c r="O76" s="444">
        <v>0</v>
      </c>
      <c r="P76" s="444">
        <v>0</v>
      </c>
      <c r="Q76" s="444">
        <v>0</v>
      </c>
      <c r="R76" s="444">
        <v>0</v>
      </c>
      <c r="S76" s="444">
        <v>0</v>
      </c>
      <c r="T76" s="444">
        <v>0</v>
      </c>
      <c r="U76" s="444">
        <v>0</v>
      </c>
      <c r="V76" s="444">
        <v>0</v>
      </c>
      <c r="W76" s="444">
        <v>0</v>
      </c>
      <c r="X76" s="442" t="s">
        <v>674</v>
      </c>
      <c r="Y76" s="442" t="s">
        <v>675</v>
      </c>
      <c r="Z76" s="442" t="s">
        <v>675</v>
      </c>
      <c r="AA76" s="442" t="s">
        <v>675</v>
      </c>
      <c r="AB76" s="442" t="s">
        <v>675</v>
      </c>
      <c r="AC76" s="442"/>
      <c r="AD76" s="442"/>
      <c r="AE76" s="442"/>
      <c r="AF76" s="442"/>
      <c r="AG76" s="443" t="s">
        <v>686</v>
      </c>
      <c r="AH76" s="442"/>
      <c r="AI76" s="443" t="s">
        <v>686</v>
      </c>
      <c r="AJ76" s="443" t="s">
        <v>677</v>
      </c>
      <c r="AK76" s="442" t="s">
        <v>677</v>
      </c>
      <c r="AL76" s="442"/>
      <c r="AM76" s="442"/>
      <c r="AN76" s="442"/>
      <c r="AO76" s="442"/>
      <c r="AP76" s="442"/>
      <c r="AQ76" s="442"/>
      <c r="AR76" s="444"/>
      <c r="AS76" s="442"/>
      <c r="AT76" s="444"/>
      <c r="AU76" s="442" t="s">
        <v>678</v>
      </c>
      <c r="AV76" s="442" t="s">
        <v>677</v>
      </c>
      <c r="AW76" s="442" t="s">
        <v>676</v>
      </c>
      <c r="AX76" s="442" t="s">
        <v>674</v>
      </c>
      <c r="AY76" s="442"/>
      <c r="AZ76" s="442"/>
      <c r="BA76" s="442" t="s">
        <v>679</v>
      </c>
      <c r="BB76" s="442"/>
      <c r="BC76" s="442"/>
      <c r="BD76" s="442"/>
      <c r="BE76" s="444"/>
      <c r="BF76" s="442" t="s">
        <v>298</v>
      </c>
      <c r="BG76" s="442" t="s">
        <v>680</v>
      </c>
      <c r="BH76" s="442" t="s">
        <v>681</v>
      </c>
      <c r="BI76" s="442"/>
    </row>
    <row r="77" spans="1:61">
      <c r="A77" s="442" t="s">
        <v>682</v>
      </c>
      <c r="B77" s="442" t="s">
        <v>682</v>
      </c>
      <c r="C77" s="442" t="s">
        <v>683</v>
      </c>
      <c r="D77" s="442" t="s">
        <v>673</v>
      </c>
      <c r="E77" s="442" t="s">
        <v>3</v>
      </c>
      <c r="F77" s="443" t="s">
        <v>7</v>
      </c>
      <c r="G77" s="443" t="s">
        <v>684</v>
      </c>
      <c r="H77" s="444">
        <v>72840</v>
      </c>
      <c r="I77" s="444">
        <v>72840</v>
      </c>
      <c r="J77" s="444">
        <v>0</v>
      </c>
      <c r="K77" s="444">
        <v>0</v>
      </c>
      <c r="L77" s="444">
        <v>72840</v>
      </c>
      <c r="M77" s="444">
        <v>0</v>
      </c>
      <c r="N77" s="444">
        <v>0</v>
      </c>
      <c r="O77" s="444">
        <v>0</v>
      </c>
      <c r="P77" s="444">
        <v>0</v>
      </c>
      <c r="Q77" s="444">
        <v>0</v>
      </c>
      <c r="R77" s="444">
        <v>0</v>
      </c>
      <c r="S77" s="444">
        <v>0</v>
      </c>
      <c r="T77" s="444">
        <v>0</v>
      </c>
      <c r="U77" s="444">
        <v>0</v>
      </c>
      <c r="V77" s="444">
        <v>0</v>
      </c>
      <c r="W77" s="444">
        <v>0</v>
      </c>
      <c r="X77" s="442" t="s">
        <v>674</v>
      </c>
      <c r="Y77" s="442" t="s">
        <v>675</v>
      </c>
      <c r="Z77" s="442" t="s">
        <v>675</v>
      </c>
      <c r="AA77" s="442" t="s">
        <v>675</v>
      </c>
      <c r="AB77" s="442" t="s">
        <v>675</v>
      </c>
      <c r="AC77" s="442"/>
      <c r="AD77" s="442"/>
      <c r="AE77" s="442"/>
      <c r="AF77" s="442"/>
      <c r="AG77" s="443" t="s">
        <v>687</v>
      </c>
      <c r="AH77" s="442"/>
      <c r="AI77" s="443" t="s">
        <v>687</v>
      </c>
      <c r="AJ77" s="443" t="s">
        <v>677</v>
      </c>
      <c r="AK77" s="442" t="s">
        <v>677</v>
      </c>
      <c r="AL77" s="442"/>
      <c r="AM77" s="442"/>
      <c r="AN77" s="442"/>
      <c r="AO77" s="442"/>
      <c r="AP77" s="442"/>
      <c r="AQ77" s="442"/>
      <c r="AR77" s="444"/>
      <c r="AS77" s="442"/>
      <c r="AT77" s="444"/>
      <c r="AU77" s="442" t="s">
        <v>678</v>
      </c>
      <c r="AV77" s="442" t="s">
        <v>677</v>
      </c>
      <c r="AW77" s="442" t="s">
        <v>676</v>
      </c>
      <c r="AX77" s="442" t="s">
        <v>674</v>
      </c>
      <c r="AY77" s="442"/>
      <c r="AZ77" s="442"/>
      <c r="BA77" s="442" t="s">
        <v>679</v>
      </c>
      <c r="BB77" s="442"/>
      <c r="BC77" s="442"/>
      <c r="BD77" s="442"/>
      <c r="BE77" s="444"/>
      <c r="BF77" s="442" t="s">
        <v>298</v>
      </c>
      <c r="BG77" s="442" t="s">
        <v>680</v>
      </c>
      <c r="BH77" s="442" t="s">
        <v>681</v>
      </c>
      <c r="BI77" s="442"/>
    </row>
    <row r="78" spans="1:61">
      <c r="A78" s="442" t="s">
        <v>682</v>
      </c>
      <c r="B78" s="442" t="s">
        <v>682</v>
      </c>
      <c r="C78" s="442" t="s">
        <v>683</v>
      </c>
      <c r="D78" s="442" t="s">
        <v>673</v>
      </c>
      <c r="E78" s="442" t="s">
        <v>3</v>
      </c>
      <c r="F78" s="443" t="s">
        <v>7</v>
      </c>
      <c r="G78" s="443" t="s">
        <v>684</v>
      </c>
      <c r="H78" s="444">
        <v>223280</v>
      </c>
      <c r="I78" s="444">
        <v>223280</v>
      </c>
      <c r="J78" s="444">
        <v>0</v>
      </c>
      <c r="K78" s="444">
        <v>0</v>
      </c>
      <c r="L78" s="444">
        <v>223280</v>
      </c>
      <c r="M78" s="444">
        <v>0</v>
      </c>
      <c r="N78" s="444">
        <v>0</v>
      </c>
      <c r="O78" s="444">
        <v>0</v>
      </c>
      <c r="P78" s="444">
        <v>0</v>
      </c>
      <c r="Q78" s="444">
        <v>0</v>
      </c>
      <c r="R78" s="444">
        <v>0</v>
      </c>
      <c r="S78" s="444">
        <v>0</v>
      </c>
      <c r="T78" s="444">
        <v>0</v>
      </c>
      <c r="U78" s="444">
        <v>0</v>
      </c>
      <c r="V78" s="444">
        <v>0</v>
      </c>
      <c r="W78" s="444">
        <v>0</v>
      </c>
      <c r="X78" s="442" t="s">
        <v>674</v>
      </c>
      <c r="Y78" s="442" t="s">
        <v>675</v>
      </c>
      <c r="Z78" s="442" t="s">
        <v>675</v>
      </c>
      <c r="AA78" s="442" t="s">
        <v>675</v>
      </c>
      <c r="AB78" s="442" t="s">
        <v>675</v>
      </c>
      <c r="AC78" s="442"/>
      <c r="AD78" s="442"/>
      <c r="AE78" s="442"/>
      <c r="AF78" s="442"/>
      <c r="AG78" s="443" t="s">
        <v>688</v>
      </c>
      <c r="AH78" s="442"/>
      <c r="AI78" s="443" t="s">
        <v>688</v>
      </c>
      <c r="AJ78" s="443" t="s">
        <v>677</v>
      </c>
      <c r="AK78" s="442" t="s">
        <v>677</v>
      </c>
      <c r="AL78" s="442"/>
      <c r="AM78" s="442"/>
      <c r="AN78" s="442"/>
      <c r="AO78" s="442"/>
      <c r="AP78" s="442"/>
      <c r="AQ78" s="442"/>
      <c r="AR78" s="444"/>
      <c r="AS78" s="442"/>
      <c r="AT78" s="444"/>
      <c r="AU78" s="442" t="s">
        <v>678</v>
      </c>
      <c r="AV78" s="442" t="s">
        <v>677</v>
      </c>
      <c r="AW78" s="442" t="s">
        <v>676</v>
      </c>
      <c r="AX78" s="442" t="s">
        <v>674</v>
      </c>
      <c r="AY78" s="442"/>
      <c r="AZ78" s="442"/>
      <c r="BA78" s="442" t="s">
        <v>679</v>
      </c>
      <c r="BB78" s="442"/>
      <c r="BC78" s="442"/>
      <c r="BD78" s="442"/>
      <c r="BE78" s="444"/>
      <c r="BF78" s="442" t="s">
        <v>298</v>
      </c>
      <c r="BG78" s="442" t="s">
        <v>680</v>
      </c>
      <c r="BH78" s="442" t="s">
        <v>681</v>
      </c>
      <c r="BI78" s="442"/>
    </row>
    <row r="79" spans="1:61">
      <c r="A79" s="442" t="s">
        <v>682</v>
      </c>
      <c r="B79" s="442" t="s">
        <v>682</v>
      </c>
      <c r="C79" s="442" t="s">
        <v>683</v>
      </c>
      <c r="D79" s="442" t="s">
        <v>673</v>
      </c>
      <c r="E79" s="442" t="s">
        <v>3</v>
      </c>
      <c r="F79" s="443" t="s">
        <v>7</v>
      </c>
      <c r="G79" s="443" t="s">
        <v>684</v>
      </c>
      <c r="H79" s="444">
        <v>326410</v>
      </c>
      <c r="I79" s="444">
        <v>326410</v>
      </c>
      <c r="J79" s="444">
        <v>0</v>
      </c>
      <c r="K79" s="444">
        <v>0</v>
      </c>
      <c r="L79" s="444">
        <v>326410</v>
      </c>
      <c r="M79" s="444">
        <v>0</v>
      </c>
      <c r="N79" s="444">
        <v>0</v>
      </c>
      <c r="O79" s="444">
        <v>0</v>
      </c>
      <c r="P79" s="444">
        <v>0</v>
      </c>
      <c r="Q79" s="444">
        <v>0</v>
      </c>
      <c r="R79" s="444">
        <v>0</v>
      </c>
      <c r="S79" s="444">
        <v>0</v>
      </c>
      <c r="T79" s="444">
        <v>0</v>
      </c>
      <c r="U79" s="444">
        <v>0</v>
      </c>
      <c r="V79" s="444">
        <v>0</v>
      </c>
      <c r="W79" s="444">
        <v>0</v>
      </c>
      <c r="X79" s="442" t="s">
        <v>674</v>
      </c>
      <c r="Y79" s="442" t="s">
        <v>675</v>
      </c>
      <c r="Z79" s="442" t="s">
        <v>675</v>
      </c>
      <c r="AA79" s="442" t="s">
        <v>675</v>
      </c>
      <c r="AB79" s="442" t="s">
        <v>675</v>
      </c>
      <c r="AC79" s="442"/>
      <c r="AD79" s="442"/>
      <c r="AE79" s="442"/>
      <c r="AF79" s="442"/>
      <c r="AG79" s="443" t="s">
        <v>689</v>
      </c>
      <c r="AH79" s="442"/>
      <c r="AI79" s="443" t="s">
        <v>689</v>
      </c>
      <c r="AJ79" s="443" t="s">
        <v>677</v>
      </c>
      <c r="AK79" s="442" t="s">
        <v>677</v>
      </c>
      <c r="AL79" s="442"/>
      <c r="AM79" s="442"/>
      <c r="AN79" s="442"/>
      <c r="AO79" s="442"/>
      <c r="AP79" s="442"/>
      <c r="AQ79" s="442"/>
      <c r="AR79" s="444"/>
      <c r="AS79" s="442"/>
      <c r="AT79" s="444"/>
      <c r="AU79" s="442" t="s">
        <v>678</v>
      </c>
      <c r="AV79" s="442" t="s">
        <v>677</v>
      </c>
      <c r="AW79" s="442" t="s">
        <v>676</v>
      </c>
      <c r="AX79" s="442" t="s">
        <v>674</v>
      </c>
      <c r="AY79" s="442"/>
      <c r="AZ79" s="442"/>
      <c r="BA79" s="442" t="s">
        <v>679</v>
      </c>
      <c r="BB79" s="442"/>
      <c r="BC79" s="442"/>
      <c r="BD79" s="442"/>
      <c r="BE79" s="444"/>
      <c r="BF79" s="442" t="s">
        <v>298</v>
      </c>
      <c r="BG79" s="442" t="s">
        <v>680</v>
      </c>
      <c r="BH79" s="442" t="s">
        <v>681</v>
      </c>
      <c r="BI79" s="442"/>
    </row>
    <row r="80" spans="1:61">
      <c r="A80" s="442" t="s">
        <v>682</v>
      </c>
      <c r="B80" s="442" t="s">
        <v>682</v>
      </c>
      <c r="C80" s="442" t="s">
        <v>683</v>
      </c>
      <c r="D80" s="442" t="s">
        <v>673</v>
      </c>
      <c r="E80" s="442" t="s">
        <v>3</v>
      </c>
      <c r="F80" s="443" t="s">
        <v>7</v>
      </c>
      <c r="G80" s="443" t="s">
        <v>684</v>
      </c>
      <c r="H80" s="444">
        <v>425360</v>
      </c>
      <c r="I80" s="444">
        <v>425360</v>
      </c>
      <c r="J80" s="444">
        <v>0</v>
      </c>
      <c r="K80" s="444">
        <v>0</v>
      </c>
      <c r="L80" s="444">
        <v>425360</v>
      </c>
      <c r="M80" s="444">
        <v>0</v>
      </c>
      <c r="N80" s="444">
        <v>0</v>
      </c>
      <c r="O80" s="444">
        <v>0</v>
      </c>
      <c r="P80" s="444">
        <v>0</v>
      </c>
      <c r="Q80" s="444">
        <v>0</v>
      </c>
      <c r="R80" s="444">
        <v>0</v>
      </c>
      <c r="S80" s="444">
        <v>0</v>
      </c>
      <c r="T80" s="444">
        <v>0</v>
      </c>
      <c r="U80" s="444">
        <v>0</v>
      </c>
      <c r="V80" s="444">
        <v>0</v>
      </c>
      <c r="W80" s="444">
        <v>0</v>
      </c>
      <c r="X80" s="442" t="s">
        <v>674</v>
      </c>
      <c r="Y80" s="442" t="s">
        <v>675</v>
      </c>
      <c r="Z80" s="442" t="s">
        <v>675</v>
      </c>
      <c r="AA80" s="442" t="s">
        <v>675</v>
      </c>
      <c r="AB80" s="442" t="s">
        <v>675</v>
      </c>
      <c r="AC80" s="442"/>
      <c r="AD80" s="442"/>
      <c r="AE80" s="442"/>
      <c r="AF80" s="442"/>
      <c r="AG80" s="443" t="s">
        <v>688</v>
      </c>
      <c r="AH80" s="442"/>
      <c r="AI80" s="443" t="s">
        <v>688</v>
      </c>
      <c r="AJ80" s="443" t="s">
        <v>677</v>
      </c>
      <c r="AK80" s="442" t="s">
        <v>677</v>
      </c>
      <c r="AL80" s="442"/>
      <c r="AM80" s="442"/>
      <c r="AN80" s="442"/>
      <c r="AO80" s="442"/>
      <c r="AP80" s="442"/>
      <c r="AQ80" s="442"/>
      <c r="AR80" s="444"/>
      <c r="AS80" s="442"/>
      <c r="AT80" s="444"/>
      <c r="AU80" s="442" t="s">
        <v>678</v>
      </c>
      <c r="AV80" s="442" t="s">
        <v>677</v>
      </c>
      <c r="AW80" s="442" t="s">
        <v>676</v>
      </c>
      <c r="AX80" s="442" t="s">
        <v>674</v>
      </c>
      <c r="AY80" s="442"/>
      <c r="AZ80" s="442"/>
      <c r="BA80" s="442" t="s">
        <v>679</v>
      </c>
      <c r="BB80" s="442"/>
      <c r="BC80" s="442"/>
      <c r="BD80" s="442"/>
      <c r="BE80" s="444"/>
      <c r="BF80" s="442" t="s">
        <v>298</v>
      </c>
      <c r="BG80" s="442" t="s">
        <v>680</v>
      </c>
      <c r="BH80" s="442" t="s">
        <v>681</v>
      </c>
      <c r="BI80" s="442"/>
    </row>
    <row r="81" spans="1:61">
      <c r="A81" s="442" t="s">
        <v>682</v>
      </c>
      <c r="B81" s="442" t="s">
        <v>682</v>
      </c>
      <c r="C81" s="442" t="s">
        <v>683</v>
      </c>
      <c r="D81" s="442" t="s">
        <v>673</v>
      </c>
      <c r="E81" s="442" t="s">
        <v>3</v>
      </c>
      <c r="F81" s="443" t="s">
        <v>7</v>
      </c>
      <c r="G81" s="443" t="s">
        <v>684</v>
      </c>
      <c r="H81" s="444">
        <v>326417</v>
      </c>
      <c r="I81" s="444">
        <v>326417</v>
      </c>
      <c r="J81" s="444">
        <v>0</v>
      </c>
      <c r="K81" s="444">
        <v>0</v>
      </c>
      <c r="L81" s="444">
        <v>326417</v>
      </c>
      <c r="M81" s="444">
        <v>0</v>
      </c>
      <c r="N81" s="444">
        <v>0</v>
      </c>
      <c r="O81" s="444">
        <v>0</v>
      </c>
      <c r="P81" s="444">
        <v>0</v>
      </c>
      <c r="Q81" s="444">
        <v>0</v>
      </c>
      <c r="R81" s="444">
        <v>0</v>
      </c>
      <c r="S81" s="444">
        <v>0</v>
      </c>
      <c r="T81" s="444">
        <v>0</v>
      </c>
      <c r="U81" s="444">
        <v>0</v>
      </c>
      <c r="V81" s="444">
        <v>0</v>
      </c>
      <c r="W81" s="444">
        <v>0</v>
      </c>
      <c r="X81" s="442" t="s">
        <v>674</v>
      </c>
      <c r="Y81" s="442" t="s">
        <v>675</v>
      </c>
      <c r="Z81" s="442" t="s">
        <v>675</v>
      </c>
      <c r="AA81" s="442" t="s">
        <v>675</v>
      </c>
      <c r="AB81" s="442" t="s">
        <v>675</v>
      </c>
      <c r="AC81" s="442"/>
      <c r="AD81" s="442"/>
      <c r="AE81" s="442"/>
      <c r="AF81" s="442"/>
      <c r="AG81" s="443" t="s">
        <v>689</v>
      </c>
      <c r="AH81" s="442"/>
      <c r="AI81" s="443" t="s">
        <v>689</v>
      </c>
      <c r="AJ81" s="443" t="s">
        <v>677</v>
      </c>
      <c r="AK81" s="442" t="s">
        <v>677</v>
      </c>
      <c r="AL81" s="442"/>
      <c r="AM81" s="442"/>
      <c r="AN81" s="442"/>
      <c r="AO81" s="442"/>
      <c r="AP81" s="442"/>
      <c r="AQ81" s="442"/>
      <c r="AR81" s="444"/>
      <c r="AS81" s="442"/>
      <c r="AT81" s="444"/>
      <c r="AU81" s="442" t="s">
        <v>678</v>
      </c>
      <c r="AV81" s="442" t="s">
        <v>677</v>
      </c>
      <c r="AW81" s="442" t="s">
        <v>676</v>
      </c>
      <c r="AX81" s="442" t="s">
        <v>674</v>
      </c>
      <c r="AY81" s="442"/>
      <c r="AZ81" s="442"/>
      <c r="BA81" s="442" t="s">
        <v>679</v>
      </c>
      <c r="BB81" s="442"/>
      <c r="BC81" s="442"/>
      <c r="BD81" s="442"/>
      <c r="BE81" s="444"/>
      <c r="BF81" s="442" t="s">
        <v>298</v>
      </c>
      <c r="BG81" s="442" t="s">
        <v>680</v>
      </c>
      <c r="BH81" s="442" t="s">
        <v>681</v>
      </c>
      <c r="BI81" s="442"/>
    </row>
    <row r="82" spans="1:61">
      <c r="A82" s="442" t="s">
        <v>682</v>
      </c>
      <c r="B82" s="442" t="s">
        <v>682</v>
      </c>
      <c r="C82" s="442" t="s">
        <v>683</v>
      </c>
      <c r="D82" s="442" t="s">
        <v>673</v>
      </c>
      <c r="E82" s="442" t="s">
        <v>3</v>
      </c>
      <c r="F82" s="443" t="s">
        <v>7</v>
      </c>
      <c r="G82" s="443" t="s">
        <v>684</v>
      </c>
      <c r="H82" s="444">
        <v>200870</v>
      </c>
      <c r="I82" s="444">
        <v>200870</v>
      </c>
      <c r="J82" s="444">
        <v>0</v>
      </c>
      <c r="K82" s="444">
        <v>0</v>
      </c>
      <c r="L82" s="444">
        <v>200870</v>
      </c>
      <c r="M82" s="444">
        <v>0</v>
      </c>
      <c r="N82" s="444">
        <v>0</v>
      </c>
      <c r="O82" s="444">
        <v>0</v>
      </c>
      <c r="P82" s="444">
        <v>0</v>
      </c>
      <c r="Q82" s="444">
        <v>0</v>
      </c>
      <c r="R82" s="444">
        <v>0</v>
      </c>
      <c r="S82" s="444">
        <v>0</v>
      </c>
      <c r="T82" s="444">
        <v>0</v>
      </c>
      <c r="U82" s="444">
        <v>0</v>
      </c>
      <c r="V82" s="444">
        <v>0</v>
      </c>
      <c r="W82" s="444">
        <v>0</v>
      </c>
      <c r="X82" s="442" t="s">
        <v>674</v>
      </c>
      <c r="Y82" s="442" t="s">
        <v>675</v>
      </c>
      <c r="Z82" s="442" t="s">
        <v>675</v>
      </c>
      <c r="AA82" s="442" t="s">
        <v>675</v>
      </c>
      <c r="AB82" s="442" t="s">
        <v>675</v>
      </c>
      <c r="AC82" s="442"/>
      <c r="AD82" s="442"/>
      <c r="AE82" s="442"/>
      <c r="AF82" s="442"/>
      <c r="AG82" s="443" t="s">
        <v>687</v>
      </c>
      <c r="AH82" s="442"/>
      <c r="AI82" s="443" t="s">
        <v>687</v>
      </c>
      <c r="AJ82" s="443" t="s">
        <v>677</v>
      </c>
      <c r="AK82" s="442" t="s">
        <v>677</v>
      </c>
      <c r="AL82" s="442"/>
      <c r="AM82" s="442"/>
      <c r="AN82" s="442"/>
      <c r="AO82" s="442"/>
      <c r="AP82" s="442"/>
      <c r="AQ82" s="442"/>
      <c r="AR82" s="444"/>
      <c r="AS82" s="442"/>
      <c r="AT82" s="444"/>
      <c r="AU82" s="442" t="s">
        <v>678</v>
      </c>
      <c r="AV82" s="442" t="s">
        <v>677</v>
      </c>
      <c r="AW82" s="442" t="s">
        <v>676</v>
      </c>
      <c r="AX82" s="442" t="s">
        <v>674</v>
      </c>
      <c r="AY82" s="442"/>
      <c r="AZ82" s="442"/>
      <c r="BA82" s="442" t="s">
        <v>679</v>
      </c>
      <c r="BB82" s="442"/>
      <c r="BC82" s="442"/>
      <c r="BD82" s="442"/>
      <c r="BE82" s="444"/>
      <c r="BF82" s="442" t="s">
        <v>298</v>
      </c>
      <c r="BG82" s="442" t="s">
        <v>680</v>
      </c>
      <c r="BH82" s="442" t="s">
        <v>681</v>
      </c>
      <c r="BI82" s="442"/>
    </row>
    <row r="83" spans="1:61">
      <c r="A83" s="442" t="s">
        <v>682</v>
      </c>
      <c r="B83" s="442" t="s">
        <v>682</v>
      </c>
      <c r="C83" s="442" t="s">
        <v>683</v>
      </c>
      <c r="D83" s="442" t="s">
        <v>673</v>
      </c>
      <c r="E83" s="442" t="s">
        <v>3</v>
      </c>
      <c r="F83" s="443" t="s">
        <v>7</v>
      </c>
      <c r="G83" s="443" t="s">
        <v>684</v>
      </c>
      <c r="H83" s="444">
        <v>3347790</v>
      </c>
      <c r="I83" s="444">
        <v>3347790</v>
      </c>
      <c r="J83" s="444">
        <v>0</v>
      </c>
      <c r="K83" s="444">
        <v>0</v>
      </c>
      <c r="L83" s="444">
        <v>3347790</v>
      </c>
      <c r="M83" s="444">
        <v>0</v>
      </c>
      <c r="N83" s="444">
        <v>0</v>
      </c>
      <c r="O83" s="444">
        <v>0</v>
      </c>
      <c r="P83" s="444">
        <v>0</v>
      </c>
      <c r="Q83" s="444">
        <v>0</v>
      </c>
      <c r="R83" s="444">
        <v>0</v>
      </c>
      <c r="S83" s="444">
        <v>0</v>
      </c>
      <c r="T83" s="444">
        <v>0</v>
      </c>
      <c r="U83" s="444">
        <v>0</v>
      </c>
      <c r="V83" s="444">
        <v>0</v>
      </c>
      <c r="W83" s="444">
        <v>0</v>
      </c>
      <c r="X83" s="442" t="s">
        <v>674</v>
      </c>
      <c r="Y83" s="442" t="s">
        <v>675</v>
      </c>
      <c r="Z83" s="442" t="s">
        <v>675</v>
      </c>
      <c r="AA83" s="442" t="s">
        <v>675</v>
      </c>
      <c r="AB83" s="442" t="s">
        <v>675</v>
      </c>
      <c r="AC83" s="442"/>
      <c r="AD83" s="442"/>
      <c r="AE83" s="442"/>
      <c r="AF83" s="442"/>
      <c r="AG83" s="443" t="s">
        <v>685</v>
      </c>
      <c r="AH83" s="442"/>
      <c r="AI83" s="443" t="s">
        <v>685</v>
      </c>
      <c r="AJ83" s="443" t="s">
        <v>677</v>
      </c>
      <c r="AK83" s="442" t="s">
        <v>677</v>
      </c>
      <c r="AL83" s="442"/>
      <c r="AM83" s="442"/>
      <c r="AN83" s="442"/>
      <c r="AO83" s="442"/>
      <c r="AP83" s="442"/>
      <c r="AQ83" s="442"/>
      <c r="AR83" s="444"/>
      <c r="AS83" s="442"/>
      <c r="AT83" s="444"/>
      <c r="AU83" s="442" t="s">
        <v>678</v>
      </c>
      <c r="AV83" s="442" t="s">
        <v>677</v>
      </c>
      <c r="AW83" s="442" t="s">
        <v>676</v>
      </c>
      <c r="AX83" s="442" t="s">
        <v>674</v>
      </c>
      <c r="AY83" s="442"/>
      <c r="AZ83" s="442"/>
      <c r="BA83" s="442" t="s">
        <v>679</v>
      </c>
      <c r="BB83" s="442"/>
      <c r="BC83" s="442"/>
      <c r="BD83" s="442"/>
      <c r="BE83" s="444"/>
      <c r="BF83" s="442" t="s">
        <v>298</v>
      </c>
      <c r="BG83" s="442" t="s">
        <v>680</v>
      </c>
      <c r="BH83" s="442" t="s">
        <v>681</v>
      </c>
      <c r="BI83" s="442"/>
    </row>
    <row r="84" spans="1:61">
      <c r="A84" s="442" t="s">
        <v>682</v>
      </c>
      <c r="B84" s="442" t="s">
        <v>682</v>
      </c>
      <c r="C84" s="442" t="s">
        <v>683</v>
      </c>
      <c r="D84" s="442" t="s">
        <v>673</v>
      </c>
      <c r="E84" s="442" t="s">
        <v>3</v>
      </c>
      <c r="F84" s="443" t="s">
        <v>7</v>
      </c>
      <c r="G84" s="443" t="s">
        <v>684</v>
      </c>
      <c r="H84" s="444">
        <v>243050</v>
      </c>
      <c r="I84" s="444">
        <v>243050</v>
      </c>
      <c r="J84" s="444">
        <v>0</v>
      </c>
      <c r="K84" s="444">
        <v>0</v>
      </c>
      <c r="L84" s="444">
        <v>243050</v>
      </c>
      <c r="M84" s="444">
        <v>0</v>
      </c>
      <c r="N84" s="444">
        <v>0</v>
      </c>
      <c r="O84" s="444">
        <v>0</v>
      </c>
      <c r="P84" s="444">
        <v>0</v>
      </c>
      <c r="Q84" s="444">
        <v>0</v>
      </c>
      <c r="R84" s="444">
        <v>0</v>
      </c>
      <c r="S84" s="444">
        <v>0</v>
      </c>
      <c r="T84" s="444">
        <v>0</v>
      </c>
      <c r="U84" s="444">
        <v>0</v>
      </c>
      <c r="V84" s="444">
        <v>0</v>
      </c>
      <c r="W84" s="444">
        <v>0</v>
      </c>
      <c r="X84" s="442" t="s">
        <v>674</v>
      </c>
      <c r="Y84" s="442" t="s">
        <v>675</v>
      </c>
      <c r="Z84" s="442" t="s">
        <v>675</v>
      </c>
      <c r="AA84" s="442" t="s">
        <v>675</v>
      </c>
      <c r="AB84" s="442" t="s">
        <v>675</v>
      </c>
      <c r="AC84" s="442"/>
      <c r="AD84" s="442"/>
      <c r="AE84" s="442"/>
      <c r="AF84" s="442"/>
      <c r="AG84" s="443" t="s">
        <v>689</v>
      </c>
      <c r="AH84" s="442"/>
      <c r="AI84" s="443" t="s">
        <v>689</v>
      </c>
      <c r="AJ84" s="443" t="s">
        <v>677</v>
      </c>
      <c r="AK84" s="442" t="s">
        <v>677</v>
      </c>
      <c r="AL84" s="442"/>
      <c r="AM84" s="442"/>
      <c r="AN84" s="442"/>
      <c r="AO84" s="442"/>
      <c r="AP84" s="442"/>
      <c r="AQ84" s="442"/>
      <c r="AR84" s="444"/>
      <c r="AS84" s="442"/>
      <c r="AT84" s="444"/>
      <c r="AU84" s="442" t="s">
        <v>678</v>
      </c>
      <c r="AV84" s="442" t="s">
        <v>677</v>
      </c>
      <c r="AW84" s="442" t="s">
        <v>676</v>
      </c>
      <c r="AX84" s="442" t="s">
        <v>674</v>
      </c>
      <c r="AY84" s="442"/>
      <c r="AZ84" s="442"/>
      <c r="BA84" s="442" t="s">
        <v>679</v>
      </c>
      <c r="BB84" s="442"/>
      <c r="BC84" s="442"/>
      <c r="BD84" s="442"/>
      <c r="BE84" s="444"/>
      <c r="BF84" s="442" t="s">
        <v>298</v>
      </c>
      <c r="BG84" s="442" t="s">
        <v>680</v>
      </c>
      <c r="BH84" s="442" t="s">
        <v>681</v>
      </c>
      <c r="BI84" s="442"/>
    </row>
    <row r="85" spans="1:61">
      <c r="A85" s="442" t="s">
        <v>682</v>
      </c>
      <c r="B85" s="442" t="s">
        <v>682</v>
      </c>
      <c r="C85" s="442" t="s">
        <v>683</v>
      </c>
      <c r="D85" s="442" t="s">
        <v>673</v>
      </c>
      <c r="E85" s="442" t="s">
        <v>3</v>
      </c>
      <c r="F85" s="443" t="s">
        <v>7</v>
      </c>
      <c r="G85" s="443" t="s">
        <v>684</v>
      </c>
      <c r="H85" s="444">
        <v>316700</v>
      </c>
      <c r="I85" s="444">
        <v>316700</v>
      </c>
      <c r="J85" s="444">
        <v>0</v>
      </c>
      <c r="K85" s="444">
        <v>0</v>
      </c>
      <c r="L85" s="444">
        <v>316700</v>
      </c>
      <c r="M85" s="444">
        <v>0</v>
      </c>
      <c r="N85" s="444">
        <v>0</v>
      </c>
      <c r="O85" s="444">
        <v>0</v>
      </c>
      <c r="P85" s="444">
        <v>0</v>
      </c>
      <c r="Q85" s="444">
        <v>0</v>
      </c>
      <c r="R85" s="444">
        <v>0</v>
      </c>
      <c r="S85" s="444">
        <v>0</v>
      </c>
      <c r="T85" s="444">
        <v>0</v>
      </c>
      <c r="U85" s="444">
        <v>0</v>
      </c>
      <c r="V85" s="444">
        <v>0</v>
      </c>
      <c r="W85" s="444">
        <v>0</v>
      </c>
      <c r="X85" s="442" t="s">
        <v>674</v>
      </c>
      <c r="Y85" s="442" t="s">
        <v>675</v>
      </c>
      <c r="Z85" s="442" t="s">
        <v>675</v>
      </c>
      <c r="AA85" s="442" t="s">
        <v>675</v>
      </c>
      <c r="AB85" s="442" t="s">
        <v>675</v>
      </c>
      <c r="AC85" s="442"/>
      <c r="AD85" s="442"/>
      <c r="AE85" s="442"/>
      <c r="AF85" s="442"/>
      <c r="AG85" s="443" t="s">
        <v>688</v>
      </c>
      <c r="AH85" s="442"/>
      <c r="AI85" s="443" t="s">
        <v>688</v>
      </c>
      <c r="AJ85" s="443" t="s">
        <v>677</v>
      </c>
      <c r="AK85" s="442" t="s">
        <v>677</v>
      </c>
      <c r="AL85" s="442"/>
      <c r="AM85" s="442"/>
      <c r="AN85" s="442"/>
      <c r="AO85" s="442"/>
      <c r="AP85" s="442"/>
      <c r="AQ85" s="442"/>
      <c r="AR85" s="444"/>
      <c r="AS85" s="442"/>
      <c r="AT85" s="444"/>
      <c r="AU85" s="442" t="s">
        <v>678</v>
      </c>
      <c r="AV85" s="442" t="s">
        <v>677</v>
      </c>
      <c r="AW85" s="442" t="s">
        <v>676</v>
      </c>
      <c r="AX85" s="442" t="s">
        <v>674</v>
      </c>
      <c r="AY85" s="442"/>
      <c r="AZ85" s="442"/>
      <c r="BA85" s="442" t="s">
        <v>679</v>
      </c>
      <c r="BB85" s="442"/>
      <c r="BC85" s="442"/>
      <c r="BD85" s="442"/>
      <c r="BE85" s="444"/>
      <c r="BF85" s="442" t="s">
        <v>298</v>
      </c>
      <c r="BG85" s="442" t="s">
        <v>680</v>
      </c>
      <c r="BH85" s="442" t="s">
        <v>681</v>
      </c>
      <c r="BI85" s="442"/>
    </row>
    <row r="86" spans="1:61">
      <c r="A86" s="442" t="s">
        <v>682</v>
      </c>
      <c r="B86" s="442" t="s">
        <v>682</v>
      </c>
      <c r="C86" s="442" t="s">
        <v>683</v>
      </c>
      <c r="D86" s="442" t="s">
        <v>673</v>
      </c>
      <c r="E86" s="442" t="s">
        <v>3</v>
      </c>
      <c r="F86" s="443" t="s">
        <v>7</v>
      </c>
      <c r="G86" s="443" t="s">
        <v>684</v>
      </c>
      <c r="H86" s="444">
        <v>274240</v>
      </c>
      <c r="I86" s="444">
        <v>274240</v>
      </c>
      <c r="J86" s="444">
        <v>0</v>
      </c>
      <c r="K86" s="444">
        <v>0</v>
      </c>
      <c r="L86" s="444">
        <v>274240</v>
      </c>
      <c r="M86" s="444">
        <v>0</v>
      </c>
      <c r="N86" s="444">
        <v>0</v>
      </c>
      <c r="O86" s="444">
        <v>0</v>
      </c>
      <c r="P86" s="444">
        <v>0</v>
      </c>
      <c r="Q86" s="444">
        <v>0</v>
      </c>
      <c r="R86" s="444">
        <v>0</v>
      </c>
      <c r="S86" s="444">
        <v>0</v>
      </c>
      <c r="T86" s="444">
        <v>0</v>
      </c>
      <c r="U86" s="444">
        <v>0</v>
      </c>
      <c r="V86" s="444">
        <v>0</v>
      </c>
      <c r="W86" s="444">
        <v>0</v>
      </c>
      <c r="X86" s="442" t="s">
        <v>674</v>
      </c>
      <c r="Y86" s="442" t="s">
        <v>675</v>
      </c>
      <c r="Z86" s="442" t="s">
        <v>675</v>
      </c>
      <c r="AA86" s="442" t="s">
        <v>675</v>
      </c>
      <c r="AB86" s="442" t="s">
        <v>675</v>
      </c>
      <c r="AC86" s="442"/>
      <c r="AD86" s="442"/>
      <c r="AE86" s="442"/>
      <c r="AF86" s="442"/>
      <c r="AG86" s="443" t="s">
        <v>686</v>
      </c>
      <c r="AH86" s="442"/>
      <c r="AI86" s="443" t="s">
        <v>686</v>
      </c>
      <c r="AJ86" s="443" t="s">
        <v>677</v>
      </c>
      <c r="AK86" s="442" t="s">
        <v>677</v>
      </c>
      <c r="AL86" s="442"/>
      <c r="AM86" s="442"/>
      <c r="AN86" s="442"/>
      <c r="AO86" s="442"/>
      <c r="AP86" s="442"/>
      <c r="AQ86" s="442"/>
      <c r="AR86" s="444"/>
      <c r="AS86" s="442"/>
      <c r="AT86" s="444"/>
      <c r="AU86" s="442" t="s">
        <v>678</v>
      </c>
      <c r="AV86" s="442" t="s">
        <v>677</v>
      </c>
      <c r="AW86" s="442" t="s">
        <v>676</v>
      </c>
      <c r="AX86" s="442" t="s">
        <v>674</v>
      </c>
      <c r="AY86" s="442"/>
      <c r="AZ86" s="442"/>
      <c r="BA86" s="442" t="s">
        <v>679</v>
      </c>
      <c r="BB86" s="442"/>
      <c r="BC86" s="442"/>
      <c r="BD86" s="442"/>
      <c r="BE86" s="444"/>
      <c r="BF86" s="442" t="s">
        <v>298</v>
      </c>
      <c r="BG86" s="442" t="s">
        <v>680</v>
      </c>
      <c r="BH86" s="442" t="s">
        <v>681</v>
      </c>
      <c r="BI86" s="442"/>
    </row>
    <row r="87" spans="1:61">
      <c r="A87" s="442" t="s">
        <v>682</v>
      </c>
      <c r="B87" s="442" t="s">
        <v>682</v>
      </c>
      <c r="C87" s="442" t="s">
        <v>683</v>
      </c>
      <c r="D87" s="442" t="s">
        <v>673</v>
      </c>
      <c r="E87" s="442" t="s">
        <v>3</v>
      </c>
      <c r="F87" s="443" t="s">
        <v>7</v>
      </c>
      <c r="G87" s="443" t="s">
        <v>684</v>
      </c>
      <c r="H87" s="444">
        <v>2569587</v>
      </c>
      <c r="I87" s="444">
        <v>2569587</v>
      </c>
      <c r="J87" s="444">
        <v>0</v>
      </c>
      <c r="K87" s="444">
        <v>0</v>
      </c>
      <c r="L87" s="444">
        <v>2569587</v>
      </c>
      <c r="M87" s="444">
        <v>0</v>
      </c>
      <c r="N87" s="444">
        <v>0</v>
      </c>
      <c r="O87" s="444">
        <v>0</v>
      </c>
      <c r="P87" s="444">
        <v>0</v>
      </c>
      <c r="Q87" s="444">
        <v>0</v>
      </c>
      <c r="R87" s="444">
        <v>0</v>
      </c>
      <c r="S87" s="444">
        <v>0</v>
      </c>
      <c r="T87" s="444">
        <v>0</v>
      </c>
      <c r="U87" s="444">
        <v>0</v>
      </c>
      <c r="V87" s="444">
        <v>0</v>
      </c>
      <c r="W87" s="444">
        <v>0</v>
      </c>
      <c r="X87" s="442" t="s">
        <v>674</v>
      </c>
      <c r="Y87" s="442" t="s">
        <v>675</v>
      </c>
      <c r="Z87" s="442" t="s">
        <v>675</v>
      </c>
      <c r="AA87" s="442" t="s">
        <v>675</v>
      </c>
      <c r="AB87" s="442" t="s">
        <v>675</v>
      </c>
      <c r="AC87" s="442"/>
      <c r="AD87" s="442"/>
      <c r="AE87" s="442"/>
      <c r="AF87" s="442"/>
      <c r="AG87" s="443" t="s">
        <v>685</v>
      </c>
      <c r="AH87" s="442"/>
      <c r="AI87" s="443" t="s">
        <v>685</v>
      </c>
      <c r="AJ87" s="443" t="s">
        <v>677</v>
      </c>
      <c r="AK87" s="442" t="s">
        <v>677</v>
      </c>
      <c r="AL87" s="442"/>
      <c r="AM87" s="442"/>
      <c r="AN87" s="442"/>
      <c r="AO87" s="442"/>
      <c r="AP87" s="442"/>
      <c r="AQ87" s="442"/>
      <c r="AR87" s="444"/>
      <c r="AS87" s="442"/>
      <c r="AT87" s="444"/>
      <c r="AU87" s="442" t="s">
        <v>678</v>
      </c>
      <c r="AV87" s="442" t="s">
        <v>677</v>
      </c>
      <c r="AW87" s="442" t="s">
        <v>676</v>
      </c>
      <c r="AX87" s="442" t="s">
        <v>674</v>
      </c>
      <c r="AY87" s="442"/>
      <c r="AZ87" s="442"/>
      <c r="BA87" s="442" t="s">
        <v>679</v>
      </c>
      <c r="BB87" s="442"/>
      <c r="BC87" s="442"/>
      <c r="BD87" s="442"/>
      <c r="BE87" s="444"/>
      <c r="BF87" s="442" t="s">
        <v>298</v>
      </c>
      <c r="BG87" s="442" t="s">
        <v>680</v>
      </c>
      <c r="BH87" s="442" t="s">
        <v>681</v>
      </c>
      <c r="BI87" s="442"/>
    </row>
    <row r="88" spans="1:61">
      <c r="A88" s="442" t="s">
        <v>682</v>
      </c>
      <c r="B88" s="442" t="s">
        <v>682</v>
      </c>
      <c r="C88" s="442" t="s">
        <v>683</v>
      </c>
      <c r="D88" s="442" t="s">
        <v>673</v>
      </c>
      <c r="E88" s="442" t="s">
        <v>3</v>
      </c>
      <c r="F88" s="443" t="s">
        <v>7</v>
      </c>
      <c r="G88" s="443" t="s">
        <v>684</v>
      </c>
      <c r="H88" s="444">
        <v>171354</v>
      </c>
      <c r="I88" s="444">
        <v>171354</v>
      </c>
      <c r="J88" s="444">
        <v>0</v>
      </c>
      <c r="K88" s="444">
        <v>0</v>
      </c>
      <c r="L88" s="444">
        <v>171354</v>
      </c>
      <c r="M88" s="444">
        <v>0</v>
      </c>
      <c r="N88" s="444">
        <v>0</v>
      </c>
      <c r="O88" s="444">
        <v>0</v>
      </c>
      <c r="P88" s="444">
        <v>0</v>
      </c>
      <c r="Q88" s="444">
        <v>0</v>
      </c>
      <c r="R88" s="444">
        <v>0</v>
      </c>
      <c r="S88" s="444">
        <v>0</v>
      </c>
      <c r="T88" s="444">
        <v>0</v>
      </c>
      <c r="U88" s="444">
        <v>0</v>
      </c>
      <c r="V88" s="444">
        <v>0</v>
      </c>
      <c r="W88" s="444">
        <v>0</v>
      </c>
      <c r="X88" s="442" t="s">
        <v>674</v>
      </c>
      <c r="Y88" s="442" t="s">
        <v>675</v>
      </c>
      <c r="Z88" s="442" t="s">
        <v>675</v>
      </c>
      <c r="AA88" s="442" t="s">
        <v>675</v>
      </c>
      <c r="AB88" s="442" t="s">
        <v>675</v>
      </c>
      <c r="AC88" s="442"/>
      <c r="AD88" s="442"/>
      <c r="AE88" s="442"/>
      <c r="AF88" s="442"/>
      <c r="AG88" s="443" t="s">
        <v>689</v>
      </c>
      <c r="AH88" s="442"/>
      <c r="AI88" s="443" t="s">
        <v>689</v>
      </c>
      <c r="AJ88" s="443" t="s">
        <v>677</v>
      </c>
      <c r="AK88" s="442" t="s">
        <v>677</v>
      </c>
      <c r="AL88" s="442"/>
      <c r="AM88" s="442"/>
      <c r="AN88" s="442"/>
      <c r="AO88" s="442"/>
      <c r="AP88" s="442"/>
      <c r="AQ88" s="442"/>
      <c r="AR88" s="444"/>
      <c r="AS88" s="442"/>
      <c r="AT88" s="444"/>
      <c r="AU88" s="442" t="s">
        <v>678</v>
      </c>
      <c r="AV88" s="442" t="s">
        <v>677</v>
      </c>
      <c r="AW88" s="442" t="s">
        <v>676</v>
      </c>
      <c r="AX88" s="442" t="s">
        <v>674</v>
      </c>
      <c r="AY88" s="442"/>
      <c r="AZ88" s="442"/>
      <c r="BA88" s="442" t="s">
        <v>679</v>
      </c>
      <c r="BB88" s="442"/>
      <c r="BC88" s="442"/>
      <c r="BD88" s="442"/>
      <c r="BE88" s="444"/>
      <c r="BF88" s="442" t="s">
        <v>298</v>
      </c>
      <c r="BG88" s="442" t="s">
        <v>680</v>
      </c>
      <c r="BH88" s="442" t="s">
        <v>681</v>
      </c>
      <c r="BI88" s="442"/>
    </row>
    <row r="89" spans="1:61">
      <c r="A89" s="442" t="s">
        <v>682</v>
      </c>
      <c r="B89" s="442" t="s">
        <v>682</v>
      </c>
      <c r="C89" s="442" t="s">
        <v>683</v>
      </c>
      <c r="D89" s="442" t="s">
        <v>673</v>
      </c>
      <c r="E89" s="442" t="s">
        <v>3</v>
      </c>
      <c r="F89" s="443" t="s">
        <v>7</v>
      </c>
      <c r="G89" s="443" t="s">
        <v>684</v>
      </c>
      <c r="H89" s="444">
        <v>23240</v>
      </c>
      <c r="I89" s="444">
        <v>23240</v>
      </c>
      <c r="J89" s="444">
        <v>0</v>
      </c>
      <c r="K89" s="444">
        <v>0</v>
      </c>
      <c r="L89" s="444">
        <v>23240</v>
      </c>
      <c r="M89" s="444">
        <v>0</v>
      </c>
      <c r="N89" s="444">
        <v>0</v>
      </c>
      <c r="O89" s="444">
        <v>0</v>
      </c>
      <c r="P89" s="444">
        <v>0</v>
      </c>
      <c r="Q89" s="444">
        <v>0</v>
      </c>
      <c r="R89" s="444">
        <v>0</v>
      </c>
      <c r="S89" s="444">
        <v>0</v>
      </c>
      <c r="T89" s="444">
        <v>0</v>
      </c>
      <c r="U89" s="444">
        <v>0</v>
      </c>
      <c r="V89" s="444">
        <v>0</v>
      </c>
      <c r="W89" s="444">
        <v>0</v>
      </c>
      <c r="X89" s="442" t="s">
        <v>674</v>
      </c>
      <c r="Y89" s="442" t="s">
        <v>675</v>
      </c>
      <c r="Z89" s="442" t="s">
        <v>675</v>
      </c>
      <c r="AA89" s="442" t="s">
        <v>675</v>
      </c>
      <c r="AB89" s="442" t="s">
        <v>675</v>
      </c>
      <c r="AC89" s="442"/>
      <c r="AD89" s="442"/>
      <c r="AE89" s="442"/>
      <c r="AF89" s="442"/>
      <c r="AG89" s="443" t="s">
        <v>687</v>
      </c>
      <c r="AH89" s="442"/>
      <c r="AI89" s="443" t="s">
        <v>687</v>
      </c>
      <c r="AJ89" s="443" t="s">
        <v>677</v>
      </c>
      <c r="AK89" s="442" t="s">
        <v>677</v>
      </c>
      <c r="AL89" s="442"/>
      <c r="AM89" s="442"/>
      <c r="AN89" s="442"/>
      <c r="AO89" s="442"/>
      <c r="AP89" s="442"/>
      <c r="AQ89" s="442"/>
      <c r="AR89" s="444"/>
      <c r="AS89" s="442"/>
      <c r="AT89" s="444"/>
      <c r="AU89" s="442" t="s">
        <v>678</v>
      </c>
      <c r="AV89" s="442" t="s">
        <v>677</v>
      </c>
      <c r="AW89" s="442" t="s">
        <v>676</v>
      </c>
      <c r="AX89" s="442" t="s">
        <v>674</v>
      </c>
      <c r="AY89" s="442"/>
      <c r="AZ89" s="442"/>
      <c r="BA89" s="442" t="s">
        <v>679</v>
      </c>
      <c r="BB89" s="442"/>
      <c r="BC89" s="442"/>
      <c r="BD89" s="442"/>
      <c r="BE89" s="444"/>
      <c r="BF89" s="442" t="s">
        <v>298</v>
      </c>
      <c r="BG89" s="442" t="s">
        <v>680</v>
      </c>
      <c r="BH89" s="442" t="s">
        <v>681</v>
      </c>
      <c r="BI89" s="442"/>
    </row>
    <row r="90" spans="1:61">
      <c r="A90" s="442" t="s">
        <v>682</v>
      </c>
      <c r="B90" s="442" t="s">
        <v>682</v>
      </c>
      <c r="C90" s="442" t="s">
        <v>683</v>
      </c>
      <c r="D90" s="442" t="s">
        <v>673</v>
      </c>
      <c r="E90" s="442" t="s">
        <v>3</v>
      </c>
      <c r="F90" s="443" t="s">
        <v>7</v>
      </c>
      <c r="G90" s="443" t="s">
        <v>684</v>
      </c>
      <c r="H90" s="444">
        <v>193340</v>
      </c>
      <c r="I90" s="444">
        <v>193340</v>
      </c>
      <c r="J90" s="444">
        <v>0</v>
      </c>
      <c r="K90" s="444">
        <v>0</v>
      </c>
      <c r="L90" s="444">
        <v>193340</v>
      </c>
      <c r="M90" s="444">
        <v>0</v>
      </c>
      <c r="N90" s="444">
        <v>0</v>
      </c>
      <c r="O90" s="444">
        <v>0</v>
      </c>
      <c r="P90" s="444">
        <v>0</v>
      </c>
      <c r="Q90" s="444">
        <v>0</v>
      </c>
      <c r="R90" s="444">
        <v>0</v>
      </c>
      <c r="S90" s="444">
        <v>0</v>
      </c>
      <c r="T90" s="444">
        <v>0</v>
      </c>
      <c r="U90" s="444">
        <v>0</v>
      </c>
      <c r="V90" s="444">
        <v>0</v>
      </c>
      <c r="W90" s="444">
        <v>0</v>
      </c>
      <c r="X90" s="442" t="s">
        <v>674</v>
      </c>
      <c r="Y90" s="442" t="s">
        <v>675</v>
      </c>
      <c r="Z90" s="442" t="s">
        <v>675</v>
      </c>
      <c r="AA90" s="442" t="s">
        <v>675</v>
      </c>
      <c r="AB90" s="442" t="s">
        <v>675</v>
      </c>
      <c r="AC90" s="442"/>
      <c r="AD90" s="442"/>
      <c r="AE90" s="442"/>
      <c r="AF90" s="442"/>
      <c r="AG90" s="443" t="s">
        <v>686</v>
      </c>
      <c r="AH90" s="442"/>
      <c r="AI90" s="443" t="s">
        <v>686</v>
      </c>
      <c r="AJ90" s="443" t="s">
        <v>677</v>
      </c>
      <c r="AK90" s="442" t="s">
        <v>677</v>
      </c>
      <c r="AL90" s="442"/>
      <c r="AM90" s="442"/>
      <c r="AN90" s="442"/>
      <c r="AO90" s="442"/>
      <c r="AP90" s="442"/>
      <c r="AQ90" s="442"/>
      <c r="AR90" s="444"/>
      <c r="AS90" s="442"/>
      <c r="AT90" s="444"/>
      <c r="AU90" s="442" t="s">
        <v>678</v>
      </c>
      <c r="AV90" s="442" t="s">
        <v>677</v>
      </c>
      <c r="AW90" s="442" t="s">
        <v>676</v>
      </c>
      <c r="AX90" s="442" t="s">
        <v>674</v>
      </c>
      <c r="AY90" s="442"/>
      <c r="AZ90" s="442"/>
      <c r="BA90" s="442" t="s">
        <v>679</v>
      </c>
      <c r="BB90" s="442"/>
      <c r="BC90" s="442"/>
      <c r="BD90" s="442"/>
      <c r="BE90" s="444"/>
      <c r="BF90" s="442" t="s">
        <v>298</v>
      </c>
      <c r="BG90" s="442" t="s">
        <v>680</v>
      </c>
      <c r="BH90" s="442" t="s">
        <v>681</v>
      </c>
      <c r="BI90" s="442"/>
    </row>
    <row r="91" spans="1:61">
      <c r="A91" s="442" t="s">
        <v>682</v>
      </c>
      <c r="B91" s="442" t="s">
        <v>682</v>
      </c>
      <c r="C91" s="442" t="s">
        <v>683</v>
      </c>
      <c r="D91" s="442" t="s">
        <v>673</v>
      </c>
      <c r="E91" s="442" t="s">
        <v>3</v>
      </c>
      <c r="F91" s="443" t="s">
        <v>7</v>
      </c>
      <c r="G91" s="443" t="s">
        <v>684</v>
      </c>
      <c r="H91" s="444">
        <v>1839670</v>
      </c>
      <c r="I91" s="444">
        <v>1839670</v>
      </c>
      <c r="J91" s="444">
        <v>0</v>
      </c>
      <c r="K91" s="444">
        <v>0</v>
      </c>
      <c r="L91" s="444">
        <v>1839670</v>
      </c>
      <c r="M91" s="444">
        <v>0</v>
      </c>
      <c r="N91" s="444">
        <v>0</v>
      </c>
      <c r="O91" s="444">
        <v>0</v>
      </c>
      <c r="P91" s="444">
        <v>0</v>
      </c>
      <c r="Q91" s="444">
        <v>0</v>
      </c>
      <c r="R91" s="444">
        <v>0</v>
      </c>
      <c r="S91" s="444">
        <v>0</v>
      </c>
      <c r="T91" s="444">
        <v>0</v>
      </c>
      <c r="U91" s="444">
        <v>0</v>
      </c>
      <c r="V91" s="444">
        <v>0</v>
      </c>
      <c r="W91" s="444">
        <v>0</v>
      </c>
      <c r="X91" s="442" t="s">
        <v>674</v>
      </c>
      <c r="Y91" s="442" t="s">
        <v>675</v>
      </c>
      <c r="Z91" s="442" t="s">
        <v>675</v>
      </c>
      <c r="AA91" s="442" t="s">
        <v>675</v>
      </c>
      <c r="AB91" s="442" t="s">
        <v>675</v>
      </c>
      <c r="AC91" s="442"/>
      <c r="AD91" s="442"/>
      <c r="AE91" s="442"/>
      <c r="AF91" s="442"/>
      <c r="AG91" s="443" t="s">
        <v>685</v>
      </c>
      <c r="AH91" s="442"/>
      <c r="AI91" s="443" t="s">
        <v>685</v>
      </c>
      <c r="AJ91" s="443" t="s">
        <v>677</v>
      </c>
      <c r="AK91" s="442" t="s">
        <v>677</v>
      </c>
      <c r="AL91" s="442"/>
      <c r="AM91" s="442"/>
      <c r="AN91" s="442"/>
      <c r="AO91" s="442"/>
      <c r="AP91" s="442"/>
      <c r="AQ91" s="442"/>
      <c r="AR91" s="444"/>
      <c r="AS91" s="442"/>
      <c r="AT91" s="444"/>
      <c r="AU91" s="442" t="s">
        <v>678</v>
      </c>
      <c r="AV91" s="442" t="s">
        <v>677</v>
      </c>
      <c r="AW91" s="442" t="s">
        <v>676</v>
      </c>
      <c r="AX91" s="442" t="s">
        <v>674</v>
      </c>
      <c r="AY91" s="442"/>
      <c r="AZ91" s="442"/>
      <c r="BA91" s="442" t="s">
        <v>679</v>
      </c>
      <c r="BB91" s="442"/>
      <c r="BC91" s="442"/>
      <c r="BD91" s="442"/>
      <c r="BE91" s="444"/>
      <c r="BF91" s="442" t="s">
        <v>298</v>
      </c>
      <c r="BG91" s="442" t="s">
        <v>680</v>
      </c>
      <c r="BH91" s="442" t="s">
        <v>681</v>
      </c>
      <c r="BI91" s="442"/>
    </row>
    <row r="92" spans="1:61">
      <c r="A92" s="442" t="s">
        <v>885</v>
      </c>
      <c r="B92" s="442" t="s">
        <v>1179</v>
      </c>
      <c r="C92" s="442" t="s">
        <v>729</v>
      </c>
      <c r="D92" s="442" t="s">
        <v>724</v>
      </c>
      <c r="E92" s="442" t="s">
        <v>3</v>
      </c>
      <c r="F92" s="443" t="s">
        <v>83</v>
      </c>
      <c r="G92" s="443" t="s">
        <v>93</v>
      </c>
      <c r="H92" s="444">
        <v>19900</v>
      </c>
      <c r="I92" s="444">
        <v>19900</v>
      </c>
      <c r="J92" s="444">
        <v>0</v>
      </c>
      <c r="K92" s="444">
        <v>0</v>
      </c>
      <c r="L92" s="444">
        <v>18091</v>
      </c>
      <c r="M92" s="444">
        <v>0</v>
      </c>
      <c r="N92" s="444">
        <v>0</v>
      </c>
      <c r="O92" s="444">
        <v>1809</v>
      </c>
      <c r="P92" s="444">
        <v>0</v>
      </c>
      <c r="Q92" s="444">
        <v>0</v>
      </c>
      <c r="R92" s="444">
        <v>0</v>
      </c>
      <c r="S92" s="444">
        <v>0</v>
      </c>
      <c r="T92" s="444">
        <v>0</v>
      </c>
      <c r="U92" s="444">
        <v>0</v>
      </c>
      <c r="V92" s="444">
        <v>0</v>
      </c>
      <c r="W92" s="444">
        <v>0</v>
      </c>
      <c r="X92" s="442" t="s">
        <v>674</v>
      </c>
      <c r="Y92" s="442" t="s">
        <v>675</v>
      </c>
      <c r="Z92" s="442" t="s">
        <v>675</v>
      </c>
      <c r="AA92" s="442" t="s">
        <v>675</v>
      </c>
      <c r="AB92" s="442" t="s">
        <v>675</v>
      </c>
      <c r="AC92" s="442"/>
      <c r="AD92" s="442"/>
      <c r="AE92" s="442" t="s">
        <v>676</v>
      </c>
      <c r="AF92" s="442"/>
      <c r="AG92" s="443" t="s">
        <v>1180</v>
      </c>
      <c r="AH92" s="442"/>
      <c r="AI92" s="443" t="s">
        <v>1180</v>
      </c>
      <c r="AJ92" s="443" t="s">
        <v>1181</v>
      </c>
      <c r="AK92" s="442" t="s">
        <v>677</v>
      </c>
      <c r="AL92" s="442"/>
      <c r="AM92" s="442" t="s">
        <v>726</v>
      </c>
      <c r="AN92" s="442" t="s">
        <v>1187</v>
      </c>
      <c r="AO92" s="442" t="s">
        <v>885</v>
      </c>
      <c r="AP92" s="442" t="s">
        <v>683</v>
      </c>
      <c r="AQ92" s="442" t="s">
        <v>1184</v>
      </c>
      <c r="AR92" s="444">
        <v>19900</v>
      </c>
      <c r="AS92" s="442" t="s">
        <v>675</v>
      </c>
      <c r="AT92" s="444">
        <v>0</v>
      </c>
      <c r="AU92" s="442" t="s">
        <v>678</v>
      </c>
      <c r="AV92" s="442" t="s">
        <v>677</v>
      </c>
      <c r="AW92" s="442" t="s">
        <v>676</v>
      </c>
      <c r="AX92" s="442" t="s">
        <v>674</v>
      </c>
      <c r="AY92" s="442"/>
      <c r="AZ92" s="442"/>
      <c r="BA92" s="442" t="s">
        <v>679</v>
      </c>
      <c r="BB92" s="442"/>
      <c r="BC92" s="442"/>
      <c r="BD92" s="442"/>
      <c r="BE92" s="444"/>
      <c r="BF92" s="442" t="s">
        <v>298</v>
      </c>
      <c r="BG92" s="442" t="s">
        <v>680</v>
      </c>
      <c r="BH92" s="442" t="s">
        <v>681</v>
      </c>
      <c r="BI92" s="442"/>
    </row>
    <row r="93" spans="1:61">
      <c r="A93" s="442" t="s">
        <v>885</v>
      </c>
      <c r="B93" s="442" t="s">
        <v>1179</v>
      </c>
      <c r="C93" s="442" t="s">
        <v>729</v>
      </c>
      <c r="D93" s="442" t="s">
        <v>724</v>
      </c>
      <c r="E93" s="442" t="s">
        <v>3</v>
      </c>
      <c r="F93" s="443" t="s">
        <v>83</v>
      </c>
      <c r="G93" s="443" t="s">
        <v>700</v>
      </c>
      <c r="H93" s="444">
        <v>318400</v>
      </c>
      <c r="I93" s="444">
        <v>318400</v>
      </c>
      <c r="J93" s="444">
        <v>0</v>
      </c>
      <c r="K93" s="444">
        <v>0</v>
      </c>
      <c r="L93" s="444">
        <v>289455</v>
      </c>
      <c r="M93" s="444">
        <v>0</v>
      </c>
      <c r="N93" s="444">
        <v>0</v>
      </c>
      <c r="O93" s="444">
        <v>28945</v>
      </c>
      <c r="P93" s="444">
        <v>0</v>
      </c>
      <c r="Q93" s="444">
        <v>0</v>
      </c>
      <c r="R93" s="444">
        <v>0</v>
      </c>
      <c r="S93" s="444">
        <v>0</v>
      </c>
      <c r="T93" s="444">
        <v>0</v>
      </c>
      <c r="U93" s="444">
        <v>0</v>
      </c>
      <c r="V93" s="444">
        <v>0</v>
      </c>
      <c r="W93" s="444">
        <v>0</v>
      </c>
      <c r="X93" s="442" t="s">
        <v>674</v>
      </c>
      <c r="Y93" s="442" t="s">
        <v>675</v>
      </c>
      <c r="Z93" s="442" t="s">
        <v>675</v>
      </c>
      <c r="AA93" s="442" t="s">
        <v>675</v>
      </c>
      <c r="AB93" s="442" t="s">
        <v>675</v>
      </c>
      <c r="AC93" s="442"/>
      <c r="AD93" s="442"/>
      <c r="AE93" s="442"/>
      <c r="AF93" s="442"/>
      <c r="AG93" s="443" t="s">
        <v>1185</v>
      </c>
      <c r="AH93" s="442"/>
      <c r="AI93" s="443" t="s">
        <v>1185</v>
      </c>
      <c r="AJ93" s="443" t="s">
        <v>1181</v>
      </c>
      <c r="AK93" s="442" t="s">
        <v>677</v>
      </c>
      <c r="AL93" s="442"/>
      <c r="AM93" s="442" t="s">
        <v>726</v>
      </c>
      <c r="AN93" s="442" t="s">
        <v>1188</v>
      </c>
      <c r="AO93" s="442" t="s">
        <v>885</v>
      </c>
      <c r="AP93" s="442" t="s">
        <v>683</v>
      </c>
      <c r="AQ93" s="442" t="s">
        <v>1184</v>
      </c>
      <c r="AR93" s="444">
        <v>318400</v>
      </c>
      <c r="AS93" s="442" t="s">
        <v>675</v>
      </c>
      <c r="AT93" s="444">
        <v>0</v>
      </c>
      <c r="AU93" s="442" t="s">
        <v>678</v>
      </c>
      <c r="AV93" s="442" t="s">
        <v>677</v>
      </c>
      <c r="AW93" s="442" t="s">
        <v>676</v>
      </c>
      <c r="AX93" s="442" t="s">
        <v>674</v>
      </c>
      <c r="AY93" s="442"/>
      <c r="AZ93" s="442"/>
      <c r="BA93" s="442" t="s">
        <v>679</v>
      </c>
      <c r="BB93" s="442"/>
      <c r="BC93" s="442"/>
      <c r="BD93" s="442"/>
      <c r="BE93" s="444"/>
      <c r="BF93" s="442" t="s">
        <v>298</v>
      </c>
      <c r="BG93" s="442" t="s">
        <v>680</v>
      </c>
      <c r="BH93" s="442" t="s">
        <v>681</v>
      </c>
      <c r="BI93" s="442"/>
    </row>
    <row r="94" spans="1:61">
      <c r="A94" s="442" t="s">
        <v>885</v>
      </c>
      <c r="B94" s="442" t="s">
        <v>1179</v>
      </c>
      <c r="C94" s="442" t="s">
        <v>729</v>
      </c>
      <c r="D94" s="442" t="s">
        <v>724</v>
      </c>
      <c r="E94" s="442" t="s">
        <v>3</v>
      </c>
      <c r="F94" s="443" t="s">
        <v>83</v>
      </c>
      <c r="G94" s="443" t="s">
        <v>700</v>
      </c>
      <c r="H94" s="444">
        <v>34760</v>
      </c>
      <c r="I94" s="444">
        <v>34760</v>
      </c>
      <c r="J94" s="444">
        <v>0</v>
      </c>
      <c r="K94" s="444">
        <v>0</v>
      </c>
      <c r="L94" s="444">
        <v>31600</v>
      </c>
      <c r="M94" s="444">
        <v>0</v>
      </c>
      <c r="N94" s="444">
        <v>0</v>
      </c>
      <c r="O94" s="444">
        <v>3160</v>
      </c>
      <c r="P94" s="444">
        <v>0</v>
      </c>
      <c r="Q94" s="444">
        <v>0</v>
      </c>
      <c r="R94" s="444">
        <v>0</v>
      </c>
      <c r="S94" s="444">
        <v>0</v>
      </c>
      <c r="T94" s="444">
        <v>0</v>
      </c>
      <c r="U94" s="444">
        <v>0</v>
      </c>
      <c r="V94" s="444">
        <v>0</v>
      </c>
      <c r="W94" s="444">
        <v>0</v>
      </c>
      <c r="X94" s="442" t="s">
        <v>674</v>
      </c>
      <c r="Y94" s="442" t="s">
        <v>675</v>
      </c>
      <c r="Z94" s="442" t="s">
        <v>675</v>
      </c>
      <c r="AA94" s="442" t="s">
        <v>675</v>
      </c>
      <c r="AB94" s="442" t="s">
        <v>675</v>
      </c>
      <c r="AC94" s="442"/>
      <c r="AD94" s="442"/>
      <c r="AE94" s="442"/>
      <c r="AF94" s="442"/>
      <c r="AG94" s="443" t="s">
        <v>1189</v>
      </c>
      <c r="AH94" s="442"/>
      <c r="AI94" s="443" t="s">
        <v>1189</v>
      </c>
      <c r="AJ94" s="443" t="s">
        <v>945</v>
      </c>
      <c r="AK94" s="442" t="s">
        <v>677</v>
      </c>
      <c r="AL94" s="442"/>
      <c r="AM94" s="442" t="s">
        <v>763</v>
      </c>
      <c r="AN94" s="442" t="s">
        <v>1190</v>
      </c>
      <c r="AO94" s="442" t="s">
        <v>885</v>
      </c>
      <c r="AP94" s="442" t="s">
        <v>683</v>
      </c>
      <c r="AQ94" s="442" t="s">
        <v>1184</v>
      </c>
      <c r="AR94" s="444">
        <v>34760</v>
      </c>
      <c r="AS94" s="442" t="s">
        <v>675</v>
      </c>
      <c r="AT94" s="444">
        <v>0</v>
      </c>
      <c r="AU94" s="442" t="s">
        <v>678</v>
      </c>
      <c r="AV94" s="442" t="s">
        <v>677</v>
      </c>
      <c r="AW94" s="442" t="s">
        <v>676</v>
      </c>
      <c r="AX94" s="442" t="s">
        <v>674</v>
      </c>
      <c r="AY94" s="442"/>
      <c r="AZ94" s="442"/>
      <c r="BA94" s="442" t="s">
        <v>679</v>
      </c>
      <c r="BB94" s="442"/>
      <c r="BC94" s="442"/>
      <c r="BD94" s="442"/>
      <c r="BE94" s="444"/>
      <c r="BF94" s="442" t="s">
        <v>298</v>
      </c>
      <c r="BG94" s="442" t="s">
        <v>680</v>
      </c>
      <c r="BH94" s="442" t="s">
        <v>681</v>
      </c>
      <c r="BI94" s="442"/>
    </row>
    <row r="95" spans="1:61">
      <c r="A95" s="442" t="s">
        <v>690</v>
      </c>
      <c r="B95" s="442" t="s">
        <v>1179</v>
      </c>
      <c r="C95" s="442" t="s">
        <v>729</v>
      </c>
      <c r="D95" s="442" t="s">
        <v>724</v>
      </c>
      <c r="E95" s="442" t="s">
        <v>3</v>
      </c>
      <c r="F95" s="443" t="s">
        <v>83</v>
      </c>
      <c r="G95" s="443" t="s">
        <v>93</v>
      </c>
      <c r="H95" s="444">
        <v>59700</v>
      </c>
      <c r="I95" s="444">
        <v>59700</v>
      </c>
      <c r="J95" s="444">
        <v>0</v>
      </c>
      <c r="K95" s="444">
        <v>0</v>
      </c>
      <c r="L95" s="444">
        <v>54273</v>
      </c>
      <c r="M95" s="444">
        <v>0</v>
      </c>
      <c r="N95" s="444">
        <v>0</v>
      </c>
      <c r="O95" s="444">
        <v>5427</v>
      </c>
      <c r="P95" s="444">
        <v>0</v>
      </c>
      <c r="Q95" s="444">
        <v>0</v>
      </c>
      <c r="R95" s="444">
        <v>0</v>
      </c>
      <c r="S95" s="444">
        <v>0</v>
      </c>
      <c r="T95" s="444">
        <v>0</v>
      </c>
      <c r="U95" s="444">
        <v>0</v>
      </c>
      <c r="V95" s="444">
        <v>0</v>
      </c>
      <c r="W95" s="444">
        <v>0</v>
      </c>
      <c r="X95" s="442" t="s">
        <v>674</v>
      </c>
      <c r="Y95" s="442" t="s">
        <v>675</v>
      </c>
      <c r="Z95" s="442" t="s">
        <v>675</v>
      </c>
      <c r="AA95" s="442" t="s">
        <v>675</v>
      </c>
      <c r="AB95" s="442" t="s">
        <v>675</v>
      </c>
      <c r="AC95" s="442"/>
      <c r="AD95" s="442"/>
      <c r="AE95" s="442" t="s">
        <v>676</v>
      </c>
      <c r="AF95" s="442"/>
      <c r="AG95" s="443" t="s">
        <v>1180</v>
      </c>
      <c r="AH95" s="442"/>
      <c r="AI95" s="443" t="s">
        <v>1180</v>
      </c>
      <c r="AJ95" s="443" t="s">
        <v>1181</v>
      </c>
      <c r="AK95" s="442" t="s">
        <v>677</v>
      </c>
      <c r="AL95" s="442"/>
      <c r="AM95" s="442" t="s">
        <v>726</v>
      </c>
      <c r="AN95" s="442" t="s">
        <v>1191</v>
      </c>
      <c r="AO95" s="442" t="s">
        <v>690</v>
      </c>
      <c r="AP95" s="442" t="s">
        <v>885</v>
      </c>
      <c r="AQ95" s="442" t="s">
        <v>1184</v>
      </c>
      <c r="AR95" s="444">
        <v>59700</v>
      </c>
      <c r="AS95" s="442" t="s">
        <v>675</v>
      </c>
      <c r="AT95" s="444">
        <v>0</v>
      </c>
      <c r="AU95" s="442" t="s">
        <v>678</v>
      </c>
      <c r="AV95" s="442" t="s">
        <v>677</v>
      </c>
      <c r="AW95" s="442" t="s">
        <v>676</v>
      </c>
      <c r="AX95" s="442" t="s">
        <v>674</v>
      </c>
      <c r="AY95" s="442"/>
      <c r="AZ95" s="442"/>
      <c r="BA95" s="442" t="s">
        <v>679</v>
      </c>
      <c r="BB95" s="442"/>
      <c r="BC95" s="442"/>
      <c r="BD95" s="442"/>
      <c r="BE95" s="444"/>
      <c r="BF95" s="442" t="s">
        <v>298</v>
      </c>
      <c r="BG95" s="442" t="s">
        <v>680</v>
      </c>
      <c r="BH95" s="442" t="s">
        <v>681</v>
      </c>
      <c r="BI95" s="442"/>
    </row>
    <row r="96" spans="1:61">
      <c r="A96" s="442" t="s">
        <v>690</v>
      </c>
      <c r="B96" s="442" t="s">
        <v>1179</v>
      </c>
      <c r="C96" s="442" t="s">
        <v>729</v>
      </c>
      <c r="D96" s="442" t="s">
        <v>724</v>
      </c>
      <c r="E96" s="442" t="s">
        <v>3</v>
      </c>
      <c r="F96" s="443" t="s">
        <v>83</v>
      </c>
      <c r="G96" s="443" t="s">
        <v>93</v>
      </c>
      <c r="H96" s="444">
        <v>19900</v>
      </c>
      <c r="I96" s="444">
        <v>19900</v>
      </c>
      <c r="J96" s="444">
        <v>0</v>
      </c>
      <c r="K96" s="444">
        <v>0</v>
      </c>
      <c r="L96" s="444">
        <v>18091</v>
      </c>
      <c r="M96" s="444">
        <v>0</v>
      </c>
      <c r="N96" s="444">
        <v>0</v>
      </c>
      <c r="O96" s="444">
        <v>1809</v>
      </c>
      <c r="P96" s="444">
        <v>0</v>
      </c>
      <c r="Q96" s="444">
        <v>0</v>
      </c>
      <c r="R96" s="444">
        <v>0</v>
      </c>
      <c r="S96" s="444">
        <v>0</v>
      </c>
      <c r="T96" s="444">
        <v>0</v>
      </c>
      <c r="U96" s="444">
        <v>0</v>
      </c>
      <c r="V96" s="444">
        <v>0</v>
      </c>
      <c r="W96" s="444">
        <v>0</v>
      </c>
      <c r="X96" s="442" t="s">
        <v>674</v>
      </c>
      <c r="Y96" s="442" t="s">
        <v>675</v>
      </c>
      <c r="Z96" s="442" t="s">
        <v>675</v>
      </c>
      <c r="AA96" s="442" t="s">
        <v>675</v>
      </c>
      <c r="AB96" s="442" t="s">
        <v>675</v>
      </c>
      <c r="AC96" s="442"/>
      <c r="AD96" s="442"/>
      <c r="AE96" s="442" t="s">
        <v>676</v>
      </c>
      <c r="AF96" s="442"/>
      <c r="AG96" s="443" t="s">
        <v>1180</v>
      </c>
      <c r="AH96" s="442"/>
      <c r="AI96" s="443" t="s">
        <v>1180</v>
      </c>
      <c r="AJ96" s="443" t="s">
        <v>1181</v>
      </c>
      <c r="AK96" s="442" t="s">
        <v>677</v>
      </c>
      <c r="AL96" s="442"/>
      <c r="AM96" s="442" t="s">
        <v>726</v>
      </c>
      <c r="AN96" s="442" t="s">
        <v>1192</v>
      </c>
      <c r="AO96" s="442" t="s">
        <v>690</v>
      </c>
      <c r="AP96" s="442" t="s">
        <v>885</v>
      </c>
      <c r="AQ96" s="442" t="s">
        <v>1184</v>
      </c>
      <c r="AR96" s="444">
        <v>19900</v>
      </c>
      <c r="AS96" s="442" t="s">
        <v>675</v>
      </c>
      <c r="AT96" s="444">
        <v>0</v>
      </c>
      <c r="AU96" s="442" t="s">
        <v>678</v>
      </c>
      <c r="AV96" s="442" t="s">
        <v>677</v>
      </c>
      <c r="AW96" s="442" t="s">
        <v>676</v>
      </c>
      <c r="AX96" s="442" t="s">
        <v>674</v>
      </c>
      <c r="AY96" s="442"/>
      <c r="AZ96" s="442"/>
      <c r="BA96" s="442" t="s">
        <v>679</v>
      </c>
      <c r="BB96" s="442"/>
      <c r="BC96" s="442"/>
      <c r="BD96" s="442"/>
      <c r="BE96" s="444"/>
      <c r="BF96" s="442" t="s">
        <v>298</v>
      </c>
      <c r="BG96" s="442" t="s">
        <v>680</v>
      </c>
      <c r="BH96" s="442" t="s">
        <v>681</v>
      </c>
      <c r="BI96" s="442"/>
    </row>
    <row r="97" spans="1:61">
      <c r="A97" s="442" t="s">
        <v>690</v>
      </c>
      <c r="B97" s="442" t="s">
        <v>1179</v>
      </c>
      <c r="C97" s="442" t="s">
        <v>729</v>
      </c>
      <c r="D97" s="442" t="s">
        <v>724</v>
      </c>
      <c r="E97" s="442" t="s">
        <v>3</v>
      </c>
      <c r="F97" s="443" t="s">
        <v>83</v>
      </c>
      <c r="G97" s="443" t="s">
        <v>700</v>
      </c>
      <c r="H97" s="444">
        <v>159200</v>
      </c>
      <c r="I97" s="444">
        <v>159200</v>
      </c>
      <c r="J97" s="444">
        <v>0</v>
      </c>
      <c r="K97" s="444">
        <v>0</v>
      </c>
      <c r="L97" s="444">
        <v>144728</v>
      </c>
      <c r="M97" s="444">
        <v>0</v>
      </c>
      <c r="N97" s="444">
        <v>0</v>
      </c>
      <c r="O97" s="444">
        <v>14472</v>
      </c>
      <c r="P97" s="444">
        <v>0</v>
      </c>
      <c r="Q97" s="444">
        <v>0</v>
      </c>
      <c r="R97" s="444">
        <v>0</v>
      </c>
      <c r="S97" s="444">
        <v>0</v>
      </c>
      <c r="T97" s="444">
        <v>0</v>
      </c>
      <c r="U97" s="444">
        <v>0</v>
      </c>
      <c r="V97" s="444">
        <v>0</v>
      </c>
      <c r="W97" s="444">
        <v>0</v>
      </c>
      <c r="X97" s="442" t="s">
        <v>674</v>
      </c>
      <c r="Y97" s="442" t="s">
        <v>675</v>
      </c>
      <c r="Z97" s="442" t="s">
        <v>675</v>
      </c>
      <c r="AA97" s="442" t="s">
        <v>675</v>
      </c>
      <c r="AB97" s="442" t="s">
        <v>675</v>
      </c>
      <c r="AC97" s="442"/>
      <c r="AD97" s="442"/>
      <c r="AE97" s="442"/>
      <c r="AF97" s="442"/>
      <c r="AG97" s="443" t="s">
        <v>1185</v>
      </c>
      <c r="AH97" s="442"/>
      <c r="AI97" s="443" t="s">
        <v>1185</v>
      </c>
      <c r="AJ97" s="443" t="s">
        <v>1181</v>
      </c>
      <c r="AK97" s="442" t="s">
        <v>677</v>
      </c>
      <c r="AL97" s="442"/>
      <c r="AM97" s="442" t="s">
        <v>726</v>
      </c>
      <c r="AN97" s="442" t="s">
        <v>1193</v>
      </c>
      <c r="AO97" s="442" t="s">
        <v>690</v>
      </c>
      <c r="AP97" s="442" t="s">
        <v>885</v>
      </c>
      <c r="AQ97" s="442" t="s">
        <v>1184</v>
      </c>
      <c r="AR97" s="444">
        <v>159200</v>
      </c>
      <c r="AS97" s="442" t="s">
        <v>675</v>
      </c>
      <c r="AT97" s="444">
        <v>0</v>
      </c>
      <c r="AU97" s="442" t="s">
        <v>678</v>
      </c>
      <c r="AV97" s="442" t="s">
        <v>677</v>
      </c>
      <c r="AW97" s="442" t="s">
        <v>676</v>
      </c>
      <c r="AX97" s="442" t="s">
        <v>674</v>
      </c>
      <c r="AY97" s="442"/>
      <c r="AZ97" s="442"/>
      <c r="BA97" s="442" t="s">
        <v>679</v>
      </c>
      <c r="BB97" s="442"/>
      <c r="BC97" s="442"/>
      <c r="BD97" s="442"/>
      <c r="BE97" s="444"/>
      <c r="BF97" s="442" t="s">
        <v>298</v>
      </c>
      <c r="BG97" s="442" t="s">
        <v>680</v>
      </c>
      <c r="BH97" s="442" t="s">
        <v>681</v>
      </c>
      <c r="BI97" s="442"/>
    </row>
    <row r="98" spans="1:61">
      <c r="A98" s="442" t="s">
        <v>690</v>
      </c>
      <c r="B98" s="442" t="s">
        <v>1179</v>
      </c>
      <c r="C98" s="442" t="s">
        <v>729</v>
      </c>
      <c r="D98" s="442" t="s">
        <v>724</v>
      </c>
      <c r="E98" s="442" t="s">
        <v>3</v>
      </c>
      <c r="F98" s="443" t="s">
        <v>83</v>
      </c>
      <c r="G98" s="443" t="s">
        <v>700</v>
      </c>
      <c r="H98" s="444">
        <v>19900</v>
      </c>
      <c r="I98" s="444">
        <v>19900</v>
      </c>
      <c r="J98" s="444">
        <v>0</v>
      </c>
      <c r="K98" s="444">
        <v>0</v>
      </c>
      <c r="L98" s="444">
        <v>18091</v>
      </c>
      <c r="M98" s="444">
        <v>0</v>
      </c>
      <c r="N98" s="444">
        <v>0</v>
      </c>
      <c r="O98" s="444">
        <v>1809</v>
      </c>
      <c r="P98" s="444">
        <v>0</v>
      </c>
      <c r="Q98" s="444">
        <v>0</v>
      </c>
      <c r="R98" s="444">
        <v>0</v>
      </c>
      <c r="S98" s="444">
        <v>0</v>
      </c>
      <c r="T98" s="444">
        <v>0</v>
      </c>
      <c r="U98" s="444">
        <v>0</v>
      </c>
      <c r="V98" s="444">
        <v>0</v>
      </c>
      <c r="W98" s="444">
        <v>0</v>
      </c>
      <c r="X98" s="442" t="s">
        <v>674</v>
      </c>
      <c r="Y98" s="442" t="s">
        <v>675</v>
      </c>
      <c r="Z98" s="442" t="s">
        <v>675</v>
      </c>
      <c r="AA98" s="442" t="s">
        <v>675</v>
      </c>
      <c r="AB98" s="442" t="s">
        <v>675</v>
      </c>
      <c r="AC98" s="442"/>
      <c r="AD98" s="442"/>
      <c r="AE98" s="442"/>
      <c r="AF98" s="442"/>
      <c r="AG98" s="443" t="s">
        <v>1185</v>
      </c>
      <c r="AH98" s="442"/>
      <c r="AI98" s="443" t="s">
        <v>1185</v>
      </c>
      <c r="AJ98" s="443" t="s">
        <v>1181</v>
      </c>
      <c r="AK98" s="442" t="s">
        <v>677</v>
      </c>
      <c r="AL98" s="442"/>
      <c r="AM98" s="442" t="s">
        <v>726</v>
      </c>
      <c r="AN98" s="442" t="s">
        <v>1194</v>
      </c>
      <c r="AO98" s="442" t="s">
        <v>690</v>
      </c>
      <c r="AP98" s="442" t="s">
        <v>683</v>
      </c>
      <c r="AQ98" s="442" t="s">
        <v>1184</v>
      </c>
      <c r="AR98" s="444">
        <v>19900</v>
      </c>
      <c r="AS98" s="442" t="s">
        <v>675</v>
      </c>
      <c r="AT98" s="444">
        <v>0</v>
      </c>
      <c r="AU98" s="442" t="s">
        <v>678</v>
      </c>
      <c r="AV98" s="442" t="s">
        <v>677</v>
      </c>
      <c r="AW98" s="442" t="s">
        <v>676</v>
      </c>
      <c r="AX98" s="442" t="s">
        <v>674</v>
      </c>
      <c r="AY98" s="442"/>
      <c r="AZ98" s="442"/>
      <c r="BA98" s="442" t="s">
        <v>679</v>
      </c>
      <c r="BB98" s="442"/>
      <c r="BC98" s="442"/>
      <c r="BD98" s="442"/>
      <c r="BE98" s="444"/>
      <c r="BF98" s="442" t="s">
        <v>298</v>
      </c>
      <c r="BG98" s="442" t="s">
        <v>680</v>
      </c>
      <c r="BH98" s="442" t="s">
        <v>681</v>
      </c>
      <c r="BI98" s="442"/>
    </row>
    <row r="99" spans="1:61">
      <c r="A99" s="442" t="s">
        <v>690</v>
      </c>
      <c r="B99" s="442" t="s">
        <v>1179</v>
      </c>
      <c r="C99" s="442" t="s">
        <v>729</v>
      </c>
      <c r="D99" s="442" t="s">
        <v>724</v>
      </c>
      <c r="E99" s="442" t="s">
        <v>3</v>
      </c>
      <c r="F99" s="443" t="s">
        <v>83</v>
      </c>
      <c r="G99" s="443" t="s">
        <v>700</v>
      </c>
      <c r="H99" s="444">
        <v>19900</v>
      </c>
      <c r="I99" s="444">
        <v>19900</v>
      </c>
      <c r="J99" s="444">
        <v>0</v>
      </c>
      <c r="K99" s="444">
        <v>0</v>
      </c>
      <c r="L99" s="444">
        <v>18091</v>
      </c>
      <c r="M99" s="444">
        <v>0</v>
      </c>
      <c r="N99" s="444">
        <v>0</v>
      </c>
      <c r="O99" s="444">
        <v>1809</v>
      </c>
      <c r="P99" s="444">
        <v>0</v>
      </c>
      <c r="Q99" s="444">
        <v>0</v>
      </c>
      <c r="R99" s="444">
        <v>0</v>
      </c>
      <c r="S99" s="444">
        <v>0</v>
      </c>
      <c r="T99" s="444">
        <v>0</v>
      </c>
      <c r="U99" s="444">
        <v>0</v>
      </c>
      <c r="V99" s="444">
        <v>0</v>
      </c>
      <c r="W99" s="444">
        <v>0</v>
      </c>
      <c r="X99" s="442" t="s">
        <v>674</v>
      </c>
      <c r="Y99" s="442" t="s">
        <v>675</v>
      </c>
      <c r="Z99" s="442" t="s">
        <v>675</v>
      </c>
      <c r="AA99" s="442" t="s">
        <v>675</v>
      </c>
      <c r="AB99" s="442" t="s">
        <v>675</v>
      </c>
      <c r="AC99" s="442"/>
      <c r="AD99" s="442"/>
      <c r="AE99" s="442"/>
      <c r="AF99" s="442"/>
      <c r="AG99" s="443" t="s">
        <v>1185</v>
      </c>
      <c r="AH99" s="442"/>
      <c r="AI99" s="443" t="s">
        <v>1185</v>
      </c>
      <c r="AJ99" s="443" t="s">
        <v>1181</v>
      </c>
      <c r="AK99" s="442" t="s">
        <v>677</v>
      </c>
      <c r="AL99" s="442"/>
      <c r="AM99" s="442" t="s">
        <v>726</v>
      </c>
      <c r="AN99" s="442" t="s">
        <v>1195</v>
      </c>
      <c r="AO99" s="442" t="s">
        <v>690</v>
      </c>
      <c r="AP99" s="442" t="s">
        <v>683</v>
      </c>
      <c r="AQ99" s="442" t="s">
        <v>1184</v>
      </c>
      <c r="AR99" s="444">
        <v>19900</v>
      </c>
      <c r="AS99" s="442" t="s">
        <v>675</v>
      </c>
      <c r="AT99" s="444">
        <v>0</v>
      </c>
      <c r="AU99" s="442" t="s">
        <v>678</v>
      </c>
      <c r="AV99" s="442" t="s">
        <v>677</v>
      </c>
      <c r="AW99" s="442" t="s">
        <v>676</v>
      </c>
      <c r="AX99" s="442" t="s">
        <v>674</v>
      </c>
      <c r="AY99" s="442"/>
      <c r="AZ99" s="442"/>
      <c r="BA99" s="442" t="s">
        <v>679</v>
      </c>
      <c r="BB99" s="442"/>
      <c r="BC99" s="442"/>
      <c r="BD99" s="442"/>
      <c r="BE99" s="444"/>
      <c r="BF99" s="442" t="s">
        <v>298</v>
      </c>
      <c r="BG99" s="442" t="s">
        <v>680</v>
      </c>
      <c r="BH99" s="442" t="s">
        <v>681</v>
      </c>
      <c r="BI99" s="442"/>
    </row>
    <row r="100" spans="1:61">
      <c r="A100" s="442" t="s">
        <v>690</v>
      </c>
      <c r="B100" s="442" t="s">
        <v>1112</v>
      </c>
      <c r="C100" s="442" t="s">
        <v>1105</v>
      </c>
      <c r="D100" s="442" t="s">
        <v>724</v>
      </c>
      <c r="E100" s="442" t="s">
        <v>3</v>
      </c>
      <c r="F100" s="443" t="s">
        <v>83</v>
      </c>
      <c r="G100" s="443" t="s">
        <v>700</v>
      </c>
      <c r="H100" s="444">
        <v>2180000</v>
      </c>
      <c r="I100" s="444">
        <v>2180000</v>
      </c>
      <c r="J100" s="444">
        <v>0</v>
      </c>
      <c r="K100" s="444">
        <v>0</v>
      </c>
      <c r="L100" s="444">
        <v>1981819</v>
      </c>
      <c r="M100" s="444">
        <v>0</v>
      </c>
      <c r="N100" s="444">
        <v>0</v>
      </c>
      <c r="O100" s="444">
        <v>198181</v>
      </c>
      <c r="P100" s="444">
        <v>0</v>
      </c>
      <c r="Q100" s="444">
        <v>0</v>
      </c>
      <c r="R100" s="444">
        <v>0</v>
      </c>
      <c r="S100" s="444">
        <v>0</v>
      </c>
      <c r="T100" s="444">
        <v>0</v>
      </c>
      <c r="U100" s="444">
        <v>0</v>
      </c>
      <c r="V100" s="444">
        <v>0</v>
      </c>
      <c r="W100" s="444">
        <v>0</v>
      </c>
      <c r="X100" s="442" t="s">
        <v>674</v>
      </c>
      <c r="Y100" s="442" t="s">
        <v>675</v>
      </c>
      <c r="Z100" s="442" t="s">
        <v>675</v>
      </c>
      <c r="AA100" s="442" t="s">
        <v>675</v>
      </c>
      <c r="AB100" s="442" t="s">
        <v>675</v>
      </c>
      <c r="AC100" s="442"/>
      <c r="AD100" s="442"/>
      <c r="AE100" s="442"/>
      <c r="AF100" s="442"/>
      <c r="AG100" s="443" t="s">
        <v>1113</v>
      </c>
      <c r="AH100" s="442"/>
      <c r="AI100" s="443" t="s">
        <v>1113</v>
      </c>
      <c r="AJ100" s="443" t="s">
        <v>890</v>
      </c>
      <c r="AK100" s="442" t="s">
        <v>677</v>
      </c>
      <c r="AL100" s="442"/>
      <c r="AM100" s="442" t="s">
        <v>967</v>
      </c>
      <c r="AN100" s="442" t="s">
        <v>1114</v>
      </c>
      <c r="AO100" s="442" t="s">
        <v>690</v>
      </c>
      <c r="AP100" s="442" t="s">
        <v>683</v>
      </c>
      <c r="AQ100" s="442" t="s">
        <v>729</v>
      </c>
      <c r="AR100" s="444">
        <v>2180000</v>
      </c>
      <c r="AS100" s="442" t="s">
        <v>675</v>
      </c>
      <c r="AT100" s="444">
        <v>0</v>
      </c>
      <c r="AU100" s="442" t="s">
        <v>678</v>
      </c>
      <c r="AV100" s="442" t="s">
        <v>677</v>
      </c>
      <c r="AW100" s="442" t="s">
        <v>676</v>
      </c>
      <c r="AX100" s="442" t="s">
        <v>674</v>
      </c>
      <c r="AY100" s="442"/>
      <c r="AZ100" s="442"/>
      <c r="BA100" s="442" t="s">
        <v>679</v>
      </c>
      <c r="BB100" s="442"/>
      <c r="BC100" s="442"/>
      <c r="BD100" s="442"/>
      <c r="BE100" s="444"/>
      <c r="BF100" s="442" t="s">
        <v>298</v>
      </c>
      <c r="BG100" s="442" t="s">
        <v>680</v>
      </c>
      <c r="BH100" s="442" t="s">
        <v>681</v>
      </c>
      <c r="BI100" s="442"/>
    </row>
    <row r="101" spans="1:61">
      <c r="A101" s="442" t="s">
        <v>690</v>
      </c>
      <c r="B101" s="442" t="s">
        <v>1112</v>
      </c>
      <c r="C101" s="442" t="s">
        <v>1105</v>
      </c>
      <c r="D101" s="442" t="s">
        <v>724</v>
      </c>
      <c r="E101" s="442" t="s">
        <v>3</v>
      </c>
      <c r="F101" s="443" t="s">
        <v>83</v>
      </c>
      <c r="G101" s="443" t="s">
        <v>700</v>
      </c>
      <c r="H101" s="444">
        <v>2180000</v>
      </c>
      <c r="I101" s="444">
        <v>2180000</v>
      </c>
      <c r="J101" s="444">
        <v>0</v>
      </c>
      <c r="K101" s="444">
        <v>0</v>
      </c>
      <c r="L101" s="444">
        <v>1981819</v>
      </c>
      <c r="M101" s="444">
        <v>0</v>
      </c>
      <c r="N101" s="444">
        <v>0</v>
      </c>
      <c r="O101" s="444">
        <v>198181</v>
      </c>
      <c r="P101" s="444">
        <v>0</v>
      </c>
      <c r="Q101" s="444">
        <v>0</v>
      </c>
      <c r="R101" s="444">
        <v>0</v>
      </c>
      <c r="S101" s="444">
        <v>0</v>
      </c>
      <c r="T101" s="444">
        <v>0</v>
      </c>
      <c r="U101" s="444">
        <v>0</v>
      </c>
      <c r="V101" s="444">
        <v>0</v>
      </c>
      <c r="W101" s="444">
        <v>0</v>
      </c>
      <c r="X101" s="442" t="s">
        <v>674</v>
      </c>
      <c r="Y101" s="442" t="s">
        <v>675</v>
      </c>
      <c r="Z101" s="442" t="s">
        <v>675</v>
      </c>
      <c r="AA101" s="442" t="s">
        <v>675</v>
      </c>
      <c r="AB101" s="442" t="s">
        <v>675</v>
      </c>
      <c r="AC101" s="442"/>
      <c r="AD101" s="442"/>
      <c r="AE101" s="442"/>
      <c r="AF101" s="442"/>
      <c r="AG101" s="443" t="s">
        <v>1113</v>
      </c>
      <c r="AH101" s="442"/>
      <c r="AI101" s="443" t="s">
        <v>1113</v>
      </c>
      <c r="AJ101" s="443" t="s">
        <v>890</v>
      </c>
      <c r="AK101" s="442" t="s">
        <v>677</v>
      </c>
      <c r="AL101" s="442"/>
      <c r="AM101" s="442" t="s">
        <v>967</v>
      </c>
      <c r="AN101" s="442" t="s">
        <v>1115</v>
      </c>
      <c r="AO101" s="442" t="s">
        <v>690</v>
      </c>
      <c r="AP101" s="442" t="s">
        <v>885</v>
      </c>
      <c r="AQ101" s="442" t="s">
        <v>729</v>
      </c>
      <c r="AR101" s="444">
        <v>2180000</v>
      </c>
      <c r="AS101" s="442" t="s">
        <v>675</v>
      </c>
      <c r="AT101" s="444">
        <v>0</v>
      </c>
      <c r="AU101" s="442" t="s">
        <v>678</v>
      </c>
      <c r="AV101" s="442" t="s">
        <v>677</v>
      </c>
      <c r="AW101" s="442" t="s">
        <v>676</v>
      </c>
      <c r="AX101" s="442" t="s">
        <v>674</v>
      </c>
      <c r="AY101" s="442"/>
      <c r="AZ101" s="442"/>
      <c r="BA101" s="442" t="s">
        <v>679</v>
      </c>
      <c r="BB101" s="442"/>
      <c r="BC101" s="442"/>
      <c r="BD101" s="442"/>
      <c r="BE101" s="444"/>
      <c r="BF101" s="442" t="s">
        <v>298</v>
      </c>
      <c r="BG101" s="442" t="s">
        <v>680</v>
      </c>
      <c r="BH101" s="442" t="s">
        <v>681</v>
      </c>
      <c r="BI101" s="442"/>
    </row>
    <row r="102" spans="1:61">
      <c r="A102" s="442" t="s">
        <v>690</v>
      </c>
      <c r="B102" s="442" t="s">
        <v>690</v>
      </c>
      <c r="C102" s="442" t="s">
        <v>690</v>
      </c>
      <c r="D102" s="442" t="s">
        <v>673</v>
      </c>
      <c r="E102" s="442" t="s">
        <v>3</v>
      </c>
      <c r="F102" s="443" t="s">
        <v>83</v>
      </c>
      <c r="G102" s="443" t="s">
        <v>691</v>
      </c>
      <c r="H102" s="444">
        <v>96800</v>
      </c>
      <c r="I102" s="444">
        <v>96800</v>
      </c>
      <c r="J102" s="444">
        <v>0</v>
      </c>
      <c r="K102" s="444">
        <v>0</v>
      </c>
      <c r="L102" s="444">
        <v>96800</v>
      </c>
      <c r="M102" s="444">
        <v>0</v>
      </c>
      <c r="N102" s="444">
        <v>0</v>
      </c>
      <c r="O102" s="444">
        <v>0</v>
      </c>
      <c r="P102" s="444">
        <v>0</v>
      </c>
      <c r="Q102" s="444">
        <v>0</v>
      </c>
      <c r="R102" s="444">
        <v>0</v>
      </c>
      <c r="S102" s="444">
        <v>0</v>
      </c>
      <c r="T102" s="444">
        <v>0</v>
      </c>
      <c r="U102" s="444">
        <v>0</v>
      </c>
      <c r="V102" s="444">
        <v>0</v>
      </c>
      <c r="W102" s="444">
        <v>0</v>
      </c>
      <c r="X102" s="442" t="s">
        <v>674</v>
      </c>
      <c r="Y102" s="442" t="s">
        <v>675</v>
      </c>
      <c r="Z102" s="442" t="s">
        <v>675</v>
      </c>
      <c r="AA102" s="442" t="s">
        <v>675</v>
      </c>
      <c r="AB102" s="442" t="s">
        <v>675</v>
      </c>
      <c r="AC102" s="442"/>
      <c r="AD102" s="442"/>
      <c r="AE102" s="442" t="s">
        <v>676</v>
      </c>
      <c r="AF102" s="442"/>
      <c r="AG102" s="443" t="s">
        <v>692</v>
      </c>
      <c r="AH102" s="442"/>
      <c r="AI102" s="443" t="s">
        <v>692</v>
      </c>
      <c r="AJ102" s="443" t="s">
        <v>677</v>
      </c>
      <c r="AK102" s="442" t="s">
        <v>677</v>
      </c>
      <c r="AL102" s="442"/>
      <c r="AM102" s="442"/>
      <c r="AN102" s="442"/>
      <c r="AO102" s="442"/>
      <c r="AP102" s="442"/>
      <c r="AQ102" s="442"/>
      <c r="AR102" s="444"/>
      <c r="AS102" s="442"/>
      <c r="AT102" s="444"/>
      <c r="AU102" s="442" t="s">
        <v>678</v>
      </c>
      <c r="AV102" s="442" t="s">
        <v>677</v>
      </c>
      <c r="AW102" s="442" t="s">
        <v>676</v>
      </c>
      <c r="AX102" s="442" t="s">
        <v>674</v>
      </c>
      <c r="AY102" s="442"/>
      <c r="AZ102" s="442"/>
      <c r="BA102" s="442" t="s">
        <v>679</v>
      </c>
      <c r="BB102" s="442"/>
      <c r="BC102" s="442"/>
      <c r="BD102" s="442"/>
      <c r="BE102" s="444"/>
      <c r="BF102" s="442" t="s">
        <v>298</v>
      </c>
      <c r="BG102" s="442" t="s">
        <v>680</v>
      </c>
      <c r="BH102" s="442" t="s">
        <v>681</v>
      </c>
      <c r="BI102" s="442"/>
    </row>
    <row r="103" spans="1:61">
      <c r="A103" s="442" t="s">
        <v>690</v>
      </c>
      <c r="B103" s="442" t="s">
        <v>690</v>
      </c>
      <c r="C103" s="442" t="s">
        <v>690</v>
      </c>
      <c r="D103" s="442" t="s">
        <v>673</v>
      </c>
      <c r="E103" s="442" t="s">
        <v>3</v>
      </c>
      <c r="F103" s="443" t="s">
        <v>83</v>
      </c>
      <c r="G103" s="443" t="s">
        <v>691</v>
      </c>
      <c r="H103" s="444">
        <v>1003200</v>
      </c>
      <c r="I103" s="444">
        <v>1003200</v>
      </c>
      <c r="J103" s="444">
        <v>0</v>
      </c>
      <c r="K103" s="444">
        <v>0</v>
      </c>
      <c r="L103" s="444">
        <v>1003200</v>
      </c>
      <c r="M103" s="444">
        <v>0</v>
      </c>
      <c r="N103" s="444">
        <v>0</v>
      </c>
      <c r="O103" s="444">
        <v>0</v>
      </c>
      <c r="P103" s="444">
        <v>0</v>
      </c>
      <c r="Q103" s="444">
        <v>0</v>
      </c>
      <c r="R103" s="444">
        <v>0</v>
      </c>
      <c r="S103" s="444">
        <v>0</v>
      </c>
      <c r="T103" s="444">
        <v>0</v>
      </c>
      <c r="U103" s="444">
        <v>0</v>
      </c>
      <c r="V103" s="444">
        <v>0</v>
      </c>
      <c r="W103" s="444">
        <v>0</v>
      </c>
      <c r="X103" s="442" t="s">
        <v>674</v>
      </c>
      <c r="Y103" s="442" t="s">
        <v>675</v>
      </c>
      <c r="Z103" s="442" t="s">
        <v>675</v>
      </c>
      <c r="AA103" s="442" t="s">
        <v>675</v>
      </c>
      <c r="AB103" s="442" t="s">
        <v>675</v>
      </c>
      <c r="AC103" s="442"/>
      <c r="AD103" s="442"/>
      <c r="AE103" s="442" t="s">
        <v>676</v>
      </c>
      <c r="AF103" s="442"/>
      <c r="AG103" s="443" t="s">
        <v>693</v>
      </c>
      <c r="AH103" s="442"/>
      <c r="AI103" s="443" t="s">
        <v>693</v>
      </c>
      <c r="AJ103" s="443" t="s">
        <v>677</v>
      </c>
      <c r="AK103" s="442" t="s">
        <v>677</v>
      </c>
      <c r="AL103" s="442"/>
      <c r="AM103" s="442"/>
      <c r="AN103" s="442"/>
      <c r="AO103" s="442"/>
      <c r="AP103" s="442"/>
      <c r="AQ103" s="442"/>
      <c r="AR103" s="444"/>
      <c r="AS103" s="442"/>
      <c r="AT103" s="444"/>
      <c r="AU103" s="442" t="s">
        <v>678</v>
      </c>
      <c r="AV103" s="442" t="s">
        <v>677</v>
      </c>
      <c r="AW103" s="442" t="s">
        <v>676</v>
      </c>
      <c r="AX103" s="442" t="s">
        <v>674</v>
      </c>
      <c r="AY103" s="442"/>
      <c r="AZ103" s="442"/>
      <c r="BA103" s="442" t="s">
        <v>679</v>
      </c>
      <c r="BB103" s="442"/>
      <c r="BC103" s="442"/>
      <c r="BD103" s="442"/>
      <c r="BE103" s="444"/>
      <c r="BF103" s="442" t="s">
        <v>298</v>
      </c>
      <c r="BG103" s="442" t="s">
        <v>680</v>
      </c>
      <c r="BH103" s="442" t="s">
        <v>681</v>
      </c>
      <c r="BI103" s="442"/>
    </row>
    <row r="104" spans="1:61">
      <c r="A104" s="442" t="s">
        <v>690</v>
      </c>
      <c r="B104" s="442" t="s">
        <v>690</v>
      </c>
      <c r="C104" s="442" t="s">
        <v>690</v>
      </c>
      <c r="D104" s="442" t="s">
        <v>673</v>
      </c>
      <c r="E104" s="442" t="s">
        <v>3</v>
      </c>
      <c r="F104" s="443" t="s">
        <v>83</v>
      </c>
      <c r="G104" s="443" t="s">
        <v>691</v>
      </c>
      <c r="H104" s="444">
        <v>547200</v>
      </c>
      <c r="I104" s="444">
        <v>547200</v>
      </c>
      <c r="J104" s="444">
        <v>0</v>
      </c>
      <c r="K104" s="444">
        <v>0</v>
      </c>
      <c r="L104" s="444">
        <v>547200</v>
      </c>
      <c r="M104" s="444">
        <v>0</v>
      </c>
      <c r="N104" s="444">
        <v>0</v>
      </c>
      <c r="O104" s="444">
        <v>0</v>
      </c>
      <c r="P104" s="444">
        <v>0</v>
      </c>
      <c r="Q104" s="444">
        <v>0</v>
      </c>
      <c r="R104" s="444">
        <v>0</v>
      </c>
      <c r="S104" s="444">
        <v>0</v>
      </c>
      <c r="T104" s="444">
        <v>0</v>
      </c>
      <c r="U104" s="444">
        <v>0</v>
      </c>
      <c r="V104" s="444">
        <v>0</v>
      </c>
      <c r="W104" s="444">
        <v>0</v>
      </c>
      <c r="X104" s="442" t="s">
        <v>674</v>
      </c>
      <c r="Y104" s="442" t="s">
        <v>675</v>
      </c>
      <c r="Z104" s="442" t="s">
        <v>675</v>
      </c>
      <c r="AA104" s="442" t="s">
        <v>675</v>
      </c>
      <c r="AB104" s="442" t="s">
        <v>675</v>
      </c>
      <c r="AC104" s="442"/>
      <c r="AD104" s="442"/>
      <c r="AE104" s="442" t="s">
        <v>694</v>
      </c>
      <c r="AF104" s="442"/>
      <c r="AG104" s="443" t="s">
        <v>693</v>
      </c>
      <c r="AH104" s="442"/>
      <c r="AI104" s="443" t="s">
        <v>693</v>
      </c>
      <c r="AJ104" s="443" t="s">
        <v>677</v>
      </c>
      <c r="AK104" s="442" t="s">
        <v>677</v>
      </c>
      <c r="AL104" s="442"/>
      <c r="AM104" s="442"/>
      <c r="AN104" s="442"/>
      <c r="AO104" s="442"/>
      <c r="AP104" s="442"/>
      <c r="AQ104" s="442"/>
      <c r="AR104" s="444"/>
      <c r="AS104" s="442"/>
      <c r="AT104" s="444"/>
      <c r="AU104" s="442" t="s">
        <v>678</v>
      </c>
      <c r="AV104" s="442" t="s">
        <v>677</v>
      </c>
      <c r="AW104" s="442" t="s">
        <v>676</v>
      </c>
      <c r="AX104" s="442" t="s">
        <v>674</v>
      </c>
      <c r="AY104" s="442"/>
      <c r="AZ104" s="442"/>
      <c r="BA104" s="442" t="s">
        <v>679</v>
      </c>
      <c r="BB104" s="442"/>
      <c r="BC104" s="442"/>
      <c r="BD104" s="442"/>
      <c r="BE104" s="444"/>
      <c r="BF104" s="442" t="s">
        <v>298</v>
      </c>
      <c r="BG104" s="442" t="s">
        <v>680</v>
      </c>
      <c r="BH104" s="442" t="s">
        <v>681</v>
      </c>
      <c r="BI104" s="442"/>
    </row>
    <row r="105" spans="1:61">
      <c r="A105" s="442" t="s">
        <v>690</v>
      </c>
      <c r="B105" s="442" t="s">
        <v>690</v>
      </c>
      <c r="C105" s="442" t="s">
        <v>690</v>
      </c>
      <c r="D105" s="442" t="s">
        <v>673</v>
      </c>
      <c r="E105" s="442" t="s">
        <v>3</v>
      </c>
      <c r="F105" s="443" t="s">
        <v>83</v>
      </c>
      <c r="G105" s="443" t="s">
        <v>691</v>
      </c>
      <c r="H105" s="444">
        <v>547200</v>
      </c>
      <c r="I105" s="444">
        <v>547200</v>
      </c>
      <c r="J105" s="444">
        <v>0</v>
      </c>
      <c r="K105" s="444">
        <v>0</v>
      </c>
      <c r="L105" s="444">
        <v>547200</v>
      </c>
      <c r="M105" s="444">
        <v>0</v>
      </c>
      <c r="N105" s="444">
        <v>0</v>
      </c>
      <c r="O105" s="444">
        <v>0</v>
      </c>
      <c r="P105" s="444">
        <v>0</v>
      </c>
      <c r="Q105" s="444">
        <v>0</v>
      </c>
      <c r="R105" s="444">
        <v>0</v>
      </c>
      <c r="S105" s="444">
        <v>0</v>
      </c>
      <c r="T105" s="444">
        <v>0</v>
      </c>
      <c r="U105" s="444">
        <v>0</v>
      </c>
      <c r="V105" s="444">
        <v>0</v>
      </c>
      <c r="W105" s="444">
        <v>0</v>
      </c>
      <c r="X105" s="442" t="s">
        <v>674</v>
      </c>
      <c r="Y105" s="442" t="s">
        <v>675</v>
      </c>
      <c r="Z105" s="442" t="s">
        <v>675</v>
      </c>
      <c r="AA105" s="442" t="s">
        <v>675</v>
      </c>
      <c r="AB105" s="442" t="s">
        <v>675</v>
      </c>
      <c r="AC105" s="442"/>
      <c r="AD105" s="442"/>
      <c r="AE105" s="442" t="s">
        <v>676</v>
      </c>
      <c r="AF105" s="442"/>
      <c r="AG105" s="443" t="s">
        <v>693</v>
      </c>
      <c r="AH105" s="442"/>
      <c r="AI105" s="443" t="s">
        <v>693</v>
      </c>
      <c r="AJ105" s="443" t="s">
        <v>677</v>
      </c>
      <c r="AK105" s="442" t="s">
        <v>677</v>
      </c>
      <c r="AL105" s="442"/>
      <c r="AM105" s="442"/>
      <c r="AN105" s="442"/>
      <c r="AO105" s="442"/>
      <c r="AP105" s="442"/>
      <c r="AQ105" s="442"/>
      <c r="AR105" s="444"/>
      <c r="AS105" s="442"/>
      <c r="AT105" s="444"/>
      <c r="AU105" s="442" t="s">
        <v>678</v>
      </c>
      <c r="AV105" s="442" t="s">
        <v>677</v>
      </c>
      <c r="AW105" s="442" t="s">
        <v>676</v>
      </c>
      <c r="AX105" s="442" t="s">
        <v>674</v>
      </c>
      <c r="AY105" s="442"/>
      <c r="AZ105" s="442"/>
      <c r="BA105" s="442" t="s">
        <v>679</v>
      </c>
      <c r="BB105" s="442"/>
      <c r="BC105" s="442"/>
      <c r="BD105" s="442"/>
      <c r="BE105" s="444"/>
      <c r="BF105" s="442" t="s">
        <v>298</v>
      </c>
      <c r="BG105" s="442" t="s">
        <v>680</v>
      </c>
      <c r="BH105" s="442" t="s">
        <v>681</v>
      </c>
      <c r="BI105" s="442"/>
    </row>
    <row r="106" spans="1:61">
      <c r="A106" s="442" t="s">
        <v>690</v>
      </c>
      <c r="B106" s="442" t="s">
        <v>690</v>
      </c>
      <c r="C106" s="442" t="s">
        <v>690</v>
      </c>
      <c r="D106" s="442" t="s">
        <v>673</v>
      </c>
      <c r="E106" s="442" t="s">
        <v>3</v>
      </c>
      <c r="F106" s="443" t="s">
        <v>83</v>
      </c>
      <c r="G106" s="443" t="s">
        <v>691</v>
      </c>
      <c r="H106" s="444">
        <v>52800</v>
      </c>
      <c r="I106" s="444">
        <v>52800</v>
      </c>
      <c r="J106" s="444">
        <v>0</v>
      </c>
      <c r="K106" s="444">
        <v>0</v>
      </c>
      <c r="L106" s="444">
        <v>52800</v>
      </c>
      <c r="M106" s="444">
        <v>0</v>
      </c>
      <c r="N106" s="444">
        <v>0</v>
      </c>
      <c r="O106" s="444">
        <v>0</v>
      </c>
      <c r="P106" s="444">
        <v>0</v>
      </c>
      <c r="Q106" s="444">
        <v>0</v>
      </c>
      <c r="R106" s="444">
        <v>0</v>
      </c>
      <c r="S106" s="444">
        <v>0</v>
      </c>
      <c r="T106" s="444">
        <v>0</v>
      </c>
      <c r="U106" s="444">
        <v>0</v>
      </c>
      <c r="V106" s="444">
        <v>0</v>
      </c>
      <c r="W106" s="444">
        <v>0</v>
      </c>
      <c r="X106" s="442" t="s">
        <v>674</v>
      </c>
      <c r="Y106" s="442" t="s">
        <v>675</v>
      </c>
      <c r="Z106" s="442" t="s">
        <v>675</v>
      </c>
      <c r="AA106" s="442" t="s">
        <v>675</v>
      </c>
      <c r="AB106" s="442" t="s">
        <v>675</v>
      </c>
      <c r="AC106" s="442"/>
      <c r="AD106" s="442"/>
      <c r="AE106" s="442" t="s">
        <v>676</v>
      </c>
      <c r="AF106" s="442"/>
      <c r="AG106" s="443" t="s">
        <v>692</v>
      </c>
      <c r="AH106" s="442"/>
      <c r="AI106" s="443" t="s">
        <v>692</v>
      </c>
      <c r="AJ106" s="443" t="s">
        <v>677</v>
      </c>
      <c r="AK106" s="442" t="s">
        <v>677</v>
      </c>
      <c r="AL106" s="442"/>
      <c r="AM106" s="442"/>
      <c r="AN106" s="442"/>
      <c r="AO106" s="442"/>
      <c r="AP106" s="442"/>
      <c r="AQ106" s="442"/>
      <c r="AR106" s="444"/>
      <c r="AS106" s="442"/>
      <c r="AT106" s="444"/>
      <c r="AU106" s="442" t="s">
        <v>678</v>
      </c>
      <c r="AV106" s="442" t="s">
        <v>677</v>
      </c>
      <c r="AW106" s="442" t="s">
        <v>676</v>
      </c>
      <c r="AX106" s="442" t="s">
        <v>674</v>
      </c>
      <c r="AY106" s="442"/>
      <c r="AZ106" s="442"/>
      <c r="BA106" s="442" t="s">
        <v>679</v>
      </c>
      <c r="BB106" s="442"/>
      <c r="BC106" s="442"/>
      <c r="BD106" s="442"/>
      <c r="BE106" s="444"/>
      <c r="BF106" s="442" t="s">
        <v>298</v>
      </c>
      <c r="BG106" s="442" t="s">
        <v>680</v>
      </c>
      <c r="BH106" s="442" t="s">
        <v>681</v>
      </c>
      <c r="BI106" s="442"/>
    </row>
    <row r="107" spans="1:61">
      <c r="A107" s="442" t="s">
        <v>690</v>
      </c>
      <c r="B107" s="442" t="s">
        <v>690</v>
      </c>
      <c r="C107" s="442" t="s">
        <v>690</v>
      </c>
      <c r="D107" s="442" t="s">
        <v>673</v>
      </c>
      <c r="E107" s="442" t="s">
        <v>3</v>
      </c>
      <c r="F107" s="443" t="s">
        <v>83</v>
      </c>
      <c r="G107" s="443" t="s">
        <v>691</v>
      </c>
      <c r="H107" s="444">
        <v>140800</v>
      </c>
      <c r="I107" s="444">
        <v>140800</v>
      </c>
      <c r="J107" s="444">
        <v>0</v>
      </c>
      <c r="K107" s="444">
        <v>0</v>
      </c>
      <c r="L107" s="444">
        <v>140800</v>
      </c>
      <c r="M107" s="444">
        <v>0</v>
      </c>
      <c r="N107" s="444">
        <v>0</v>
      </c>
      <c r="O107" s="444">
        <v>0</v>
      </c>
      <c r="P107" s="444">
        <v>0</v>
      </c>
      <c r="Q107" s="444">
        <v>0</v>
      </c>
      <c r="R107" s="444">
        <v>0</v>
      </c>
      <c r="S107" s="444">
        <v>0</v>
      </c>
      <c r="T107" s="444">
        <v>0</v>
      </c>
      <c r="U107" s="444">
        <v>0</v>
      </c>
      <c r="V107" s="444">
        <v>0</v>
      </c>
      <c r="W107" s="444">
        <v>0</v>
      </c>
      <c r="X107" s="442" t="s">
        <v>674</v>
      </c>
      <c r="Y107" s="442" t="s">
        <v>675</v>
      </c>
      <c r="Z107" s="442" t="s">
        <v>675</v>
      </c>
      <c r="AA107" s="442" t="s">
        <v>675</v>
      </c>
      <c r="AB107" s="442" t="s">
        <v>675</v>
      </c>
      <c r="AC107" s="442"/>
      <c r="AD107" s="442"/>
      <c r="AE107" s="442" t="s">
        <v>676</v>
      </c>
      <c r="AF107" s="442"/>
      <c r="AG107" s="443" t="s">
        <v>692</v>
      </c>
      <c r="AH107" s="442"/>
      <c r="AI107" s="443" t="s">
        <v>692</v>
      </c>
      <c r="AJ107" s="443" t="s">
        <v>677</v>
      </c>
      <c r="AK107" s="442" t="s">
        <v>677</v>
      </c>
      <c r="AL107" s="442"/>
      <c r="AM107" s="442"/>
      <c r="AN107" s="442"/>
      <c r="AO107" s="442"/>
      <c r="AP107" s="442"/>
      <c r="AQ107" s="442"/>
      <c r="AR107" s="444"/>
      <c r="AS107" s="442"/>
      <c r="AT107" s="444"/>
      <c r="AU107" s="442" t="s">
        <v>678</v>
      </c>
      <c r="AV107" s="442" t="s">
        <v>677</v>
      </c>
      <c r="AW107" s="442" t="s">
        <v>676</v>
      </c>
      <c r="AX107" s="442" t="s">
        <v>674</v>
      </c>
      <c r="AY107" s="442"/>
      <c r="AZ107" s="442"/>
      <c r="BA107" s="442" t="s">
        <v>679</v>
      </c>
      <c r="BB107" s="442"/>
      <c r="BC107" s="442"/>
      <c r="BD107" s="442"/>
      <c r="BE107" s="444"/>
      <c r="BF107" s="442" t="s">
        <v>298</v>
      </c>
      <c r="BG107" s="442" t="s">
        <v>680</v>
      </c>
      <c r="BH107" s="442" t="s">
        <v>681</v>
      </c>
      <c r="BI107" s="442"/>
    </row>
    <row r="108" spans="1:61">
      <c r="A108" s="442" t="s">
        <v>690</v>
      </c>
      <c r="B108" s="442" t="s">
        <v>690</v>
      </c>
      <c r="C108" s="442" t="s">
        <v>690</v>
      </c>
      <c r="D108" s="442" t="s">
        <v>673</v>
      </c>
      <c r="E108" s="442" t="s">
        <v>3</v>
      </c>
      <c r="F108" s="443" t="s">
        <v>83</v>
      </c>
      <c r="G108" s="443" t="s">
        <v>691</v>
      </c>
      <c r="H108" s="444">
        <v>547200</v>
      </c>
      <c r="I108" s="444">
        <v>547200</v>
      </c>
      <c r="J108" s="444">
        <v>0</v>
      </c>
      <c r="K108" s="444">
        <v>0</v>
      </c>
      <c r="L108" s="444">
        <v>547200</v>
      </c>
      <c r="M108" s="444">
        <v>0</v>
      </c>
      <c r="N108" s="444">
        <v>0</v>
      </c>
      <c r="O108" s="444">
        <v>0</v>
      </c>
      <c r="P108" s="444">
        <v>0</v>
      </c>
      <c r="Q108" s="444">
        <v>0</v>
      </c>
      <c r="R108" s="444">
        <v>0</v>
      </c>
      <c r="S108" s="444">
        <v>0</v>
      </c>
      <c r="T108" s="444">
        <v>0</v>
      </c>
      <c r="U108" s="444">
        <v>0</v>
      </c>
      <c r="V108" s="444">
        <v>0</v>
      </c>
      <c r="W108" s="444">
        <v>0</v>
      </c>
      <c r="X108" s="442" t="s">
        <v>674</v>
      </c>
      <c r="Y108" s="442" t="s">
        <v>675</v>
      </c>
      <c r="Z108" s="442" t="s">
        <v>675</v>
      </c>
      <c r="AA108" s="442" t="s">
        <v>675</v>
      </c>
      <c r="AB108" s="442" t="s">
        <v>675</v>
      </c>
      <c r="AC108" s="442"/>
      <c r="AD108" s="442"/>
      <c r="AE108" s="442" t="s">
        <v>676</v>
      </c>
      <c r="AF108" s="442"/>
      <c r="AG108" s="443" t="s">
        <v>693</v>
      </c>
      <c r="AH108" s="442"/>
      <c r="AI108" s="443" t="s">
        <v>693</v>
      </c>
      <c r="AJ108" s="443" t="s">
        <v>677</v>
      </c>
      <c r="AK108" s="442" t="s">
        <v>677</v>
      </c>
      <c r="AL108" s="442"/>
      <c r="AM108" s="442"/>
      <c r="AN108" s="442"/>
      <c r="AO108" s="442"/>
      <c r="AP108" s="442"/>
      <c r="AQ108" s="442"/>
      <c r="AR108" s="444"/>
      <c r="AS108" s="442"/>
      <c r="AT108" s="444"/>
      <c r="AU108" s="442" t="s">
        <v>678</v>
      </c>
      <c r="AV108" s="442" t="s">
        <v>677</v>
      </c>
      <c r="AW108" s="442" t="s">
        <v>676</v>
      </c>
      <c r="AX108" s="442" t="s">
        <v>674</v>
      </c>
      <c r="AY108" s="442"/>
      <c r="AZ108" s="442"/>
      <c r="BA108" s="442" t="s">
        <v>679</v>
      </c>
      <c r="BB108" s="442"/>
      <c r="BC108" s="442"/>
      <c r="BD108" s="442"/>
      <c r="BE108" s="444"/>
      <c r="BF108" s="442" t="s">
        <v>298</v>
      </c>
      <c r="BG108" s="442" t="s">
        <v>680</v>
      </c>
      <c r="BH108" s="442" t="s">
        <v>681</v>
      </c>
      <c r="BI108" s="442"/>
    </row>
    <row r="109" spans="1:61">
      <c r="A109" s="442" t="s">
        <v>690</v>
      </c>
      <c r="B109" s="442" t="s">
        <v>690</v>
      </c>
      <c r="C109" s="442" t="s">
        <v>690</v>
      </c>
      <c r="D109" s="442" t="s">
        <v>673</v>
      </c>
      <c r="E109" s="442" t="s">
        <v>3</v>
      </c>
      <c r="F109" s="443" t="s">
        <v>83</v>
      </c>
      <c r="G109" s="443" t="s">
        <v>691</v>
      </c>
      <c r="H109" s="444">
        <v>52800</v>
      </c>
      <c r="I109" s="444">
        <v>52800</v>
      </c>
      <c r="J109" s="444">
        <v>0</v>
      </c>
      <c r="K109" s="444">
        <v>0</v>
      </c>
      <c r="L109" s="444">
        <v>52800</v>
      </c>
      <c r="M109" s="444">
        <v>0</v>
      </c>
      <c r="N109" s="444">
        <v>0</v>
      </c>
      <c r="O109" s="444">
        <v>0</v>
      </c>
      <c r="P109" s="444">
        <v>0</v>
      </c>
      <c r="Q109" s="444">
        <v>0</v>
      </c>
      <c r="R109" s="444">
        <v>0</v>
      </c>
      <c r="S109" s="444">
        <v>0</v>
      </c>
      <c r="T109" s="444">
        <v>0</v>
      </c>
      <c r="U109" s="444">
        <v>0</v>
      </c>
      <c r="V109" s="444">
        <v>0</v>
      </c>
      <c r="W109" s="444">
        <v>0</v>
      </c>
      <c r="X109" s="442" t="s">
        <v>674</v>
      </c>
      <c r="Y109" s="442" t="s">
        <v>675</v>
      </c>
      <c r="Z109" s="442" t="s">
        <v>675</v>
      </c>
      <c r="AA109" s="442" t="s">
        <v>675</v>
      </c>
      <c r="AB109" s="442" t="s">
        <v>675</v>
      </c>
      <c r="AC109" s="442"/>
      <c r="AD109" s="442"/>
      <c r="AE109" s="442" t="s">
        <v>676</v>
      </c>
      <c r="AF109" s="442"/>
      <c r="AG109" s="443" t="s">
        <v>692</v>
      </c>
      <c r="AH109" s="442"/>
      <c r="AI109" s="443" t="s">
        <v>692</v>
      </c>
      <c r="AJ109" s="443" t="s">
        <v>677</v>
      </c>
      <c r="AK109" s="442" t="s">
        <v>677</v>
      </c>
      <c r="AL109" s="442"/>
      <c r="AM109" s="442"/>
      <c r="AN109" s="442"/>
      <c r="AO109" s="442"/>
      <c r="AP109" s="442"/>
      <c r="AQ109" s="442"/>
      <c r="AR109" s="444"/>
      <c r="AS109" s="442"/>
      <c r="AT109" s="444"/>
      <c r="AU109" s="442" t="s">
        <v>678</v>
      </c>
      <c r="AV109" s="442" t="s">
        <v>677</v>
      </c>
      <c r="AW109" s="442" t="s">
        <v>676</v>
      </c>
      <c r="AX109" s="442" t="s">
        <v>674</v>
      </c>
      <c r="AY109" s="442"/>
      <c r="AZ109" s="442"/>
      <c r="BA109" s="442" t="s">
        <v>679</v>
      </c>
      <c r="BB109" s="442"/>
      <c r="BC109" s="442"/>
      <c r="BD109" s="442"/>
      <c r="BE109" s="444"/>
      <c r="BF109" s="442" t="s">
        <v>298</v>
      </c>
      <c r="BG109" s="442" t="s">
        <v>680</v>
      </c>
      <c r="BH109" s="442" t="s">
        <v>681</v>
      </c>
      <c r="BI109" s="442"/>
    </row>
    <row r="110" spans="1:61">
      <c r="A110" s="442" t="s">
        <v>690</v>
      </c>
      <c r="B110" s="442" t="s">
        <v>690</v>
      </c>
      <c r="C110" s="442" t="s">
        <v>690</v>
      </c>
      <c r="D110" s="442" t="s">
        <v>673</v>
      </c>
      <c r="E110" s="442" t="s">
        <v>3</v>
      </c>
      <c r="F110" s="443" t="s">
        <v>83</v>
      </c>
      <c r="G110" s="443" t="s">
        <v>691</v>
      </c>
      <c r="H110" s="444">
        <v>1003200</v>
      </c>
      <c r="I110" s="444">
        <v>1003200</v>
      </c>
      <c r="J110" s="444">
        <v>0</v>
      </c>
      <c r="K110" s="444">
        <v>0</v>
      </c>
      <c r="L110" s="444">
        <v>1003200</v>
      </c>
      <c r="M110" s="444">
        <v>0</v>
      </c>
      <c r="N110" s="444">
        <v>0</v>
      </c>
      <c r="O110" s="444">
        <v>0</v>
      </c>
      <c r="P110" s="444">
        <v>0</v>
      </c>
      <c r="Q110" s="444">
        <v>0</v>
      </c>
      <c r="R110" s="444">
        <v>0</v>
      </c>
      <c r="S110" s="444">
        <v>0</v>
      </c>
      <c r="T110" s="444">
        <v>0</v>
      </c>
      <c r="U110" s="444">
        <v>0</v>
      </c>
      <c r="V110" s="444">
        <v>0</v>
      </c>
      <c r="W110" s="444">
        <v>0</v>
      </c>
      <c r="X110" s="442" t="s">
        <v>674</v>
      </c>
      <c r="Y110" s="442" t="s">
        <v>675</v>
      </c>
      <c r="Z110" s="442" t="s">
        <v>675</v>
      </c>
      <c r="AA110" s="442" t="s">
        <v>675</v>
      </c>
      <c r="AB110" s="442" t="s">
        <v>675</v>
      </c>
      <c r="AC110" s="442"/>
      <c r="AD110" s="442"/>
      <c r="AE110" s="442" t="s">
        <v>676</v>
      </c>
      <c r="AF110" s="442"/>
      <c r="AG110" s="443" t="s">
        <v>693</v>
      </c>
      <c r="AH110" s="442"/>
      <c r="AI110" s="443" t="s">
        <v>693</v>
      </c>
      <c r="AJ110" s="443" t="s">
        <v>677</v>
      </c>
      <c r="AK110" s="442" t="s">
        <v>677</v>
      </c>
      <c r="AL110" s="442"/>
      <c r="AM110" s="442"/>
      <c r="AN110" s="442"/>
      <c r="AO110" s="442"/>
      <c r="AP110" s="442"/>
      <c r="AQ110" s="442"/>
      <c r="AR110" s="444"/>
      <c r="AS110" s="442"/>
      <c r="AT110" s="444"/>
      <c r="AU110" s="442" t="s">
        <v>678</v>
      </c>
      <c r="AV110" s="442" t="s">
        <v>677</v>
      </c>
      <c r="AW110" s="442" t="s">
        <v>676</v>
      </c>
      <c r="AX110" s="442" t="s">
        <v>674</v>
      </c>
      <c r="AY110" s="442"/>
      <c r="AZ110" s="442"/>
      <c r="BA110" s="442" t="s">
        <v>679</v>
      </c>
      <c r="BB110" s="442"/>
      <c r="BC110" s="442"/>
      <c r="BD110" s="442"/>
      <c r="BE110" s="444"/>
      <c r="BF110" s="442" t="s">
        <v>298</v>
      </c>
      <c r="BG110" s="442" t="s">
        <v>680</v>
      </c>
      <c r="BH110" s="442" t="s">
        <v>681</v>
      </c>
      <c r="BI110" s="442"/>
    </row>
    <row r="111" spans="1:61">
      <c r="A111" s="442" t="s">
        <v>690</v>
      </c>
      <c r="B111" s="442" t="s">
        <v>690</v>
      </c>
      <c r="C111" s="442" t="s">
        <v>690</v>
      </c>
      <c r="D111" s="442" t="s">
        <v>673</v>
      </c>
      <c r="E111" s="442" t="s">
        <v>3</v>
      </c>
      <c r="F111" s="443" t="s">
        <v>83</v>
      </c>
      <c r="G111" s="443" t="s">
        <v>691</v>
      </c>
      <c r="H111" s="444">
        <v>52800</v>
      </c>
      <c r="I111" s="444">
        <v>52800</v>
      </c>
      <c r="J111" s="444">
        <v>0</v>
      </c>
      <c r="K111" s="444">
        <v>0</v>
      </c>
      <c r="L111" s="444">
        <v>52800</v>
      </c>
      <c r="M111" s="444">
        <v>0</v>
      </c>
      <c r="N111" s="444">
        <v>0</v>
      </c>
      <c r="O111" s="444">
        <v>0</v>
      </c>
      <c r="P111" s="444">
        <v>0</v>
      </c>
      <c r="Q111" s="444">
        <v>0</v>
      </c>
      <c r="R111" s="444">
        <v>0</v>
      </c>
      <c r="S111" s="444">
        <v>0</v>
      </c>
      <c r="T111" s="444">
        <v>0</v>
      </c>
      <c r="U111" s="444">
        <v>0</v>
      </c>
      <c r="V111" s="444">
        <v>0</v>
      </c>
      <c r="W111" s="444">
        <v>0</v>
      </c>
      <c r="X111" s="442" t="s">
        <v>674</v>
      </c>
      <c r="Y111" s="442" t="s">
        <v>675</v>
      </c>
      <c r="Z111" s="442" t="s">
        <v>675</v>
      </c>
      <c r="AA111" s="442" t="s">
        <v>675</v>
      </c>
      <c r="AB111" s="442" t="s">
        <v>675</v>
      </c>
      <c r="AC111" s="442"/>
      <c r="AD111" s="442"/>
      <c r="AE111" s="442" t="s">
        <v>676</v>
      </c>
      <c r="AF111" s="442"/>
      <c r="AG111" s="443" t="s">
        <v>692</v>
      </c>
      <c r="AH111" s="442"/>
      <c r="AI111" s="443" t="s">
        <v>692</v>
      </c>
      <c r="AJ111" s="443" t="s">
        <v>677</v>
      </c>
      <c r="AK111" s="442" t="s">
        <v>677</v>
      </c>
      <c r="AL111" s="442"/>
      <c r="AM111" s="442"/>
      <c r="AN111" s="442"/>
      <c r="AO111" s="442"/>
      <c r="AP111" s="442"/>
      <c r="AQ111" s="442"/>
      <c r="AR111" s="444"/>
      <c r="AS111" s="442"/>
      <c r="AT111" s="444"/>
      <c r="AU111" s="442" t="s">
        <v>678</v>
      </c>
      <c r="AV111" s="442" t="s">
        <v>677</v>
      </c>
      <c r="AW111" s="442" t="s">
        <v>676</v>
      </c>
      <c r="AX111" s="442" t="s">
        <v>674</v>
      </c>
      <c r="AY111" s="442"/>
      <c r="AZ111" s="442"/>
      <c r="BA111" s="442" t="s">
        <v>679</v>
      </c>
      <c r="BB111" s="442"/>
      <c r="BC111" s="442"/>
      <c r="BD111" s="442"/>
      <c r="BE111" s="444"/>
      <c r="BF111" s="442" t="s">
        <v>298</v>
      </c>
      <c r="BG111" s="442" t="s">
        <v>680</v>
      </c>
      <c r="BH111" s="442" t="s">
        <v>681</v>
      </c>
      <c r="BI111" s="442"/>
    </row>
    <row r="112" spans="1:61">
      <c r="A112" s="442" t="s">
        <v>690</v>
      </c>
      <c r="B112" s="442" t="s">
        <v>690</v>
      </c>
      <c r="C112" s="442" t="s">
        <v>690</v>
      </c>
      <c r="D112" s="442" t="s">
        <v>673</v>
      </c>
      <c r="E112" s="442" t="s">
        <v>3</v>
      </c>
      <c r="F112" s="443" t="s">
        <v>83</v>
      </c>
      <c r="G112" s="443" t="s">
        <v>691</v>
      </c>
      <c r="H112" s="444">
        <v>88000</v>
      </c>
      <c r="I112" s="444">
        <v>88000</v>
      </c>
      <c r="J112" s="444">
        <v>0</v>
      </c>
      <c r="K112" s="444">
        <v>0</v>
      </c>
      <c r="L112" s="444">
        <v>88000</v>
      </c>
      <c r="M112" s="444">
        <v>0</v>
      </c>
      <c r="N112" s="444">
        <v>0</v>
      </c>
      <c r="O112" s="444">
        <v>0</v>
      </c>
      <c r="P112" s="444">
        <v>0</v>
      </c>
      <c r="Q112" s="444">
        <v>0</v>
      </c>
      <c r="R112" s="444">
        <v>0</v>
      </c>
      <c r="S112" s="444">
        <v>0</v>
      </c>
      <c r="T112" s="444">
        <v>0</v>
      </c>
      <c r="U112" s="444">
        <v>0</v>
      </c>
      <c r="V112" s="444">
        <v>0</v>
      </c>
      <c r="W112" s="444">
        <v>0</v>
      </c>
      <c r="X112" s="442" t="s">
        <v>674</v>
      </c>
      <c r="Y112" s="442" t="s">
        <v>675</v>
      </c>
      <c r="Z112" s="442" t="s">
        <v>675</v>
      </c>
      <c r="AA112" s="442" t="s">
        <v>675</v>
      </c>
      <c r="AB112" s="442" t="s">
        <v>675</v>
      </c>
      <c r="AC112" s="442"/>
      <c r="AD112" s="442"/>
      <c r="AE112" s="442" t="s">
        <v>676</v>
      </c>
      <c r="AF112" s="442"/>
      <c r="AG112" s="443" t="s">
        <v>695</v>
      </c>
      <c r="AH112" s="442"/>
      <c r="AI112" s="443" t="s">
        <v>695</v>
      </c>
      <c r="AJ112" s="443" t="s">
        <v>677</v>
      </c>
      <c r="AK112" s="442" t="s">
        <v>677</v>
      </c>
      <c r="AL112" s="442"/>
      <c r="AM112" s="442"/>
      <c r="AN112" s="442"/>
      <c r="AO112" s="442"/>
      <c r="AP112" s="442"/>
      <c r="AQ112" s="442"/>
      <c r="AR112" s="444"/>
      <c r="AS112" s="442"/>
      <c r="AT112" s="444"/>
      <c r="AU112" s="442" t="s">
        <v>678</v>
      </c>
      <c r="AV112" s="442" t="s">
        <v>677</v>
      </c>
      <c r="AW112" s="442" t="s">
        <v>676</v>
      </c>
      <c r="AX112" s="442" t="s">
        <v>674</v>
      </c>
      <c r="AY112" s="442"/>
      <c r="AZ112" s="442"/>
      <c r="BA112" s="442" t="s">
        <v>679</v>
      </c>
      <c r="BB112" s="442"/>
      <c r="BC112" s="442"/>
      <c r="BD112" s="442"/>
      <c r="BE112" s="444"/>
      <c r="BF112" s="442" t="s">
        <v>298</v>
      </c>
      <c r="BG112" s="442" t="s">
        <v>680</v>
      </c>
      <c r="BH112" s="442" t="s">
        <v>681</v>
      </c>
      <c r="BI112" s="442"/>
    </row>
    <row r="113" spans="1:61">
      <c r="A113" s="442" t="s">
        <v>690</v>
      </c>
      <c r="B113" s="442" t="s">
        <v>690</v>
      </c>
      <c r="C113" s="442" t="s">
        <v>690</v>
      </c>
      <c r="D113" s="442" t="s">
        <v>673</v>
      </c>
      <c r="E113" s="442" t="s">
        <v>3</v>
      </c>
      <c r="F113" s="443" t="s">
        <v>83</v>
      </c>
      <c r="G113" s="443" t="s">
        <v>691</v>
      </c>
      <c r="H113" s="444">
        <v>912000</v>
      </c>
      <c r="I113" s="444">
        <v>912000</v>
      </c>
      <c r="J113" s="444">
        <v>0</v>
      </c>
      <c r="K113" s="444">
        <v>0</v>
      </c>
      <c r="L113" s="444">
        <v>912000</v>
      </c>
      <c r="M113" s="444">
        <v>0</v>
      </c>
      <c r="N113" s="444">
        <v>0</v>
      </c>
      <c r="O113" s="444">
        <v>0</v>
      </c>
      <c r="P113" s="444">
        <v>0</v>
      </c>
      <c r="Q113" s="444">
        <v>0</v>
      </c>
      <c r="R113" s="444">
        <v>0</v>
      </c>
      <c r="S113" s="444">
        <v>0</v>
      </c>
      <c r="T113" s="444">
        <v>0</v>
      </c>
      <c r="U113" s="444">
        <v>0</v>
      </c>
      <c r="V113" s="444">
        <v>0</v>
      </c>
      <c r="W113" s="444">
        <v>0</v>
      </c>
      <c r="X113" s="442" t="s">
        <v>674</v>
      </c>
      <c r="Y113" s="442" t="s">
        <v>675</v>
      </c>
      <c r="Z113" s="442" t="s">
        <v>675</v>
      </c>
      <c r="AA113" s="442" t="s">
        <v>675</v>
      </c>
      <c r="AB113" s="442" t="s">
        <v>675</v>
      </c>
      <c r="AC113" s="442"/>
      <c r="AD113" s="442"/>
      <c r="AE113" s="442" t="s">
        <v>676</v>
      </c>
      <c r="AF113" s="442"/>
      <c r="AG113" s="443" t="s">
        <v>696</v>
      </c>
      <c r="AH113" s="442"/>
      <c r="AI113" s="443" t="s">
        <v>696</v>
      </c>
      <c r="AJ113" s="443" t="s">
        <v>677</v>
      </c>
      <c r="AK113" s="442" t="s">
        <v>677</v>
      </c>
      <c r="AL113" s="442"/>
      <c r="AM113" s="442"/>
      <c r="AN113" s="442"/>
      <c r="AO113" s="442"/>
      <c r="AP113" s="442"/>
      <c r="AQ113" s="442"/>
      <c r="AR113" s="444"/>
      <c r="AS113" s="442"/>
      <c r="AT113" s="444"/>
      <c r="AU113" s="442" t="s">
        <v>678</v>
      </c>
      <c r="AV113" s="442" t="s">
        <v>677</v>
      </c>
      <c r="AW113" s="442" t="s">
        <v>676</v>
      </c>
      <c r="AX113" s="442" t="s">
        <v>674</v>
      </c>
      <c r="AY113" s="442"/>
      <c r="AZ113" s="442"/>
      <c r="BA113" s="442" t="s">
        <v>679</v>
      </c>
      <c r="BB113" s="442"/>
      <c r="BC113" s="442"/>
      <c r="BD113" s="442"/>
      <c r="BE113" s="444"/>
      <c r="BF113" s="442" t="s">
        <v>298</v>
      </c>
      <c r="BG113" s="442" t="s">
        <v>680</v>
      </c>
      <c r="BH113" s="442" t="s">
        <v>681</v>
      </c>
      <c r="BI113" s="442"/>
    </row>
    <row r="114" spans="1:61">
      <c r="A114" s="442" t="s">
        <v>690</v>
      </c>
      <c r="B114" s="442" t="s">
        <v>690</v>
      </c>
      <c r="C114" s="442" t="s">
        <v>690</v>
      </c>
      <c r="D114" s="442" t="s">
        <v>673</v>
      </c>
      <c r="E114" s="442" t="s">
        <v>3</v>
      </c>
      <c r="F114" s="443" t="s">
        <v>83</v>
      </c>
      <c r="G114" s="443" t="s">
        <v>691</v>
      </c>
      <c r="H114" s="444">
        <v>547200</v>
      </c>
      <c r="I114" s="444">
        <v>547200</v>
      </c>
      <c r="J114" s="444">
        <v>0</v>
      </c>
      <c r="K114" s="444">
        <v>0</v>
      </c>
      <c r="L114" s="444">
        <v>547200</v>
      </c>
      <c r="M114" s="444">
        <v>0</v>
      </c>
      <c r="N114" s="444">
        <v>0</v>
      </c>
      <c r="O114" s="444">
        <v>0</v>
      </c>
      <c r="P114" s="444">
        <v>0</v>
      </c>
      <c r="Q114" s="444">
        <v>0</v>
      </c>
      <c r="R114" s="444">
        <v>0</v>
      </c>
      <c r="S114" s="444">
        <v>0</v>
      </c>
      <c r="T114" s="444">
        <v>0</v>
      </c>
      <c r="U114" s="444">
        <v>0</v>
      </c>
      <c r="V114" s="444">
        <v>0</v>
      </c>
      <c r="W114" s="444">
        <v>0</v>
      </c>
      <c r="X114" s="442" t="s">
        <v>674</v>
      </c>
      <c r="Y114" s="442" t="s">
        <v>675</v>
      </c>
      <c r="Z114" s="442" t="s">
        <v>675</v>
      </c>
      <c r="AA114" s="442" t="s">
        <v>675</v>
      </c>
      <c r="AB114" s="442" t="s">
        <v>675</v>
      </c>
      <c r="AC114" s="442"/>
      <c r="AD114" s="442"/>
      <c r="AE114" s="442" t="s">
        <v>676</v>
      </c>
      <c r="AF114" s="442"/>
      <c r="AG114" s="443" t="s">
        <v>693</v>
      </c>
      <c r="AH114" s="442"/>
      <c r="AI114" s="443" t="s">
        <v>693</v>
      </c>
      <c r="AJ114" s="443" t="s">
        <v>677</v>
      </c>
      <c r="AK114" s="442" t="s">
        <v>677</v>
      </c>
      <c r="AL114" s="442"/>
      <c r="AM114" s="442"/>
      <c r="AN114" s="442"/>
      <c r="AO114" s="442"/>
      <c r="AP114" s="442"/>
      <c r="AQ114" s="442"/>
      <c r="AR114" s="444"/>
      <c r="AS114" s="442"/>
      <c r="AT114" s="444"/>
      <c r="AU114" s="442" t="s">
        <v>678</v>
      </c>
      <c r="AV114" s="442" t="s">
        <v>677</v>
      </c>
      <c r="AW114" s="442" t="s">
        <v>676</v>
      </c>
      <c r="AX114" s="442" t="s">
        <v>674</v>
      </c>
      <c r="AY114" s="442"/>
      <c r="AZ114" s="442"/>
      <c r="BA114" s="442" t="s">
        <v>679</v>
      </c>
      <c r="BB114" s="442"/>
      <c r="BC114" s="442"/>
      <c r="BD114" s="442"/>
      <c r="BE114" s="444"/>
      <c r="BF114" s="442" t="s">
        <v>298</v>
      </c>
      <c r="BG114" s="442" t="s">
        <v>680</v>
      </c>
      <c r="BH114" s="442" t="s">
        <v>681</v>
      </c>
      <c r="BI114" s="442"/>
    </row>
    <row r="115" spans="1:61">
      <c r="A115" s="442" t="s">
        <v>690</v>
      </c>
      <c r="B115" s="442" t="s">
        <v>690</v>
      </c>
      <c r="C115" s="442" t="s">
        <v>690</v>
      </c>
      <c r="D115" s="442" t="s">
        <v>673</v>
      </c>
      <c r="E115" s="442" t="s">
        <v>3</v>
      </c>
      <c r="F115" s="443" t="s">
        <v>83</v>
      </c>
      <c r="G115" s="443" t="s">
        <v>691</v>
      </c>
      <c r="H115" s="444">
        <v>547200</v>
      </c>
      <c r="I115" s="444">
        <v>547200</v>
      </c>
      <c r="J115" s="444">
        <v>0</v>
      </c>
      <c r="K115" s="444">
        <v>0</v>
      </c>
      <c r="L115" s="444">
        <v>547200</v>
      </c>
      <c r="M115" s="444">
        <v>0</v>
      </c>
      <c r="N115" s="444">
        <v>0</v>
      </c>
      <c r="O115" s="444">
        <v>0</v>
      </c>
      <c r="P115" s="444">
        <v>0</v>
      </c>
      <c r="Q115" s="444">
        <v>0</v>
      </c>
      <c r="R115" s="444">
        <v>0</v>
      </c>
      <c r="S115" s="444">
        <v>0</v>
      </c>
      <c r="T115" s="444">
        <v>0</v>
      </c>
      <c r="U115" s="444">
        <v>0</v>
      </c>
      <c r="V115" s="444">
        <v>0</v>
      </c>
      <c r="W115" s="444">
        <v>0</v>
      </c>
      <c r="X115" s="442" t="s">
        <v>674</v>
      </c>
      <c r="Y115" s="442" t="s">
        <v>675</v>
      </c>
      <c r="Z115" s="442" t="s">
        <v>675</v>
      </c>
      <c r="AA115" s="442" t="s">
        <v>675</v>
      </c>
      <c r="AB115" s="442" t="s">
        <v>675</v>
      </c>
      <c r="AC115" s="442"/>
      <c r="AD115" s="442"/>
      <c r="AE115" s="442" t="s">
        <v>676</v>
      </c>
      <c r="AF115" s="442"/>
      <c r="AG115" s="443" t="s">
        <v>693</v>
      </c>
      <c r="AH115" s="442"/>
      <c r="AI115" s="443" t="s">
        <v>693</v>
      </c>
      <c r="AJ115" s="443" t="s">
        <v>677</v>
      </c>
      <c r="AK115" s="442" t="s">
        <v>677</v>
      </c>
      <c r="AL115" s="442"/>
      <c r="AM115" s="442"/>
      <c r="AN115" s="442"/>
      <c r="AO115" s="442"/>
      <c r="AP115" s="442"/>
      <c r="AQ115" s="442"/>
      <c r="AR115" s="444"/>
      <c r="AS115" s="442"/>
      <c r="AT115" s="444"/>
      <c r="AU115" s="442" t="s">
        <v>678</v>
      </c>
      <c r="AV115" s="442" t="s">
        <v>677</v>
      </c>
      <c r="AW115" s="442" t="s">
        <v>676</v>
      </c>
      <c r="AX115" s="442" t="s">
        <v>674</v>
      </c>
      <c r="AY115" s="442"/>
      <c r="AZ115" s="442"/>
      <c r="BA115" s="442" t="s">
        <v>679</v>
      </c>
      <c r="BB115" s="442"/>
      <c r="BC115" s="442"/>
      <c r="BD115" s="442"/>
      <c r="BE115" s="444"/>
      <c r="BF115" s="442" t="s">
        <v>298</v>
      </c>
      <c r="BG115" s="442" t="s">
        <v>680</v>
      </c>
      <c r="BH115" s="442" t="s">
        <v>681</v>
      </c>
      <c r="BI115" s="442"/>
    </row>
    <row r="116" spans="1:61">
      <c r="A116" s="442" t="s">
        <v>690</v>
      </c>
      <c r="B116" s="442" t="s">
        <v>690</v>
      </c>
      <c r="C116" s="442" t="s">
        <v>690</v>
      </c>
      <c r="D116" s="442" t="s">
        <v>673</v>
      </c>
      <c r="E116" s="442" t="s">
        <v>3</v>
      </c>
      <c r="F116" s="443" t="s">
        <v>83</v>
      </c>
      <c r="G116" s="443" t="s">
        <v>691</v>
      </c>
      <c r="H116" s="444">
        <v>52800</v>
      </c>
      <c r="I116" s="444">
        <v>52800</v>
      </c>
      <c r="J116" s="444">
        <v>0</v>
      </c>
      <c r="K116" s="444">
        <v>0</v>
      </c>
      <c r="L116" s="444">
        <v>52800</v>
      </c>
      <c r="M116" s="444">
        <v>0</v>
      </c>
      <c r="N116" s="444">
        <v>0</v>
      </c>
      <c r="O116" s="444">
        <v>0</v>
      </c>
      <c r="P116" s="444">
        <v>0</v>
      </c>
      <c r="Q116" s="444">
        <v>0</v>
      </c>
      <c r="R116" s="444">
        <v>0</v>
      </c>
      <c r="S116" s="444">
        <v>0</v>
      </c>
      <c r="T116" s="444">
        <v>0</v>
      </c>
      <c r="U116" s="444">
        <v>0</v>
      </c>
      <c r="V116" s="444">
        <v>0</v>
      </c>
      <c r="W116" s="444">
        <v>0</v>
      </c>
      <c r="X116" s="442" t="s">
        <v>674</v>
      </c>
      <c r="Y116" s="442" t="s">
        <v>675</v>
      </c>
      <c r="Z116" s="442" t="s">
        <v>675</v>
      </c>
      <c r="AA116" s="442" t="s">
        <v>675</v>
      </c>
      <c r="AB116" s="442" t="s">
        <v>675</v>
      </c>
      <c r="AC116" s="442"/>
      <c r="AD116" s="442"/>
      <c r="AE116" s="442" t="s">
        <v>676</v>
      </c>
      <c r="AF116" s="442"/>
      <c r="AG116" s="443" t="s">
        <v>692</v>
      </c>
      <c r="AH116" s="442"/>
      <c r="AI116" s="443" t="s">
        <v>692</v>
      </c>
      <c r="AJ116" s="443" t="s">
        <v>677</v>
      </c>
      <c r="AK116" s="442" t="s">
        <v>677</v>
      </c>
      <c r="AL116" s="442"/>
      <c r="AM116" s="442"/>
      <c r="AN116" s="442"/>
      <c r="AO116" s="442"/>
      <c r="AP116" s="442"/>
      <c r="AQ116" s="442"/>
      <c r="AR116" s="444"/>
      <c r="AS116" s="442"/>
      <c r="AT116" s="444"/>
      <c r="AU116" s="442" t="s">
        <v>678</v>
      </c>
      <c r="AV116" s="442" t="s">
        <v>677</v>
      </c>
      <c r="AW116" s="442" t="s">
        <v>676</v>
      </c>
      <c r="AX116" s="442" t="s">
        <v>674</v>
      </c>
      <c r="AY116" s="442"/>
      <c r="AZ116" s="442"/>
      <c r="BA116" s="442" t="s">
        <v>679</v>
      </c>
      <c r="BB116" s="442"/>
      <c r="BC116" s="442"/>
      <c r="BD116" s="442"/>
      <c r="BE116" s="444"/>
      <c r="BF116" s="442" t="s">
        <v>298</v>
      </c>
      <c r="BG116" s="442" t="s">
        <v>680</v>
      </c>
      <c r="BH116" s="442" t="s">
        <v>681</v>
      </c>
      <c r="BI116" s="442"/>
    </row>
    <row r="117" spans="1:61">
      <c r="A117" s="442" t="s">
        <v>690</v>
      </c>
      <c r="B117" s="442" t="s">
        <v>690</v>
      </c>
      <c r="C117" s="442" t="s">
        <v>690</v>
      </c>
      <c r="D117" s="442" t="s">
        <v>673</v>
      </c>
      <c r="E117" s="442" t="s">
        <v>3</v>
      </c>
      <c r="F117" s="443" t="s">
        <v>83</v>
      </c>
      <c r="G117" s="443" t="s">
        <v>691</v>
      </c>
      <c r="H117" s="444">
        <v>52800</v>
      </c>
      <c r="I117" s="444">
        <v>52800</v>
      </c>
      <c r="J117" s="444">
        <v>0</v>
      </c>
      <c r="K117" s="444">
        <v>0</v>
      </c>
      <c r="L117" s="444">
        <v>52800</v>
      </c>
      <c r="M117" s="444">
        <v>0</v>
      </c>
      <c r="N117" s="444">
        <v>0</v>
      </c>
      <c r="O117" s="444">
        <v>0</v>
      </c>
      <c r="P117" s="444">
        <v>0</v>
      </c>
      <c r="Q117" s="444">
        <v>0</v>
      </c>
      <c r="R117" s="444">
        <v>0</v>
      </c>
      <c r="S117" s="444">
        <v>0</v>
      </c>
      <c r="T117" s="444">
        <v>0</v>
      </c>
      <c r="U117" s="444">
        <v>0</v>
      </c>
      <c r="V117" s="444">
        <v>0</v>
      </c>
      <c r="W117" s="444">
        <v>0</v>
      </c>
      <c r="X117" s="442" t="s">
        <v>674</v>
      </c>
      <c r="Y117" s="442" t="s">
        <v>675</v>
      </c>
      <c r="Z117" s="442" t="s">
        <v>675</v>
      </c>
      <c r="AA117" s="442" t="s">
        <v>675</v>
      </c>
      <c r="AB117" s="442" t="s">
        <v>675</v>
      </c>
      <c r="AC117" s="442"/>
      <c r="AD117" s="442"/>
      <c r="AE117" s="442" t="s">
        <v>676</v>
      </c>
      <c r="AF117" s="442"/>
      <c r="AG117" s="443" t="s">
        <v>692</v>
      </c>
      <c r="AH117" s="442"/>
      <c r="AI117" s="443" t="s">
        <v>692</v>
      </c>
      <c r="AJ117" s="443" t="s">
        <v>677</v>
      </c>
      <c r="AK117" s="442" t="s">
        <v>677</v>
      </c>
      <c r="AL117" s="442"/>
      <c r="AM117" s="442"/>
      <c r="AN117" s="442"/>
      <c r="AO117" s="442"/>
      <c r="AP117" s="442"/>
      <c r="AQ117" s="442"/>
      <c r="AR117" s="444"/>
      <c r="AS117" s="442"/>
      <c r="AT117" s="444"/>
      <c r="AU117" s="442" t="s">
        <v>678</v>
      </c>
      <c r="AV117" s="442" t="s">
        <v>677</v>
      </c>
      <c r="AW117" s="442" t="s">
        <v>676</v>
      </c>
      <c r="AX117" s="442" t="s">
        <v>674</v>
      </c>
      <c r="AY117" s="442"/>
      <c r="AZ117" s="442"/>
      <c r="BA117" s="442" t="s">
        <v>679</v>
      </c>
      <c r="BB117" s="442"/>
      <c r="BC117" s="442"/>
      <c r="BD117" s="442"/>
      <c r="BE117" s="444"/>
      <c r="BF117" s="442" t="s">
        <v>298</v>
      </c>
      <c r="BG117" s="442" t="s">
        <v>680</v>
      </c>
      <c r="BH117" s="442" t="s">
        <v>681</v>
      </c>
      <c r="BI117" s="442"/>
    </row>
    <row r="118" spans="1:61">
      <c r="A118" s="442" t="s">
        <v>690</v>
      </c>
      <c r="B118" s="442" t="s">
        <v>690</v>
      </c>
      <c r="C118" s="442" t="s">
        <v>690</v>
      </c>
      <c r="D118" s="442" t="s">
        <v>673</v>
      </c>
      <c r="E118" s="442" t="s">
        <v>3</v>
      </c>
      <c r="F118" s="443" t="s">
        <v>83</v>
      </c>
      <c r="G118" s="443" t="s">
        <v>691</v>
      </c>
      <c r="H118" s="444">
        <v>96800</v>
      </c>
      <c r="I118" s="444">
        <v>96800</v>
      </c>
      <c r="J118" s="444">
        <v>0</v>
      </c>
      <c r="K118" s="444">
        <v>0</v>
      </c>
      <c r="L118" s="444">
        <v>96800</v>
      </c>
      <c r="M118" s="444">
        <v>0</v>
      </c>
      <c r="N118" s="444">
        <v>0</v>
      </c>
      <c r="O118" s="444">
        <v>0</v>
      </c>
      <c r="P118" s="444">
        <v>0</v>
      </c>
      <c r="Q118" s="444">
        <v>0</v>
      </c>
      <c r="R118" s="444">
        <v>0</v>
      </c>
      <c r="S118" s="444">
        <v>0</v>
      </c>
      <c r="T118" s="444">
        <v>0</v>
      </c>
      <c r="U118" s="444">
        <v>0</v>
      </c>
      <c r="V118" s="444">
        <v>0</v>
      </c>
      <c r="W118" s="444">
        <v>0</v>
      </c>
      <c r="X118" s="442" t="s">
        <v>674</v>
      </c>
      <c r="Y118" s="442" t="s">
        <v>675</v>
      </c>
      <c r="Z118" s="442" t="s">
        <v>675</v>
      </c>
      <c r="AA118" s="442" t="s">
        <v>675</v>
      </c>
      <c r="AB118" s="442" t="s">
        <v>675</v>
      </c>
      <c r="AC118" s="442"/>
      <c r="AD118" s="442"/>
      <c r="AE118" s="442" t="s">
        <v>676</v>
      </c>
      <c r="AF118" s="442"/>
      <c r="AG118" s="443" t="s">
        <v>692</v>
      </c>
      <c r="AH118" s="442"/>
      <c r="AI118" s="443" t="s">
        <v>692</v>
      </c>
      <c r="AJ118" s="443" t="s">
        <v>677</v>
      </c>
      <c r="AK118" s="442" t="s">
        <v>677</v>
      </c>
      <c r="AL118" s="442"/>
      <c r="AM118" s="442"/>
      <c r="AN118" s="442"/>
      <c r="AO118" s="442"/>
      <c r="AP118" s="442"/>
      <c r="AQ118" s="442"/>
      <c r="AR118" s="444"/>
      <c r="AS118" s="442"/>
      <c r="AT118" s="444"/>
      <c r="AU118" s="442" t="s">
        <v>678</v>
      </c>
      <c r="AV118" s="442" t="s">
        <v>677</v>
      </c>
      <c r="AW118" s="442" t="s">
        <v>676</v>
      </c>
      <c r="AX118" s="442" t="s">
        <v>674</v>
      </c>
      <c r="AY118" s="442"/>
      <c r="AZ118" s="442"/>
      <c r="BA118" s="442" t="s">
        <v>679</v>
      </c>
      <c r="BB118" s="442"/>
      <c r="BC118" s="442"/>
      <c r="BD118" s="442"/>
      <c r="BE118" s="444"/>
      <c r="BF118" s="442" t="s">
        <v>298</v>
      </c>
      <c r="BG118" s="442" t="s">
        <v>680</v>
      </c>
      <c r="BH118" s="442" t="s">
        <v>681</v>
      </c>
      <c r="BI118" s="442"/>
    </row>
    <row r="119" spans="1:61">
      <c r="A119" s="442" t="s">
        <v>690</v>
      </c>
      <c r="B119" s="442" t="s">
        <v>690</v>
      </c>
      <c r="C119" s="442" t="s">
        <v>690</v>
      </c>
      <c r="D119" s="442" t="s">
        <v>673</v>
      </c>
      <c r="E119" s="442" t="s">
        <v>3</v>
      </c>
      <c r="F119" s="443" t="s">
        <v>83</v>
      </c>
      <c r="G119" s="443" t="s">
        <v>691</v>
      </c>
      <c r="H119" s="444">
        <v>547200</v>
      </c>
      <c r="I119" s="444">
        <v>547200</v>
      </c>
      <c r="J119" s="444">
        <v>0</v>
      </c>
      <c r="K119" s="444">
        <v>0</v>
      </c>
      <c r="L119" s="444">
        <v>547200</v>
      </c>
      <c r="M119" s="444">
        <v>0</v>
      </c>
      <c r="N119" s="444">
        <v>0</v>
      </c>
      <c r="O119" s="444">
        <v>0</v>
      </c>
      <c r="P119" s="444">
        <v>0</v>
      </c>
      <c r="Q119" s="444">
        <v>0</v>
      </c>
      <c r="R119" s="444">
        <v>0</v>
      </c>
      <c r="S119" s="444">
        <v>0</v>
      </c>
      <c r="T119" s="444">
        <v>0</v>
      </c>
      <c r="U119" s="444">
        <v>0</v>
      </c>
      <c r="V119" s="444">
        <v>0</v>
      </c>
      <c r="W119" s="444">
        <v>0</v>
      </c>
      <c r="X119" s="442" t="s">
        <v>674</v>
      </c>
      <c r="Y119" s="442" t="s">
        <v>675</v>
      </c>
      <c r="Z119" s="442" t="s">
        <v>675</v>
      </c>
      <c r="AA119" s="442" t="s">
        <v>675</v>
      </c>
      <c r="AB119" s="442" t="s">
        <v>675</v>
      </c>
      <c r="AC119" s="442"/>
      <c r="AD119" s="442"/>
      <c r="AE119" s="442" t="s">
        <v>676</v>
      </c>
      <c r="AF119" s="442"/>
      <c r="AG119" s="443" t="s">
        <v>693</v>
      </c>
      <c r="AH119" s="442"/>
      <c r="AI119" s="443" t="s">
        <v>693</v>
      </c>
      <c r="AJ119" s="443" t="s">
        <v>677</v>
      </c>
      <c r="AK119" s="442" t="s">
        <v>677</v>
      </c>
      <c r="AL119" s="442"/>
      <c r="AM119" s="442"/>
      <c r="AN119" s="442"/>
      <c r="AO119" s="442"/>
      <c r="AP119" s="442"/>
      <c r="AQ119" s="442"/>
      <c r="AR119" s="444"/>
      <c r="AS119" s="442"/>
      <c r="AT119" s="444"/>
      <c r="AU119" s="442" t="s">
        <v>678</v>
      </c>
      <c r="AV119" s="442" t="s">
        <v>677</v>
      </c>
      <c r="AW119" s="442" t="s">
        <v>676</v>
      </c>
      <c r="AX119" s="442" t="s">
        <v>674</v>
      </c>
      <c r="AY119" s="442"/>
      <c r="AZ119" s="442"/>
      <c r="BA119" s="442" t="s">
        <v>679</v>
      </c>
      <c r="BB119" s="442"/>
      <c r="BC119" s="442"/>
      <c r="BD119" s="442"/>
      <c r="BE119" s="444"/>
      <c r="BF119" s="442" t="s">
        <v>298</v>
      </c>
      <c r="BG119" s="442" t="s">
        <v>680</v>
      </c>
      <c r="BH119" s="442" t="s">
        <v>681</v>
      </c>
      <c r="BI119" s="442"/>
    </row>
    <row r="120" spans="1:61">
      <c r="A120" s="442" t="s">
        <v>690</v>
      </c>
      <c r="B120" s="442" t="s">
        <v>690</v>
      </c>
      <c r="C120" s="442" t="s">
        <v>690</v>
      </c>
      <c r="D120" s="442" t="s">
        <v>673</v>
      </c>
      <c r="E120" s="442" t="s">
        <v>3</v>
      </c>
      <c r="F120" s="443" t="s">
        <v>83</v>
      </c>
      <c r="G120" s="443" t="s">
        <v>691</v>
      </c>
      <c r="H120" s="444">
        <v>547200</v>
      </c>
      <c r="I120" s="444">
        <v>547200</v>
      </c>
      <c r="J120" s="444">
        <v>0</v>
      </c>
      <c r="K120" s="444">
        <v>0</v>
      </c>
      <c r="L120" s="444">
        <v>547200</v>
      </c>
      <c r="M120" s="444">
        <v>0</v>
      </c>
      <c r="N120" s="444">
        <v>0</v>
      </c>
      <c r="O120" s="444">
        <v>0</v>
      </c>
      <c r="P120" s="444">
        <v>0</v>
      </c>
      <c r="Q120" s="444">
        <v>0</v>
      </c>
      <c r="R120" s="444">
        <v>0</v>
      </c>
      <c r="S120" s="444">
        <v>0</v>
      </c>
      <c r="T120" s="444">
        <v>0</v>
      </c>
      <c r="U120" s="444">
        <v>0</v>
      </c>
      <c r="V120" s="444">
        <v>0</v>
      </c>
      <c r="W120" s="444">
        <v>0</v>
      </c>
      <c r="X120" s="442" t="s">
        <v>674</v>
      </c>
      <c r="Y120" s="442" t="s">
        <v>675</v>
      </c>
      <c r="Z120" s="442" t="s">
        <v>675</v>
      </c>
      <c r="AA120" s="442" t="s">
        <v>675</v>
      </c>
      <c r="AB120" s="442" t="s">
        <v>675</v>
      </c>
      <c r="AC120" s="442"/>
      <c r="AD120" s="442"/>
      <c r="AE120" s="442" t="s">
        <v>676</v>
      </c>
      <c r="AF120" s="442"/>
      <c r="AG120" s="443" t="s">
        <v>693</v>
      </c>
      <c r="AH120" s="442"/>
      <c r="AI120" s="443" t="s">
        <v>693</v>
      </c>
      <c r="AJ120" s="443" t="s">
        <v>677</v>
      </c>
      <c r="AK120" s="442" t="s">
        <v>677</v>
      </c>
      <c r="AL120" s="442"/>
      <c r="AM120" s="442"/>
      <c r="AN120" s="442"/>
      <c r="AO120" s="442"/>
      <c r="AP120" s="442"/>
      <c r="AQ120" s="442"/>
      <c r="AR120" s="444"/>
      <c r="AS120" s="442"/>
      <c r="AT120" s="444"/>
      <c r="AU120" s="442" t="s">
        <v>678</v>
      </c>
      <c r="AV120" s="442" t="s">
        <v>677</v>
      </c>
      <c r="AW120" s="442" t="s">
        <v>676</v>
      </c>
      <c r="AX120" s="442" t="s">
        <v>674</v>
      </c>
      <c r="AY120" s="442"/>
      <c r="AZ120" s="442"/>
      <c r="BA120" s="442" t="s">
        <v>679</v>
      </c>
      <c r="BB120" s="442"/>
      <c r="BC120" s="442"/>
      <c r="BD120" s="442"/>
      <c r="BE120" s="444"/>
      <c r="BF120" s="442" t="s">
        <v>298</v>
      </c>
      <c r="BG120" s="442" t="s">
        <v>680</v>
      </c>
      <c r="BH120" s="442" t="s">
        <v>681</v>
      </c>
      <c r="BI120" s="442"/>
    </row>
    <row r="121" spans="1:61">
      <c r="A121" s="442" t="s">
        <v>690</v>
      </c>
      <c r="B121" s="442" t="s">
        <v>690</v>
      </c>
      <c r="C121" s="442" t="s">
        <v>690</v>
      </c>
      <c r="D121" s="442" t="s">
        <v>673</v>
      </c>
      <c r="E121" s="442" t="s">
        <v>3</v>
      </c>
      <c r="F121" s="443" t="s">
        <v>83</v>
      </c>
      <c r="G121" s="443" t="s">
        <v>691</v>
      </c>
      <c r="H121" s="444">
        <v>547200</v>
      </c>
      <c r="I121" s="444">
        <v>547200</v>
      </c>
      <c r="J121" s="444">
        <v>0</v>
      </c>
      <c r="K121" s="444">
        <v>0</v>
      </c>
      <c r="L121" s="444">
        <v>547200</v>
      </c>
      <c r="M121" s="444">
        <v>0</v>
      </c>
      <c r="N121" s="444">
        <v>0</v>
      </c>
      <c r="O121" s="444">
        <v>0</v>
      </c>
      <c r="P121" s="444">
        <v>0</v>
      </c>
      <c r="Q121" s="444">
        <v>0</v>
      </c>
      <c r="R121" s="444">
        <v>0</v>
      </c>
      <c r="S121" s="444">
        <v>0</v>
      </c>
      <c r="T121" s="444">
        <v>0</v>
      </c>
      <c r="U121" s="444">
        <v>0</v>
      </c>
      <c r="V121" s="444">
        <v>0</v>
      </c>
      <c r="W121" s="444">
        <v>0</v>
      </c>
      <c r="X121" s="442" t="s">
        <v>674</v>
      </c>
      <c r="Y121" s="442" t="s">
        <v>675</v>
      </c>
      <c r="Z121" s="442" t="s">
        <v>675</v>
      </c>
      <c r="AA121" s="442" t="s">
        <v>675</v>
      </c>
      <c r="AB121" s="442" t="s">
        <v>675</v>
      </c>
      <c r="AC121" s="442"/>
      <c r="AD121" s="442"/>
      <c r="AE121" s="442" t="s">
        <v>676</v>
      </c>
      <c r="AF121" s="442"/>
      <c r="AG121" s="443" t="s">
        <v>693</v>
      </c>
      <c r="AH121" s="442"/>
      <c r="AI121" s="443" t="s">
        <v>693</v>
      </c>
      <c r="AJ121" s="443" t="s">
        <v>677</v>
      </c>
      <c r="AK121" s="442" t="s">
        <v>677</v>
      </c>
      <c r="AL121" s="442"/>
      <c r="AM121" s="442"/>
      <c r="AN121" s="442"/>
      <c r="AO121" s="442"/>
      <c r="AP121" s="442"/>
      <c r="AQ121" s="442"/>
      <c r="AR121" s="444"/>
      <c r="AS121" s="442"/>
      <c r="AT121" s="444"/>
      <c r="AU121" s="442" t="s">
        <v>678</v>
      </c>
      <c r="AV121" s="442" t="s">
        <v>677</v>
      </c>
      <c r="AW121" s="442" t="s">
        <v>676</v>
      </c>
      <c r="AX121" s="442" t="s">
        <v>674</v>
      </c>
      <c r="AY121" s="442"/>
      <c r="AZ121" s="442"/>
      <c r="BA121" s="442" t="s">
        <v>679</v>
      </c>
      <c r="BB121" s="442"/>
      <c r="BC121" s="442"/>
      <c r="BD121" s="442"/>
      <c r="BE121" s="444"/>
      <c r="BF121" s="442" t="s">
        <v>298</v>
      </c>
      <c r="BG121" s="442" t="s">
        <v>680</v>
      </c>
      <c r="BH121" s="442" t="s">
        <v>681</v>
      </c>
      <c r="BI121" s="442"/>
    </row>
    <row r="122" spans="1:61">
      <c r="A122" s="442" t="s">
        <v>690</v>
      </c>
      <c r="B122" s="442" t="s">
        <v>690</v>
      </c>
      <c r="C122" s="442" t="s">
        <v>690</v>
      </c>
      <c r="D122" s="442" t="s">
        <v>673</v>
      </c>
      <c r="E122" s="442" t="s">
        <v>3</v>
      </c>
      <c r="F122" s="443" t="s">
        <v>83</v>
      </c>
      <c r="G122" s="443" t="s">
        <v>691</v>
      </c>
      <c r="H122" s="444">
        <v>547200</v>
      </c>
      <c r="I122" s="444">
        <v>547200</v>
      </c>
      <c r="J122" s="444">
        <v>0</v>
      </c>
      <c r="K122" s="444">
        <v>0</v>
      </c>
      <c r="L122" s="444">
        <v>547200</v>
      </c>
      <c r="M122" s="444">
        <v>0</v>
      </c>
      <c r="N122" s="444">
        <v>0</v>
      </c>
      <c r="O122" s="444">
        <v>0</v>
      </c>
      <c r="P122" s="444">
        <v>0</v>
      </c>
      <c r="Q122" s="444">
        <v>0</v>
      </c>
      <c r="R122" s="444">
        <v>0</v>
      </c>
      <c r="S122" s="444">
        <v>0</v>
      </c>
      <c r="T122" s="444">
        <v>0</v>
      </c>
      <c r="U122" s="444">
        <v>0</v>
      </c>
      <c r="V122" s="444">
        <v>0</v>
      </c>
      <c r="W122" s="444">
        <v>0</v>
      </c>
      <c r="X122" s="442" t="s">
        <v>674</v>
      </c>
      <c r="Y122" s="442" t="s">
        <v>675</v>
      </c>
      <c r="Z122" s="442" t="s">
        <v>675</v>
      </c>
      <c r="AA122" s="442" t="s">
        <v>675</v>
      </c>
      <c r="AB122" s="442" t="s">
        <v>675</v>
      </c>
      <c r="AC122" s="442"/>
      <c r="AD122" s="442"/>
      <c r="AE122" s="442" t="s">
        <v>676</v>
      </c>
      <c r="AF122" s="442"/>
      <c r="AG122" s="443" t="s">
        <v>693</v>
      </c>
      <c r="AH122" s="442"/>
      <c r="AI122" s="443" t="s">
        <v>693</v>
      </c>
      <c r="AJ122" s="443" t="s">
        <v>677</v>
      </c>
      <c r="AK122" s="442" t="s">
        <v>677</v>
      </c>
      <c r="AL122" s="442"/>
      <c r="AM122" s="442"/>
      <c r="AN122" s="442"/>
      <c r="AO122" s="442"/>
      <c r="AP122" s="442"/>
      <c r="AQ122" s="442"/>
      <c r="AR122" s="444"/>
      <c r="AS122" s="442"/>
      <c r="AT122" s="444"/>
      <c r="AU122" s="442" t="s">
        <v>678</v>
      </c>
      <c r="AV122" s="442" t="s">
        <v>677</v>
      </c>
      <c r="AW122" s="442" t="s">
        <v>676</v>
      </c>
      <c r="AX122" s="442" t="s">
        <v>674</v>
      </c>
      <c r="AY122" s="442"/>
      <c r="AZ122" s="442"/>
      <c r="BA122" s="442" t="s">
        <v>679</v>
      </c>
      <c r="BB122" s="442"/>
      <c r="BC122" s="442"/>
      <c r="BD122" s="442"/>
      <c r="BE122" s="444"/>
      <c r="BF122" s="442" t="s">
        <v>298</v>
      </c>
      <c r="BG122" s="442" t="s">
        <v>680</v>
      </c>
      <c r="BH122" s="442" t="s">
        <v>681</v>
      </c>
      <c r="BI122" s="442"/>
    </row>
    <row r="123" spans="1:61">
      <c r="A123" s="442" t="s">
        <v>690</v>
      </c>
      <c r="B123" s="442" t="s">
        <v>690</v>
      </c>
      <c r="C123" s="442" t="s">
        <v>690</v>
      </c>
      <c r="D123" s="442" t="s">
        <v>673</v>
      </c>
      <c r="E123" s="442" t="s">
        <v>3</v>
      </c>
      <c r="F123" s="443" t="s">
        <v>83</v>
      </c>
      <c r="G123" s="443" t="s">
        <v>691</v>
      </c>
      <c r="H123" s="444">
        <v>52800</v>
      </c>
      <c r="I123" s="444">
        <v>52800</v>
      </c>
      <c r="J123" s="444">
        <v>0</v>
      </c>
      <c r="K123" s="444">
        <v>0</v>
      </c>
      <c r="L123" s="444">
        <v>52800</v>
      </c>
      <c r="M123" s="444">
        <v>0</v>
      </c>
      <c r="N123" s="444">
        <v>0</v>
      </c>
      <c r="O123" s="444">
        <v>0</v>
      </c>
      <c r="P123" s="444">
        <v>0</v>
      </c>
      <c r="Q123" s="444">
        <v>0</v>
      </c>
      <c r="R123" s="444">
        <v>0</v>
      </c>
      <c r="S123" s="444">
        <v>0</v>
      </c>
      <c r="T123" s="444">
        <v>0</v>
      </c>
      <c r="U123" s="444">
        <v>0</v>
      </c>
      <c r="V123" s="444">
        <v>0</v>
      </c>
      <c r="W123" s="444">
        <v>0</v>
      </c>
      <c r="X123" s="442" t="s">
        <v>674</v>
      </c>
      <c r="Y123" s="442" t="s">
        <v>675</v>
      </c>
      <c r="Z123" s="442" t="s">
        <v>675</v>
      </c>
      <c r="AA123" s="442" t="s">
        <v>675</v>
      </c>
      <c r="AB123" s="442" t="s">
        <v>675</v>
      </c>
      <c r="AC123" s="442"/>
      <c r="AD123" s="442"/>
      <c r="AE123" s="442" t="s">
        <v>676</v>
      </c>
      <c r="AF123" s="442"/>
      <c r="AG123" s="443" t="s">
        <v>692</v>
      </c>
      <c r="AH123" s="442"/>
      <c r="AI123" s="443" t="s">
        <v>692</v>
      </c>
      <c r="AJ123" s="443" t="s">
        <v>677</v>
      </c>
      <c r="AK123" s="442" t="s">
        <v>677</v>
      </c>
      <c r="AL123" s="442"/>
      <c r="AM123" s="442"/>
      <c r="AN123" s="442"/>
      <c r="AO123" s="442"/>
      <c r="AP123" s="442"/>
      <c r="AQ123" s="442"/>
      <c r="AR123" s="444"/>
      <c r="AS123" s="442"/>
      <c r="AT123" s="444"/>
      <c r="AU123" s="442" t="s">
        <v>678</v>
      </c>
      <c r="AV123" s="442" t="s">
        <v>677</v>
      </c>
      <c r="AW123" s="442" t="s">
        <v>676</v>
      </c>
      <c r="AX123" s="442" t="s">
        <v>674</v>
      </c>
      <c r="AY123" s="442"/>
      <c r="AZ123" s="442"/>
      <c r="BA123" s="442" t="s">
        <v>679</v>
      </c>
      <c r="BB123" s="442"/>
      <c r="BC123" s="442"/>
      <c r="BD123" s="442"/>
      <c r="BE123" s="444"/>
      <c r="BF123" s="442" t="s">
        <v>298</v>
      </c>
      <c r="BG123" s="442" t="s">
        <v>680</v>
      </c>
      <c r="BH123" s="442" t="s">
        <v>681</v>
      </c>
      <c r="BI123" s="442"/>
    </row>
    <row r="124" spans="1:61">
      <c r="A124" s="442" t="s">
        <v>690</v>
      </c>
      <c r="B124" s="442" t="s">
        <v>690</v>
      </c>
      <c r="C124" s="442" t="s">
        <v>690</v>
      </c>
      <c r="D124" s="442" t="s">
        <v>673</v>
      </c>
      <c r="E124" s="442" t="s">
        <v>3</v>
      </c>
      <c r="F124" s="443" t="s">
        <v>83</v>
      </c>
      <c r="G124" s="443" t="s">
        <v>691</v>
      </c>
      <c r="H124" s="444">
        <v>52800</v>
      </c>
      <c r="I124" s="444">
        <v>52800</v>
      </c>
      <c r="J124" s="444">
        <v>0</v>
      </c>
      <c r="K124" s="444">
        <v>0</v>
      </c>
      <c r="L124" s="444">
        <v>52800</v>
      </c>
      <c r="M124" s="444">
        <v>0</v>
      </c>
      <c r="N124" s="444">
        <v>0</v>
      </c>
      <c r="O124" s="444">
        <v>0</v>
      </c>
      <c r="P124" s="444">
        <v>0</v>
      </c>
      <c r="Q124" s="444">
        <v>0</v>
      </c>
      <c r="R124" s="444">
        <v>0</v>
      </c>
      <c r="S124" s="444">
        <v>0</v>
      </c>
      <c r="T124" s="444">
        <v>0</v>
      </c>
      <c r="U124" s="444">
        <v>0</v>
      </c>
      <c r="V124" s="444">
        <v>0</v>
      </c>
      <c r="W124" s="444">
        <v>0</v>
      </c>
      <c r="X124" s="442" t="s">
        <v>674</v>
      </c>
      <c r="Y124" s="442" t="s">
        <v>675</v>
      </c>
      <c r="Z124" s="442" t="s">
        <v>675</v>
      </c>
      <c r="AA124" s="442" t="s">
        <v>675</v>
      </c>
      <c r="AB124" s="442" t="s">
        <v>675</v>
      </c>
      <c r="AC124" s="442"/>
      <c r="AD124" s="442"/>
      <c r="AE124" s="442" t="s">
        <v>676</v>
      </c>
      <c r="AF124" s="442"/>
      <c r="AG124" s="443" t="s">
        <v>692</v>
      </c>
      <c r="AH124" s="442"/>
      <c r="AI124" s="443" t="s">
        <v>692</v>
      </c>
      <c r="AJ124" s="443" t="s">
        <v>677</v>
      </c>
      <c r="AK124" s="442" t="s">
        <v>677</v>
      </c>
      <c r="AL124" s="442"/>
      <c r="AM124" s="442"/>
      <c r="AN124" s="442"/>
      <c r="AO124" s="442"/>
      <c r="AP124" s="442"/>
      <c r="AQ124" s="442"/>
      <c r="AR124" s="444"/>
      <c r="AS124" s="442"/>
      <c r="AT124" s="444"/>
      <c r="AU124" s="442" t="s">
        <v>678</v>
      </c>
      <c r="AV124" s="442" t="s">
        <v>677</v>
      </c>
      <c r="AW124" s="442" t="s">
        <v>676</v>
      </c>
      <c r="AX124" s="442" t="s">
        <v>674</v>
      </c>
      <c r="AY124" s="442"/>
      <c r="AZ124" s="442"/>
      <c r="BA124" s="442" t="s">
        <v>679</v>
      </c>
      <c r="BB124" s="442"/>
      <c r="BC124" s="442"/>
      <c r="BD124" s="442"/>
      <c r="BE124" s="444"/>
      <c r="BF124" s="442" t="s">
        <v>298</v>
      </c>
      <c r="BG124" s="442" t="s">
        <v>680</v>
      </c>
      <c r="BH124" s="442" t="s">
        <v>681</v>
      </c>
      <c r="BI124" s="442"/>
    </row>
    <row r="125" spans="1:61">
      <c r="A125" s="442" t="s">
        <v>690</v>
      </c>
      <c r="B125" s="442" t="s">
        <v>690</v>
      </c>
      <c r="C125" s="442" t="s">
        <v>690</v>
      </c>
      <c r="D125" s="442" t="s">
        <v>673</v>
      </c>
      <c r="E125" s="442" t="s">
        <v>3</v>
      </c>
      <c r="F125" s="443" t="s">
        <v>83</v>
      </c>
      <c r="G125" s="443" t="s">
        <v>691</v>
      </c>
      <c r="H125" s="444">
        <v>547200</v>
      </c>
      <c r="I125" s="444">
        <v>547200</v>
      </c>
      <c r="J125" s="444">
        <v>0</v>
      </c>
      <c r="K125" s="444">
        <v>0</v>
      </c>
      <c r="L125" s="444">
        <v>547200</v>
      </c>
      <c r="M125" s="444">
        <v>0</v>
      </c>
      <c r="N125" s="444">
        <v>0</v>
      </c>
      <c r="O125" s="444">
        <v>0</v>
      </c>
      <c r="P125" s="444">
        <v>0</v>
      </c>
      <c r="Q125" s="444">
        <v>0</v>
      </c>
      <c r="R125" s="444">
        <v>0</v>
      </c>
      <c r="S125" s="444">
        <v>0</v>
      </c>
      <c r="T125" s="444">
        <v>0</v>
      </c>
      <c r="U125" s="444">
        <v>0</v>
      </c>
      <c r="V125" s="444">
        <v>0</v>
      </c>
      <c r="W125" s="444">
        <v>0</v>
      </c>
      <c r="X125" s="442" t="s">
        <v>674</v>
      </c>
      <c r="Y125" s="442" t="s">
        <v>675</v>
      </c>
      <c r="Z125" s="442" t="s">
        <v>675</v>
      </c>
      <c r="AA125" s="442" t="s">
        <v>675</v>
      </c>
      <c r="AB125" s="442" t="s">
        <v>675</v>
      </c>
      <c r="AC125" s="442"/>
      <c r="AD125" s="442"/>
      <c r="AE125" s="442" t="s">
        <v>676</v>
      </c>
      <c r="AF125" s="442"/>
      <c r="AG125" s="443" t="s">
        <v>693</v>
      </c>
      <c r="AH125" s="442"/>
      <c r="AI125" s="443" t="s">
        <v>693</v>
      </c>
      <c r="AJ125" s="443" t="s">
        <v>677</v>
      </c>
      <c r="AK125" s="442" t="s">
        <v>677</v>
      </c>
      <c r="AL125" s="442"/>
      <c r="AM125" s="442"/>
      <c r="AN125" s="442"/>
      <c r="AO125" s="442"/>
      <c r="AP125" s="442"/>
      <c r="AQ125" s="442"/>
      <c r="AR125" s="444"/>
      <c r="AS125" s="442"/>
      <c r="AT125" s="444"/>
      <c r="AU125" s="442" t="s">
        <v>678</v>
      </c>
      <c r="AV125" s="442" t="s">
        <v>677</v>
      </c>
      <c r="AW125" s="442" t="s">
        <v>676</v>
      </c>
      <c r="AX125" s="442" t="s">
        <v>674</v>
      </c>
      <c r="AY125" s="442"/>
      <c r="AZ125" s="442"/>
      <c r="BA125" s="442" t="s">
        <v>679</v>
      </c>
      <c r="BB125" s="442"/>
      <c r="BC125" s="442"/>
      <c r="BD125" s="442"/>
      <c r="BE125" s="444"/>
      <c r="BF125" s="442" t="s">
        <v>298</v>
      </c>
      <c r="BG125" s="442" t="s">
        <v>680</v>
      </c>
      <c r="BH125" s="442" t="s">
        <v>681</v>
      </c>
      <c r="BI125" s="442"/>
    </row>
    <row r="126" spans="1:61">
      <c r="A126" s="442" t="s">
        <v>690</v>
      </c>
      <c r="B126" s="442" t="s">
        <v>690</v>
      </c>
      <c r="C126" s="442" t="s">
        <v>690</v>
      </c>
      <c r="D126" s="442" t="s">
        <v>673</v>
      </c>
      <c r="E126" s="442" t="s">
        <v>3</v>
      </c>
      <c r="F126" s="443" t="s">
        <v>83</v>
      </c>
      <c r="G126" s="443" t="s">
        <v>691</v>
      </c>
      <c r="H126" s="444">
        <v>1459200</v>
      </c>
      <c r="I126" s="444">
        <v>1459200</v>
      </c>
      <c r="J126" s="444">
        <v>0</v>
      </c>
      <c r="K126" s="444">
        <v>0</v>
      </c>
      <c r="L126" s="444">
        <v>1459200</v>
      </c>
      <c r="M126" s="444">
        <v>0</v>
      </c>
      <c r="N126" s="444">
        <v>0</v>
      </c>
      <c r="O126" s="444">
        <v>0</v>
      </c>
      <c r="P126" s="444">
        <v>0</v>
      </c>
      <c r="Q126" s="444">
        <v>0</v>
      </c>
      <c r="R126" s="444">
        <v>0</v>
      </c>
      <c r="S126" s="444">
        <v>0</v>
      </c>
      <c r="T126" s="444">
        <v>0</v>
      </c>
      <c r="U126" s="444">
        <v>0</v>
      </c>
      <c r="V126" s="444">
        <v>0</v>
      </c>
      <c r="W126" s="444">
        <v>0</v>
      </c>
      <c r="X126" s="442" t="s">
        <v>674</v>
      </c>
      <c r="Y126" s="442" t="s">
        <v>675</v>
      </c>
      <c r="Z126" s="442" t="s">
        <v>675</v>
      </c>
      <c r="AA126" s="442" t="s">
        <v>675</v>
      </c>
      <c r="AB126" s="442" t="s">
        <v>675</v>
      </c>
      <c r="AC126" s="442"/>
      <c r="AD126" s="442"/>
      <c r="AE126" s="442" t="s">
        <v>676</v>
      </c>
      <c r="AF126" s="442"/>
      <c r="AG126" s="443" t="s">
        <v>693</v>
      </c>
      <c r="AH126" s="442"/>
      <c r="AI126" s="443" t="s">
        <v>693</v>
      </c>
      <c r="AJ126" s="443" t="s">
        <v>677</v>
      </c>
      <c r="AK126" s="442" t="s">
        <v>677</v>
      </c>
      <c r="AL126" s="442"/>
      <c r="AM126" s="442"/>
      <c r="AN126" s="442"/>
      <c r="AO126" s="442"/>
      <c r="AP126" s="442"/>
      <c r="AQ126" s="442"/>
      <c r="AR126" s="444"/>
      <c r="AS126" s="442"/>
      <c r="AT126" s="444"/>
      <c r="AU126" s="442" t="s">
        <v>678</v>
      </c>
      <c r="AV126" s="442" t="s">
        <v>677</v>
      </c>
      <c r="AW126" s="442" t="s">
        <v>676</v>
      </c>
      <c r="AX126" s="442" t="s">
        <v>674</v>
      </c>
      <c r="AY126" s="442"/>
      <c r="AZ126" s="442"/>
      <c r="BA126" s="442" t="s">
        <v>679</v>
      </c>
      <c r="BB126" s="442"/>
      <c r="BC126" s="442"/>
      <c r="BD126" s="442"/>
      <c r="BE126" s="444"/>
      <c r="BF126" s="442" t="s">
        <v>298</v>
      </c>
      <c r="BG126" s="442" t="s">
        <v>680</v>
      </c>
      <c r="BH126" s="442" t="s">
        <v>681</v>
      </c>
      <c r="BI126" s="442"/>
    </row>
    <row r="127" spans="1:61">
      <c r="A127" s="442" t="s">
        <v>690</v>
      </c>
      <c r="B127" s="442" t="s">
        <v>690</v>
      </c>
      <c r="C127" s="442" t="s">
        <v>690</v>
      </c>
      <c r="D127" s="442" t="s">
        <v>673</v>
      </c>
      <c r="E127" s="442" t="s">
        <v>3</v>
      </c>
      <c r="F127" s="443" t="s">
        <v>83</v>
      </c>
      <c r="G127" s="443" t="s">
        <v>691</v>
      </c>
      <c r="H127" s="444">
        <v>52800</v>
      </c>
      <c r="I127" s="444">
        <v>52800</v>
      </c>
      <c r="J127" s="444">
        <v>0</v>
      </c>
      <c r="K127" s="444">
        <v>0</v>
      </c>
      <c r="L127" s="444">
        <v>52800</v>
      </c>
      <c r="M127" s="444">
        <v>0</v>
      </c>
      <c r="N127" s="444">
        <v>0</v>
      </c>
      <c r="O127" s="444">
        <v>0</v>
      </c>
      <c r="P127" s="444">
        <v>0</v>
      </c>
      <c r="Q127" s="444">
        <v>0</v>
      </c>
      <c r="R127" s="444">
        <v>0</v>
      </c>
      <c r="S127" s="444">
        <v>0</v>
      </c>
      <c r="T127" s="444">
        <v>0</v>
      </c>
      <c r="U127" s="444">
        <v>0</v>
      </c>
      <c r="V127" s="444">
        <v>0</v>
      </c>
      <c r="W127" s="444">
        <v>0</v>
      </c>
      <c r="X127" s="442" t="s">
        <v>674</v>
      </c>
      <c r="Y127" s="442" t="s">
        <v>675</v>
      </c>
      <c r="Z127" s="442" t="s">
        <v>675</v>
      </c>
      <c r="AA127" s="442" t="s">
        <v>675</v>
      </c>
      <c r="AB127" s="442" t="s">
        <v>675</v>
      </c>
      <c r="AC127" s="442"/>
      <c r="AD127" s="442"/>
      <c r="AE127" s="442" t="s">
        <v>676</v>
      </c>
      <c r="AF127" s="442"/>
      <c r="AG127" s="443" t="s">
        <v>692</v>
      </c>
      <c r="AH127" s="442"/>
      <c r="AI127" s="443" t="s">
        <v>692</v>
      </c>
      <c r="AJ127" s="443" t="s">
        <v>677</v>
      </c>
      <c r="AK127" s="442" t="s">
        <v>677</v>
      </c>
      <c r="AL127" s="442"/>
      <c r="AM127" s="442"/>
      <c r="AN127" s="442"/>
      <c r="AO127" s="442"/>
      <c r="AP127" s="442"/>
      <c r="AQ127" s="442"/>
      <c r="AR127" s="444"/>
      <c r="AS127" s="442"/>
      <c r="AT127" s="444"/>
      <c r="AU127" s="442" t="s">
        <v>678</v>
      </c>
      <c r="AV127" s="442" t="s">
        <v>677</v>
      </c>
      <c r="AW127" s="442" t="s">
        <v>676</v>
      </c>
      <c r="AX127" s="442" t="s">
        <v>674</v>
      </c>
      <c r="AY127" s="442"/>
      <c r="AZ127" s="442"/>
      <c r="BA127" s="442" t="s">
        <v>679</v>
      </c>
      <c r="BB127" s="442"/>
      <c r="BC127" s="442"/>
      <c r="BD127" s="442"/>
      <c r="BE127" s="444"/>
      <c r="BF127" s="442" t="s">
        <v>298</v>
      </c>
      <c r="BG127" s="442" t="s">
        <v>680</v>
      </c>
      <c r="BH127" s="442" t="s">
        <v>681</v>
      </c>
      <c r="BI127" s="442"/>
    </row>
    <row r="128" spans="1:61">
      <c r="A128" s="442" t="s">
        <v>690</v>
      </c>
      <c r="B128" s="442" t="s">
        <v>690</v>
      </c>
      <c r="C128" s="442" t="s">
        <v>690</v>
      </c>
      <c r="D128" s="442" t="s">
        <v>673</v>
      </c>
      <c r="E128" s="442" t="s">
        <v>3</v>
      </c>
      <c r="F128" s="443" t="s">
        <v>83</v>
      </c>
      <c r="G128" s="443" t="s">
        <v>691</v>
      </c>
      <c r="H128" s="444">
        <v>547200</v>
      </c>
      <c r="I128" s="444">
        <v>547200</v>
      </c>
      <c r="J128" s="444">
        <v>0</v>
      </c>
      <c r="K128" s="444">
        <v>0</v>
      </c>
      <c r="L128" s="444">
        <v>547200</v>
      </c>
      <c r="M128" s="444">
        <v>0</v>
      </c>
      <c r="N128" s="444">
        <v>0</v>
      </c>
      <c r="O128" s="444">
        <v>0</v>
      </c>
      <c r="P128" s="444">
        <v>0</v>
      </c>
      <c r="Q128" s="444">
        <v>0</v>
      </c>
      <c r="R128" s="444">
        <v>0</v>
      </c>
      <c r="S128" s="444">
        <v>0</v>
      </c>
      <c r="T128" s="444">
        <v>0</v>
      </c>
      <c r="U128" s="444">
        <v>0</v>
      </c>
      <c r="V128" s="444">
        <v>0</v>
      </c>
      <c r="W128" s="444">
        <v>0</v>
      </c>
      <c r="X128" s="442" t="s">
        <v>674</v>
      </c>
      <c r="Y128" s="442" t="s">
        <v>675</v>
      </c>
      <c r="Z128" s="442" t="s">
        <v>675</v>
      </c>
      <c r="AA128" s="442" t="s">
        <v>675</v>
      </c>
      <c r="AB128" s="442" t="s">
        <v>675</v>
      </c>
      <c r="AC128" s="442"/>
      <c r="AD128" s="442"/>
      <c r="AE128" s="442" t="s">
        <v>676</v>
      </c>
      <c r="AF128" s="442"/>
      <c r="AG128" s="443" t="s">
        <v>693</v>
      </c>
      <c r="AH128" s="442"/>
      <c r="AI128" s="443" t="s">
        <v>693</v>
      </c>
      <c r="AJ128" s="443" t="s">
        <v>677</v>
      </c>
      <c r="AK128" s="442" t="s">
        <v>677</v>
      </c>
      <c r="AL128" s="442"/>
      <c r="AM128" s="442"/>
      <c r="AN128" s="442"/>
      <c r="AO128" s="442"/>
      <c r="AP128" s="442"/>
      <c r="AQ128" s="442"/>
      <c r="AR128" s="444"/>
      <c r="AS128" s="442"/>
      <c r="AT128" s="444"/>
      <c r="AU128" s="442" t="s">
        <v>678</v>
      </c>
      <c r="AV128" s="442" t="s">
        <v>677</v>
      </c>
      <c r="AW128" s="442" t="s">
        <v>676</v>
      </c>
      <c r="AX128" s="442" t="s">
        <v>674</v>
      </c>
      <c r="AY128" s="442"/>
      <c r="AZ128" s="442"/>
      <c r="BA128" s="442" t="s">
        <v>679</v>
      </c>
      <c r="BB128" s="442"/>
      <c r="BC128" s="442"/>
      <c r="BD128" s="442"/>
      <c r="BE128" s="444"/>
      <c r="BF128" s="442" t="s">
        <v>298</v>
      </c>
      <c r="BG128" s="442" t="s">
        <v>680</v>
      </c>
      <c r="BH128" s="442" t="s">
        <v>681</v>
      </c>
      <c r="BI128" s="442"/>
    </row>
    <row r="129" spans="1:61">
      <c r="A129" s="442" t="s">
        <v>690</v>
      </c>
      <c r="B129" s="442" t="s">
        <v>690</v>
      </c>
      <c r="C129" s="442" t="s">
        <v>690</v>
      </c>
      <c r="D129" s="442" t="s">
        <v>673</v>
      </c>
      <c r="E129" s="442" t="s">
        <v>3</v>
      </c>
      <c r="F129" s="443" t="s">
        <v>83</v>
      </c>
      <c r="G129" s="443" t="s">
        <v>691</v>
      </c>
      <c r="H129" s="444">
        <v>96800</v>
      </c>
      <c r="I129" s="444">
        <v>96800</v>
      </c>
      <c r="J129" s="444">
        <v>0</v>
      </c>
      <c r="K129" s="444">
        <v>0</v>
      </c>
      <c r="L129" s="444">
        <v>96800</v>
      </c>
      <c r="M129" s="444">
        <v>0</v>
      </c>
      <c r="N129" s="444">
        <v>0</v>
      </c>
      <c r="O129" s="444">
        <v>0</v>
      </c>
      <c r="P129" s="444">
        <v>0</v>
      </c>
      <c r="Q129" s="444">
        <v>0</v>
      </c>
      <c r="R129" s="444">
        <v>0</v>
      </c>
      <c r="S129" s="444">
        <v>0</v>
      </c>
      <c r="T129" s="444">
        <v>0</v>
      </c>
      <c r="U129" s="444">
        <v>0</v>
      </c>
      <c r="V129" s="444">
        <v>0</v>
      </c>
      <c r="W129" s="444">
        <v>0</v>
      </c>
      <c r="X129" s="442" t="s">
        <v>674</v>
      </c>
      <c r="Y129" s="442" t="s">
        <v>675</v>
      </c>
      <c r="Z129" s="442" t="s">
        <v>675</v>
      </c>
      <c r="AA129" s="442" t="s">
        <v>675</v>
      </c>
      <c r="AB129" s="442" t="s">
        <v>675</v>
      </c>
      <c r="AC129" s="442"/>
      <c r="AD129" s="442"/>
      <c r="AE129" s="442" t="s">
        <v>676</v>
      </c>
      <c r="AF129" s="442"/>
      <c r="AG129" s="443" t="s">
        <v>692</v>
      </c>
      <c r="AH129" s="442"/>
      <c r="AI129" s="443" t="s">
        <v>692</v>
      </c>
      <c r="AJ129" s="443" t="s">
        <v>677</v>
      </c>
      <c r="AK129" s="442" t="s">
        <v>677</v>
      </c>
      <c r="AL129" s="442"/>
      <c r="AM129" s="442"/>
      <c r="AN129" s="442"/>
      <c r="AO129" s="442"/>
      <c r="AP129" s="442"/>
      <c r="AQ129" s="442"/>
      <c r="AR129" s="444"/>
      <c r="AS129" s="442"/>
      <c r="AT129" s="444"/>
      <c r="AU129" s="442" t="s">
        <v>678</v>
      </c>
      <c r="AV129" s="442" t="s">
        <v>677</v>
      </c>
      <c r="AW129" s="442" t="s">
        <v>676</v>
      </c>
      <c r="AX129" s="442" t="s">
        <v>674</v>
      </c>
      <c r="AY129" s="442"/>
      <c r="AZ129" s="442"/>
      <c r="BA129" s="442" t="s">
        <v>679</v>
      </c>
      <c r="BB129" s="442"/>
      <c r="BC129" s="442"/>
      <c r="BD129" s="442"/>
      <c r="BE129" s="444"/>
      <c r="BF129" s="442" t="s">
        <v>298</v>
      </c>
      <c r="BG129" s="442" t="s">
        <v>680</v>
      </c>
      <c r="BH129" s="442" t="s">
        <v>681</v>
      </c>
      <c r="BI129" s="442"/>
    </row>
    <row r="130" spans="1:61">
      <c r="A130" s="442" t="s">
        <v>690</v>
      </c>
      <c r="B130" s="442" t="s">
        <v>690</v>
      </c>
      <c r="C130" s="442" t="s">
        <v>690</v>
      </c>
      <c r="D130" s="442" t="s">
        <v>673</v>
      </c>
      <c r="E130" s="442" t="s">
        <v>3</v>
      </c>
      <c r="F130" s="443" t="s">
        <v>83</v>
      </c>
      <c r="G130" s="443" t="s">
        <v>691</v>
      </c>
      <c r="H130" s="444">
        <v>1459200</v>
      </c>
      <c r="I130" s="444">
        <v>1459200</v>
      </c>
      <c r="J130" s="444">
        <v>0</v>
      </c>
      <c r="K130" s="444">
        <v>0</v>
      </c>
      <c r="L130" s="444">
        <v>1459200</v>
      </c>
      <c r="M130" s="444">
        <v>0</v>
      </c>
      <c r="N130" s="444">
        <v>0</v>
      </c>
      <c r="O130" s="444">
        <v>0</v>
      </c>
      <c r="P130" s="444">
        <v>0</v>
      </c>
      <c r="Q130" s="444">
        <v>0</v>
      </c>
      <c r="R130" s="444">
        <v>0</v>
      </c>
      <c r="S130" s="444">
        <v>0</v>
      </c>
      <c r="T130" s="444">
        <v>0</v>
      </c>
      <c r="U130" s="444">
        <v>0</v>
      </c>
      <c r="V130" s="444">
        <v>0</v>
      </c>
      <c r="W130" s="444">
        <v>0</v>
      </c>
      <c r="X130" s="442" t="s">
        <v>674</v>
      </c>
      <c r="Y130" s="442" t="s">
        <v>675</v>
      </c>
      <c r="Z130" s="442" t="s">
        <v>675</v>
      </c>
      <c r="AA130" s="442" t="s">
        <v>675</v>
      </c>
      <c r="AB130" s="442" t="s">
        <v>675</v>
      </c>
      <c r="AC130" s="442"/>
      <c r="AD130" s="442"/>
      <c r="AE130" s="442" t="s">
        <v>676</v>
      </c>
      <c r="AF130" s="442"/>
      <c r="AG130" s="443" t="s">
        <v>693</v>
      </c>
      <c r="AH130" s="442"/>
      <c r="AI130" s="443" t="s">
        <v>693</v>
      </c>
      <c r="AJ130" s="443" t="s">
        <v>677</v>
      </c>
      <c r="AK130" s="442" t="s">
        <v>677</v>
      </c>
      <c r="AL130" s="442"/>
      <c r="AM130" s="442"/>
      <c r="AN130" s="442"/>
      <c r="AO130" s="442"/>
      <c r="AP130" s="442"/>
      <c r="AQ130" s="442"/>
      <c r="AR130" s="444"/>
      <c r="AS130" s="442"/>
      <c r="AT130" s="444"/>
      <c r="AU130" s="442" t="s">
        <v>678</v>
      </c>
      <c r="AV130" s="442" t="s">
        <v>677</v>
      </c>
      <c r="AW130" s="442" t="s">
        <v>676</v>
      </c>
      <c r="AX130" s="442" t="s">
        <v>674</v>
      </c>
      <c r="AY130" s="442"/>
      <c r="AZ130" s="442"/>
      <c r="BA130" s="442" t="s">
        <v>679</v>
      </c>
      <c r="BB130" s="442"/>
      <c r="BC130" s="442"/>
      <c r="BD130" s="442"/>
      <c r="BE130" s="444"/>
      <c r="BF130" s="442" t="s">
        <v>298</v>
      </c>
      <c r="BG130" s="442" t="s">
        <v>680</v>
      </c>
      <c r="BH130" s="442" t="s">
        <v>681</v>
      </c>
      <c r="BI130" s="442"/>
    </row>
    <row r="131" spans="1:61">
      <c r="A131" s="442" t="s">
        <v>690</v>
      </c>
      <c r="B131" s="442" t="s">
        <v>690</v>
      </c>
      <c r="C131" s="442" t="s">
        <v>690</v>
      </c>
      <c r="D131" s="442" t="s">
        <v>673</v>
      </c>
      <c r="E131" s="442" t="s">
        <v>3</v>
      </c>
      <c r="F131" s="443" t="s">
        <v>83</v>
      </c>
      <c r="G131" s="443" t="s">
        <v>691</v>
      </c>
      <c r="H131" s="444">
        <v>140800</v>
      </c>
      <c r="I131" s="444">
        <v>140800</v>
      </c>
      <c r="J131" s="444">
        <v>0</v>
      </c>
      <c r="K131" s="444">
        <v>0</v>
      </c>
      <c r="L131" s="444">
        <v>140800</v>
      </c>
      <c r="M131" s="444">
        <v>0</v>
      </c>
      <c r="N131" s="444">
        <v>0</v>
      </c>
      <c r="O131" s="444">
        <v>0</v>
      </c>
      <c r="P131" s="444">
        <v>0</v>
      </c>
      <c r="Q131" s="444">
        <v>0</v>
      </c>
      <c r="R131" s="444">
        <v>0</v>
      </c>
      <c r="S131" s="444">
        <v>0</v>
      </c>
      <c r="T131" s="444">
        <v>0</v>
      </c>
      <c r="U131" s="444">
        <v>0</v>
      </c>
      <c r="V131" s="444">
        <v>0</v>
      </c>
      <c r="W131" s="444">
        <v>0</v>
      </c>
      <c r="X131" s="442" t="s">
        <v>674</v>
      </c>
      <c r="Y131" s="442" t="s">
        <v>675</v>
      </c>
      <c r="Z131" s="442" t="s">
        <v>675</v>
      </c>
      <c r="AA131" s="442" t="s">
        <v>675</v>
      </c>
      <c r="AB131" s="442" t="s">
        <v>675</v>
      </c>
      <c r="AC131" s="442"/>
      <c r="AD131" s="442"/>
      <c r="AE131" s="442" t="s">
        <v>676</v>
      </c>
      <c r="AF131" s="442"/>
      <c r="AG131" s="443" t="s">
        <v>692</v>
      </c>
      <c r="AH131" s="442"/>
      <c r="AI131" s="443" t="s">
        <v>692</v>
      </c>
      <c r="AJ131" s="443" t="s">
        <v>677</v>
      </c>
      <c r="AK131" s="442" t="s">
        <v>677</v>
      </c>
      <c r="AL131" s="442"/>
      <c r="AM131" s="442"/>
      <c r="AN131" s="442"/>
      <c r="AO131" s="442"/>
      <c r="AP131" s="442"/>
      <c r="AQ131" s="442"/>
      <c r="AR131" s="444"/>
      <c r="AS131" s="442"/>
      <c r="AT131" s="444"/>
      <c r="AU131" s="442" t="s">
        <v>678</v>
      </c>
      <c r="AV131" s="442" t="s">
        <v>677</v>
      </c>
      <c r="AW131" s="442" t="s">
        <v>676</v>
      </c>
      <c r="AX131" s="442" t="s">
        <v>674</v>
      </c>
      <c r="AY131" s="442"/>
      <c r="AZ131" s="442"/>
      <c r="BA131" s="442" t="s">
        <v>679</v>
      </c>
      <c r="BB131" s="442"/>
      <c r="BC131" s="442"/>
      <c r="BD131" s="442"/>
      <c r="BE131" s="444"/>
      <c r="BF131" s="442" t="s">
        <v>298</v>
      </c>
      <c r="BG131" s="442" t="s">
        <v>680</v>
      </c>
      <c r="BH131" s="442" t="s">
        <v>681</v>
      </c>
      <c r="BI131" s="442"/>
    </row>
    <row r="132" spans="1:61">
      <c r="A132" s="442" t="s">
        <v>690</v>
      </c>
      <c r="B132" s="442" t="s">
        <v>690</v>
      </c>
      <c r="C132" s="442" t="s">
        <v>690</v>
      </c>
      <c r="D132" s="442" t="s">
        <v>673</v>
      </c>
      <c r="E132" s="442" t="s">
        <v>3</v>
      </c>
      <c r="F132" s="443" t="s">
        <v>83</v>
      </c>
      <c r="G132" s="443" t="s">
        <v>691</v>
      </c>
      <c r="H132" s="444">
        <v>547200</v>
      </c>
      <c r="I132" s="444">
        <v>547200</v>
      </c>
      <c r="J132" s="444">
        <v>0</v>
      </c>
      <c r="K132" s="444">
        <v>0</v>
      </c>
      <c r="L132" s="444">
        <v>547200</v>
      </c>
      <c r="M132" s="444">
        <v>0</v>
      </c>
      <c r="N132" s="444">
        <v>0</v>
      </c>
      <c r="O132" s="444">
        <v>0</v>
      </c>
      <c r="P132" s="444">
        <v>0</v>
      </c>
      <c r="Q132" s="444">
        <v>0</v>
      </c>
      <c r="R132" s="444">
        <v>0</v>
      </c>
      <c r="S132" s="444">
        <v>0</v>
      </c>
      <c r="T132" s="444">
        <v>0</v>
      </c>
      <c r="U132" s="444">
        <v>0</v>
      </c>
      <c r="V132" s="444">
        <v>0</v>
      </c>
      <c r="W132" s="444">
        <v>0</v>
      </c>
      <c r="X132" s="442" t="s">
        <v>674</v>
      </c>
      <c r="Y132" s="442" t="s">
        <v>675</v>
      </c>
      <c r="Z132" s="442" t="s">
        <v>675</v>
      </c>
      <c r="AA132" s="442" t="s">
        <v>675</v>
      </c>
      <c r="AB132" s="442" t="s">
        <v>675</v>
      </c>
      <c r="AC132" s="442"/>
      <c r="AD132" s="442"/>
      <c r="AE132" s="442" t="s">
        <v>676</v>
      </c>
      <c r="AF132" s="442"/>
      <c r="AG132" s="443" t="s">
        <v>693</v>
      </c>
      <c r="AH132" s="442"/>
      <c r="AI132" s="443" t="s">
        <v>693</v>
      </c>
      <c r="AJ132" s="443" t="s">
        <v>677</v>
      </c>
      <c r="AK132" s="442" t="s">
        <v>677</v>
      </c>
      <c r="AL132" s="442"/>
      <c r="AM132" s="442"/>
      <c r="AN132" s="442"/>
      <c r="AO132" s="442"/>
      <c r="AP132" s="442"/>
      <c r="AQ132" s="442"/>
      <c r="AR132" s="444"/>
      <c r="AS132" s="442"/>
      <c r="AT132" s="444"/>
      <c r="AU132" s="442" t="s">
        <v>678</v>
      </c>
      <c r="AV132" s="442" t="s">
        <v>677</v>
      </c>
      <c r="AW132" s="442" t="s">
        <v>676</v>
      </c>
      <c r="AX132" s="442" t="s">
        <v>674</v>
      </c>
      <c r="AY132" s="442"/>
      <c r="AZ132" s="442"/>
      <c r="BA132" s="442" t="s">
        <v>679</v>
      </c>
      <c r="BB132" s="442"/>
      <c r="BC132" s="442"/>
      <c r="BD132" s="442"/>
      <c r="BE132" s="444"/>
      <c r="BF132" s="442" t="s">
        <v>298</v>
      </c>
      <c r="BG132" s="442" t="s">
        <v>680</v>
      </c>
      <c r="BH132" s="442" t="s">
        <v>681</v>
      </c>
      <c r="BI132" s="442"/>
    </row>
    <row r="133" spans="1:61">
      <c r="A133" s="442" t="s">
        <v>690</v>
      </c>
      <c r="B133" s="442" t="s">
        <v>690</v>
      </c>
      <c r="C133" s="442" t="s">
        <v>690</v>
      </c>
      <c r="D133" s="442" t="s">
        <v>673</v>
      </c>
      <c r="E133" s="442" t="s">
        <v>3</v>
      </c>
      <c r="F133" s="443" t="s">
        <v>83</v>
      </c>
      <c r="G133" s="443" t="s">
        <v>691</v>
      </c>
      <c r="H133" s="444">
        <v>88000</v>
      </c>
      <c r="I133" s="444">
        <v>88000</v>
      </c>
      <c r="J133" s="444">
        <v>0</v>
      </c>
      <c r="K133" s="444">
        <v>0</v>
      </c>
      <c r="L133" s="444">
        <v>88000</v>
      </c>
      <c r="M133" s="444">
        <v>0</v>
      </c>
      <c r="N133" s="444">
        <v>0</v>
      </c>
      <c r="O133" s="444">
        <v>0</v>
      </c>
      <c r="P133" s="444">
        <v>0</v>
      </c>
      <c r="Q133" s="444">
        <v>0</v>
      </c>
      <c r="R133" s="444">
        <v>0</v>
      </c>
      <c r="S133" s="444">
        <v>0</v>
      </c>
      <c r="T133" s="444">
        <v>0</v>
      </c>
      <c r="U133" s="444">
        <v>0</v>
      </c>
      <c r="V133" s="444">
        <v>0</v>
      </c>
      <c r="W133" s="444">
        <v>0</v>
      </c>
      <c r="X133" s="442" t="s">
        <v>674</v>
      </c>
      <c r="Y133" s="442" t="s">
        <v>675</v>
      </c>
      <c r="Z133" s="442" t="s">
        <v>675</v>
      </c>
      <c r="AA133" s="442" t="s">
        <v>675</v>
      </c>
      <c r="AB133" s="442" t="s">
        <v>675</v>
      </c>
      <c r="AC133" s="442"/>
      <c r="AD133" s="442"/>
      <c r="AE133" s="442" t="s">
        <v>676</v>
      </c>
      <c r="AF133" s="442"/>
      <c r="AG133" s="443" t="s">
        <v>695</v>
      </c>
      <c r="AH133" s="442"/>
      <c r="AI133" s="443" t="s">
        <v>695</v>
      </c>
      <c r="AJ133" s="443" t="s">
        <v>677</v>
      </c>
      <c r="AK133" s="442" t="s">
        <v>677</v>
      </c>
      <c r="AL133" s="442"/>
      <c r="AM133" s="442"/>
      <c r="AN133" s="442"/>
      <c r="AO133" s="442"/>
      <c r="AP133" s="442"/>
      <c r="AQ133" s="442"/>
      <c r="AR133" s="444"/>
      <c r="AS133" s="442"/>
      <c r="AT133" s="444"/>
      <c r="AU133" s="442" t="s">
        <v>678</v>
      </c>
      <c r="AV133" s="442" t="s">
        <v>677</v>
      </c>
      <c r="AW133" s="442" t="s">
        <v>676</v>
      </c>
      <c r="AX133" s="442" t="s">
        <v>674</v>
      </c>
      <c r="AY133" s="442"/>
      <c r="AZ133" s="442"/>
      <c r="BA133" s="442" t="s">
        <v>679</v>
      </c>
      <c r="BB133" s="442"/>
      <c r="BC133" s="442"/>
      <c r="BD133" s="442"/>
      <c r="BE133" s="444"/>
      <c r="BF133" s="442" t="s">
        <v>298</v>
      </c>
      <c r="BG133" s="442" t="s">
        <v>680</v>
      </c>
      <c r="BH133" s="442" t="s">
        <v>681</v>
      </c>
      <c r="BI133" s="442"/>
    </row>
    <row r="134" spans="1:61">
      <c r="A134" s="442" t="s">
        <v>690</v>
      </c>
      <c r="B134" s="442" t="s">
        <v>690</v>
      </c>
      <c r="C134" s="442" t="s">
        <v>690</v>
      </c>
      <c r="D134" s="442" t="s">
        <v>673</v>
      </c>
      <c r="E134" s="442" t="s">
        <v>3</v>
      </c>
      <c r="F134" s="443" t="s">
        <v>83</v>
      </c>
      <c r="G134" s="443" t="s">
        <v>691</v>
      </c>
      <c r="H134" s="444">
        <v>52800</v>
      </c>
      <c r="I134" s="444">
        <v>52800</v>
      </c>
      <c r="J134" s="444">
        <v>0</v>
      </c>
      <c r="K134" s="444">
        <v>0</v>
      </c>
      <c r="L134" s="444">
        <v>52800</v>
      </c>
      <c r="M134" s="444">
        <v>0</v>
      </c>
      <c r="N134" s="444">
        <v>0</v>
      </c>
      <c r="O134" s="444">
        <v>0</v>
      </c>
      <c r="P134" s="444">
        <v>0</v>
      </c>
      <c r="Q134" s="444">
        <v>0</v>
      </c>
      <c r="R134" s="444">
        <v>0</v>
      </c>
      <c r="S134" s="444">
        <v>0</v>
      </c>
      <c r="T134" s="444">
        <v>0</v>
      </c>
      <c r="U134" s="444">
        <v>0</v>
      </c>
      <c r="V134" s="444">
        <v>0</v>
      </c>
      <c r="W134" s="444">
        <v>0</v>
      </c>
      <c r="X134" s="442" t="s">
        <v>674</v>
      </c>
      <c r="Y134" s="442" t="s">
        <v>675</v>
      </c>
      <c r="Z134" s="442" t="s">
        <v>675</v>
      </c>
      <c r="AA134" s="442" t="s">
        <v>675</v>
      </c>
      <c r="AB134" s="442" t="s">
        <v>675</v>
      </c>
      <c r="AC134" s="442"/>
      <c r="AD134" s="442"/>
      <c r="AE134" s="442" t="s">
        <v>676</v>
      </c>
      <c r="AF134" s="442"/>
      <c r="AG134" s="443" t="s">
        <v>692</v>
      </c>
      <c r="AH134" s="442"/>
      <c r="AI134" s="443" t="s">
        <v>692</v>
      </c>
      <c r="AJ134" s="443" t="s">
        <v>677</v>
      </c>
      <c r="AK134" s="442" t="s">
        <v>677</v>
      </c>
      <c r="AL134" s="442"/>
      <c r="AM134" s="442"/>
      <c r="AN134" s="442"/>
      <c r="AO134" s="442"/>
      <c r="AP134" s="442"/>
      <c r="AQ134" s="442"/>
      <c r="AR134" s="444"/>
      <c r="AS134" s="442"/>
      <c r="AT134" s="444"/>
      <c r="AU134" s="442" t="s">
        <v>678</v>
      </c>
      <c r="AV134" s="442" t="s">
        <v>677</v>
      </c>
      <c r="AW134" s="442" t="s">
        <v>676</v>
      </c>
      <c r="AX134" s="442" t="s">
        <v>674</v>
      </c>
      <c r="AY134" s="442"/>
      <c r="AZ134" s="442"/>
      <c r="BA134" s="442" t="s">
        <v>679</v>
      </c>
      <c r="BB134" s="442"/>
      <c r="BC134" s="442"/>
      <c r="BD134" s="442"/>
      <c r="BE134" s="444"/>
      <c r="BF134" s="442" t="s">
        <v>298</v>
      </c>
      <c r="BG134" s="442" t="s">
        <v>680</v>
      </c>
      <c r="BH134" s="442" t="s">
        <v>681</v>
      </c>
      <c r="BI134" s="442"/>
    </row>
    <row r="135" spans="1:61">
      <c r="A135" s="442" t="s">
        <v>690</v>
      </c>
      <c r="B135" s="442" t="s">
        <v>690</v>
      </c>
      <c r="C135" s="442" t="s">
        <v>690</v>
      </c>
      <c r="D135" s="442" t="s">
        <v>673</v>
      </c>
      <c r="E135" s="442" t="s">
        <v>3</v>
      </c>
      <c r="F135" s="443" t="s">
        <v>83</v>
      </c>
      <c r="G135" s="443" t="s">
        <v>691</v>
      </c>
      <c r="H135" s="444">
        <v>52800</v>
      </c>
      <c r="I135" s="444">
        <v>52800</v>
      </c>
      <c r="J135" s="444">
        <v>0</v>
      </c>
      <c r="K135" s="444">
        <v>0</v>
      </c>
      <c r="L135" s="444">
        <v>52800</v>
      </c>
      <c r="M135" s="444">
        <v>0</v>
      </c>
      <c r="N135" s="444">
        <v>0</v>
      </c>
      <c r="O135" s="444">
        <v>0</v>
      </c>
      <c r="P135" s="444">
        <v>0</v>
      </c>
      <c r="Q135" s="444">
        <v>0</v>
      </c>
      <c r="R135" s="444">
        <v>0</v>
      </c>
      <c r="S135" s="444">
        <v>0</v>
      </c>
      <c r="T135" s="444">
        <v>0</v>
      </c>
      <c r="U135" s="444">
        <v>0</v>
      </c>
      <c r="V135" s="444">
        <v>0</v>
      </c>
      <c r="W135" s="444">
        <v>0</v>
      </c>
      <c r="X135" s="442" t="s">
        <v>674</v>
      </c>
      <c r="Y135" s="442" t="s">
        <v>675</v>
      </c>
      <c r="Z135" s="442" t="s">
        <v>675</v>
      </c>
      <c r="AA135" s="442" t="s">
        <v>675</v>
      </c>
      <c r="AB135" s="442" t="s">
        <v>675</v>
      </c>
      <c r="AC135" s="442"/>
      <c r="AD135" s="442"/>
      <c r="AE135" s="442" t="s">
        <v>676</v>
      </c>
      <c r="AF135" s="442"/>
      <c r="AG135" s="443" t="s">
        <v>692</v>
      </c>
      <c r="AH135" s="442"/>
      <c r="AI135" s="443" t="s">
        <v>692</v>
      </c>
      <c r="AJ135" s="443" t="s">
        <v>677</v>
      </c>
      <c r="AK135" s="442" t="s">
        <v>677</v>
      </c>
      <c r="AL135" s="442"/>
      <c r="AM135" s="442"/>
      <c r="AN135" s="442"/>
      <c r="AO135" s="442"/>
      <c r="AP135" s="442"/>
      <c r="AQ135" s="442"/>
      <c r="AR135" s="444"/>
      <c r="AS135" s="442"/>
      <c r="AT135" s="444"/>
      <c r="AU135" s="442" t="s">
        <v>678</v>
      </c>
      <c r="AV135" s="442" t="s">
        <v>677</v>
      </c>
      <c r="AW135" s="442" t="s">
        <v>676</v>
      </c>
      <c r="AX135" s="442" t="s">
        <v>674</v>
      </c>
      <c r="AY135" s="442"/>
      <c r="AZ135" s="442"/>
      <c r="BA135" s="442" t="s">
        <v>679</v>
      </c>
      <c r="BB135" s="442"/>
      <c r="BC135" s="442"/>
      <c r="BD135" s="442"/>
      <c r="BE135" s="444"/>
      <c r="BF135" s="442" t="s">
        <v>298</v>
      </c>
      <c r="BG135" s="442" t="s">
        <v>680</v>
      </c>
      <c r="BH135" s="442" t="s">
        <v>681</v>
      </c>
      <c r="BI135" s="442"/>
    </row>
    <row r="136" spans="1:61">
      <c r="A136" s="442" t="s">
        <v>690</v>
      </c>
      <c r="B136" s="442" t="s">
        <v>690</v>
      </c>
      <c r="C136" s="442" t="s">
        <v>690</v>
      </c>
      <c r="D136" s="442" t="s">
        <v>673</v>
      </c>
      <c r="E136" s="442" t="s">
        <v>3</v>
      </c>
      <c r="F136" s="443" t="s">
        <v>83</v>
      </c>
      <c r="G136" s="443" t="s">
        <v>691</v>
      </c>
      <c r="H136" s="444">
        <v>547200</v>
      </c>
      <c r="I136" s="444">
        <v>547200</v>
      </c>
      <c r="J136" s="444">
        <v>0</v>
      </c>
      <c r="K136" s="444">
        <v>0</v>
      </c>
      <c r="L136" s="444">
        <v>547200</v>
      </c>
      <c r="M136" s="444">
        <v>0</v>
      </c>
      <c r="N136" s="444">
        <v>0</v>
      </c>
      <c r="O136" s="444">
        <v>0</v>
      </c>
      <c r="P136" s="444">
        <v>0</v>
      </c>
      <c r="Q136" s="444">
        <v>0</v>
      </c>
      <c r="R136" s="444">
        <v>0</v>
      </c>
      <c r="S136" s="444">
        <v>0</v>
      </c>
      <c r="T136" s="444">
        <v>0</v>
      </c>
      <c r="U136" s="444">
        <v>0</v>
      </c>
      <c r="V136" s="444">
        <v>0</v>
      </c>
      <c r="W136" s="444">
        <v>0</v>
      </c>
      <c r="X136" s="442" t="s">
        <v>674</v>
      </c>
      <c r="Y136" s="442" t="s">
        <v>675</v>
      </c>
      <c r="Z136" s="442" t="s">
        <v>675</v>
      </c>
      <c r="AA136" s="442" t="s">
        <v>675</v>
      </c>
      <c r="AB136" s="442" t="s">
        <v>675</v>
      </c>
      <c r="AC136" s="442"/>
      <c r="AD136" s="442"/>
      <c r="AE136" s="442" t="s">
        <v>676</v>
      </c>
      <c r="AF136" s="442"/>
      <c r="AG136" s="443" t="s">
        <v>693</v>
      </c>
      <c r="AH136" s="442"/>
      <c r="AI136" s="443" t="s">
        <v>693</v>
      </c>
      <c r="AJ136" s="443" t="s">
        <v>677</v>
      </c>
      <c r="AK136" s="442" t="s">
        <v>677</v>
      </c>
      <c r="AL136" s="442"/>
      <c r="AM136" s="442"/>
      <c r="AN136" s="442"/>
      <c r="AO136" s="442"/>
      <c r="AP136" s="442"/>
      <c r="AQ136" s="442"/>
      <c r="AR136" s="444"/>
      <c r="AS136" s="442"/>
      <c r="AT136" s="444"/>
      <c r="AU136" s="442" t="s">
        <v>678</v>
      </c>
      <c r="AV136" s="442" t="s">
        <v>677</v>
      </c>
      <c r="AW136" s="442" t="s">
        <v>676</v>
      </c>
      <c r="AX136" s="442" t="s">
        <v>674</v>
      </c>
      <c r="AY136" s="442"/>
      <c r="AZ136" s="442"/>
      <c r="BA136" s="442" t="s">
        <v>679</v>
      </c>
      <c r="BB136" s="442"/>
      <c r="BC136" s="442"/>
      <c r="BD136" s="442"/>
      <c r="BE136" s="444"/>
      <c r="BF136" s="442" t="s">
        <v>298</v>
      </c>
      <c r="BG136" s="442" t="s">
        <v>680</v>
      </c>
      <c r="BH136" s="442" t="s">
        <v>681</v>
      </c>
      <c r="BI136" s="442"/>
    </row>
    <row r="137" spans="1:61">
      <c r="A137" s="442" t="s">
        <v>690</v>
      </c>
      <c r="B137" s="442" t="s">
        <v>690</v>
      </c>
      <c r="C137" s="442" t="s">
        <v>690</v>
      </c>
      <c r="D137" s="442" t="s">
        <v>673</v>
      </c>
      <c r="E137" s="442" t="s">
        <v>3</v>
      </c>
      <c r="F137" s="443" t="s">
        <v>83</v>
      </c>
      <c r="G137" s="443" t="s">
        <v>691</v>
      </c>
      <c r="H137" s="444">
        <v>547200</v>
      </c>
      <c r="I137" s="444">
        <v>547200</v>
      </c>
      <c r="J137" s="444">
        <v>0</v>
      </c>
      <c r="K137" s="444">
        <v>0</v>
      </c>
      <c r="L137" s="444">
        <v>547200</v>
      </c>
      <c r="M137" s="444">
        <v>0</v>
      </c>
      <c r="N137" s="444">
        <v>0</v>
      </c>
      <c r="O137" s="444">
        <v>0</v>
      </c>
      <c r="P137" s="444">
        <v>0</v>
      </c>
      <c r="Q137" s="444">
        <v>0</v>
      </c>
      <c r="R137" s="444">
        <v>0</v>
      </c>
      <c r="S137" s="444">
        <v>0</v>
      </c>
      <c r="T137" s="444">
        <v>0</v>
      </c>
      <c r="U137" s="444">
        <v>0</v>
      </c>
      <c r="V137" s="444">
        <v>0</v>
      </c>
      <c r="W137" s="444">
        <v>0</v>
      </c>
      <c r="X137" s="442" t="s">
        <v>674</v>
      </c>
      <c r="Y137" s="442" t="s">
        <v>675</v>
      </c>
      <c r="Z137" s="442" t="s">
        <v>675</v>
      </c>
      <c r="AA137" s="442" t="s">
        <v>675</v>
      </c>
      <c r="AB137" s="442" t="s">
        <v>675</v>
      </c>
      <c r="AC137" s="442"/>
      <c r="AD137" s="442"/>
      <c r="AE137" s="442" t="s">
        <v>676</v>
      </c>
      <c r="AF137" s="442"/>
      <c r="AG137" s="443" t="s">
        <v>693</v>
      </c>
      <c r="AH137" s="442"/>
      <c r="AI137" s="443" t="s">
        <v>693</v>
      </c>
      <c r="AJ137" s="443" t="s">
        <v>677</v>
      </c>
      <c r="AK137" s="442" t="s">
        <v>677</v>
      </c>
      <c r="AL137" s="442"/>
      <c r="AM137" s="442"/>
      <c r="AN137" s="442"/>
      <c r="AO137" s="442"/>
      <c r="AP137" s="442"/>
      <c r="AQ137" s="442"/>
      <c r="AR137" s="444"/>
      <c r="AS137" s="442"/>
      <c r="AT137" s="444"/>
      <c r="AU137" s="442" t="s">
        <v>678</v>
      </c>
      <c r="AV137" s="442" t="s">
        <v>677</v>
      </c>
      <c r="AW137" s="442" t="s">
        <v>676</v>
      </c>
      <c r="AX137" s="442" t="s">
        <v>674</v>
      </c>
      <c r="AY137" s="442"/>
      <c r="AZ137" s="442"/>
      <c r="BA137" s="442" t="s">
        <v>679</v>
      </c>
      <c r="BB137" s="442"/>
      <c r="BC137" s="442"/>
      <c r="BD137" s="442"/>
      <c r="BE137" s="444"/>
      <c r="BF137" s="442" t="s">
        <v>298</v>
      </c>
      <c r="BG137" s="442" t="s">
        <v>680</v>
      </c>
      <c r="BH137" s="442" t="s">
        <v>681</v>
      </c>
      <c r="BI137" s="442"/>
    </row>
    <row r="138" spans="1:61">
      <c r="A138" s="442" t="s">
        <v>690</v>
      </c>
      <c r="B138" s="442" t="s">
        <v>690</v>
      </c>
      <c r="C138" s="442" t="s">
        <v>690</v>
      </c>
      <c r="D138" s="442" t="s">
        <v>673</v>
      </c>
      <c r="E138" s="442" t="s">
        <v>3</v>
      </c>
      <c r="F138" s="443" t="s">
        <v>83</v>
      </c>
      <c r="G138" s="443" t="s">
        <v>691</v>
      </c>
      <c r="H138" s="444">
        <v>228800</v>
      </c>
      <c r="I138" s="444">
        <v>228800</v>
      </c>
      <c r="J138" s="444">
        <v>0</v>
      </c>
      <c r="K138" s="444">
        <v>0</v>
      </c>
      <c r="L138" s="444">
        <v>228800</v>
      </c>
      <c r="M138" s="444">
        <v>0</v>
      </c>
      <c r="N138" s="444">
        <v>0</v>
      </c>
      <c r="O138" s="444">
        <v>0</v>
      </c>
      <c r="P138" s="444">
        <v>0</v>
      </c>
      <c r="Q138" s="444">
        <v>0</v>
      </c>
      <c r="R138" s="444">
        <v>0</v>
      </c>
      <c r="S138" s="444">
        <v>0</v>
      </c>
      <c r="T138" s="444">
        <v>0</v>
      </c>
      <c r="U138" s="444">
        <v>0</v>
      </c>
      <c r="V138" s="444">
        <v>0</v>
      </c>
      <c r="W138" s="444">
        <v>0</v>
      </c>
      <c r="X138" s="442" t="s">
        <v>674</v>
      </c>
      <c r="Y138" s="442" t="s">
        <v>675</v>
      </c>
      <c r="Z138" s="442" t="s">
        <v>675</v>
      </c>
      <c r="AA138" s="442" t="s">
        <v>675</v>
      </c>
      <c r="AB138" s="442" t="s">
        <v>675</v>
      </c>
      <c r="AC138" s="442"/>
      <c r="AD138" s="442"/>
      <c r="AE138" s="442" t="s">
        <v>676</v>
      </c>
      <c r="AF138" s="442"/>
      <c r="AG138" s="443" t="s">
        <v>692</v>
      </c>
      <c r="AH138" s="442"/>
      <c r="AI138" s="443" t="s">
        <v>692</v>
      </c>
      <c r="AJ138" s="443" t="s">
        <v>677</v>
      </c>
      <c r="AK138" s="442" t="s">
        <v>677</v>
      </c>
      <c r="AL138" s="442"/>
      <c r="AM138" s="442"/>
      <c r="AN138" s="442"/>
      <c r="AO138" s="442"/>
      <c r="AP138" s="442"/>
      <c r="AQ138" s="442"/>
      <c r="AR138" s="444"/>
      <c r="AS138" s="442"/>
      <c r="AT138" s="444"/>
      <c r="AU138" s="442" t="s">
        <v>678</v>
      </c>
      <c r="AV138" s="442" t="s">
        <v>677</v>
      </c>
      <c r="AW138" s="442" t="s">
        <v>676</v>
      </c>
      <c r="AX138" s="442" t="s">
        <v>674</v>
      </c>
      <c r="AY138" s="442"/>
      <c r="AZ138" s="442"/>
      <c r="BA138" s="442" t="s">
        <v>679</v>
      </c>
      <c r="BB138" s="442"/>
      <c r="BC138" s="442"/>
      <c r="BD138" s="442"/>
      <c r="BE138" s="444"/>
      <c r="BF138" s="442" t="s">
        <v>298</v>
      </c>
      <c r="BG138" s="442" t="s">
        <v>680</v>
      </c>
      <c r="BH138" s="442" t="s">
        <v>681</v>
      </c>
      <c r="BI138" s="442"/>
    </row>
    <row r="139" spans="1:61">
      <c r="A139" s="442" t="s">
        <v>690</v>
      </c>
      <c r="B139" s="442" t="s">
        <v>690</v>
      </c>
      <c r="C139" s="442" t="s">
        <v>690</v>
      </c>
      <c r="D139" s="442" t="s">
        <v>673</v>
      </c>
      <c r="E139" s="442" t="s">
        <v>3</v>
      </c>
      <c r="F139" s="443" t="s">
        <v>83</v>
      </c>
      <c r="G139" s="443" t="s">
        <v>691</v>
      </c>
      <c r="H139" s="444">
        <v>2371200</v>
      </c>
      <c r="I139" s="444">
        <v>2371200</v>
      </c>
      <c r="J139" s="444">
        <v>0</v>
      </c>
      <c r="K139" s="444">
        <v>0</v>
      </c>
      <c r="L139" s="444">
        <v>2371200</v>
      </c>
      <c r="M139" s="444">
        <v>0</v>
      </c>
      <c r="N139" s="444">
        <v>0</v>
      </c>
      <c r="O139" s="444">
        <v>0</v>
      </c>
      <c r="P139" s="444">
        <v>0</v>
      </c>
      <c r="Q139" s="444">
        <v>0</v>
      </c>
      <c r="R139" s="444">
        <v>0</v>
      </c>
      <c r="S139" s="444">
        <v>0</v>
      </c>
      <c r="T139" s="444">
        <v>0</v>
      </c>
      <c r="U139" s="444">
        <v>0</v>
      </c>
      <c r="V139" s="444">
        <v>0</v>
      </c>
      <c r="W139" s="444">
        <v>0</v>
      </c>
      <c r="X139" s="442" t="s">
        <v>674</v>
      </c>
      <c r="Y139" s="442" t="s">
        <v>675</v>
      </c>
      <c r="Z139" s="442" t="s">
        <v>675</v>
      </c>
      <c r="AA139" s="442" t="s">
        <v>675</v>
      </c>
      <c r="AB139" s="442" t="s">
        <v>675</v>
      </c>
      <c r="AC139" s="442"/>
      <c r="AD139" s="442"/>
      <c r="AE139" s="442" t="s">
        <v>676</v>
      </c>
      <c r="AF139" s="442"/>
      <c r="AG139" s="443" t="s">
        <v>693</v>
      </c>
      <c r="AH139" s="442"/>
      <c r="AI139" s="443" t="s">
        <v>693</v>
      </c>
      <c r="AJ139" s="443" t="s">
        <v>677</v>
      </c>
      <c r="AK139" s="442" t="s">
        <v>677</v>
      </c>
      <c r="AL139" s="442"/>
      <c r="AM139" s="442"/>
      <c r="AN139" s="442"/>
      <c r="AO139" s="442"/>
      <c r="AP139" s="442"/>
      <c r="AQ139" s="442"/>
      <c r="AR139" s="444"/>
      <c r="AS139" s="442"/>
      <c r="AT139" s="444"/>
      <c r="AU139" s="442" t="s">
        <v>678</v>
      </c>
      <c r="AV139" s="442" t="s">
        <v>677</v>
      </c>
      <c r="AW139" s="442" t="s">
        <v>676</v>
      </c>
      <c r="AX139" s="442" t="s">
        <v>674</v>
      </c>
      <c r="AY139" s="442"/>
      <c r="AZ139" s="442"/>
      <c r="BA139" s="442" t="s">
        <v>679</v>
      </c>
      <c r="BB139" s="442"/>
      <c r="BC139" s="442"/>
      <c r="BD139" s="442"/>
      <c r="BE139" s="444"/>
      <c r="BF139" s="442" t="s">
        <v>298</v>
      </c>
      <c r="BG139" s="442" t="s">
        <v>680</v>
      </c>
      <c r="BH139" s="442" t="s">
        <v>681</v>
      </c>
      <c r="BI139" s="442"/>
    </row>
    <row r="140" spans="1:61">
      <c r="A140" s="442" t="s">
        <v>690</v>
      </c>
      <c r="B140" s="442" t="s">
        <v>690</v>
      </c>
      <c r="C140" s="442" t="s">
        <v>690</v>
      </c>
      <c r="D140" s="442" t="s">
        <v>673</v>
      </c>
      <c r="E140" s="442" t="s">
        <v>3</v>
      </c>
      <c r="F140" s="443" t="s">
        <v>83</v>
      </c>
      <c r="G140" s="443" t="s">
        <v>691</v>
      </c>
      <c r="H140" s="444">
        <v>52800</v>
      </c>
      <c r="I140" s="444">
        <v>52800</v>
      </c>
      <c r="J140" s="444">
        <v>0</v>
      </c>
      <c r="K140" s="444">
        <v>0</v>
      </c>
      <c r="L140" s="444">
        <v>52800</v>
      </c>
      <c r="M140" s="444">
        <v>0</v>
      </c>
      <c r="N140" s="444">
        <v>0</v>
      </c>
      <c r="O140" s="444">
        <v>0</v>
      </c>
      <c r="P140" s="444">
        <v>0</v>
      </c>
      <c r="Q140" s="444">
        <v>0</v>
      </c>
      <c r="R140" s="444">
        <v>0</v>
      </c>
      <c r="S140" s="444">
        <v>0</v>
      </c>
      <c r="T140" s="444">
        <v>0</v>
      </c>
      <c r="U140" s="444">
        <v>0</v>
      </c>
      <c r="V140" s="444">
        <v>0</v>
      </c>
      <c r="W140" s="444">
        <v>0</v>
      </c>
      <c r="X140" s="442" t="s">
        <v>674</v>
      </c>
      <c r="Y140" s="442" t="s">
        <v>675</v>
      </c>
      <c r="Z140" s="442" t="s">
        <v>675</v>
      </c>
      <c r="AA140" s="442" t="s">
        <v>675</v>
      </c>
      <c r="AB140" s="442" t="s">
        <v>675</v>
      </c>
      <c r="AC140" s="442"/>
      <c r="AD140" s="442"/>
      <c r="AE140" s="442" t="s">
        <v>676</v>
      </c>
      <c r="AF140" s="442"/>
      <c r="AG140" s="443" t="s">
        <v>692</v>
      </c>
      <c r="AH140" s="442"/>
      <c r="AI140" s="443" t="s">
        <v>692</v>
      </c>
      <c r="AJ140" s="443" t="s">
        <v>677</v>
      </c>
      <c r="AK140" s="442" t="s">
        <v>677</v>
      </c>
      <c r="AL140" s="442"/>
      <c r="AM140" s="442"/>
      <c r="AN140" s="442"/>
      <c r="AO140" s="442"/>
      <c r="AP140" s="442"/>
      <c r="AQ140" s="442"/>
      <c r="AR140" s="444"/>
      <c r="AS140" s="442"/>
      <c r="AT140" s="444"/>
      <c r="AU140" s="442" t="s">
        <v>678</v>
      </c>
      <c r="AV140" s="442" t="s">
        <v>677</v>
      </c>
      <c r="AW140" s="442" t="s">
        <v>676</v>
      </c>
      <c r="AX140" s="442" t="s">
        <v>674</v>
      </c>
      <c r="AY140" s="442"/>
      <c r="AZ140" s="442"/>
      <c r="BA140" s="442" t="s">
        <v>679</v>
      </c>
      <c r="BB140" s="442"/>
      <c r="BC140" s="442"/>
      <c r="BD140" s="442"/>
      <c r="BE140" s="444"/>
      <c r="BF140" s="442" t="s">
        <v>298</v>
      </c>
      <c r="BG140" s="442" t="s">
        <v>680</v>
      </c>
      <c r="BH140" s="442" t="s">
        <v>681</v>
      </c>
      <c r="BI140" s="442"/>
    </row>
    <row r="141" spans="1:61">
      <c r="A141" s="442" t="s">
        <v>690</v>
      </c>
      <c r="B141" s="442" t="s">
        <v>690</v>
      </c>
      <c r="C141" s="442" t="s">
        <v>690</v>
      </c>
      <c r="D141" s="442" t="s">
        <v>673</v>
      </c>
      <c r="E141" s="442" t="s">
        <v>3</v>
      </c>
      <c r="F141" s="443" t="s">
        <v>83</v>
      </c>
      <c r="G141" s="443" t="s">
        <v>691</v>
      </c>
      <c r="H141" s="444">
        <v>52800</v>
      </c>
      <c r="I141" s="444">
        <v>52800</v>
      </c>
      <c r="J141" s="444">
        <v>0</v>
      </c>
      <c r="K141" s="444">
        <v>0</v>
      </c>
      <c r="L141" s="444">
        <v>52800</v>
      </c>
      <c r="M141" s="444">
        <v>0</v>
      </c>
      <c r="N141" s="444">
        <v>0</v>
      </c>
      <c r="O141" s="444">
        <v>0</v>
      </c>
      <c r="P141" s="444">
        <v>0</v>
      </c>
      <c r="Q141" s="444">
        <v>0</v>
      </c>
      <c r="R141" s="444">
        <v>0</v>
      </c>
      <c r="S141" s="444">
        <v>0</v>
      </c>
      <c r="T141" s="444">
        <v>0</v>
      </c>
      <c r="U141" s="444">
        <v>0</v>
      </c>
      <c r="V141" s="444">
        <v>0</v>
      </c>
      <c r="W141" s="444">
        <v>0</v>
      </c>
      <c r="X141" s="442" t="s">
        <v>674</v>
      </c>
      <c r="Y141" s="442" t="s">
        <v>675</v>
      </c>
      <c r="Z141" s="442" t="s">
        <v>675</v>
      </c>
      <c r="AA141" s="442" t="s">
        <v>675</v>
      </c>
      <c r="AB141" s="442" t="s">
        <v>675</v>
      </c>
      <c r="AC141" s="442"/>
      <c r="AD141" s="442"/>
      <c r="AE141" s="442" t="s">
        <v>676</v>
      </c>
      <c r="AF141" s="442"/>
      <c r="AG141" s="443" t="s">
        <v>692</v>
      </c>
      <c r="AH141" s="442"/>
      <c r="AI141" s="443" t="s">
        <v>692</v>
      </c>
      <c r="AJ141" s="443" t="s">
        <v>677</v>
      </c>
      <c r="AK141" s="442" t="s">
        <v>677</v>
      </c>
      <c r="AL141" s="442"/>
      <c r="AM141" s="442"/>
      <c r="AN141" s="442"/>
      <c r="AO141" s="442"/>
      <c r="AP141" s="442"/>
      <c r="AQ141" s="442"/>
      <c r="AR141" s="444"/>
      <c r="AS141" s="442"/>
      <c r="AT141" s="444"/>
      <c r="AU141" s="442" t="s">
        <v>678</v>
      </c>
      <c r="AV141" s="442" t="s">
        <v>677</v>
      </c>
      <c r="AW141" s="442" t="s">
        <v>676</v>
      </c>
      <c r="AX141" s="442" t="s">
        <v>674</v>
      </c>
      <c r="AY141" s="442"/>
      <c r="AZ141" s="442"/>
      <c r="BA141" s="442" t="s">
        <v>679</v>
      </c>
      <c r="BB141" s="442"/>
      <c r="BC141" s="442"/>
      <c r="BD141" s="442"/>
      <c r="BE141" s="444"/>
      <c r="BF141" s="442" t="s">
        <v>298</v>
      </c>
      <c r="BG141" s="442" t="s">
        <v>680</v>
      </c>
      <c r="BH141" s="442" t="s">
        <v>681</v>
      </c>
      <c r="BI141" s="442"/>
    </row>
    <row r="142" spans="1:61">
      <c r="A142" s="442" t="s">
        <v>690</v>
      </c>
      <c r="B142" s="442" t="s">
        <v>690</v>
      </c>
      <c r="C142" s="442" t="s">
        <v>690</v>
      </c>
      <c r="D142" s="442" t="s">
        <v>673</v>
      </c>
      <c r="E142" s="442" t="s">
        <v>3</v>
      </c>
      <c r="F142" s="443" t="s">
        <v>83</v>
      </c>
      <c r="G142" s="443" t="s">
        <v>691</v>
      </c>
      <c r="H142" s="444">
        <v>52800</v>
      </c>
      <c r="I142" s="444">
        <v>52800</v>
      </c>
      <c r="J142" s="444">
        <v>0</v>
      </c>
      <c r="K142" s="444">
        <v>0</v>
      </c>
      <c r="L142" s="444">
        <v>52800</v>
      </c>
      <c r="M142" s="444">
        <v>0</v>
      </c>
      <c r="N142" s="444">
        <v>0</v>
      </c>
      <c r="O142" s="444">
        <v>0</v>
      </c>
      <c r="P142" s="444">
        <v>0</v>
      </c>
      <c r="Q142" s="444">
        <v>0</v>
      </c>
      <c r="R142" s="444">
        <v>0</v>
      </c>
      <c r="S142" s="444">
        <v>0</v>
      </c>
      <c r="T142" s="444">
        <v>0</v>
      </c>
      <c r="U142" s="444">
        <v>0</v>
      </c>
      <c r="V142" s="444">
        <v>0</v>
      </c>
      <c r="W142" s="444">
        <v>0</v>
      </c>
      <c r="X142" s="442" t="s">
        <v>674</v>
      </c>
      <c r="Y142" s="442" t="s">
        <v>675</v>
      </c>
      <c r="Z142" s="442" t="s">
        <v>675</v>
      </c>
      <c r="AA142" s="442" t="s">
        <v>675</v>
      </c>
      <c r="AB142" s="442" t="s">
        <v>675</v>
      </c>
      <c r="AC142" s="442"/>
      <c r="AD142" s="442"/>
      <c r="AE142" s="442" t="s">
        <v>676</v>
      </c>
      <c r="AF142" s="442"/>
      <c r="AG142" s="443" t="s">
        <v>692</v>
      </c>
      <c r="AH142" s="442"/>
      <c r="AI142" s="443" t="s">
        <v>692</v>
      </c>
      <c r="AJ142" s="443" t="s">
        <v>677</v>
      </c>
      <c r="AK142" s="442" t="s">
        <v>677</v>
      </c>
      <c r="AL142" s="442"/>
      <c r="AM142" s="442"/>
      <c r="AN142" s="442"/>
      <c r="AO142" s="442"/>
      <c r="AP142" s="442"/>
      <c r="AQ142" s="442"/>
      <c r="AR142" s="444"/>
      <c r="AS142" s="442"/>
      <c r="AT142" s="444"/>
      <c r="AU142" s="442" t="s">
        <v>678</v>
      </c>
      <c r="AV142" s="442" t="s">
        <v>677</v>
      </c>
      <c r="AW142" s="442" t="s">
        <v>676</v>
      </c>
      <c r="AX142" s="442" t="s">
        <v>674</v>
      </c>
      <c r="AY142" s="442"/>
      <c r="AZ142" s="442"/>
      <c r="BA142" s="442" t="s">
        <v>679</v>
      </c>
      <c r="BB142" s="442"/>
      <c r="BC142" s="442"/>
      <c r="BD142" s="442"/>
      <c r="BE142" s="444"/>
      <c r="BF142" s="442" t="s">
        <v>298</v>
      </c>
      <c r="BG142" s="442" t="s">
        <v>680</v>
      </c>
      <c r="BH142" s="442" t="s">
        <v>681</v>
      </c>
      <c r="BI142" s="442"/>
    </row>
    <row r="143" spans="1:61">
      <c r="A143" s="442" t="s">
        <v>690</v>
      </c>
      <c r="B143" s="442" t="s">
        <v>690</v>
      </c>
      <c r="C143" s="442" t="s">
        <v>690</v>
      </c>
      <c r="D143" s="442" t="s">
        <v>673</v>
      </c>
      <c r="E143" s="442" t="s">
        <v>3</v>
      </c>
      <c r="F143" s="443" t="s">
        <v>83</v>
      </c>
      <c r="G143" s="443" t="s">
        <v>691</v>
      </c>
      <c r="H143" s="444">
        <v>547200</v>
      </c>
      <c r="I143" s="444">
        <v>547200</v>
      </c>
      <c r="J143" s="444">
        <v>0</v>
      </c>
      <c r="K143" s="444">
        <v>0</v>
      </c>
      <c r="L143" s="444">
        <v>547200</v>
      </c>
      <c r="M143" s="444">
        <v>0</v>
      </c>
      <c r="N143" s="444">
        <v>0</v>
      </c>
      <c r="O143" s="444">
        <v>0</v>
      </c>
      <c r="P143" s="444">
        <v>0</v>
      </c>
      <c r="Q143" s="444">
        <v>0</v>
      </c>
      <c r="R143" s="444">
        <v>0</v>
      </c>
      <c r="S143" s="444">
        <v>0</v>
      </c>
      <c r="T143" s="444">
        <v>0</v>
      </c>
      <c r="U143" s="444">
        <v>0</v>
      </c>
      <c r="V143" s="444">
        <v>0</v>
      </c>
      <c r="W143" s="444">
        <v>0</v>
      </c>
      <c r="X143" s="442" t="s">
        <v>674</v>
      </c>
      <c r="Y143" s="442" t="s">
        <v>675</v>
      </c>
      <c r="Z143" s="442" t="s">
        <v>675</v>
      </c>
      <c r="AA143" s="442" t="s">
        <v>675</v>
      </c>
      <c r="AB143" s="442" t="s">
        <v>675</v>
      </c>
      <c r="AC143" s="442"/>
      <c r="AD143" s="442"/>
      <c r="AE143" s="442" t="s">
        <v>676</v>
      </c>
      <c r="AF143" s="442"/>
      <c r="AG143" s="443" t="s">
        <v>693</v>
      </c>
      <c r="AH143" s="442"/>
      <c r="AI143" s="443" t="s">
        <v>693</v>
      </c>
      <c r="AJ143" s="443" t="s">
        <v>677</v>
      </c>
      <c r="AK143" s="442" t="s">
        <v>677</v>
      </c>
      <c r="AL143" s="442"/>
      <c r="AM143" s="442"/>
      <c r="AN143" s="442"/>
      <c r="AO143" s="442"/>
      <c r="AP143" s="442"/>
      <c r="AQ143" s="442"/>
      <c r="AR143" s="444"/>
      <c r="AS143" s="442"/>
      <c r="AT143" s="444"/>
      <c r="AU143" s="442" t="s">
        <v>678</v>
      </c>
      <c r="AV143" s="442" t="s">
        <v>677</v>
      </c>
      <c r="AW143" s="442" t="s">
        <v>676</v>
      </c>
      <c r="AX143" s="442" t="s">
        <v>674</v>
      </c>
      <c r="AY143" s="442"/>
      <c r="AZ143" s="442"/>
      <c r="BA143" s="442" t="s">
        <v>679</v>
      </c>
      <c r="BB143" s="442"/>
      <c r="BC143" s="442"/>
      <c r="BD143" s="442"/>
      <c r="BE143" s="444"/>
      <c r="BF143" s="442" t="s">
        <v>298</v>
      </c>
      <c r="BG143" s="442" t="s">
        <v>680</v>
      </c>
      <c r="BH143" s="442" t="s">
        <v>681</v>
      </c>
      <c r="BI143" s="442"/>
    </row>
    <row r="144" spans="1:61">
      <c r="A144" s="442" t="s">
        <v>690</v>
      </c>
      <c r="B144" s="442" t="s">
        <v>690</v>
      </c>
      <c r="C144" s="442" t="s">
        <v>690</v>
      </c>
      <c r="D144" s="442" t="s">
        <v>673</v>
      </c>
      <c r="E144" s="442" t="s">
        <v>3</v>
      </c>
      <c r="F144" s="443" t="s">
        <v>83</v>
      </c>
      <c r="G144" s="443" t="s">
        <v>691</v>
      </c>
      <c r="H144" s="444">
        <v>52800</v>
      </c>
      <c r="I144" s="444">
        <v>52800</v>
      </c>
      <c r="J144" s="444">
        <v>0</v>
      </c>
      <c r="K144" s="444">
        <v>0</v>
      </c>
      <c r="L144" s="444">
        <v>52800</v>
      </c>
      <c r="M144" s="444">
        <v>0</v>
      </c>
      <c r="N144" s="444">
        <v>0</v>
      </c>
      <c r="O144" s="444">
        <v>0</v>
      </c>
      <c r="P144" s="444">
        <v>0</v>
      </c>
      <c r="Q144" s="444">
        <v>0</v>
      </c>
      <c r="R144" s="444">
        <v>0</v>
      </c>
      <c r="S144" s="444">
        <v>0</v>
      </c>
      <c r="T144" s="444">
        <v>0</v>
      </c>
      <c r="U144" s="444">
        <v>0</v>
      </c>
      <c r="V144" s="444">
        <v>0</v>
      </c>
      <c r="W144" s="444">
        <v>0</v>
      </c>
      <c r="X144" s="442" t="s">
        <v>674</v>
      </c>
      <c r="Y144" s="442" t="s">
        <v>675</v>
      </c>
      <c r="Z144" s="442" t="s">
        <v>675</v>
      </c>
      <c r="AA144" s="442" t="s">
        <v>675</v>
      </c>
      <c r="AB144" s="442" t="s">
        <v>675</v>
      </c>
      <c r="AC144" s="442"/>
      <c r="AD144" s="442"/>
      <c r="AE144" s="442" t="s">
        <v>676</v>
      </c>
      <c r="AF144" s="442"/>
      <c r="AG144" s="443" t="s">
        <v>692</v>
      </c>
      <c r="AH144" s="442"/>
      <c r="AI144" s="443" t="s">
        <v>692</v>
      </c>
      <c r="AJ144" s="443" t="s">
        <v>677</v>
      </c>
      <c r="AK144" s="442" t="s">
        <v>677</v>
      </c>
      <c r="AL144" s="442"/>
      <c r="AM144" s="442"/>
      <c r="AN144" s="442"/>
      <c r="AO144" s="442"/>
      <c r="AP144" s="442"/>
      <c r="AQ144" s="442"/>
      <c r="AR144" s="444"/>
      <c r="AS144" s="442"/>
      <c r="AT144" s="444"/>
      <c r="AU144" s="442" t="s">
        <v>678</v>
      </c>
      <c r="AV144" s="442" t="s">
        <v>677</v>
      </c>
      <c r="AW144" s="442" t="s">
        <v>676</v>
      </c>
      <c r="AX144" s="442" t="s">
        <v>674</v>
      </c>
      <c r="AY144" s="442"/>
      <c r="AZ144" s="442"/>
      <c r="BA144" s="442" t="s">
        <v>679</v>
      </c>
      <c r="BB144" s="442"/>
      <c r="BC144" s="442"/>
      <c r="BD144" s="442"/>
      <c r="BE144" s="444"/>
      <c r="BF144" s="442" t="s">
        <v>298</v>
      </c>
      <c r="BG144" s="442" t="s">
        <v>680</v>
      </c>
      <c r="BH144" s="442" t="s">
        <v>681</v>
      </c>
      <c r="BI144" s="442"/>
    </row>
    <row r="145" spans="1:61">
      <c r="A145" s="442" t="s">
        <v>690</v>
      </c>
      <c r="B145" s="442" t="s">
        <v>690</v>
      </c>
      <c r="C145" s="442" t="s">
        <v>690</v>
      </c>
      <c r="D145" s="442" t="s">
        <v>673</v>
      </c>
      <c r="E145" s="442" t="s">
        <v>3</v>
      </c>
      <c r="F145" s="443" t="s">
        <v>83</v>
      </c>
      <c r="G145" s="443" t="s">
        <v>691</v>
      </c>
      <c r="H145" s="444">
        <v>1003200</v>
      </c>
      <c r="I145" s="444">
        <v>1003200</v>
      </c>
      <c r="J145" s="444">
        <v>0</v>
      </c>
      <c r="K145" s="444">
        <v>0</v>
      </c>
      <c r="L145" s="444">
        <v>1003200</v>
      </c>
      <c r="M145" s="444">
        <v>0</v>
      </c>
      <c r="N145" s="444">
        <v>0</v>
      </c>
      <c r="O145" s="444">
        <v>0</v>
      </c>
      <c r="P145" s="444">
        <v>0</v>
      </c>
      <c r="Q145" s="444">
        <v>0</v>
      </c>
      <c r="R145" s="444">
        <v>0</v>
      </c>
      <c r="S145" s="444">
        <v>0</v>
      </c>
      <c r="T145" s="444">
        <v>0</v>
      </c>
      <c r="U145" s="444">
        <v>0</v>
      </c>
      <c r="V145" s="444">
        <v>0</v>
      </c>
      <c r="W145" s="444">
        <v>0</v>
      </c>
      <c r="X145" s="442" t="s">
        <v>674</v>
      </c>
      <c r="Y145" s="442" t="s">
        <v>675</v>
      </c>
      <c r="Z145" s="442" t="s">
        <v>675</v>
      </c>
      <c r="AA145" s="442" t="s">
        <v>675</v>
      </c>
      <c r="AB145" s="442" t="s">
        <v>675</v>
      </c>
      <c r="AC145" s="442"/>
      <c r="AD145" s="442"/>
      <c r="AE145" s="442" t="s">
        <v>676</v>
      </c>
      <c r="AF145" s="442"/>
      <c r="AG145" s="443" t="s">
        <v>693</v>
      </c>
      <c r="AH145" s="442"/>
      <c r="AI145" s="443" t="s">
        <v>693</v>
      </c>
      <c r="AJ145" s="443" t="s">
        <v>677</v>
      </c>
      <c r="AK145" s="442" t="s">
        <v>677</v>
      </c>
      <c r="AL145" s="442"/>
      <c r="AM145" s="442"/>
      <c r="AN145" s="442"/>
      <c r="AO145" s="442"/>
      <c r="AP145" s="442"/>
      <c r="AQ145" s="442"/>
      <c r="AR145" s="444"/>
      <c r="AS145" s="442"/>
      <c r="AT145" s="444"/>
      <c r="AU145" s="442" t="s">
        <v>678</v>
      </c>
      <c r="AV145" s="442" t="s">
        <v>677</v>
      </c>
      <c r="AW145" s="442" t="s">
        <v>676</v>
      </c>
      <c r="AX145" s="442" t="s">
        <v>674</v>
      </c>
      <c r="AY145" s="442"/>
      <c r="AZ145" s="442"/>
      <c r="BA145" s="442" t="s">
        <v>679</v>
      </c>
      <c r="BB145" s="442"/>
      <c r="BC145" s="442"/>
      <c r="BD145" s="442"/>
      <c r="BE145" s="444"/>
      <c r="BF145" s="442" t="s">
        <v>298</v>
      </c>
      <c r="BG145" s="442" t="s">
        <v>680</v>
      </c>
      <c r="BH145" s="442" t="s">
        <v>681</v>
      </c>
      <c r="BI145" s="442"/>
    </row>
    <row r="146" spans="1:61">
      <c r="A146" s="442" t="s">
        <v>690</v>
      </c>
      <c r="B146" s="442" t="s">
        <v>690</v>
      </c>
      <c r="C146" s="442" t="s">
        <v>690</v>
      </c>
      <c r="D146" s="442" t="s">
        <v>673</v>
      </c>
      <c r="E146" s="442" t="s">
        <v>3</v>
      </c>
      <c r="F146" s="443" t="s">
        <v>83</v>
      </c>
      <c r="G146" s="443" t="s">
        <v>691</v>
      </c>
      <c r="H146" s="444">
        <v>52800</v>
      </c>
      <c r="I146" s="444">
        <v>52800</v>
      </c>
      <c r="J146" s="444">
        <v>0</v>
      </c>
      <c r="K146" s="444">
        <v>0</v>
      </c>
      <c r="L146" s="444">
        <v>52800</v>
      </c>
      <c r="M146" s="444">
        <v>0</v>
      </c>
      <c r="N146" s="444">
        <v>0</v>
      </c>
      <c r="O146" s="444">
        <v>0</v>
      </c>
      <c r="P146" s="444">
        <v>0</v>
      </c>
      <c r="Q146" s="444">
        <v>0</v>
      </c>
      <c r="R146" s="444">
        <v>0</v>
      </c>
      <c r="S146" s="444">
        <v>0</v>
      </c>
      <c r="T146" s="444">
        <v>0</v>
      </c>
      <c r="U146" s="444">
        <v>0</v>
      </c>
      <c r="V146" s="444">
        <v>0</v>
      </c>
      <c r="W146" s="444">
        <v>0</v>
      </c>
      <c r="X146" s="442" t="s">
        <v>674</v>
      </c>
      <c r="Y146" s="442" t="s">
        <v>675</v>
      </c>
      <c r="Z146" s="442" t="s">
        <v>675</v>
      </c>
      <c r="AA146" s="442" t="s">
        <v>675</v>
      </c>
      <c r="AB146" s="442" t="s">
        <v>675</v>
      </c>
      <c r="AC146" s="442"/>
      <c r="AD146" s="442"/>
      <c r="AE146" s="442" t="s">
        <v>676</v>
      </c>
      <c r="AF146" s="442"/>
      <c r="AG146" s="443" t="s">
        <v>692</v>
      </c>
      <c r="AH146" s="442"/>
      <c r="AI146" s="443" t="s">
        <v>692</v>
      </c>
      <c r="AJ146" s="443" t="s">
        <v>677</v>
      </c>
      <c r="AK146" s="442" t="s">
        <v>677</v>
      </c>
      <c r="AL146" s="442"/>
      <c r="AM146" s="442"/>
      <c r="AN146" s="442"/>
      <c r="AO146" s="442"/>
      <c r="AP146" s="442"/>
      <c r="AQ146" s="442"/>
      <c r="AR146" s="444"/>
      <c r="AS146" s="442"/>
      <c r="AT146" s="444"/>
      <c r="AU146" s="442" t="s">
        <v>678</v>
      </c>
      <c r="AV146" s="442" t="s">
        <v>677</v>
      </c>
      <c r="AW146" s="442" t="s">
        <v>676</v>
      </c>
      <c r="AX146" s="442" t="s">
        <v>674</v>
      </c>
      <c r="AY146" s="442"/>
      <c r="AZ146" s="442"/>
      <c r="BA146" s="442" t="s">
        <v>679</v>
      </c>
      <c r="BB146" s="442"/>
      <c r="BC146" s="442"/>
      <c r="BD146" s="442"/>
      <c r="BE146" s="444"/>
      <c r="BF146" s="442" t="s">
        <v>298</v>
      </c>
      <c r="BG146" s="442" t="s">
        <v>680</v>
      </c>
      <c r="BH146" s="442" t="s">
        <v>681</v>
      </c>
      <c r="BI146" s="442"/>
    </row>
    <row r="147" spans="1:61">
      <c r="A147" s="442" t="s">
        <v>690</v>
      </c>
      <c r="B147" s="442" t="s">
        <v>690</v>
      </c>
      <c r="C147" s="442" t="s">
        <v>690</v>
      </c>
      <c r="D147" s="442" t="s">
        <v>673</v>
      </c>
      <c r="E147" s="442" t="s">
        <v>3</v>
      </c>
      <c r="F147" s="443" t="s">
        <v>83</v>
      </c>
      <c r="G147" s="443" t="s">
        <v>691</v>
      </c>
      <c r="H147" s="444">
        <v>547200</v>
      </c>
      <c r="I147" s="444">
        <v>547200</v>
      </c>
      <c r="J147" s="444">
        <v>0</v>
      </c>
      <c r="K147" s="444">
        <v>0</v>
      </c>
      <c r="L147" s="444">
        <v>547200</v>
      </c>
      <c r="M147" s="444">
        <v>0</v>
      </c>
      <c r="N147" s="444">
        <v>0</v>
      </c>
      <c r="O147" s="444">
        <v>0</v>
      </c>
      <c r="P147" s="444">
        <v>0</v>
      </c>
      <c r="Q147" s="444">
        <v>0</v>
      </c>
      <c r="R147" s="444">
        <v>0</v>
      </c>
      <c r="S147" s="444">
        <v>0</v>
      </c>
      <c r="T147" s="444">
        <v>0</v>
      </c>
      <c r="U147" s="444">
        <v>0</v>
      </c>
      <c r="V147" s="444">
        <v>0</v>
      </c>
      <c r="W147" s="444">
        <v>0</v>
      </c>
      <c r="X147" s="442" t="s">
        <v>674</v>
      </c>
      <c r="Y147" s="442" t="s">
        <v>675</v>
      </c>
      <c r="Z147" s="442" t="s">
        <v>675</v>
      </c>
      <c r="AA147" s="442" t="s">
        <v>675</v>
      </c>
      <c r="AB147" s="442" t="s">
        <v>675</v>
      </c>
      <c r="AC147" s="442"/>
      <c r="AD147" s="442"/>
      <c r="AE147" s="442" t="s">
        <v>676</v>
      </c>
      <c r="AF147" s="442"/>
      <c r="AG147" s="443" t="s">
        <v>693</v>
      </c>
      <c r="AH147" s="442"/>
      <c r="AI147" s="443" t="s">
        <v>693</v>
      </c>
      <c r="AJ147" s="443" t="s">
        <v>677</v>
      </c>
      <c r="AK147" s="442" t="s">
        <v>677</v>
      </c>
      <c r="AL147" s="442"/>
      <c r="AM147" s="442"/>
      <c r="AN147" s="442"/>
      <c r="AO147" s="442"/>
      <c r="AP147" s="442"/>
      <c r="AQ147" s="442"/>
      <c r="AR147" s="444"/>
      <c r="AS147" s="442"/>
      <c r="AT147" s="444"/>
      <c r="AU147" s="442" t="s">
        <v>678</v>
      </c>
      <c r="AV147" s="442" t="s">
        <v>677</v>
      </c>
      <c r="AW147" s="442" t="s">
        <v>676</v>
      </c>
      <c r="AX147" s="442" t="s">
        <v>674</v>
      </c>
      <c r="AY147" s="442"/>
      <c r="AZ147" s="442"/>
      <c r="BA147" s="442" t="s">
        <v>679</v>
      </c>
      <c r="BB147" s="442"/>
      <c r="BC147" s="442"/>
      <c r="BD147" s="442"/>
      <c r="BE147" s="444"/>
      <c r="BF147" s="442" t="s">
        <v>298</v>
      </c>
      <c r="BG147" s="442" t="s">
        <v>680</v>
      </c>
      <c r="BH147" s="442" t="s">
        <v>681</v>
      </c>
      <c r="BI147" s="442"/>
    </row>
    <row r="148" spans="1:61">
      <c r="A148" s="442" t="s">
        <v>690</v>
      </c>
      <c r="B148" s="442" t="s">
        <v>690</v>
      </c>
      <c r="C148" s="442" t="s">
        <v>690</v>
      </c>
      <c r="D148" s="442" t="s">
        <v>673</v>
      </c>
      <c r="E148" s="442" t="s">
        <v>3</v>
      </c>
      <c r="F148" s="443" t="s">
        <v>83</v>
      </c>
      <c r="G148" s="443" t="s">
        <v>691</v>
      </c>
      <c r="H148" s="444">
        <v>52800</v>
      </c>
      <c r="I148" s="444">
        <v>52800</v>
      </c>
      <c r="J148" s="444">
        <v>0</v>
      </c>
      <c r="K148" s="444">
        <v>0</v>
      </c>
      <c r="L148" s="444">
        <v>52800</v>
      </c>
      <c r="M148" s="444">
        <v>0</v>
      </c>
      <c r="N148" s="444">
        <v>0</v>
      </c>
      <c r="O148" s="444">
        <v>0</v>
      </c>
      <c r="P148" s="444">
        <v>0</v>
      </c>
      <c r="Q148" s="444">
        <v>0</v>
      </c>
      <c r="R148" s="444">
        <v>0</v>
      </c>
      <c r="S148" s="444">
        <v>0</v>
      </c>
      <c r="T148" s="444">
        <v>0</v>
      </c>
      <c r="U148" s="444">
        <v>0</v>
      </c>
      <c r="V148" s="444">
        <v>0</v>
      </c>
      <c r="W148" s="444">
        <v>0</v>
      </c>
      <c r="X148" s="442" t="s">
        <v>674</v>
      </c>
      <c r="Y148" s="442" t="s">
        <v>675</v>
      </c>
      <c r="Z148" s="442" t="s">
        <v>675</v>
      </c>
      <c r="AA148" s="442" t="s">
        <v>675</v>
      </c>
      <c r="AB148" s="442" t="s">
        <v>675</v>
      </c>
      <c r="AC148" s="442"/>
      <c r="AD148" s="442"/>
      <c r="AE148" s="442" t="s">
        <v>676</v>
      </c>
      <c r="AF148" s="442"/>
      <c r="AG148" s="443" t="s">
        <v>692</v>
      </c>
      <c r="AH148" s="442"/>
      <c r="AI148" s="443" t="s">
        <v>692</v>
      </c>
      <c r="AJ148" s="443" t="s">
        <v>677</v>
      </c>
      <c r="AK148" s="442" t="s">
        <v>677</v>
      </c>
      <c r="AL148" s="442"/>
      <c r="AM148" s="442"/>
      <c r="AN148" s="442"/>
      <c r="AO148" s="442"/>
      <c r="AP148" s="442"/>
      <c r="AQ148" s="442"/>
      <c r="AR148" s="444"/>
      <c r="AS148" s="442"/>
      <c r="AT148" s="444"/>
      <c r="AU148" s="442" t="s">
        <v>678</v>
      </c>
      <c r="AV148" s="442" t="s">
        <v>677</v>
      </c>
      <c r="AW148" s="442" t="s">
        <v>676</v>
      </c>
      <c r="AX148" s="442" t="s">
        <v>674</v>
      </c>
      <c r="AY148" s="442"/>
      <c r="AZ148" s="442"/>
      <c r="BA148" s="442" t="s">
        <v>679</v>
      </c>
      <c r="BB148" s="442"/>
      <c r="BC148" s="442"/>
      <c r="BD148" s="442"/>
      <c r="BE148" s="444"/>
      <c r="BF148" s="442" t="s">
        <v>298</v>
      </c>
      <c r="BG148" s="442" t="s">
        <v>680</v>
      </c>
      <c r="BH148" s="442" t="s">
        <v>681</v>
      </c>
      <c r="BI148" s="442"/>
    </row>
    <row r="149" spans="1:61">
      <c r="A149" s="442" t="s">
        <v>690</v>
      </c>
      <c r="B149" s="442" t="s">
        <v>690</v>
      </c>
      <c r="C149" s="442" t="s">
        <v>690</v>
      </c>
      <c r="D149" s="442" t="s">
        <v>673</v>
      </c>
      <c r="E149" s="442" t="s">
        <v>3</v>
      </c>
      <c r="F149" s="443" t="s">
        <v>83</v>
      </c>
      <c r="G149" s="443" t="s">
        <v>691</v>
      </c>
      <c r="H149" s="444">
        <v>638400</v>
      </c>
      <c r="I149" s="444">
        <v>638400</v>
      </c>
      <c r="J149" s="444">
        <v>0</v>
      </c>
      <c r="K149" s="444">
        <v>0</v>
      </c>
      <c r="L149" s="444">
        <v>638400</v>
      </c>
      <c r="M149" s="444">
        <v>0</v>
      </c>
      <c r="N149" s="444">
        <v>0</v>
      </c>
      <c r="O149" s="444">
        <v>0</v>
      </c>
      <c r="P149" s="444">
        <v>0</v>
      </c>
      <c r="Q149" s="444">
        <v>0</v>
      </c>
      <c r="R149" s="444">
        <v>0</v>
      </c>
      <c r="S149" s="444">
        <v>0</v>
      </c>
      <c r="T149" s="444">
        <v>0</v>
      </c>
      <c r="U149" s="444">
        <v>0</v>
      </c>
      <c r="V149" s="444">
        <v>0</v>
      </c>
      <c r="W149" s="444">
        <v>0</v>
      </c>
      <c r="X149" s="442" t="s">
        <v>674</v>
      </c>
      <c r="Y149" s="442" t="s">
        <v>675</v>
      </c>
      <c r="Z149" s="442" t="s">
        <v>675</v>
      </c>
      <c r="AA149" s="442" t="s">
        <v>675</v>
      </c>
      <c r="AB149" s="442" t="s">
        <v>675</v>
      </c>
      <c r="AC149" s="442"/>
      <c r="AD149" s="442"/>
      <c r="AE149" s="442" t="s">
        <v>676</v>
      </c>
      <c r="AF149" s="442"/>
      <c r="AG149" s="443" t="s">
        <v>696</v>
      </c>
      <c r="AH149" s="442"/>
      <c r="AI149" s="443" t="s">
        <v>696</v>
      </c>
      <c r="AJ149" s="443" t="s">
        <v>677</v>
      </c>
      <c r="AK149" s="442" t="s">
        <v>677</v>
      </c>
      <c r="AL149" s="442"/>
      <c r="AM149" s="442"/>
      <c r="AN149" s="442"/>
      <c r="AO149" s="442"/>
      <c r="AP149" s="442"/>
      <c r="AQ149" s="442"/>
      <c r="AR149" s="444"/>
      <c r="AS149" s="442"/>
      <c r="AT149" s="444"/>
      <c r="AU149" s="442" t="s">
        <v>678</v>
      </c>
      <c r="AV149" s="442" t="s">
        <v>677</v>
      </c>
      <c r="AW149" s="442" t="s">
        <v>676</v>
      </c>
      <c r="AX149" s="442" t="s">
        <v>674</v>
      </c>
      <c r="AY149" s="442"/>
      <c r="AZ149" s="442"/>
      <c r="BA149" s="442" t="s">
        <v>679</v>
      </c>
      <c r="BB149" s="442"/>
      <c r="BC149" s="442"/>
      <c r="BD149" s="442"/>
      <c r="BE149" s="444"/>
      <c r="BF149" s="442" t="s">
        <v>298</v>
      </c>
      <c r="BG149" s="442" t="s">
        <v>680</v>
      </c>
      <c r="BH149" s="442" t="s">
        <v>681</v>
      </c>
      <c r="BI149" s="442"/>
    </row>
    <row r="150" spans="1:61">
      <c r="A150" s="442" t="s">
        <v>690</v>
      </c>
      <c r="B150" s="442" t="s">
        <v>690</v>
      </c>
      <c r="C150" s="442" t="s">
        <v>690</v>
      </c>
      <c r="D150" s="442" t="s">
        <v>673</v>
      </c>
      <c r="E150" s="442" t="s">
        <v>3</v>
      </c>
      <c r="F150" s="443" t="s">
        <v>83</v>
      </c>
      <c r="G150" s="443" t="s">
        <v>691</v>
      </c>
      <c r="H150" s="444">
        <v>61600</v>
      </c>
      <c r="I150" s="444">
        <v>61600</v>
      </c>
      <c r="J150" s="444">
        <v>0</v>
      </c>
      <c r="K150" s="444">
        <v>0</v>
      </c>
      <c r="L150" s="444">
        <v>61600</v>
      </c>
      <c r="M150" s="444">
        <v>0</v>
      </c>
      <c r="N150" s="444">
        <v>0</v>
      </c>
      <c r="O150" s="444">
        <v>0</v>
      </c>
      <c r="P150" s="444">
        <v>0</v>
      </c>
      <c r="Q150" s="444">
        <v>0</v>
      </c>
      <c r="R150" s="444">
        <v>0</v>
      </c>
      <c r="S150" s="444">
        <v>0</v>
      </c>
      <c r="T150" s="444">
        <v>0</v>
      </c>
      <c r="U150" s="444">
        <v>0</v>
      </c>
      <c r="V150" s="444">
        <v>0</v>
      </c>
      <c r="W150" s="444">
        <v>0</v>
      </c>
      <c r="X150" s="442" t="s">
        <v>674</v>
      </c>
      <c r="Y150" s="442" t="s">
        <v>675</v>
      </c>
      <c r="Z150" s="442" t="s">
        <v>675</v>
      </c>
      <c r="AA150" s="442" t="s">
        <v>675</v>
      </c>
      <c r="AB150" s="442" t="s">
        <v>675</v>
      </c>
      <c r="AC150" s="442"/>
      <c r="AD150" s="442"/>
      <c r="AE150" s="442" t="s">
        <v>676</v>
      </c>
      <c r="AF150" s="442"/>
      <c r="AG150" s="443" t="s">
        <v>695</v>
      </c>
      <c r="AH150" s="442"/>
      <c r="AI150" s="443" t="s">
        <v>695</v>
      </c>
      <c r="AJ150" s="443" t="s">
        <v>677</v>
      </c>
      <c r="AK150" s="442" t="s">
        <v>677</v>
      </c>
      <c r="AL150" s="442"/>
      <c r="AM150" s="442"/>
      <c r="AN150" s="442"/>
      <c r="AO150" s="442"/>
      <c r="AP150" s="442"/>
      <c r="AQ150" s="442"/>
      <c r="AR150" s="444"/>
      <c r="AS150" s="442"/>
      <c r="AT150" s="444"/>
      <c r="AU150" s="442" t="s">
        <v>678</v>
      </c>
      <c r="AV150" s="442" t="s">
        <v>677</v>
      </c>
      <c r="AW150" s="442" t="s">
        <v>676</v>
      </c>
      <c r="AX150" s="442" t="s">
        <v>674</v>
      </c>
      <c r="AY150" s="442"/>
      <c r="AZ150" s="442"/>
      <c r="BA150" s="442" t="s">
        <v>679</v>
      </c>
      <c r="BB150" s="442"/>
      <c r="BC150" s="442"/>
      <c r="BD150" s="442"/>
      <c r="BE150" s="444"/>
      <c r="BF150" s="442" t="s">
        <v>298</v>
      </c>
      <c r="BG150" s="442" t="s">
        <v>680</v>
      </c>
      <c r="BH150" s="442" t="s">
        <v>681</v>
      </c>
      <c r="BI150" s="442"/>
    </row>
    <row r="151" spans="1:61">
      <c r="A151" s="442" t="s">
        <v>690</v>
      </c>
      <c r="B151" s="442" t="s">
        <v>690</v>
      </c>
      <c r="C151" s="442" t="s">
        <v>690</v>
      </c>
      <c r="D151" s="442" t="s">
        <v>673</v>
      </c>
      <c r="E151" s="442" t="s">
        <v>3</v>
      </c>
      <c r="F151" s="443" t="s">
        <v>83</v>
      </c>
      <c r="G151" s="443" t="s">
        <v>691</v>
      </c>
      <c r="H151" s="444">
        <v>638400</v>
      </c>
      <c r="I151" s="444">
        <v>638400</v>
      </c>
      <c r="J151" s="444">
        <v>0</v>
      </c>
      <c r="K151" s="444">
        <v>0</v>
      </c>
      <c r="L151" s="444">
        <v>638400</v>
      </c>
      <c r="M151" s="444">
        <v>0</v>
      </c>
      <c r="N151" s="444">
        <v>0</v>
      </c>
      <c r="O151" s="444">
        <v>0</v>
      </c>
      <c r="P151" s="444">
        <v>0</v>
      </c>
      <c r="Q151" s="444">
        <v>0</v>
      </c>
      <c r="R151" s="444">
        <v>0</v>
      </c>
      <c r="S151" s="444">
        <v>0</v>
      </c>
      <c r="T151" s="444">
        <v>0</v>
      </c>
      <c r="U151" s="444">
        <v>0</v>
      </c>
      <c r="V151" s="444">
        <v>0</v>
      </c>
      <c r="W151" s="444">
        <v>0</v>
      </c>
      <c r="X151" s="442" t="s">
        <v>674</v>
      </c>
      <c r="Y151" s="442" t="s">
        <v>675</v>
      </c>
      <c r="Z151" s="442" t="s">
        <v>675</v>
      </c>
      <c r="AA151" s="442" t="s">
        <v>675</v>
      </c>
      <c r="AB151" s="442" t="s">
        <v>675</v>
      </c>
      <c r="AC151" s="442"/>
      <c r="AD151" s="442"/>
      <c r="AE151" s="442" t="s">
        <v>676</v>
      </c>
      <c r="AF151" s="442"/>
      <c r="AG151" s="443" t="s">
        <v>696</v>
      </c>
      <c r="AH151" s="442"/>
      <c r="AI151" s="443" t="s">
        <v>696</v>
      </c>
      <c r="AJ151" s="443" t="s">
        <v>677</v>
      </c>
      <c r="AK151" s="442" t="s">
        <v>677</v>
      </c>
      <c r="AL151" s="442"/>
      <c r="AM151" s="442"/>
      <c r="AN151" s="442"/>
      <c r="AO151" s="442"/>
      <c r="AP151" s="442"/>
      <c r="AQ151" s="442"/>
      <c r="AR151" s="444"/>
      <c r="AS151" s="442"/>
      <c r="AT151" s="444"/>
      <c r="AU151" s="442" t="s">
        <v>678</v>
      </c>
      <c r="AV151" s="442" t="s">
        <v>677</v>
      </c>
      <c r="AW151" s="442" t="s">
        <v>676</v>
      </c>
      <c r="AX151" s="442" t="s">
        <v>674</v>
      </c>
      <c r="AY151" s="442"/>
      <c r="AZ151" s="442"/>
      <c r="BA151" s="442" t="s">
        <v>679</v>
      </c>
      <c r="BB151" s="442"/>
      <c r="BC151" s="442"/>
      <c r="BD151" s="442"/>
      <c r="BE151" s="444"/>
      <c r="BF151" s="442" t="s">
        <v>298</v>
      </c>
      <c r="BG151" s="442" t="s">
        <v>680</v>
      </c>
      <c r="BH151" s="442" t="s">
        <v>681</v>
      </c>
      <c r="BI151" s="442"/>
    </row>
    <row r="152" spans="1:61">
      <c r="A152" s="442" t="s">
        <v>690</v>
      </c>
      <c r="B152" s="442" t="s">
        <v>690</v>
      </c>
      <c r="C152" s="442" t="s">
        <v>690</v>
      </c>
      <c r="D152" s="442" t="s">
        <v>673</v>
      </c>
      <c r="E152" s="442" t="s">
        <v>3</v>
      </c>
      <c r="F152" s="443" t="s">
        <v>83</v>
      </c>
      <c r="G152" s="443" t="s">
        <v>691</v>
      </c>
      <c r="H152" s="444">
        <v>88000</v>
      </c>
      <c r="I152" s="444">
        <v>88000</v>
      </c>
      <c r="J152" s="444">
        <v>0</v>
      </c>
      <c r="K152" s="444">
        <v>0</v>
      </c>
      <c r="L152" s="444">
        <v>88000</v>
      </c>
      <c r="M152" s="444">
        <v>0</v>
      </c>
      <c r="N152" s="444">
        <v>0</v>
      </c>
      <c r="O152" s="444">
        <v>0</v>
      </c>
      <c r="P152" s="444">
        <v>0</v>
      </c>
      <c r="Q152" s="444">
        <v>0</v>
      </c>
      <c r="R152" s="444">
        <v>0</v>
      </c>
      <c r="S152" s="444">
        <v>0</v>
      </c>
      <c r="T152" s="444">
        <v>0</v>
      </c>
      <c r="U152" s="444">
        <v>0</v>
      </c>
      <c r="V152" s="444">
        <v>0</v>
      </c>
      <c r="W152" s="444">
        <v>0</v>
      </c>
      <c r="X152" s="442" t="s">
        <v>674</v>
      </c>
      <c r="Y152" s="442" t="s">
        <v>675</v>
      </c>
      <c r="Z152" s="442" t="s">
        <v>675</v>
      </c>
      <c r="AA152" s="442" t="s">
        <v>675</v>
      </c>
      <c r="AB152" s="442" t="s">
        <v>675</v>
      </c>
      <c r="AC152" s="442"/>
      <c r="AD152" s="442"/>
      <c r="AE152" s="442" t="s">
        <v>676</v>
      </c>
      <c r="AF152" s="442"/>
      <c r="AG152" s="443" t="s">
        <v>695</v>
      </c>
      <c r="AH152" s="442"/>
      <c r="AI152" s="443" t="s">
        <v>695</v>
      </c>
      <c r="AJ152" s="443" t="s">
        <v>677</v>
      </c>
      <c r="AK152" s="442" t="s">
        <v>677</v>
      </c>
      <c r="AL152" s="442"/>
      <c r="AM152" s="442"/>
      <c r="AN152" s="442"/>
      <c r="AO152" s="442"/>
      <c r="AP152" s="442"/>
      <c r="AQ152" s="442"/>
      <c r="AR152" s="444"/>
      <c r="AS152" s="442"/>
      <c r="AT152" s="444"/>
      <c r="AU152" s="442" t="s">
        <v>678</v>
      </c>
      <c r="AV152" s="442" t="s">
        <v>677</v>
      </c>
      <c r="AW152" s="442" t="s">
        <v>676</v>
      </c>
      <c r="AX152" s="442" t="s">
        <v>674</v>
      </c>
      <c r="AY152" s="442"/>
      <c r="AZ152" s="442"/>
      <c r="BA152" s="442" t="s">
        <v>679</v>
      </c>
      <c r="BB152" s="442"/>
      <c r="BC152" s="442"/>
      <c r="BD152" s="442"/>
      <c r="BE152" s="444"/>
      <c r="BF152" s="442" t="s">
        <v>298</v>
      </c>
      <c r="BG152" s="442" t="s">
        <v>680</v>
      </c>
      <c r="BH152" s="442" t="s">
        <v>681</v>
      </c>
      <c r="BI152" s="442"/>
    </row>
    <row r="153" spans="1:61">
      <c r="A153" s="442" t="s">
        <v>690</v>
      </c>
      <c r="B153" s="442" t="s">
        <v>690</v>
      </c>
      <c r="C153" s="442" t="s">
        <v>690</v>
      </c>
      <c r="D153" s="442" t="s">
        <v>673</v>
      </c>
      <c r="E153" s="442" t="s">
        <v>3</v>
      </c>
      <c r="F153" s="443" t="s">
        <v>83</v>
      </c>
      <c r="G153" s="443" t="s">
        <v>691</v>
      </c>
      <c r="H153" s="444">
        <v>912000</v>
      </c>
      <c r="I153" s="444">
        <v>912000</v>
      </c>
      <c r="J153" s="444">
        <v>0</v>
      </c>
      <c r="K153" s="444">
        <v>0</v>
      </c>
      <c r="L153" s="444">
        <v>912000</v>
      </c>
      <c r="M153" s="444">
        <v>0</v>
      </c>
      <c r="N153" s="444">
        <v>0</v>
      </c>
      <c r="O153" s="444">
        <v>0</v>
      </c>
      <c r="P153" s="444">
        <v>0</v>
      </c>
      <c r="Q153" s="444">
        <v>0</v>
      </c>
      <c r="R153" s="444">
        <v>0</v>
      </c>
      <c r="S153" s="444">
        <v>0</v>
      </c>
      <c r="T153" s="444">
        <v>0</v>
      </c>
      <c r="U153" s="444">
        <v>0</v>
      </c>
      <c r="V153" s="444">
        <v>0</v>
      </c>
      <c r="W153" s="444">
        <v>0</v>
      </c>
      <c r="X153" s="442" t="s">
        <v>674</v>
      </c>
      <c r="Y153" s="442" t="s">
        <v>675</v>
      </c>
      <c r="Z153" s="442" t="s">
        <v>675</v>
      </c>
      <c r="AA153" s="442" t="s">
        <v>675</v>
      </c>
      <c r="AB153" s="442" t="s">
        <v>675</v>
      </c>
      <c r="AC153" s="442"/>
      <c r="AD153" s="442"/>
      <c r="AE153" s="442" t="s">
        <v>676</v>
      </c>
      <c r="AF153" s="442"/>
      <c r="AG153" s="443" t="s">
        <v>696</v>
      </c>
      <c r="AH153" s="442"/>
      <c r="AI153" s="443" t="s">
        <v>696</v>
      </c>
      <c r="AJ153" s="443" t="s">
        <v>677</v>
      </c>
      <c r="AK153" s="442" t="s">
        <v>677</v>
      </c>
      <c r="AL153" s="442"/>
      <c r="AM153" s="442"/>
      <c r="AN153" s="442"/>
      <c r="AO153" s="442"/>
      <c r="AP153" s="442"/>
      <c r="AQ153" s="442"/>
      <c r="AR153" s="444"/>
      <c r="AS153" s="442"/>
      <c r="AT153" s="444"/>
      <c r="AU153" s="442" t="s">
        <v>678</v>
      </c>
      <c r="AV153" s="442" t="s">
        <v>677</v>
      </c>
      <c r="AW153" s="442" t="s">
        <v>676</v>
      </c>
      <c r="AX153" s="442" t="s">
        <v>674</v>
      </c>
      <c r="AY153" s="442"/>
      <c r="AZ153" s="442"/>
      <c r="BA153" s="442" t="s">
        <v>679</v>
      </c>
      <c r="BB153" s="442"/>
      <c r="BC153" s="442"/>
      <c r="BD153" s="442"/>
      <c r="BE153" s="444"/>
      <c r="BF153" s="442" t="s">
        <v>298</v>
      </c>
      <c r="BG153" s="442" t="s">
        <v>680</v>
      </c>
      <c r="BH153" s="442" t="s">
        <v>681</v>
      </c>
      <c r="BI153" s="442"/>
    </row>
    <row r="154" spans="1:61">
      <c r="A154" s="442" t="s">
        <v>690</v>
      </c>
      <c r="B154" s="442" t="s">
        <v>690</v>
      </c>
      <c r="C154" s="442" t="s">
        <v>690</v>
      </c>
      <c r="D154" s="442" t="s">
        <v>673</v>
      </c>
      <c r="E154" s="442" t="s">
        <v>3</v>
      </c>
      <c r="F154" s="443" t="s">
        <v>83</v>
      </c>
      <c r="G154" s="443" t="s">
        <v>691</v>
      </c>
      <c r="H154" s="444">
        <v>88000</v>
      </c>
      <c r="I154" s="444">
        <v>88000</v>
      </c>
      <c r="J154" s="444">
        <v>0</v>
      </c>
      <c r="K154" s="444">
        <v>0</v>
      </c>
      <c r="L154" s="444">
        <v>88000</v>
      </c>
      <c r="M154" s="444">
        <v>0</v>
      </c>
      <c r="N154" s="444">
        <v>0</v>
      </c>
      <c r="O154" s="444">
        <v>0</v>
      </c>
      <c r="P154" s="444">
        <v>0</v>
      </c>
      <c r="Q154" s="444">
        <v>0</v>
      </c>
      <c r="R154" s="444">
        <v>0</v>
      </c>
      <c r="S154" s="444">
        <v>0</v>
      </c>
      <c r="T154" s="444">
        <v>0</v>
      </c>
      <c r="U154" s="444">
        <v>0</v>
      </c>
      <c r="V154" s="444">
        <v>0</v>
      </c>
      <c r="W154" s="444">
        <v>0</v>
      </c>
      <c r="X154" s="442" t="s">
        <v>674</v>
      </c>
      <c r="Y154" s="442" t="s">
        <v>675</v>
      </c>
      <c r="Z154" s="442" t="s">
        <v>675</v>
      </c>
      <c r="AA154" s="442" t="s">
        <v>675</v>
      </c>
      <c r="AB154" s="442" t="s">
        <v>675</v>
      </c>
      <c r="AC154" s="442"/>
      <c r="AD154" s="442"/>
      <c r="AE154" s="442" t="s">
        <v>676</v>
      </c>
      <c r="AF154" s="442"/>
      <c r="AG154" s="443" t="s">
        <v>695</v>
      </c>
      <c r="AH154" s="442"/>
      <c r="AI154" s="443" t="s">
        <v>695</v>
      </c>
      <c r="AJ154" s="443" t="s">
        <v>677</v>
      </c>
      <c r="AK154" s="442" t="s">
        <v>677</v>
      </c>
      <c r="AL154" s="442"/>
      <c r="AM154" s="442"/>
      <c r="AN154" s="442"/>
      <c r="AO154" s="442"/>
      <c r="AP154" s="442"/>
      <c r="AQ154" s="442"/>
      <c r="AR154" s="444"/>
      <c r="AS154" s="442"/>
      <c r="AT154" s="444"/>
      <c r="AU154" s="442" t="s">
        <v>678</v>
      </c>
      <c r="AV154" s="442" t="s">
        <v>677</v>
      </c>
      <c r="AW154" s="442" t="s">
        <v>676</v>
      </c>
      <c r="AX154" s="442" t="s">
        <v>674</v>
      </c>
      <c r="AY154" s="442"/>
      <c r="AZ154" s="442"/>
      <c r="BA154" s="442" t="s">
        <v>679</v>
      </c>
      <c r="BB154" s="442"/>
      <c r="BC154" s="442"/>
      <c r="BD154" s="442"/>
      <c r="BE154" s="444"/>
      <c r="BF154" s="442" t="s">
        <v>298</v>
      </c>
      <c r="BG154" s="442" t="s">
        <v>680</v>
      </c>
      <c r="BH154" s="442" t="s">
        <v>681</v>
      </c>
      <c r="BI154" s="442"/>
    </row>
    <row r="155" spans="1:61">
      <c r="A155" s="442" t="s">
        <v>690</v>
      </c>
      <c r="B155" s="442" t="s">
        <v>690</v>
      </c>
      <c r="C155" s="442" t="s">
        <v>690</v>
      </c>
      <c r="D155" s="442" t="s">
        <v>673</v>
      </c>
      <c r="E155" s="442" t="s">
        <v>3</v>
      </c>
      <c r="F155" s="443" t="s">
        <v>83</v>
      </c>
      <c r="G155" s="443" t="s">
        <v>691</v>
      </c>
      <c r="H155" s="444">
        <v>88000</v>
      </c>
      <c r="I155" s="444">
        <v>88000</v>
      </c>
      <c r="J155" s="444">
        <v>0</v>
      </c>
      <c r="K155" s="444">
        <v>0</v>
      </c>
      <c r="L155" s="444">
        <v>88000</v>
      </c>
      <c r="M155" s="444">
        <v>0</v>
      </c>
      <c r="N155" s="444">
        <v>0</v>
      </c>
      <c r="O155" s="444">
        <v>0</v>
      </c>
      <c r="P155" s="444">
        <v>0</v>
      </c>
      <c r="Q155" s="444">
        <v>0</v>
      </c>
      <c r="R155" s="444">
        <v>0</v>
      </c>
      <c r="S155" s="444">
        <v>0</v>
      </c>
      <c r="T155" s="444">
        <v>0</v>
      </c>
      <c r="U155" s="444">
        <v>0</v>
      </c>
      <c r="V155" s="444">
        <v>0</v>
      </c>
      <c r="W155" s="444">
        <v>0</v>
      </c>
      <c r="X155" s="442" t="s">
        <v>674</v>
      </c>
      <c r="Y155" s="442" t="s">
        <v>675</v>
      </c>
      <c r="Z155" s="442" t="s">
        <v>675</v>
      </c>
      <c r="AA155" s="442" t="s">
        <v>675</v>
      </c>
      <c r="AB155" s="442" t="s">
        <v>675</v>
      </c>
      <c r="AC155" s="442"/>
      <c r="AD155" s="442"/>
      <c r="AE155" s="442" t="s">
        <v>676</v>
      </c>
      <c r="AF155" s="442"/>
      <c r="AG155" s="443" t="s">
        <v>695</v>
      </c>
      <c r="AH155" s="442"/>
      <c r="AI155" s="443" t="s">
        <v>695</v>
      </c>
      <c r="AJ155" s="443" t="s">
        <v>677</v>
      </c>
      <c r="AK155" s="442" t="s">
        <v>677</v>
      </c>
      <c r="AL155" s="442"/>
      <c r="AM155" s="442"/>
      <c r="AN155" s="442"/>
      <c r="AO155" s="442"/>
      <c r="AP155" s="442"/>
      <c r="AQ155" s="442"/>
      <c r="AR155" s="444"/>
      <c r="AS155" s="442"/>
      <c r="AT155" s="444"/>
      <c r="AU155" s="442" t="s">
        <v>678</v>
      </c>
      <c r="AV155" s="442" t="s">
        <v>677</v>
      </c>
      <c r="AW155" s="442" t="s">
        <v>676</v>
      </c>
      <c r="AX155" s="442" t="s">
        <v>674</v>
      </c>
      <c r="AY155" s="442"/>
      <c r="AZ155" s="442"/>
      <c r="BA155" s="442" t="s">
        <v>679</v>
      </c>
      <c r="BB155" s="442"/>
      <c r="BC155" s="442"/>
      <c r="BD155" s="442"/>
      <c r="BE155" s="444"/>
      <c r="BF155" s="442" t="s">
        <v>298</v>
      </c>
      <c r="BG155" s="442" t="s">
        <v>680</v>
      </c>
      <c r="BH155" s="442" t="s">
        <v>681</v>
      </c>
      <c r="BI155" s="442"/>
    </row>
    <row r="156" spans="1:61">
      <c r="A156" s="442" t="s">
        <v>690</v>
      </c>
      <c r="B156" s="442" t="s">
        <v>690</v>
      </c>
      <c r="C156" s="442" t="s">
        <v>690</v>
      </c>
      <c r="D156" s="442" t="s">
        <v>673</v>
      </c>
      <c r="E156" s="442" t="s">
        <v>3</v>
      </c>
      <c r="F156" s="443" t="s">
        <v>83</v>
      </c>
      <c r="G156" s="443" t="s">
        <v>691</v>
      </c>
      <c r="H156" s="444">
        <v>912000</v>
      </c>
      <c r="I156" s="444">
        <v>912000</v>
      </c>
      <c r="J156" s="444">
        <v>0</v>
      </c>
      <c r="K156" s="444">
        <v>0</v>
      </c>
      <c r="L156" s="444">
        <v>912000</v>
      </c>
      <c r="M156" s="444">
        <v>0</v>
      </c>
      <c r="N156" s="444">
        <v>0</v>
      </c>
      <c r="O156" s="444">
        <v>0</v>
      </c>
      <c r="P156" s="444">
        <v>0</v>
      </c>
      <c r="Q156" s="444">
        <v>0</v>
      </c>
      <c r="R156" s="444">
        <v>0</v>
      </c>
      <c r="S156" s="444">
        <v>0</v>
      </c>
      <c r="T156" s="444">
        <v>0</v>
      </c>
      <c r="U156" s="444">
        <v>0</v>
      </c>
      <c r="V156" s="444">
        <v>0</v>
      </c>
      <c r="W156" s="444">
        <v>0</v>
      </c>
      <c r="X156" s="442" t="s">
        <v>674</v>
      </c>
      <c r="Y156" s="442" t="s">
        <v>675</v>
      </c>
      <c r="Z156" s="442" t="s">
        <v>675</v>
      </c>
      <c r="AA156" s="442" t="s">
        <v>675</v>
      </c>
      <c r="AB156" s="442" t="s">
        <v>675</v>
      </c>
      <c r="AC156" s="442"/>
      <c r="AD156" s="442"/>
      <c r="AE156" s="442" t="s">
        <v>676</v>
      </c>
      <c r="AF156" s="442"/>
      <c r="AG156" s="443" t="s">
        <v>696</v>
      </c>
      <c r="AH156" s="442"/>
      <c r="AI156" s="443" t="s">
        <v>696</v>
      </c>
      <c r="AJ156" s="443" t="s">
        <v>677</v>
      </c>
      <c r="AK156" s="442" t="s">
        <v>677</v>
      </c>
      <c r="AL156" s="442"/>
      <c r="AM156" s="442"/>
      <c r="AN156" s="442"/>
      <c r="AO156" s="442"/>
      <c r="AP156" s="442"/>
      <c r="AQ156" s="442"/>
      <c r="AR156" s="444"/>
      <c r="AS156" s="442"/>
      <c r="AT156" s="444"/>
      <c r="AU156" s="442" t="s">
        <v>678</v>
      </c>
      <c r="AV156" s="442" t="s">
        <v>677</v>
      </c>
      <c r="AW156" s="442" t="s">
        <v>676</v>
      </c>
      <c r="AX156" s="442" t="s">
        <v>674</v>
      </c>
      <c r="AY156" s="442"/>
      <c r="AZ156" s="442"/>
      <c r="BA156" s="442" t="s">
        <v>679</v>
      </c>
      <c r="BB156" s="442"/>
      <c r="BC156" s="442"/>
      <c r="BD156" s="442"/>
      <c r="BE156" s="444"/>
      <c r="BF156" s="442" t="s">
        <v>298</v>
      </c>
      <c r="BG156" s="442" t="s">
        <v>680</v>
      </c>
      <c r="BH156" s="442" t="s">
        <v>681</v>
      </c>
      <c r="BI156" s="442"/>
    </row>
    <row r="157" spans="1:61">
      <c r="A157" s="442" t="s">
        <v>690</v>
      </c>
      <c r="B157" s="442" t="s">
        <v>690</v>
      </c>
      <c r="C157" s="442" t="s">
        <v>690</v>
      </c>
      <c r="D157" s="442" t="s">
        <v>673</v>
      </c>
      <c r="E157" s="442" t="s">
        <v>3</v>
      </c>
      <c r="F157" s="443" t="s">
        <v>83</v>
      </c>
      <c r="G157" s="443" t="s">
        <v>691</v>
      </c>
      <c r="H157" s="444">
        <v>88000</v>
      </c>
      <c r="I157" s="444">
        <v>88000</v>
      </c>
      <c r="J157" s="444">
        <v>0</v>
      </c>
      <c r="K157" s="444">
        <v>0</v>
      </c>
      <c r="L157" s="444">
        <v>88000</v>
      </c>
      <c r="M157" s="444">
        <v>0</v>
      </c>
      <c r="N157" s="444">
        <v>0</v>
      </c>
      <c r="O157" s="444">
        <v>0</v>
      </c>
      <c r="P157" s="444">
        <v>0</v>
      </c>
      <c r="Q157" s="444">
        <v>0</v>
      </c>
      <c r="R157" s="444">
        <v>0</v>
      </c>
      <c r="S157" s="444">
        <v>0</v>
      </c>
      <c r="T157" s="444">
        <v>0</v>
      </c>
      <c r="U157" s="444">
        <v>0</v>
      </c>
      <c r="V157" s="444">
        <v>0</v>
      </c>
      <c r="W157" s="444">
        <v>0</v>
      </c>
      <c r="X157" s="442" t="s">
        <v>674</v>
      </c>
      <c r="Y157" s="442" t="s">
        <v>675</v>
      </c>
      <c r="Z157" s="442" t="s">
        <v>675</v>
      </c>
      <c r="AA157" s="442" t="s">
        <v>675</v>
      </c>
      <c r="AB157" s="442" t="s">
        <v>675</v>
      </c>
      <c r="AC157" s="442"/>
      <c r="AD157" s="442"/>
      <c r="AE157" s="442" t="s">
        <v>676</v>
      </c>
      <c r="AF157" s="442"/>
      <c r="AG157" s="443" t="s">
        <v>695</v>
      </c>
      <c r="AH157" s="442"/>
      <c r="AI157" s="443" t="s">
        <v>695</v>
      </c>
      <c r="AJ157" s="443" t="s">
        <v>677</v>
      </c>
      <c r="AK157" s="442" t="s">
        <v>677</v>
      </c>
      <c r="AL157" s="442"/>
      <c r="AM157" s="442"/>
      <c r="AN157" s="442"/>
      <c r="AO157" s="442"/>
      <c r="AP157" s="442"/>
      <c r="AQ157" s="442"/>
      <c r="AR157" s="444"/>
      <c r="AS157" s="442"/>
      <c r="AT157" s="444"/>
      <c r="AU157" s="442" t="s">
        <v>678</v>
      </c>
      <c r="AV157" s="442" t="s">
        <v>677</v>
      </c>
      <c r="AW157" s="442" t="s">
        <v>676</v>
      </c>
      <c r="AX157" s="442" t="s">
        <v>674</v>
      </c>
      <c r="AY157" s="442"/>
      <c r="AZ157" s="442"/>
      <c r="BA157" s="442" t="s">
        <v>679</v>
      </c>
      <c r="BB157" s="442"/>
      <c r="BC157" s="442"/>
      <c r="BD157" s="442"/>
      <c r="BE157" s="444"/>
      <c r="BF157" s="442" t="s">
        <v>298</v>
      </c>
      <c r="BG157" s="442" t="s">
        <v>680</v>
      </c>
      <c r="BH157" s="442" t="s">
        <v>681</v>
      </c>
      <c r="BI157" s="442"/>
    </row>
    <row r="158" spans="1:61">
      <c r="A158" s="442" t="s">
        <v>690</v>
      </c>
      <c r="B158" s="442" t="s">
        <v>690</v>
      </c>
      <c r="C158" s="442" t="s">
        <v>690</v>
      </c>
      <c r="D158" s="442" t="s">
        <v>673</v>
      </c>
      <c r="E158" s="442" t="s">
        <v>3</v>
      </c>
      <c r="F158" s="443" t="s">
        <v>83</v>
      </c>
      <c r="G158" s="443" t="s">
        <v>691</v>
      </c>
      <c r="H158" s="444">
        <v>88000</v>
      </c>
      <c r="I158" s="444">
        <v>88000</v>
      </c>
      <c r="J158" s="444">
        <v>0</v>
      </c>
      <c r="K158" s="444">
        <v>0</v>
      </c>
      <c r="L158" s="444">
        <v>88000</v>
      </c>
      <c r="M158" s="444">
        <v>0</v>
      </c>
      <c r="N158" s="444">
        <v>0</v>
      </c>
      <c r="O158" s="444">
        <v>0</v>
      </c>
      <c r="P158" s="444">
        <v>0</v>
      </c>
      <c r="Q158" s="444">
        <v>0</v>
      </c>
      <c r="R158" s="444">
        <v>0</v>
      </c>
      <c r="S158" s="444">
        <v>0</v>
      </c>
      <c r="T158" s="444">
        <v>0</v>
      </c>
      <c r="U158" s="444">
        <v>0</v>
      </c>
      <c r="V158" s="444">
        <v>0</v>
      </c>
      <c r="W158" s="444">
        <v>0</v>
      </c>
      <c r="X158" s="442" t="s">
        <v>674</v>
      </c>
      <c r="Y158" s="442" t="s">
        <v>675</v>
      </c>
      <c r="Z158" s="442" t="s">
        <v>675</v>
      </c>
      <c r="AA158" s="442" t="s">
        <v>675</v>
      </c>
      <c r="AB158" s="442" t="s">
        <v>675</v>
      </c>
      <c r="AC158" s="442"/>
      <c r="AD158" s="442"/>
      <c r="AE158" s="442" t="s">
        <v>676</v>
      </c>
      <c r="AF158" s="442"/>
      <c r="AG158" s="443" t="s">
        <v>695</v>
      </c>
      <c r="AH158" s="442"/>
      <c r="AI158" s="443" t="s">
        <v>695</v>
      </c>
      <c r="AJ158" s="443" t="s">
        <v>677</v>
      </c>
      <c r="AK158" s="442" t="s">
        <v>677</v>
      </c>
      <c r="AL158" s="442"/>
      <c r="AM158" s="442"/>
      <c r="AN158" s="442"/>
      <c r="AO158" s="442"/>
      <c r="AP158" s="442"/>
      <c r="AQ158" s="442"/>
      <c r="AR158" s="444"/>
      <c r="AS158" s="442"/>
      <c r="AT158" s="444"/>
      <c r="AU158" s="442" t="s">
        <v>678</v>
      </c>
      <c r="AV158" s="442" t="s">
        <v>677</v>
      </c>
      <c r="AW158" s="442" t="s">
        <v>676</v>
      </c>
      <c r="AX158" s="442" t="s">
        <v>674</v>
      </c>
      <c r="AY158" s="442"/>
      <c r="AZ158" s="442"/>
      <c r="BA158" s="442" t="s">
        <v>679</v>
      </c>
      <c r="BB158" s="442"/>
      <c r="BC158" s="442"/>
      <c r="BD158" s="442"/>
      <c r="BE158" s="444"/>
      <c r="BF158" s="442" t="s">
        <v>298</v>
      </c>
      <c r="BG158" s="442" t="s">
        <v>680</v>
      </c>
      <c r="BH158" s="442" t="s">
        <v>681</v>
      </c>
      <c r="BI158" s="442"/>
    </row>
    <row r="159" spans="1:61">
      <c r="A159" s="442" t="s">
        <v>690</v>
      </c>
      <c r="B159" s="442" t="s">
        <v>690</v>
      </c>
      <c r="C159" s="442" t="s">
        <v>690</v>
      </c>
      <c r="D159" s="442" t="s">
        <v>673</v>
      </c>
      <c r="E159" s="442" t="s">
        <v>3</v>
      </c>
      <c r="F159" s="443" t="s">
        <v>83</v>
      </c>
      <c r="G159" s="443" t="s">
        <v>691</v>
      </c>
      <c r="H159" s="444">
        <v>912000</v>
      </c>
      <c r="I159" s="444">
        <v>912000</v>
      </c>
      <c r="J159" s="444">
        <v>0</v>
      </c>
      <c r="K159" s="444">
        <v>0</v>
      </c>
      <c r="L159" s="444">
        <v>912000</v>
      </c>
      <c r="M159" s="444">
        <v>0</v>
      </c>
      <c r="N159" s="444">
        <v>0</v>
      </c>
      <c r="O159" s="444">
        <v>0</v>
      </c>
      <c r="P159" s="444">
        <v>0</v>
      </c>
      <c r="Q159" s="444">
        <v>0</v>
      </c>
      <c r="R159" s="444">
        <v>0</v>
      </c>
      <c r="S159" s="444">
        <v>0</v>
      </c>
      <c r="T159" s="444">
        <v>0</v>
      </c>
      <c r="U159" s="444">
        <v>0</v>
      </c>
      <c r="V159" s="444">
        <v>0</v>
      </c>
      <c r="W159" s="444">
        <v>0</v>
      </c>
      <c r="X159" s="442" t="s">
        <v>674</v>
      </c>
      <c r="Y159" s="442" t="s">
        <v>675</v>
      </c>
      <c r="Z159" s="442" t="s">
        <v>675</v>
      </c>
      <c r="AA159" s="442" t="s">
        <v>675</v>
      </c>
      <c r="AB159" s="442" t="s">
        <v>675</v>
      </c>
      <c r="AC159" s="442"/>
      <c r="AD159" s="442"/>
      <c r="AE159" s="442" t="s">
        <v>676</v>
      </c>
      <c r="AF159" s="442"/>
      <c r="AG159" s="443" t="s">
        <v>696</v>
      </c>
      <c r="AH159" s="442"/>
      <c r="AI159" s="443" t="s">
        <v>696</v>
      </c>
      <c r="AJ159" s="443" t="s">
        <v>677</v>
      </c>
      <c r="AK159" s="442" t="s">
        <v>677</v>
      </c>
      <c r="AL159" s="442"/>
      <c r="AM159" s="442"/>
      <c r="AN159" s="442"/>
      <c r="AO159" s="442"/>
      <c r="AP159" s="442"/>
      <c r="AQ159" s="442"/>
      <c r="AR159" s="444"/>
      <c r="AS159" s="442"/>
      <c r="AT159" s="444"/>
      <c r="AU159" s="442" t="s">
        <v>678</v>
      </c>
      <c r="AV159" s="442" t="s">
        <v>677</v>
      </c>
      <c r="AW159" s="442" t="s">
        <v>676</v>
      </c>
      <c r="AX159" s="442" t="s">
        <v>674</v>
      </c>
      <c r="AY159" s="442"/>
      <c r="AZ159" s="442"/>
      <c r="BA159" s="442" t="s">
        <v>679</v>
      </c>
      <c r="BB159" s="442"/>
      <c r="BC159" s="442"/>
      <c r="BD159" s="442"/>
      <c r="BE159" s="444"/>
      <c r="BF159" s="442" t="s">
        <v>298</v>
      </c>
      <c r="BG159" s="442" t="s">
        <v>680</v>
      </c>
      <c r="BH159" s="442" t="s">
        <v>681</v>
      </c>
      <c r="BI159" s="442"/>
    </row>
    <row r="160" spans="1:61">
      <c r="A160" s="442" t="s">
        <v>690</v>
      </c>
      <c r="B160" s="442" t="s">
        <v>690</v>
      </c>
      <c r="C160" s="442" t="s">
        <v>690</v>
      </c>
      <c r="D160" s="442" t="s">
        <v>673</v>
      </c>
      <c r="E160" s="442" t="s">
        <v>3</v>
      </c>
      <c r="F160" s="443" t="s">
        <v>308</v>
      </c>
      <c r="G160" s="443" t="s">
        <v>697</v>
      </c>
      <c r="H160" s="444">
        <v>30000</v>
      </c>
      <c r="I160" s="444">
        <v>30000</v>
      </c>
      <c r="J160" s="444">
        <v>0</v>
      </c>
      <c r="K160" s="444">
        <v>0</v>
      </c>
      <c r="L160" s="444">
        <v>30000</v>
      </c>
      <c r="M160" s="444">
        <v>0</v>
      </c>
      <c r="N160" s="444">
        <v>0</v>
      </c>
      <c r="O160" s="444">
        <v>0</v>
      </c>
      <c r="P160" s="444">
        <v>0</v>
      </c>
      <c r="Q160" s="444">
        <v>0</v>
      </c>
      <c r="R160" s="444">
        <v>0</v>
      </c>
      <c r="S160" s="444">
        <v>0</v>
      </c>
      <c r="T160" s="444">
        <v>0</v>
      </c>
      <c r="U160" s="444">
        <v>0</v>
      </c>
      <c r="V160" s="444">
        <v>0</v>
      </c>
      <c r="W160" s="444">
        <v>0</v>
      </c>
      <c r="X160" s="442" t="s">
        <v>674</v>
      </c>
      <c r="Y160" s="442" t="s">
        <v>675</v>
      </c>
      <c r="Z160" s="442" t="s">
        <v>675</v>
      </c>
      <c r="AA160" s="442" t="s">
        <v>675</v>
      </c>
      <c r="AB160" s="442" t="s">
        <v>675</v>
      </c>
      <c r="AC160" s="442"/>
      <c r="AD160" s="442"/>
      <c r="AE160" s="442"/>
      <c r="AF160" s="442"/>
      <c r="AG160" s="443" t="s">
        <v>698</v>
      </c>
      <c r="AH160" s="442"/>
      <c r="AI160" s="443" t="s">
        <v>698</v>
      </c>
      <c r="AJ160" s="443" t="s">
        <v>677</v>
      </c>
      <c r="AK160" s="442" t="s">
        <v>677</v>
      </c>
      <c r="AL160" s="442"/>
      <c r="AM160" s="442"/>
      <c r="AN160" s="442"/>
      <c r="AO160" s="442"/>
      <c r="AP160" s="442"/>
      <c r="AQ160" s="442"/>
      <c r="AR160" s="444"/>
      <c r="AS160" s="442"/>
      <c r="AT160" s="444"/>
      <c r="AU160" s="442" t="s">
        <v>678</v>
      </c>
      <c r="AV160" s="442" t="s">
        <v>677</v>
      </c>
      <c r="AW160" s="442" t="s">
        <v>676</v>
      </c>
      <c r="AX160" s="442" t="s">
        <v>674</v>
      </c>
      <c r="AY160" s="442"/>
      <c r="AZ160" s="442"/>
      <c r="BA160" s="442" t="s">
        <v>679</v>
      </c>
      <c r="BB160" s="442"/>
      <c r="BC160" s="442"/>
      <c r="BD160" s="442"/>
      <c r="BE160" s="444"/>
      <c r="BF160" s="442" t="s">
        <v>298</v>
      </c>
      <c r="BG160" s="442" t="s">
        <v>680</v>
      </c>
      <c r="BH160" s="442" t="s">
        <v>681</v>
      </c>
      <c r="BI160" s="442"/>
    </row>
    <row r="161" spans="1:61">
      <c r="A161" s="442" t="s">
        <v>690</v>
      </c>
      <c r="B161" s="442" t="s">
        <v>690</v>
      </c>
      <c r="C161" s="442" t="s">
        <v>690</v>
      </c>
      <c r="D161" s="442" t="s">
        <v>673</v>
      </c>
      <c r="E161" s="442" t="s">
        <v>3</v>
      </c>
      <c r="F161" s="443" t="s">
        <v>83</v>
      </c>
      <c r="G161" s="443" t="s">
        <v>691</v>
      </c>
      <c r="H161" s="444">
        <v>912000</v>
      </c>
      <c r="I161" s="444">
        <v>912000</v>
      </c>
      <c r="J161" s="444">
        <v>0</v>
      </c>
      <c r="K161" s="444">
        <v>0</v>
      </c>
      <c r="L161" s="444">
        <v>912000</v>
      </c>
      <c r="M161" s="444">
        <v>0</v>
      </c>
      <c r="N161" s="444">
        <v>0</v>
      </c>
      <c r="O161" s="444">
        <v>0</v>
      </c>
      <c r="P161" s="444">
        <v>0</v>
      </c>
      <c r="Q161" s="444">
        <v>0</v>
      </c>
      <c r="R161" s="444">
        <v>0</v>
      </c>
      <c r="S161" s="444">
        <v>0</v>
      </c>
      <c r="T161" s="444">
        <v>0</v>
      </c>
      <c r="U161" s="444">
        <v>0</v>
      </c>
      <c r="V161" s="444">
        <v>0</v>
      </c>
      <c r="W161" s="444">
        <v>0</v>
      </c>
      <c r="X161" s="442" t="s">
        <v>674</v>
      </c>
      <c r="Y161" s="442" t="s">
        <v>675</v>
      </c>
      <c r="Z161" s="442" t="s">
        <v>675</v>
      </c>
      <c r="AA161" s="442" t="s">
        <v>675</v>
      </c>
      <c r="AB161" s="442" t="s">
        <v>675</v>
      </c>
      <c r="AC161" s="442"/>
      <c r="AD161" s="442"/>
      <c r="AE161" s="442" t="s">
        <v>676</v>
      </c>
      <c r="AF161" s="442"/>
      <c r="AG161" s="443" t="s">
        <v>696</v>
      </c>
      <c r="AH161" s="442"/>
      <c r="AI161" s="443" t="s">
        <v>696</v>
      </c>
      <c r="AJ161" s="443" t="s">
        <v>677</v>
      </c>
      <c r="AK161" s="442" t="s">
        <v>677</v>
      </c>
      <c r="AL161" s="442"/>
      <c r="AM161" s="442"/>
      <c r="AN161" s="442"/>
      <c r="AO161" s="442"/>
      <c r="AP161" s="442"/>
      <c r="AQ161" s="442"/>
      <c r="AR161" s="444"/>
      <c r="AS161" s="442"/>
      <c r="AT161" s="444"/>
      <c r="AU161" s="442" t="s">
        <v>678</v>
      </c>
      <c r="AV161" s="442" t="s">
        <v>677</v>
      </c>
      <c r="AW161" s="442" t="s">
        <v>676</v>
      </c>
      <c r="AX161" s="442" t="s">
        <v>674</v>
      </c>
      <c r="AY161" s="442"/>
      <c r="AZ161" s="442"/>
      <c r="BA161" s="442" t="s">
        <v>679</v>
      </c>
      <c r="BB161" s="442"/>
      <c r="BC161" s="442"/>
      <c r="BD161" s="442"/>
      <c r="BE161" s="444"/>
      <c r="BF161" s="442" t="s">
        <v>298</v>
      </c>
      <c r="BG161" s="442" t="s">
        <v>680</v>
      </c>
      <c r="BH161" s="442" t="s">
        <v>681</v>
      </c>
      <c r="BI161" s="442"/>
    </row>
    <row r="162" spans="1:61">
      <c r="A162" s="442" t="s">
        <v>690</v>
      </c>
      <c r="B162" s="442" t="s">
        <v>690</v>
      </c>
      <c r="C162" s="442" t="s">
        <v>690</v>
      </c>
      <c r="D162" s="442" t="s">
        <v>673</v>
      </c>
      <c r="E162" s="442" t="s">
        <v>3</v>
      </c>
      <c r="F162" s="443" t="s">
        <v>83</v>
      </c>
      <c r="G162" s="443" t="s">
        <v>691</v>
      </c>
      <c r="H162" s="444">
        <v>88000</v>
      </c>
      <c r="I162" s="444">
        <v>88000</v>
      </c>
      <c r="J162" s="444">
        <v>0</v>
      </c>
      <c r="K162" s="444">
        <v>0</v>
      </c>
      <c r="L162" s="444">
        <v>88000</v>
      </c>
      <c r="M162" s="444">
        <v>0</v>
      </c>
      <c r="N162" s="444">
        <v>0</v>
      </c>
      <c r="O162" s="444">
        <v>0</v>
      </c>
      <c r="P162" s="444">
        <v>0</v>
      </c>
      <c r="Q162" s="444">
        <v>0</v>
      </c>
      <c r="R162" s="444">
        <v>0</v>
      </c>
      <c r="S162" s="444">
        <v>0</v>
      </c>
      <c r="T162" s="444">
        <v>0</v>
      </c>
      <c r="U162" s="444">
        <v>0</v>
      </c>
      <c r="V162" s="444">
        <v>0</v>
      </c>
      <c r="W162" s="444">
        <v>0</v>
      </c>
      <c r="X162" s="442" t="s">
        <v>674</v>
      </c>
      <c r="Y162" s="442" t="s">
        <v>675</v>
      </c>
      <c r="Z162" s="442" t="s">
        <v>675</v>
      </c>
      <c r="AA162" s="442" t="s">
        <v>675</v>
      </c>
      <c r="AB162" s="442" t="s">
        <v>675</v>
      </c>
      <c r="AC162" s="442"/>
      <c r="AD162" s="442"/>
      <c r="AE162" s="442" t="s">
        <v>676</v>
      </c>
      <c r="AF162" s="442"/>
      <c r="AG162" s="443" t="s">
        <v>695</v>
      </c>
      <c r="AH162" s="442"/>
      <c r="AI162" s="443" t="s">
        <v>695</v>
      </c>
      <c r="AJ162" s="443" t="s">
        <v>677</v>
      </c>
      <c r="AK162" s="442" t="s">
        <v>677</v>
      </c>
      <c r="AL162" s="442"/>
      <c r="AM162" s="442"/>
      <c r="AN162" s="442"/>
      <c r="AO162" s="442"/>
      <c r="AP162" s="442"/>
      <c r="AQ162" s="442"/>
      <c r="AR162" s="444"/>
      <c r="AS162" s="442"/>
      <c r="AT162" s="444"/>
      <c r="AU162" s="442" t="s">
        <v>678</v>
      </c>
      <c r="AV162" s="442" t="s">
        <v>677</v>
      </c>
      <c r="AW162" s="442" t="s">
        <v>676</v>
      </c>
      <c r="AX162" s="442" t="s">
        <v>674</v>
      </c>
      <c r="AY162" s="442"/>
      <c r="AZ162" s="442"/>
      <c r="BA162" s="442" t="s">
        <v>679</v>
      </c>
      <c r="BB162" s="442"/>
      <c r="BC162" s="442"/>
      <c r="BD162" s="442"/>
      <c r="BE162" s="444"/>
      <c r="BF162" s="442" t="s">
        <v>298</v>
      </c>
      <c r="BG162" s="442" t="s">
        <v>680</v>
      </c>
      <c r="BH162" s="442" t="s">
        <v>681</v>
      </c>
      <c r="BI162" s="442"/>
    </row>
    <row r="163" spans="1:61">
      <c r="A163" s="442" t="s">
        <v>690</v>
      </c>
      <c r="B163" s="442" t="s">
        <v>690</v>
      </c>
      <c r="C163" s="442" t="s">
        <v>690</v>
      </c>
      <c r="D163" s="442" t="s">
        <v>673</v>
      </c>
      <c r="E163" s="442" t="s">
        <v>3</v>
      </c>
      <c r="F163" s="443" t="s">
        <v>83</v>
      </c>
      <c r="G163" s="443" t="s">
        <v>691</v>
      </c>
      <c r="H163" s="444">
        <v>638400</v>
      </c>
      <c r="I163" s="444">
        <v>638400</v>
      </c>
      <c r="J163" s="444">
        <v>0</v>
      </c>
      <c r="K163" s="444">
        <v>0</v>
      </c>
      <c r="L163" s="444">
        <v>638400</v>
      </c>
      <c r="M163" s="444">
        <v>0</v>
      </c>
      <c r="N163" s="444">
        <v>0</v>
      </c>
      <c r="O163" s="444">
        <v>0</v>
      </c>
      <c r="P163" s="444">
        <v>0</v>
      </c>
      <c r="Q163" s="444">
        <v>0</v>
      </c>
      <c r="R163" s="444">
        <v>0</v>
      </c>
      <c r="S163" s="444">
        <v>0</v>
      </c>
      <c r="T163" s="444">
        <v>0</v>
      </c>
      <c r="U163" s="444">
        <v>0</v>
      </c>
      <c r="V163" s="444">
        <v>0</v>
      </c>
      <c r="W163" s="444">
        <v>0</v>
      </c>
      <c r="X163" s="442" t="s">
        <v>674</v>
      </c>
      <c r="Y163" s="442" t="s">
        <v>675</v>
      </c>
      <c r="Z163" s="442" t="s">
        <v>675</v>
      </c>
      <c r="AA163" s="442" t="s">
        <v>675</v>
      </c>
      <c r="AB163" s="442" t="s">
        <v>675</v>
      </c>
      <c r="AC163" s="442"/>
      <c r="AD163" s="442"/>
      <c r="AE163" s="442" t="s">
        <v>676</v>
      </c>
      <c r="AF163" s="442"/>
      <c r="AG163" s="443" t="s">
        <v>696</v>
      </c>
      <c r="AH163" s="442"/>
      <c r="AI163" s="443" t="s">
        <v>696</v>
      </c>
      <c r="AJ163" s="443" t="s">
        <v>677</v>
      </c>
      <c r="AK163" s="442" t="s">
        <v>677</v>
      </c>
      <c r="AL163" s="442"/>
      <c r="AM163" s="442"/>
      <c r="AN163" s="442"/>
      <c r="AO163" s="442"/>
      <c r="AP163" s="442"/>
      <c r="AQ163" s="442"/>
      <c r="AR163" s="444"/>
      <c r="AS163" s="442"/>
      <c r="AT163" s="444"/>
      <c r="AU163" s="442" t="s">
        <v>678</v>
      </c>
      <c r="AV163" s="442" t="s">
        <v>677</v>
      </c>
      <c r="AW163" s="442" t="s">
        <v>676</v>
      </c>
      <c r="AX163" s="442" t="s">
        <v>674</v>
      </c>
      <c r="AY163" s="442"/>
      <c r="AZ163" s="442"/>
      <c r="BA163" s="442" t="s">
        <v>679</v>
      </c>
      <c r="BB163" s="442"/>
      <c r="BC163" s="442"/>
      <c r="BD163" s="442"/>
      <c r="BE163" s="444"/>
      <c r="BF163" s="442" t="s">
        <v>298</v>
      </c>
      <c r="BG163" s="442" t="s">
        <v>680</v>
      </c>
      <c r="BH163" s="442" t="s">
        <v>681</v>
      </c>
      <c r="BI163" s="442"/>
    </row>
    <row r="164" spans="1:61">
      <c r="A164" s="442" t="s">
        <v>690</v>
      </c>
      <c r="B164" s="442" t="s">
        <v>690</v>
      </c>
      <c r="C164" s="442" t="s">
        <v>690</v>
      </c>
      <c r="D164" s="442" t="s">
        <v>673</v>
      </c>
      <c r="E164" s="442" t="s">
        <v>3</v>
      </c>
      <c r="F164" s="443" t="s">
        <v>83</v>
      </c>
      <c r="G164" s="443" t="s">
        <v>691</v>
      </c>
      <c r="H164" s="444">
        <v>61600</v>
      </c>
      <c r="I164" s="444">
        <v>61600</v>
      </c>
      <c r="J164" s="444">
        <v>0</v>
      </c>
      <c r="K164" s="444">
        <v>0</v>
      </c>
      <c r="L164" s="444">
        <v>61600</v>
      </c>
      <c r="M164" s="444">
        <v>0</v>
      </c>
      <c r="N164" s="444">
        <v>0</v>
      </c>
      <c r="O164" s="444">
        <v>0</v>
      </c>
      <c r="P164" s="444">
        <v>0</v>
      </c>
      <c r="Q164" s="444">
        <v>0</v>
      </c>
      <c r="R164" s="444">
        <v>0</v>
      </c>
      <c r="S164" s="444">
        <v>0</v>
      </c>
      <c r="T164" s="444">
        <v>0</v>
      </c>
      <c r="U164" s="444">
        <v>0</v>
      </c>
      <c r="V164" s="444">
        <v>0</v>
      </c>
      <c r="W164" s="444">
        <v>0</v>
      </c>
      <c r="X164" s="442" t="s">
        <v>674</v>
      </c>
      <c r="Y164" s="442" t="s">
        <v>675</v>
      </c>
      <c r="Z164" s="442" t="s">
        <v>675</v>
      </c>
      <c r="AA164" s="442" t="s">
        <v>675</v>
      </c>
      <c r="AB164" s="442" t="s">
        <v>675</v>
      </c>
      <c r="AC164" s="442"/>
      <c r="AD164" s="442"/>
      <c r="AE164" s="442" t="s">
        <v>676</v>
      </c>
      <c r="AF164" s="442"/>
      <c r="AG164" s="443" t="s">
        <v>695</v>
      </c>
      <c r="AH164" s="442"/>
      <c r="AI164" s="443" t="s">
        <v>695</v>
      </c>
      <c r="AJ164" s="443" t="s">
        <v>677</v>
      </c>
      <c r="AK164" s="442" t="s">
        <v>677</v>
      </c>
      <c r="AL164" s="442"/>
      <c r="AM164" s="442"/>
      <c r="AN164" s="442"/>
      <c r="AO164" s="442"/>
      <c r="AP164" s="442"/>
      <c r="AQ164" s="442"/>
      <c r="AR164" s="444"/>
      <c r="AS164" s="442"/>
      <c r="AT164" s="444"/>
      <c r="AU164" s="442" t="s">
        <v>678</v>
      </c>
      <c r="AV164" s="442" t="s">
        <v>677</v>
      </c>
      <c r="AW164" s="442" t="s">
        <v>676</v>
      </c>
      <c r="AX164" s="442" t="s">
        <v>674</v>
      </c>
      <c r="AY164" s="442"/>
      <c r="AZ164" s="442"/>
      <c r="BA164" s="442" t="s">
        <v>679</v>
      </c>
      <c r="BB164" s="442"/>
      <c r="BC164" s="442"/>
      <c r="BD164" s="442"/>
      <c r="BE164" s="444"/>
      <c r="BF164" s="442" t="s">
        <v>298</v>
      </c>
      <c r="BG164" s="442" t="s">
        <v>680</v>
      </c>
      <c r="BH164" s="442" t="s">
        <v>681</v>
      </c>
      <c r="BI164" s="442"/>
    </row>
    <row r="165" spans="1:61">
      <c r="A165" s="442" t="s">
        <v>690</v>
      </c>
      <c r="B165" s="442" t="s">
        <v>690</v>
      </c>
      <c r="C165" s="442" t="s">
        <v>690</v>
      </c>
      <c r="D165" s="442" t="s">
        <v>673</v>
      </c>
      <c r="E165" s="442" t="s">
        <v>3</v>
      </c>
      <c r="F165" s="443" t="s">
        <v>83</v>
      </c>
      <c r="G165" s="443" t="s">
        <v>691</v>
      </c>
      <c r="H165" s="444">
        <v>61600</v>
      </c>
      <c r="I165" s="444">
        <v>61600</v>
      </c>
      <c r="J165" s="444">
        <v>0</v>
      </c>
      <c r="K165" s="444">
        <v>0</v>
      </c>
      <c r="L165" s="444">
        <v>61600</v>
      </c>
      <c r="M165" s="444">
        <v>0</v>
      </c>
      <c r="N165" s="444">
        <v>0</v>
      </c>
      <c r="O165" s="444">
        <v>0</v>
      </c>
      <c r="P165" s="444">
        <v>0</v>
      </c>
      <c r="Q165" s="444">
        <v>0</v>
      </c>
      <c r="R165" s="444">
        <v>0</v>
      </c>
      <c r="S165" s="444">
        <v>0</v>
      </c>
      <c r="T165" s="444">
        <v>0</v>
      </c>
      <c r="U165" s="444">
        <v>0</v>
      </c>
      <c r="V165" s="444">
        <v>0</v>
      </c>
      <c r="W165" s="444">
        <v>0</v>
      </c>
      <c r="X165" s="442" t="s">
        <v>674</v>
      </c>
      <c r="Y165" s="442" t="s">
        <v>675</v>
      </c>
      <c r="Z165" s="442" t="s">
        <v>675</v>
      </c>
      <c r="AA165" s="442" t="s">
        <v>675</v>
      </c>
      <c r="AB165" s="442" t="s">
        <v>675</v>
      </c>
      <c r="AC165" s="442"/>
      <c r="AD165" s="442"/>
      <c r="AE165" s="442" t="s">
        <v>676</v>
      </c>
      <c r="AF165" s="442"/>
      <c r="AG165" s="443" t="s">
        <v>695</v>
      </c>
      <c r="AH165" s="442"/>
      <c r="AI165" s="443" t="s">
        <v>695</v>
      </c>
      <c r="AJ165" s="443" t="s">
        <v>677</v>
      </c>
      <c r="AK165" s="442" t="s">
        <v>677</v>
      </c>
      <c r="AL165" s="442"/>
      <c r="AM165" s="442"/>
      <c r="AN165" s="442"/>
      <c r="AO165" s="442"/>
      <c r="AP165" s="442"/>
      <c r="AQ165" s="442"/>
      <c r="AR165" s="444"/>
      <c r="AS165" s="442"/>
      <c r="AT165" s="444"/>
      <c r="AU165" s="442" t="s">
        <v>678</v>
      </c>
      <c r="AV165" s="442" t="s">
        <v>677</v>
      </c>
      <c r="AW165" s="442" t="s">
        <v>676</v>
      </c>
      <c r="AX165" s="442" t="s">
        <v>674</v>
      </c>
      <c r="AY165" s="442"/>
      <c r="AZ165" s="442"/>
      <c r="BA165" s="442" t="s">
        <v>679</v>
      </c>
      <c r="BB165" s="442"/>
      <c r="BC165" s="442"/>
      <c r="BD165" s="442"/>
      <c r="BE165" s="444"/>
      <c r="BF165" s="442" t="s">
        <v>298</v>
      </c>
      <c r="BG165" s="442" t="s">
        <v>680</v>
      </c>
      <c r="BH165" s="442" t="s">
        <v>681</v>
      </c>
      <c r="BI165" s="442"/>
    </row>
    <row r="166" spans="1:61">
      <c r="A166" s="442" t="s">
        <v>690</v>
      </c>
      <c r="B166" s="442" t="s">
        <v>690</v>
      </c>
      <c r="C166" s="442" t="s">
        <v>690</v>
      </c>
      <c r="D166" s="442" t="s">
        <v>673</v>
      </c>
      <c r="E166" s="442" t="s">
        <v>3</v>
      </c>
      <c r="F166" s="443" t="s">
        <v>83</v>
      </c>
      <c r="G166" s="443" t="s">
        <v>691</v>
      </c>
      <c r="H166" s="444">
        <v>912000</v>
      </c>
      <c r="I166" s="444">
        <v>912000</v>
      </c>
      <c r="J166" s="444">
        <v>0</v>
      </c>
      <c r="K166" s="444">
        <v>0</v>
      </c>
      <c r="L166" s="444">
        <v>912000</v>
      </c>
      <c r="M166" s="444">
        <v>0</v>
      </c>
      <c r="N166" s="444">
        <v>0</v>
      </c>
      <c r="O166" s="444">
        <v>0</v>
      </c>
      <c r="P166" s="444">
        <v>0</v>
      </c>
      <c r="Q166" s="444">
        <v>0</v>
      </c>
      <c r="R166" s="444">
        <v>0</v>
      </c>
      <c r="S166" s="444">
        <v>0</v>
      </c>
      <c r="T166" s="444">
        <v>0</v>
      </c>
      <c r="U166" s="444">
        <v>0</v>
      </c>
      <c r="V166" s="444">
        <v>0</v>
      </c>
      <c r="W166" s="444">
        <v>0</v>
      </c>
      <c r="X166" s="442" t="s">
        <v>674</v>
      </c>
      <c r="Y166" s="442" t="s">
        <v>675</v>
      </c>
      <c r="Z166" s="442" t="s">
        <v>675</v>
      </c>
      <c r="AA166" s="442" t="s">
        <v>675</v>
      </c>
      <c r="AB166" s="442" t="s">
        <v>675</v>
      </c>
      <c r="AC166" s="442"/>
      <c r="AD166" s="442"/>
      <c r="AE166" s="442" t="s">
        <v>676</v>
      </c>
      <c r="AF166" s="442"/>
      <c r="AG166" s="443" t="s">
        <v>696</v>
      </c>
      <c r="AH166" s="442"/>
      <c r="AI166" s="443" t="s">
        <v>696</v>
      </c>
      <c r="AJ166" s="443" t="s">
        <v>677</v>
      </c>
      <c r="AK166" s="442" t="s">
        <v>677</v>
      </c>
      <c r="AL166" s="442"/>
      <c r="AM166" s="442"/>
      <c r="AN166" s="442"/>
      <c r="AO166" s="442"/>
      <c r="AP166" s="442"/>
      <c r="AQ166" s="442"/>
      <c r="AR166" s="444"/>
      <c r="AS166" s="442"/>
      <c r="AT166" s="444"/>
      <c r="AU166" s="442" t="s">
        <v>678</v>
      </c>
      <c r="AV166" s="442" t="s">
        <v>677</v>
      </c>
      <c r="AW166" s="442" t="s">
        <v>676</v>
      </c>
      <c r="AX166" s="442" t="s">
        <v>674</v>
      </c>
      <c r="AY166" s="442"/>
      <c r="AZ166" s="442"/>
      <c r="BA166" s="442" t="s">
        <v>679</v>
      </c>
      <c r="BB166" s="442"/>
      <c r="BC166" s="442"/>
      <c r="BD166" s="442"/>
      <c r="BE166" s="444"/>
      <c r="BF166" s="442" t="s">
        <v>298</v>
      </c>
      <c r="BG166" s="442" t="s">
        <v>680</v>
      </c>
      <c r="BH166" s="442" t="s">
        <v>681</v>
      </c>
      <c r="BI166" s="442"/>
    </row>
    <row r="167" spans="1:61">
      <c r="A167" s="442" t="s">
        <v>690</v>
      </c>
      <c r="B167" s="442" t="s">
        <v>690</v>
      </c>
      <c r="C167" s="442" t="s">
        <v>690</v>
      </c>
      <c r="D167" s="442" t="s">
        <v>673</v>
      </c>
      <c r="E167" s="442" t="s">
        <v>3</v>
      </c>
      <c r="F167" s="443" t="s">
        <v>83</v>
      </c>
      <c r="G167" s="443" t="s">
        <v>691</v>
      </c>
      <c r="H167" s="444">
        <v>912000</v>
      </c>
      <c r="I167" s="444">
        <v>912000</v>
      </c>
      <c r="J167" s="444">
        <v>0</v>
      </c>
      <c r="K167" s="444">
        <v>0</v>
      </c>
      <c r="L167" s="444">
        <v>912000</v>
      </c>
      <c r="M167" s="444">
        <v>0</v>
      </c>
      <c r="N167" s="444">
        <v>0</v>
      </c>
      <c r="O167" s="444">
        <v>0</v>
      </c>
      <c r="P167" s="444">
        <v>0</v>
      </c>
      <c r="Q167" s="444">
        <v>0</v>
      </c>
      <c r="R167" s="444">
        <v>0</v>
      </c>
      <c r="S167" s="444">
        <v>0</v>
      </c>
      <c r="T167" s="444">
        <v>0</v>
      </c>
      <c r="U167" s="444">
        <v>0</v>
      </c>
      <c r="V167" s="444">
        <v>0</v>
      </c>
      <c r="W167" s="444">
        <v>0</v>
      </c>
      <c r="X167" s="442" t="s">
        <v>674</v>
      </c>
      <c r="Y167" s="442" t="s">
        <v>675</v>
      </c>
      <c r="Z167" s="442" t="s">
        <v>675</v>
      </c>
      <c r="AA167" s="442" t="s">
        <v>675</v>
      </c>
      <c r="AB167" s="442" t="s">
        <v>675</v>
      </c>
      <c r="AC167" s="442"/>
      <c r="AD167" s="442"/>
      <c r="AE167" s="442" t="s">
        <v>676</v>
      </c>
      <c r="AF167" s="442"/>
      <c r="AG167" s="443" t="s">
        <v>696</v>
      </c>
      <c r="AH167" s="442"/>
      <c r="AI167" s="443" t="s">
        <v>696</v>
      </c>
      <c r="AJ167" s="443" t="s">
        <v>677</v>
      </c>
      <c r="AK167" s="442" t="s">
        <v>677</v>
      </c>
      <c r="AL167" s="442"/>
      <c r="AM167" s="442"/>
      <c r="AN167" s="442"/>
      <c r="AO167" s="442"/>
      <c r="AP167" s="442"/>
      <c r="AQ167" s="442"/>
      <c r="AR167" s="444"/>
      <c r="AS167" s="442"/>
      <c r="AT167" s="444"/>
      <c r="AU167" s="442" t="s">
        <v>678</v>
      </c>
      <c r="AV167" s="442" t="s">
        <v>677</v>
      </c>
      <c r="AW167" s="442" t="s">
        <v>676</v>
      </c>
      <c r="AX167" s="442" t="s">
        <v>674</v>
      </c>
      <c r="AY167" s="442"/>
      <c r="AZ167" s="442"/>
      <c r="BA167" s="442" t="s">
        <v>679</v>
      </c>
      <c r="BB167" s="442"/>
      <c r="BC167" s="442"/>
      <c r="BD167" s="442"/>
      <c r="BE167" s="444"/>
      <c r="BF167" s="442" t="s">
        <v>298</v>
      </c>
      <c r="BG167" s="442" t="s">
        <v>680</v>
      </c>
      <c r="BH167" s="442" t="s">
        <v>681</v>
      </c>
      <c r="BI167" s="442"/>
    </row>
    <row r="168" spans="1:61">
      <c r="A168" s="442" t="s">
        <v>690</v>
      </c>
      <c r="B168" s="442" t="s">
        <v>690</v>
      </c>
      <c r="C168" s="442" t="s">
        <v>690</v>
      </c>
      <c r="D168" s="442" t="s">
        <v>673</v>
      </c>
      <c r="E168" s="442" t="s">
        <v>3</v>
      </c>
      <c r="F168" s="443" t="s">
        <v>83</v>
      </c>
      <c r="G168" s="443" t="s">
        <v>691</v>
      </c>
      <c r="H168" s="444">
        <v>912000</v>
      </c>
      <c r="I168" s="444">
        <v>912000</v>
      </c>
      <c r="J168" s="444">
        <v>0</v>
      </c>
      <c r="K168" s="444">
        <v>0</v>
      </c>
      <c r="L168" s="444">
        <v>912000</v>
      </c>
      <c r="M168" s="444">
        <v>0</v>
      </c>
      <c r="N168" s="444">
        <v>0</v>
      </c>
      <c r="O168" s="444">
        <v>0</v>
      </c>
      <c r="P168" s="444">
        <v>0</v>
      </c>
      <c r="Q168" s="444">
        <v>0</v>
      </c>
      <c r="R168" s="444">
        <v>0</v>
      </c>
      <c r="S168" s="444">
        <v>0</v>
      </c>
      <c r="T168" s="444">
        <v>0</v>
      </c>
      <c r="U168" s="444">
        <v>0</v>
      </c>
      <c r="V168" s="444">
        <v>0</v>
      </c>
      <c r="W168" s="444">
        <v>0</v>
      </c>
      <c r="X168" s="442" t="s">
        <v>674</v>
      </c>
      <c r="Y168" s="442" t="s">
        <v>675</v>
      </c>
      <c r="Z168" s="442" t="s">
        <v>675</v>
      </c>
      <c r="AA168" s="442" t="s">
        <v>675</v>
      </c>
      <c r="AB168" s="442" t="s">
        <v>675</v>
      </c>
      <c r="AC168" s="442"/>
      <c r="AD168" s="442"/>
      <c r="AE168" s="442" t="s">
        <v>676</v>
      </c>
      <c r="AF168" s="442"/>
      <c r="AG168" s="443" t="s">
        <v>696</v>
      </c>
      <c r="AH168" s="442"/>
      <c r="AI168" s="443" t="s">
        <v>696</v>
      </c>
      <c r="AJ168" s="443" t="s">
        <v>677</v>
      </c>
      <c r="AK168" s="442" t="s">
        <v>677</v>
      </c>
      <c r="AL168" s="442"/>
      <c r="AM168" s="442"/>
      <c r="AN168" s="442"/>
      <c r="AO168" s="442"/>
      <c r="AP168" s="442"/>
      <c r="AQ168" s="442"/>
      <c r="AR168" s="444"/>
      <c r="AS168" s="442"/>
      <c r="AT168" s="444"/>
      <c r="AU168" s="442" t="s">
        <v>678</v>
      </c>
      <c r="AV168" s="442" t="s">
        <v>677</v>
      </c>
      <c r="AW168" s="442" t="s">
        <v>676</v>
      </c>
      <c r="AX168" s="442" t="s">
        <v>674</v>
      </c>
      <c r="AY168" s="442"/>
      <c r="AZ168" s="442"/>
      <c r="BA168" s="442" t="s">
        <v>679</v>
      </c>
      <c r="BB168" s="442"/>
      <c r="BC168" s="442"/>
      <c r="BD168" s="442"/>
      <c r="BE168" s="444"/>
      <c r="BF168" s="442" t="s">
        <v>298</v>
      </c>
      <c r="BG168" s="442" t="s">
        <v>680</v>
      </c>
      <c r="BH168" s="442" t="s">
        <v>681</v>
      </c>
      <c r="BI168" s="442"/>
    </row>
    <row r="169" spans="1:61">
      <c r="A169" s="442" t="s">
        <v>690</v>
      </c>
      <c r="B169" s="442" t="s">
        <v>690</v>
      </c>
      <c r="C169" s="442" t="s">
        <v>690</v>
      </c>
      <c r="D169" s="442" t="s">
        <v>673</v>
      </c>
      <c r="E169" s="442" t="s">
        <v>3</v>
      </c>
      <c r="F169" s="443" t="s">
        <v>83</v>
      </c>
      <c r="G169" s="443" t="s">
        <v>691</v>
      </c>
      <c r="H169" s="444">
        <v>88000</v>
      </c>
      <c r="I169" s="444">
        <v>88000</v>
      </c>
      <c r="J169" s="444">
        <v>0</v>
      </c>
      <c r="K169" s="444">
        <v>0</v>
      </c>
      <c r="L169" s="444">
        <v>88000</v>
      </c>
      <c r="M169" s="444">
        <v>0</v>
      </c>
      <c r="N169" s="444">
        <v>0</v>
      </c>
      <c r="O169" s="444">
        <v>0</v>
      </c>
      <c r="P169" s="444">
        <v>0</v>
      </c>
      <c r="Q169" s="444">
        <v>0</v>
      </c>
      <c r="R169" s="444">
        <v>0</v>
      </c>
      <c r="S169" s="444">
        <v>0</v>
      </c>
      <c r="T169" s="444">
        <v>0</v>
      </c>
      <c r="U169" s="444">
        <v>0</v>
      </c>
      <c r="V169" s="444">
        <v>0</v>
      </c>
      <c r="W169" s="444">
        <v>0</v>
      </c>
      <c r="X169" s="442" t="s">
        <v>674</v>
      </c>
      <c r="Y169" s="442" t="s">
        <v>675</v>
      </c>
      <c r="Z169" s="442" t="s">
        <v>675</v>
      </c>
      <c r="AA169" s="442" t="s">
        <v>675</v>
      </c>
      <c r="AB169" s="442" t="s">
        <v>675</v>
      </c>
      <c r="AC169" s="442"/>
      <c r="AD169" s="442"/>
      <c r="AE169" s="442" t="s">
        <v>676</v>
      </c>
      <c r="AF169" s="442"/>
      <c r="AG169" s="443" t="s">
        <v>695</v>
      </c>
      <c r="AH169" s="442"/>
      <c r="AI169" s="443" t="s">
        <v>695</v>
      </c>
      <c r="AJ169" s="443" t="s">
        <v>677</v>
      </c>
      <c r="AK169" s="442" t="s">
        <v>677</v>
      </c>
      <c r="AL169" s="442"/>
      <c r="AM169" s="442"/>
      <c r="AN169" s="442"/>
      <c r="AO169" s="442"/>
      <c r="AP169" s="442"/>
      <c r="AQ169" s="442"/>
      <c r="AR169" s="444"/>
      <c r="AS169" s="442"/>
      <c r="AT169" s="444"/>
      <c r="AU169" s="442" t="s">
        <v>678</v>
      </c>
      <c r="AV169" s="442" t="s">
        <v>677</v>
      </c>
      <c r="AW169" s="442" t="s">
        <v>676</v>
      </c>
      <c r="AX169" s="442" t="s">
        <v>674</v>
      </c>
      <c r="AY169" s="442"/>
      <c r="AZ169" s="442"/>
      <c r="BA169" s="442" t="s">
        <v>679</v>
      </c>
      <c r="BB169" s="442"/>
      <c r="BC169" s="442"/>
      <c r="BD169" s="442"/>
      <c r="BE169" s="444"/>
      <c r="BF169" s="442" t="s">
        <v>298</v>
      </c>
      <c r="BG169" s="442" t="s">
        <v>680</v>
      </c>
      <c r="BH169" s="442" t="s">
        <v>681</v>
      </c>
      <c r="BI169" s="442"/>
    </row>
    <row r="170" spans="1:61">
      <c r="A170" s="442" t="s">
        <v>690</v>
      </c>
      <c r="B170" s="442" t="s">
        <v>690</v>
      </c>
      <c r="C170" s="442" t="s">
        <v>690</v>
      </c>
      <c r="D170" s="442" t="s">
        <v>673</v>
      </c>
      <c r="E170" s="442" t="s">
        <v>3</v>
      </c>
      <c r="F170" s="443" t="s">
        <v>83</v>
      </c>
      <c r="G170" s="443" t="s">
        <v>691</v>
      </c>
      <c r="H170" s="444">
        <v>88000</v>
      </c>
      <c r="I170" s="444">
        <v>88000</v>
      </c>
      <c r="J170" s="444">
        <v>0</v>
      </c>
      <c r="K170" s="444">
        <v>0</v>
      </c>
      <c r="L170" s="444">
        <v>88000</v>
      </c>
      <c r="M170" s="444">
        <v>0</v>
      </c>
      <c r="N170" s="444">
        <v>0</v>
      </c>
      <c r="O170" s="444">
        <v>0</v>
      </c>
      <c r="P170" s="444">
        <v>0</v>
      </c>
      <c r="Q170" s="444">
        <v>0</v>
      </c>
      <c r="R170" s="444">
        <v>0</v>
      </c>
      <c r="S170" s="444">
        <v>0</v>
      </c>
      <c r="T170" s="444">
        <v>0</v>
      </c>
      <c r="U170" s="444">
        <v>0</v>
      </c>
      <c r="V170" s="444">
        <v>0</v>
      </c>
      <c r="W170" s="444">
        <v>0</v>
      </c>
      <c r="X170" s="442" t="s">
        <v>674</v>
      </c>
      <c r="Y170" s="442" t="s">
        <v>675</v>
      </c>
      <c r="Z170" s="442" t="s">
        <v>675</v>
      </c>
      <c r="AA170" s="442" t="s">
        <v>675</v>
      </c>
      <c r="AB170" s="442" t="s">
        <v>675</v>
      </c>
      <c r="AC170" s="442"/>
      <c r="AD170" s="442"/>
      <c r="AE170" s="442" t="s">
        <v>676</v>
      </c>
      <c r="AF170" s="442"/>
      <c r="AG170" s="443" t="s">
        <v>695</v>
      </c>
      <c r="AH170" s="442"/>
      <c r="AI170" s="443" t="s">
        <v>695</v>
      </c>
      <c r="AJ170" s="443" t="s">
        <v>677</v>
      </c>
      <c r="AK170" s="442" t="s">
        <v>677</v>
      </c>
      <c r="AL170" s="442"/>
      <c r="AM170" s="442"/>
      <c r="AN170" s="442"/>
      <c r="AO170" s="442"/>
      <c r="AP170" s="442"/>
      <c r="AQ170" s="442"/>
      <c r="AR170" s="444"/>
      <c r="AS170" s="442"/>
      <c r="AT170" s="444"/>
      <c r="AU170" s="442" t="s">
        <v>678</v>
      </c>
      <c r="AV170" s="442" t="s">
        <v>677</v>
      </c>
      <c r="AW170" s="442" t="s">
        <v>676</v>
      </c>
      <c r="AX170" s="442" t="s">
        <v>674</v>
      </c>
      <c r="AY170" s="442"/>
      <c r="AZ170" s="442"/>
      <c r="BA170" s="442" t="s">
        <v>679</v>
      </c>
      <c r="BB170" s="442"/>
      <c r="BC170" s="442"/>
      <c r="BD170" s="442"/>
      <c r="BE170" s="444"/>
      <c r="BF170" s="442" t="s">
        <v>298</v>
      </c>
      <c r="BG170" s="442" t="s">
        <v>680</v>
      </c>
      <c r="BH170" s="442" t="s">
        <v>681</v>
      </c>
      <c r="BI170" s="442"/>
    </row>
    <row r="171" spans="1:61">
      <c r="A171" s="442" t="s">
        <v>690</v>
      </c>
      <c r="B171" s="442" t="s">
        <v>690</v>
      </c>
      <c r="C171" s="442" t="s">
        <v>690</v>
      </c>
      <c r="D171" s="442" t="s">
        <v>673</v>
      </c>
      <c r="E171" s="442" t="s">
        <v>3</v>
      </c>
      <c r="F171" s="443" t="s">
        <v>83</v>
      </c>
      <c r="G171" s="443" t="s">
        <v>691</v>
      </c>
      <c r="H171" s="444">
        <v>88000</v>
      </c>
      <c r="I171" s="444">
        <v>88000</v>
      </c>
      <c r="J171" s="444">
        <v>0</v>
      </c>
      <c r="K171" s="444">
        <v>0</v>
      </c>
      <c r="L171" s="444">
        <v>88000</v>
      </c>
      <c r="M171" s="444">
        <v>0</v>
      </c>
      <c r="N171" s="444">
        <v>0</v>
      </c>
      <c r="O171" s="444">
        <v>0</v>
      </c>
      <c r="P171" s="444">
        <v>0</v>
      </c>
      <c r="Q171" s="444">
        <v>0</v>
      </c>
      <c r="R171" s="444">
        <v>0</v>
      </c>
      <c r="S171" s="444">
        <v>0</v>
      </c>
      <c r="T171" s="444">
        <v>0</v>
      </c>
      <c r="U171" s="444">
        <v>0</v>
      </c>
      <c r="V171" s="444">
        <v>0</v>
      </c>
      <c r="W171" s="444">
        <v>0</v>
      </c>
      <c r="X171" s="442" t="s">
        <v>674</v>
      </c>
      <c r="Y171" s="442" t="s">
        <v>675</v>
      </c>
      <c r="Z171" s="442" t="s">
        <v>675</v>
      </c>
      <c r="AA171" s="442" t="s">
        <v>675</v>
      </c>
      <c r="AB171" s="442" t="s">
        <v>675</v>
      </c>
      <c r="AC171" s="442"/>
      <c r="AD171" s="442"/>
      <c r="AE171" s="442" t="s">
        <v>676</v>
      </c>
      <c r="AF171" s="442"/>
      <c r="AG171" s="443" t="s">
        <v>695</v>
      </c>
      <c r="AH171" s="442"/>
      <c r="AI171" s="443" t="s">
        <v>695</v>
      </c>
      <c r="AJ171" s="443" t="s">
        <v>677</v>
      </c>
      <c r="AK171" s="442" t="s">
        <v>677</v>
      </c>
      <c r="AL171" s="442"/>
      <c r="AM171" s="442"/>
      <c r="AN171" s="442"/>
      <c r="AO171" s="442"/>
      <c r="AP171" s="442"/>
      <c r="AQ171" s="442"/>
      <c r="AR171" s="444"/>
      <c r="AS171" s="442"/>
      <c r="AT171" s="444"/>
      <c r="AU171" s="442" t="s">
        <v>678</v>
      </c>
      <c r="AV171" s="442" t="s">
        <v>677</v>
      </c>
      <c r="AW171" s="442" t="s">
        <v>676</v>
      </c>
      <c r="AX171" s="442" t="s">
        <v>674</v>
      </c>
      <c r="AY171" s="442"/>
      <c r="AZ171" s="442"/>
      <c r="BA171" s="442" t="s">
        <v>679</v>
      </c>
      <c r="BB171" s="442"/>
      <c r="BC171" s="442"/>
      <c r="BD171" s="442"/>
      <c r="BE171" s="444"/>
      <c r="BF171" s="442" t="s">
        <v>298</v>
      </c>
      <c r="BG171" s="442" t="s">
        <v>680</v>
      </c>
      <c r="BH171" s="442" t="s">
        <v>681</v>
      </c>
      <c r="BI171" s="442"/>
    </row>
    <row r="172" spans="1:61">
      <c r="A172" s="442" t="s">
        <v>690</v>
      </c>
      <c r="B172" s="442" t="s">
        <v>690</v>
      </c>
      <c r="C172" s="442" t="s">
        <v>690</v>
      </c>
      <c r="D172" s="442" t="s">
        <v>673</v>
      </c>
      <c r="E172" s="442" t="s">
        <v>3</v>
      </c>
      <c r="F172" s="443" t="s">
        <v>83</v>
      </c>
      <c r="G172" s="443" t="s">
        <v>691</v>
      </c>
      <c r="H172" s="444">
        <v>912000</v>
      </c>
      <c r="I172" s="444">
        <v>912000</v>
      </c>
      <c r="J172" s="444">
        <v>0</v>
      </c>
      <c r="K172" s="444">
        <v>0</v>
      </c>
      <c r="L172" s="444">
        <v>912000</v>
      </c>
      <c r="M172" s="444">
        <v>0</v>
      </c>
      <c r="N172" s="444">
        <v>0</v>
      </c>
      <c r="O172" s="444">
        <v>0</v>
      </c>
      <c r="P172" s="444">
        <v>0</v>
      </c>
      <c r="Q172" s="444">
        <v>0</v>
      </c>
      <c r="R172" s="444">
        <v>0</v>
      </c>
      <c r="S172" s="444">
        <v>0</v>
      </c>
      <c r="T172" s="444">
        <v>0</v>
      </c>
      <c r="U172" s="444">
        <v>0</v>
      </c>
      <c r="V172" s="444">
        <v>0</v>
      </c>
      <c r="W172" s="444">
        <v>0</v>
      </c>
      <c r="X172" s="442" t="s">
        <v>674</v>
      </c>
      <c r="Y172" s="442" t="s">
        <v>675</v>
      </c>
      <c r="Z172" s="442" t="s">
        <v>675</v>
      </c>
      <c r="AA172" s="442" t="s">
        <v>675</v>
      </c>
      <c r="AB172" s="442" t="s">
        <v>675</v>
      </c>
      <c r="AC172" s="442"/>
      <c r="AD172" s="442"/>
      <c r="AE172" s="442" t="s">
        <v>676</v>
      </c>
      <c r="AF172" s="442"/>
      <c r="AG172" s="443" t="s">
        <v>696</v>
      </c>
      <c r="AH172" s="442"/>
      <c r="AI172" s="443" t="s">
        <v>696</v>
      </c>
      <c r="AJ172" s="443" t="s">
        <v>677</v>
      </c>
      <c r="AK172" s="442" t="s">
        <v>677</v>
      </c>
      <c r="AL172" s="442"/>
      <c r="AM172" s="442"/>
      <c r="AN172" s="442"/>
      <c r="AO172" s="442"/>
      <c r="AP172" s="442"/>
      <c r="AQ172" s="442"/>
      <c r="AR172" s="444"/>
      <c r="AS172" s="442"/>
      <c r="AT172" s="444"/>
      <c r="AU172" s="442" t="s">
        <v>678</v>
      </c>
      <c r="AV172" s="442" t="s">
        <v>677</v>
      </c>
      <c r="AW172" s="442" t="s">
        <v>676</v>
      </c>
      <c r="AX172" s="442" t="s">
        <v>674</v>
      </c>
      <c r="AY172" s="442"/>
      <c r="AZ172" s="442"/>
      <c r="BA172" s="442" t="s">
        <v>679</v>
      </c>
      <c r="BB172" s="442"/>
      <c r="BC172" s="442"/>
      <c r="BD172" s="442"/>
      <c r="BE172" s="444"/>
      <c r="BF172" s="442" t="s">
        <v>298</v>
      </c>
      <c r="BG172" s="442" t="s">
        <v>680</v>
      </c>
      <c r="BH172" s="442" t="s">
        <v>681</v>
      </c>
      <c r="BI172" s="442"/>
    </row>
    <row r="173" spans="1:61">
      <c r="A173" s="442" t="s">
        <v>690</v>
      </c>
      <c r="B173" s="442" t="s">
        <v>690</v>
      </c>
      <c r="C173" s="442" t="s">
        <v>690</v>
      </c>
      <c r="D173" s="442" t="s">
        <v>673</v>
      </c>
      <c r="E173" s="442" t="s">
        <v>3</v>
      </c>
      <c r="F173" s="443" t="s">
        <v>83</v>
      </c>
      <c r="G173" s="443" t="s">
        <v>691</v>
      </c>
      <c r="H173" s="444">
        <v>88000</v>
      </c>
      <c r="I173" s="444">
        <v>88000</v>
      </c>
      <c r="J173" s="444">
        <v>0</v>
      </c>
      <c r="K173" s="444">
        <v>0</v>
      </c>
      <c r="L173" s="444">
        <v>88000</v>
      </c>
      <c r="M173" s="444">
        <v>0</v>
      </c>
      <c r="N173" s="444">
        <v>0</v>
      </c>
      <c r="O173" s="444">
        <v>0</v>
      </c>
      <c r="P173" s="444">
        <v>0</v>
      </c>
      <c r="Q173" s="444">
        <v>0</v>
      </c>
      <c r="R173" s="444">
        <v>0</v>
      </c>
      <c r="S173" s="444">
        <v>0</v>
      </c>
      <c r="T173" s="444">
        <v>0</v>
      </c>
      <c r="U173" s="444">
        <v>0</v>
      </c>
      <c r="V173" s="444">
        <v>0</v>
      </c>
      <c r="W173" s="444">
        <v>0</v>
      </c>
      <c r="X173" s="442" t="s">
        <v>674</v>
      </c>
      <c r="Y173" s="442" t="s">
        <v>675</v>
      </c>
      <c r="Z173" s="442" t="s">
        <v>675</v>
      </c>
      <c r="AA173" s="442" t="s">
        <v>675</v>
      </c>
      <c r="AB173" s="442" t="s">
        <v>675</v>
      </c>
      <c r="AC173" s="442"/>
      <c r="AD173" s="442"/>
      <c r="AE173" s="442" t="s">
        <v>676</v>
      </c>
      <c r="AF173" s="442"/>
      <c r="AG173" s="443" t="s">
        <v>695</v>
      </c>
      <c r="AH173" s="442"/>
      <c r="AI173" s="443" t="s">
        <v>695</v>
      </c>
      <c r="AJ173" s="443" t="s">
        <v>677</v>
      </c>
      <c r="AK173" s="442" t="s">
        <v>677</v>
      </c>
      <c r="AL173" s="442"/>
      <c r="AM173" s="442"/>
      <c r="AN173" s="442"/>
      <c r="AO173" s="442"/>
      <c r="AP173" s="442"/>
      <c r="AQ173" s="442"/>
      <c r="AR173" s="444"/>
      <c r="AS173" s="442"/>
      <c r="AT173" s="444"/>
      <c r="AU173" s="442" t="s">
        <v>678</v>
      </c>
      <c r="AV173" s="442" t="s">
        <v>677</v>
      </c>
      <c r="AW173" s="442" t="s">
        <v>676</v>
      </c>
      <c r="AX173" s="442" t="s">
        <v>674</v>
      </c>
      <c r="AY173" s="442"/>
      <c r="AZ173" s="442"/>
      <c r="BA173" s="442" t="s">
        <v>679</v>
      </c>
      <c r="BB173" s="442"/>
      <c r="BC173" s="442"/>
      <c r="BD173" s="442"/>
      <c r="BE173" s="444"/>
      <c r="BF173" s="442" t="s">
        <v>298</v>
      </c>
      <c r="BG173" s="442" t="s">
        <v>680</v>
      </c>
      <c r="BH173" s="442" t="s">
        <v>681</v>
      </c>
      <c r="BI173" s="442"/>
    </row>
    <row r="174" spans="1:61">
      <c r="A174" s="442" t="s">
        <v>690</v>
      </c>
      <c r="B174" s="442" t="s">
        <v>690</v>
      </c>
      <c r="C174" s="442" t="s">
        <v>690</v>
      </c>
      <c r="D174" s="442" t="s">
        <v>673</v>
      </c>
      <c r="E174" s="442" t="s">
        <v>3</v>
      </c>
      <c r="F174" s="443" t="s">
        <v>83</v>
      </c>
      <c r="G174" s="443" t="s">
        <v>691</v>
      </c>
      <c r="H174" s="444">
        <v>912000</v>
      </c>
      <c r="I174" s="444">
        <v>912000</v>
      </c>
      <c r="J174" s="444">
        <v>0</v>
      </c>
      <c r="K174" s="444">
        <v>0</v>
      </c>
      <c r="L174" s="444">
        <v>912000</v>
      </c>
      <c r="M174" s="444">
        <v>0</v>
      </c>
      <c r="N174" s="444">
        <v>0</v>
      </c>
      <c r="O174" s="444">
        <v>0</v>
      </c>
      <c r="P174" s="444">
        <v>0</v>
      </c>
      <c r="Q174" s="444">
        <v>0</v>
      </c>
      <c r="R174" s="444">
        <v>0</v>
      </c>
      <c r="S174" s="444">
        <v>0</v>
      </c>
      <c r="T174" s="444">
        <v>0</v>
      </c>
      <c r="U174" s="444">
        <v>0</v>
      </c>
      <c r="V174" s="444">
        <v>0</v>
      </c>
      <c r="W174" s="444">
        <v>0</v>
      </c>
      <c r="X174" s="442" t="s">
        <v>674</v>
      </c>
      <c r="Y174" s="442" t="s">
        <v>675</v>
      </c>
      <c r="Z174" s="442" t="s">
        <v>675</v>
      </c>
      <c r="AA174" s="442" t="s">
        <v>675</v>
      </c>
      <c r="AB174" s="442" t="s">
        <v>675</v>
      </c>
      <c r="AC174" s="442"/>
      <c r="AD174" s="442"/>
      <c r="AE174" s="442" t="s">
        <v>676</v>
      </c>
      <c r="AF174" s="442"/>
      <c r="AG174" s="443" t="s">
        <v>696</v>
      </c>
      <c r="AH174" s="442"/>
      <c r="AI174" s="443" t="s">
        <v>696</v>
      </c>
      <c r="AJ174" s="443" t="s">
        <v>677</v>
      </c>
      <c r="AK174" s="442" t="s">
        <v>677</v>
      </c>
      <c r="AL174" s="442"/>
      <c r="AM174" s="442"/>
      <c r="AN174" s="442"/>
      <c r="AO174" s="442"/>
      <c r="AP174" s="442"/>
      <c r="AQ174" s="442"/>
      <c r="AR174" s="444"/>
      <c r="AS174" s="442"/>
      <c r="AT174" s="444"/>
      <c r="AU174" s="442" t="s">
        <v>678</v>
      </c>
      <c r="AV174" s="442" t="s">
        <v>677</v>
      </c>
      <c r="AW174" s="442" t="s">
        <v>676</v>
      </c>
      <c r="AX174" s="442" t="s">
        <v>674</v>
      </c>
      <c r="AY174" s="442"/>
      <c r="AZ174" s="442"/>
      <c r="BA174" s="442" t="s">
        <v>679</v>
      </c>
      <c r="BB174" s="442"/>
      <c r="BC174" s="442"/>
      <c r="BD174" s="442"/>
      <c r="BE174" s="444"/>
      <c r="BF174" s="442" t="s">
        <v>298</v>
      </c>
      <c r="BG174" s="442" t="s">
        <v>680</v>
      </c>
      <c r="BH174" s="442" t="s">
        <v>681</v>
      </c>
      <c r="BI174" s="442"/>
    </row>
    <row r="175" spans="1:61">
      <c r="A175" s="442" t="s">
        <v>690</v>
      </c>
      <c r="B175" s="442" t="s">
        <v>690</v>
      </c>
      <c r="C175" s="442" t="s">
        <v>690</v>
      </c>
      <c r="D175" s="442" t="s">
        <v>673</v>
      </c>
      <c r="E175" s="442" t="s">
        <v>3</v>
      </c>
      <c r="F175" s="443" t="s">
        <v>83</v>
      </c>
      <c r="G175" s="443" t="s">
        <v>691</v>
      </c>
      <c r="H175" s="444">
        <v>912000</v>
      </c>
      <c r="I175" s="444">
        <v>912000</v>
      </c>
      <c r="J175" s="444">
        <v>0</v>
      </c>
      <c r="K175" s="444">
        <v>0</v>
      </c>
      <c r="L175" s="444">
        <v>912000</v>
      </c>
      <c r="M175" s="444">
        <v>0</v>
      </c>
      <c r="N175" s="444">
        <v>0</v>
      </c>
      <c r="O175" s="444">
        <v>0</v>
      </c>
      <c r="P175" s="444">
        <v>0</v>
      </c>
      <c r="Q175" s="444">
        <v>0</v>
      </c>
      <c r="R175" s="444">
        <v>0</v>
      </c>
      <c r="S175" s="444">
        <v>0</v>
      </c>
      <c r="T175" s="444">
        <v>0</v>
      </c>
      <c r="U175" s="444">
        <v>0</v>
      </c>
      <c r="V175" s="444">
        <v>0</v>
      </c>
      <c r="W175" s="444">
        <v>0</v>
      </c>
      <c r="X175" s="442" t="s">
        <v>674</v>
      </c>
      <c r="Y175" s="442" t="s">
        <v>675</v>
      </c>
      <c r="Z175" s="442" t="s">
        <v>675</v>
      </c>
      <c r="AA175" s="442" t="s">
        <v>675</v>
      </c>
      <c r="AB175" s="442" t="s">
        <v>675</v>
      </c>
      <c r="AC175" s="442"/>
      <c r="AD175" s="442"/>
      <c r="AE175" s="442" t="s">
        <v>676</v>
      </c>
      <c r="AF175" s="442"/>
      <c r="AG175" s="443" t="s">
        <v>696</v>
      </c>
      <c r="AH175" s="442"/>
      <c r="AI175" s="443" t="s">
        <v>696</v>
      </c>
      <c r="AJ175" s="443" t="s">
        <v>677</v>
      </c>
      <c r="AK175" s="442" t="s">
        <v>677</v>
      </c>
      <c r="AL175" s="442"/>
      <c r="AM175" s="442"/>
      <c r="AN175" s="442"/>
      <c r="AO175" s="442"/>
      <c r="AP175" s="442"/>
      <c r="AQ175" s="442"/>
      <c r="AR175" s="444"/>
      <c r="AS175" s="442"/>
      <c r="AT175" s="444"/>
      <c r="AU175" s="442" t="s">
        <v>678</v>
      </c>
      <c r="AV175" s="442" t="s">
        <v>677</v>
      </c>
      <c r="AW175" s="442" t="s">
        <v>676</v>
      </c>
      <c r="AX175" s="442" t="s">
        <v>674</v>
      </c>
      <c r="AY175" s="442"/>
      <c r="AZ175" s="442"/>
      <c r="BA175" s="442" t="s">
        <v>679</v>
      </c>
      <c r="BB175" s="442"/>
      <c r="BC175" s="442"/>
      <c r="BD175" s="442"/>
      <c r="BE175" s="444"/>
      <c r="BF175" s="442" t="s">
        <v>298</v>
      </c>
      <c r="BG175" s="442" t="s">
        <v>680</v>
      </c>
      <c r="BH175" s="442" t="s">
        <v>681</v>
      </c>
      <c r="BI175" s="442"/>
    </row>
    <row r="176" spans="1:61">
      <c r="A176" s="442" t="s">
        <v>690</v>
      </c>
      <c r="B176" s="442" t="s">
        <v>690</v>
      </c>
      <c r="C176" s="442" t="s">
        <v>690</v>
      </c>
      <c r="D176" s="442" t="s">
        <v>673</v>
      </c>
      <c r="E176" s="442" t="s">
        <v>3</v>
      </c>
      <c r="F176" s="443" t="s">
        <v>83</v>
      </c>
      <c r="G176" s="443" t="s">
        <v>691</v>
      </c>
      <c r="H176" s="444">
        <v>912000</v>
      </c>
      <c r="I176" s="444">
        <v>912000</v>
      </c>
      <c r="J176" s="444">
        <v>0</v>
      </c>
      <c r="K176" s="444">
        <v>0</v>
      </c>
      <c r="L176" s="444">
        <v>912000</v>
      </c>
      <c r="M176" s="444">
        <v>0</v>
      </c>
      <c r="N176" s="444">
        <v>0</v>
      </c>
      <c r="O176" s="444">
        <v>0</v>
      </c>
      <c r="P176" s="444">
        <v>0</v>
      </c>
      <c r="Q176" s="444">
        <v>0</v>
      </c>
      <c r="R176" s="444">
        <v>0</v>
      </c>
      <c r="S176" s="444">
        <v>0</v>
      </c>
      <c r="T176" s="444">
        <v>0</v>
      </c>
      <c r="U176" s="444">
        <v>0</v>
      </c>
      <c r="V176" s="444">
        <v>0</v>
      </c>
      <c r="W176" s="444">
        <v>0</v>
      </c>
      <c r="X176" s="442" t="s">
        <v>674</v>
      </c>
      <c r="Y176" s="442" t="s">
        <v>675</v>
      </c>
      <c r="Z176" s="442" t="s">
        <v>675</v>
      </c>
      <c r="AA176" s="442" t="s">
        <v>675</v>
      </c>
      <c r="AB176" s="442" t="s">
        <v>675</v>
      </c>
      <c r="AC176" s="442"/>
      <c r="AD176" s="442"/>
      <c r="AE176" s="442" t="s">
        <v>676</v>
      </c>
      <c r="AF176" s="442"/>
      <c r="AG176" s="443" t="s">
        <v>696</v>
      </c>
      <c r="AH176" s="442"/>
      <c r="AI176" s="443" t="s">
        <v>696</v>
      </c>
      <c r="AJ176" s="443" t="s">
        <v>677</v>
      </c>
      <c r="AK176" s="442" t="s">
        <v>677</v>
      </c>
      <c r="AL176" s="442"/>
      <c r="AM176" s="442"/>
      <c r="AN176" s="442"/>
      <c r="AO176" s="442"/>
      <c r="AP176" s="442"/>
      <c r="AQ176" s="442"/>
      <c r="AR176" s="444"/>
      <c r="AS176" s="442"/>
      <c r="AT176" s="444"/>
      <c r="AU176" s="442" t="s">
        <v>678</v>
      </c>
      <c r="AV176" s="442" t="s">
        <v>677</v>
      </c>
      <c r="AW176" s="442" t="s">
        <v>676</v>
      </c>
      <c r="AX176" s="442" t="s">
        <v>674</v>
      </c>
      <c r="AY176" s="442"/>
      <c r="AZ176" s="442"/>
      <c r="BA176" s="442" t="s">
        <v>679</v>
      </c>
      <c r="BB176" s="442"/>
      <c r="BC176" s="442"/>
      <c r="BD176" s="442"/>
      <c r="BE176" s="444"/>
      <c r="BF176" s="442" t="s">
        <v>298</v>
      </c>
      <c r="BG176" s="442" t="s">
        <v>680</v>
      </c>
      <c r="BH176" s="442" t="s">
        <v>681</v>
      </c>
      <c r="BI176" s="442"/>
    </row>
    <row r="177" spans="1:61">
      <c r="A177" s="442" t="s">
        <v>1116</v>
      </c>
      <c r="B177" s="442" t="s">
        <v>1107</v>
      </c>
      <c r="C177" s="442" t="s">
        <v>1117</v>
      </c>
      <c r="D177" s="442" t="s">
        <v>724</v>
      </c>
      <c r="E177" s="442" t="s">
        <v>3</v>
      </c>
      <c r="F177" s="443" t="s">
        <v>83</v>
      </c>
      <c r="G177" s="443" t="s">
        <v>829</v>
      </c>
      <c r="H177" s="444">
        <v>99900</v>
      </c>
      <c r="I177" s="444">
        <v>99900</v>
      </c>
      <c r="J177" s="444">
        <v>0</v>
      </c>
      <c r="K177" s="444">
        <v>0</v>
      </c>
      <c r="L177" s="444">
        <v>90819</v>
      </c>
      <c r="M177" s="444">
        <v>0</v>
      </c>
      <c r="N177" s="444">
        <v>0</v>
      </c>
      <c r="O177" s="444">
        <v>9081</v>
      </c>
      <c r="P177" s="444">
        <v>0</v>
      </c>
      <c r="Q177" s="444">
        <v>0</v>
      </c>
      <c r="R177" s="444">
        <v>0</v>
      </c>
      <c r="S177" s="444">
        <v>0</v>
      </c>
      <c r="T177" s="444">
        <v>0</v>
      </c>
      <c r="U177" s="444">
        <v>0</v>
      </c>
      <c r="V177" s="444">
        <v>0</v>
      </c>
      <c r="W177" s="444">
        <v>0</v>
      </c>
      <c r="X177" s="442" t="s">
        <v>674</v>
      </c>
      <c r="Y177" s="442" t="s">
        <v>675</v>
      </c>
      <c r="Z177" s="442" t="s">
        <v>675</v>
      </c>
      <c r="AA177" s="442" t="s">
        <v>675</v>
      </c>
      <c r="AB177" s="442" t="s">
        <v>675</v>
      </c>
      <c r="AC177" s="442"/>
      <c r="AD177" s="442"/>
      <c r="AE177" s="442"/>
      <c r="AF177" s="442"/>
      <c r="AG177" s="443" t="s">
        <v>1118</v>
      </c>
      <c r="AH177" s="442"/>
      <c r="AI177" s="443" t="s">
        <v>1118</v>
      </c>
      <c r="AJ177" s="443" t="s">
        <v>762</v>
      </c>
      <c r="AK177" s="442" t="s">
        <v>677</v>
      </c>
      <c r="AL177" s="442"/>
      <c r="AM177" s="442" t="s">
        <v>726</v>
      </c>
      <c r="AN177" s="442" t="s">
        <v>1119</v>
      </c>
      <c r="AO177" s="442" t="s">
        <v>1116</v>
      </c>
      <c r="AP177" s="442" t="s">
        <v>690</v>
      </c>
      <c r="AQ177" s="442" t="s">
        <v>729</v>
      </c>
      <c r="AR177" s="444">
        <v>99900</v>
      </c>
      <c r="AS177" s="442" t="s">
        <v>675</v>
      </c>
      <c r="AT177" s="444">
        <v>0</v>
      </c>
      <c r="AU177" s="442" t="s">
        <v>678</v>
      </c>
      <c r="AV177" s="442" t="s">
        <v>677</v>
      </c>
      <c r="AW177" s="442" t="s">
        <v>676</v>
      </c>
      <c r="AX177" s="442" t="s">
        <v>674</v>
      </c>
      <c r="AY177" s="442"/>
      <c r="AZ177" s="442"/>
      <c r="BA177" s="442" t="s">
        <v>679</v>
      </c>
      <c r="BB177" s="442"/>
      <c r="BC177" s="442"/>
      <c r="BD177" s="442"/>
      <c r="BE177" s="444"/>
      <c r="BF177" s="442" t="s">
        <v>298</v>
      </c>
      <c r="BG177" s="442" t="s">
        <v>680</v>
      </c>
      <c r="BH177" s="442" t="s">
        <v>681</v>
      </c>
      <c r="BI177" s="442"/>
    </row>
    <row r="178" spans="1:61">
      <c r="A178" s="442" t="s">
        <v>1175</v>
      </c>
      <c r="B178" s="442" t="s">
        <v>1196</v>
      </c>
      <c r="C178" s="442" t="s">
        <v>1196</v>
      </c>
      <c r="D178" s="442" t="s">
        <v>716</v>
      </c>
      <c r="E178" s="442" t="s">
        <v>3</v>
      </c>
      <c r="F178" s="443" t="s">
        <v>308</v>
      </c>
      <c r="G178" s="443" t="s">
        <v>780</v>
      </c>
      <c r="H178" s="444">
        <v>93575000</v>
      </c>
      <c r="I178" s="444">
        <v>93575000</v>
      </c>
      <c r="J178" s="444">
        <v>0</v>
      </c>
      <c r="K178" s="444">
        <v>0</v>
      </c>
      <c r="L178" s="444">
        <v>85068182</v>
      </c>
      <c r="M178" s="444">
        <v>0</v>
      </c>
      <c r="N178" s="444">
        <v>0</v>
      </c>
      <c r="O178" s="444">
        <v>8506818</v>
      </c>
      <c r="P178" s="444">
        <v>0</v>
      </c>
      <c r="Q178" s="444">
        <v>0</v>
      </c>
      <c r="R178" s="444">
        <v>0</v>
      </c>
      <c r="S178" s="444">
        <v>0</v>
      </c>
      <c r="T178" s="444">
        <v>0</v>
      </c>
      <c r="U178" s="444">
        <v>0</v>
      </c>
      <c r="V178" s="444">
        <v>0</v>
      </c>
      <c r="W178" s="444">
        <v>0</v>
      </c>
      <c r="X178" s="442" t="s">
        <v>674</v>
      </c>
      <c r="Y178" s="442" t="s">
        <v>675</v>
      </c>
      <c r="Z178" s="442" t="s">
        <v>675</v>
      </c>
      <c r="AA178" s="442" t="s">
        <v>675</v>
      </c>
      <c r="AB178" s="442" t="s">
        <v>675</v>
      </c>
      <c r="AC178" s="442"/>
      <c r="AD178" s="442" t="s">
        <v>781</v>
      </c>
      <c r="AE178" s="442"/>
      <c r="AF178" s="442"/>
      <c r="AG178" s="443" t="s">
        <v>1197</v>
      </c>
      <c r="AH178" s="442"/>
      <c r="AI178" s="443" t="s">
        <v>1197</v>
      </c>
      <c r="AJ178" s="443" t="s">
        <v>974</v>
      </c>
      <c r="AK178" s="442" t="s">
        <v>677</v>
      </c>
      <c r="AL178" s="442"/>
      <c r="AM178" s="442"/>
      <c r="AN178" s="442"/>
      <c r="AO178" s="442"/>
      <c r="AP178" s="442"/>
      <c r="AQ178" s="442"/>
      <c r="AR178" s="444"/>
      <c r="AS178" s="442"/>
      <c r="AT178" s="444"/>
      <c r="AU178" s="442" t="s">
        <v>678</v>
      </c>
      <c r="AV178" s="442" t="s">
        <v>677</v>
      </c>
      <c r="AW178" s="442" t="s">
        <v>676</v>
      </c>
      <c r="AX178" s="442" t="s">
        <v>679</v>
      </c>
      <c r="AY178" s="442"/>
      <c r="AZ178" s="442"/>
      <c r="BA178" s="442" t="s">
        <v>679</v>
      </c>
      <c r="BB178" s="442"/>
      <c r="BC178" s="442"/>
      <c r="BD178" s="442"/>
      <c r="BE178" s="444"/>
      <c r="BF178" s="442" t="s">
        <v>298</v>
      </c>
      <c r="BG178" s="442" t="s">
        <v>680</v>
      </c>
      <c r="BH178" s="442" t="s">
        <v>681</v>
      </c>
      <c r="BI178" s="442"/>
    </row>
    <row r="179" spans="1:61">
      <c r="A179" s="442" t="s">
        <v>1107</v>
      </c>
      <c r="B179" s="442" t="s">
        <v>1105</v>
      </c>
      <c r="C179" s="442" t="s">
        <v>1107</v>
      </c>
      <c r="D179" s="442" t="s">
        <v>716</v>
      </c>
      <c r="E179" s="442" t="s">
        <v>3</v>
      </c>
      <c r="F179" s="443" t="s">
        <v>308</v>
      </c>
      <c r="G179" s="443" t="s">
        <v>780</v>
      </c>
      <c r="H179" s="444">
        <v>95705550</v>
      </c>
      <c r="I179" s="444">
        <v>95705550</v>
      </c>
      <c r="J179" s="444">
        <v>0</v>
      </c>
      <c r="K179" s="444">
        <v>0</v>
      </c>
      <c r="L179" s="444">
        <v>87005045</v>
      </c>
      <c r="M179" s="444">
        <v>0</v>
      </c>
      <c r="N179" s="444">
        <v>0</v>
      </c>
      <c r="O179" s="444">
        <v>8700505</v>
      </c>
      <c r="P179" s="444">
        <v>0</v>
      </c>
      <c r="Q179" s="444">
        <v>0</v>
      </c>
      <c r="R179" s="444">
        <v>0</v>
      </c>
      <c r="S179" s="444">
        <v>0</v>
      </c>
      <c r="T179" s="444">
        <v>0</v>
      </c>
      <c r="U179" s="444">
        <v>0</v>
      </c>
      <c r="V179" s="444">
        <v>0</v>
      </c>
      <c r="W179" s="444">
        <v>0</v>
      </c>
      <c r="X179" s="442" t="s">
        <v>674</v>
      </c>
      <c r="Y179" s="442" t="s">
        <v>675</v>
      </c>
      <c r="Z179" s="442" t="s">
        <v>675</v>
      </c>
      <c r="AA179" s="442" t="s">
        <v>675</v>
      </c>
      <c r="AB179" s="442" t="s">
        <v>675</v>
      </c>
      <c r="AC179" s="442"/>
      <c r="AD179" s="442" t="s">
        <v>781</v>
      </c>
      <c r="AE179" s="442"/>
      <c r="AF179" s="442"/>
      <c r="AG179" s="443" t="s">
        <v>1120</v>
      </c>
      <c r="AH179" s="442"/>
      <c r="AI179" s="443" t="s">
        <v>1120</v>
      </c>
      <c r="AJ179" s="443" t="s">
        <v>974</v>
      </c>
      <c r="AK179" s="442" t="s">
        <v>677</v>
      </c>
      <c r="AL179" s="442"/>
      <c r="AM179" s="442"/>
      <c r="AN179" s="442"/>
      <c r="AO179" s="442"/>
      <c r="AP179" s="442"/>
      <c r="AQ179" s="442"/>
      <c r="AR179" s="444"/>
      <c r="AS179" s="442"/>
      <c r="AT179" s="444"/>
      <c r="AU179" s="442" t="s">
        <v>678</v>
      </c>
      <c r="AV179" s="442" t="s">
        <v>677</v>
      </c>
      <c r="AW179" s="442" t="s">
        <v>676</v>
      </c>
      <c r="AX179" s="442" t="s">
        <v>679</v>
      </c>
      <c r="AY179" s="442"/>
      <c r="AZ179" s="442"/>
      <c r="BA179" s="442" t="s">
        <v>679</v>
      </c>
      <c r="BB179" s="442"/>
      <c r="BC179" s="442"/>
      <c r="BD179" s="442"/>
      <c r="BE179" s="444"/>
      <c r="BF179" s="442" t="s">
        <v>298</v>
      </c>
      <c r="BG179" s="442" t="s">
        <v>680</v>
      </c>
      <c r="BH179" s="442" t="s">
        <v>681</v>
      </c>
      <c r="BI179" s="442"/>
    </row>
    <row r="180" spans="1:61">
      <c r="A180" s="442" t="s">
        <v>1107</v>
      </c>
      <c r="B180" s="442" t="s">
        <v>1105</v>
      </c>
      <c r="C180" s="442" t="s">
        <v>1107</v>
      </c>
      <c r="D180" s="442" t="s">
        <v>716</v>
      </c>
      <c r="E180" s="442" t="s">
        <v>3</v>
      </c>
      <c r="F180" s="443" t="s">
        <v>308</v>
      </c>
      <c r="G180" s="443" t="s">
        <v>780</v>
      </c>
      <c r="H180" s="444">
        <v>96997000</v>
      </c>
      <c r="I180" s="444">
        <v>96997000</v>
      </c>
      <c r="J180" s="444">
        <v>0</v>
      </c>
      <c r="K180" s="444">
        <v>0</v>
      </c>
      <c r="L180" s="444">
        <v>88179091</v>
      </c>
      <c r="M180" s="444">
        <v>0</v>
      </c>
      <c r="N180" s="444">
        <v>0</v>
      </c>
      <c r="O180" s="444">
        <v>8817909</v>
      </c>
      <c r="P180" s="444">
        <v>0</v>
      </c>
      <c r="Q180" s="444">
        <v>0</v>
      </c>
      <c r="R180" s="444">
        <v>0</v>
      </c>
      <c r="S180" s="444">
        <v>0</v>
      </c>
      <c r="T180" s="444">
        <v>0</v>
      </c>
      <c r="U180" s="444">
        <v>0</v>
      </c>
      <c r="V180" s="444">
        <v>0</v>
      </c>
      <c r="W180" s="444">
        <v>0</v>
      </c>
      <c r="X180" s="442" t="s">
        <v>674</v>
      </c>
      <c r="Y180" s="442" t="s">
        <v>675</v>
      </c>
      <c r="Z180" s="442" t="s">
        <v>675</v>
      </c>
      <c r="AA180" s="442" t="s">
        <v>675</v>
      </c>
      <c r="AB180" s="442" t="s">
        <v>675</v>
      </c>
      <c r="AC180" s="442"/>
      <c r="AD180" s="442" t="s">
        <v>781</v>
      </c>
      <c r="AE180" s="442"/>
      <c r="AF180" s="442"/>
      <c r="AG180" s="443" t="s">
        <v>1121</v>
      </c>
      <c r="AH180" s="442"/>
      <c r="AI180" s="443" t="s">
        <v>1121</v>
      </c>
      <c r="AJ180" s="443" t="s">
        <v>974</v>
      </c>
      <c r="AK180" s="442" t="s">
        <v>677</v>
      </c>
      <c r="AL180" s="442"/>
      <c r="AM180" s="442"/>
      <c r="AN180" s="442"/>
      <c r="AO180" s="442"/>
      <c r="AP180" s="442"/>
      <c r="AQ180" s="442"/>
      <c r="AR180" s="444"/>
      <c r="AS180" s="442"/>
      <c r="AT180" s="444"/>
      <c r="AU180" s="442" t="s">
        <v>678</v>
      </c>
      <c r="AV180" s="442" t="s">
        <v>677</v>
      </c>
      <c r="AW180" s="442" t="s">
        <v>676</v>
      </c>
      <c r="AX180" s="442" t="s">
        <v>679</v>
      </c>
      <c r="AY180" s="442"/>
      <c r="AZ180" s="442"/>
      <c r="BA180" s="442" t="s">
        <v>679</v>
      </c>
      <c r="BB180" s="442"/>
      <c r="BC180" s="442"/>
      <c r="BD180" s="442"/>
      <c r="BE180" s="444"/>
      <c r="BF180" s="442" t="s">
        <v>298</v>
      </c>
      <c r="BG180" s="442" t="s">
        <v>680</v>
      </c>
      <c r="BH180" s="442" t="s">
        <v>681</v>
      </c>
      <c r="BI180" s="442"/>
    </row>
    <row r="181" spans="1:61">
      <c r="A181" s="442" t="s">
        <v>690</v>
      </c>
      <c r="B181" s="442" t="s">
        <v>690</v>
      </c>
      <c r="C181" s="442" t="s">
        <v>699</v>
      </c>
      <c r="D181" s="442" t="s">
        <v>673</v>
      </c>
      <c r="E181" s="442" t="s">
        <v>3</v>
      </c>
      <c r="F181" s="443" t="s">
        <v>83</v>
      </c>
      <c r="G181" s="443" t="s">
        <v>700</v>
      </c>
      <c r="H181" s="444">
        <v>63360</v>
      </c>
      <c r="I181" s="444">
        <v>63360</v>
      </c>
      <c r="J181" s="444">
        <v>0</v>
      </c>
      <c r="K181" s="444">
        <v>0</v>
      </c>
      <c r="L181" s="444">
        <v>63360</v>
      </c>
      <c r="M181" s="444">
        <v>0</v>
      </c>
      <c r="N181" s="444">
        <v>0</v>
      </c>
      <c r="O181" s="444">
        <v>0</v>
      </c>
      <c r="P181" s="444">
        <v>0</v>
      </c>
      <c r="Q181" s="444">
        <v>0</v>
      </c>
      <c r="R181" s="444">
        <v>0</v>
      </c>
      <c r="S181" s="444">
        <v>0</v>
      </c>
      <c r="T181" s="444">
        <v>0</v>
      </c>
      <c r="U181" s="444">
        <v>0</v>
      </c>
      <c r="V181" s="444">
        <v>0</v>
      </c>
      <c r="W181" s="444">
        <v>0</v>
      </c>
      <c r="X181" s="442" t="s">
        <v>674</v>
      </c>
      <c r="Y181" s="442" t="s">
        <v>675</v>
      </c>
      <c r="Z181" s="442" t="s">
        <v>675</v>
      </c>
      <c r="AA181" s="442" t="s">
        <v>675</v>
      </c>
      <c r="AB181" s="442" t="s">
        <v>675</v>
      </c>
      <c r="AC181" s="442"/>
      <c r="AD181" s="442"/>
      <c r="AE181" s="442"/>
      <c r="AF181" s="442"/>
      <c r="AG181" s="443" t="s">
        <v>701</v>
      </c>
      <c r="AH181" s="442"/>
      <c r="AI181" s="443" t="s">
        <v>701</v>
      </c>
      <c r="AJ181" s="443" t="s">
        <v>677</v>
      </c>
      <c r="AK181" s="442" t="s">
        <v>677</v>
      </c>
      <c r="AL181" s="442"/>
      <c r="AM181" s="442"/>
      <c r="AN181" s="442"/>
      <c r="AO181" s="442"/>
      <c r="AP181" s="442"/>
      <c r="AQ181" s="442"/>
      <c r="AR181" s="444"/>
      <c r="AS181" s="442"/>
      <c r="AT181" s="444"/>
      <c r="AU181" s="442" t="s">
        <v>678</v>
      </c>
      <c r="AV181" s="442" t="s">
        <v>677</v>
      </c>
      <c r="AW181" s="442" t="s">
        <v>676</v>
      </c>
      <c r="AX181" s="442" t="s">
        <v>674</v>
      </c>
      <c r="AY181" s="442"/>
      <c r="AZ181" s="442"/>
      <c r="BA181" s="442" t="s">
        <v>679</v>
      </c>
      <c r="BB181" s="442"/>
      <c r="BC181" s="442"/>
      <c r="BD181" s="442"/>
      <c r="BE181" s="444"/>
      <c r="BF181" s="442" t="s">
        <v>298</v>
      </c>
      <c r="BG181" s="442" t="s">
        <v>680</v>
      </c>
      <c r="BH181" s="442" t="s">
        <v>681</v>
      </c>
      <c r="BI181" s="442"/>
    </row>
    <row r="182" spans="1:61">
      <c r="A182" s="442" t="s">
        <v>690</v>
      </c>
      <c r="B182" s="442" t="s">
        <v>690</v>
      </c>
      <c r="C182" s="442" t="s">
        <v>699</v>
      </c>
      <c r="D182" s="442" t="s">
        <v>673</v>
      </c>
      <c r="E182" s="442" t="s">
        <v>3</v>
      </c>
      <c r="F182" s="443" t="s">
        <v>83</v>
      </c>
      <c r="G182" s="443" t="s">
        <v>700</v>
      </c>
      <c r="H182" s="444">
        <v>656640</v>
      </c>
      <c r="I182" s="444">
        <v>656640</v>
      </c>
      <c r="J182" s="444">
        <v>0</v>
      </c>
      <c r="K182" s="444">
        <v>0</v>
      </c>
      <c r="L182" s="444">
        <v>656640</v>
      </c>
      <c r="M182" s="444">
        <v>0</v>
      </c>
      <c r="N182" s="444">
        <v>0</v>
      </c>
      <c r="O182" s="444">
        <v>0</v>
      </c>
      <c r="P182" s="444">
        <v>0</v>
      </c>
      <c r="Q182" s="444">
        <v>0</v>
      </c>
      <c r="R182" s="444">
        <v>0</v>
      </c>
      <c r="S182" s="444">
        <v>0</v>
      </c>
      <c r="T182" s="444">
        <v>0</v>
      </c>
      <c r="U182" s="444">
        <v>0</v>
      </c>
      <c r="V182" s="444">
        <v>0</v>
      </c>
      <c r="W182" s="444">
        <v>0</v>
      </c>
      <c r="X182" s="442" t="s">
        <v>674</v>
      </c>
      <c r="Y182" s="442" t="s">
        <v>675</v>
      </c>
      <c r="Z182" s="442" t="s">
        <v>675</v>
      </c>
      <c r="AA182" s="442" t="s">
        <v>675</v>
      </c>
      <c r="AB182" s="442" t="s">
        <v>675</v>
      </c>
      <c r="AC182" s="442"/>
      <c r="AD182" s="442"/>
      <c r="AE182" s="442"/>
      <c r="AF182" s="442"/>
      <c r="AG182" s="443" t="s">
        <v>702</v>
      </c>
      <c r="AH182" s="442"/>
      <c r="AI182" s="443" t="s">
        <v>702</v>
      </c>
      <c r="AJ182" s="443" t="s">
        <v>677</v>
      </c>
      <c r="AK182" s="442" t="s">
        <v>677</v>
      </c>
      <c r="AL182" s="442"/>
      <c r="AM182" s="442"/>
      <c r="AN182" s="442"/>
      <c r="AO182" s="442"/>
      <c r="AP182" s="442"/>
      <c r="AQ182" s="442"/>
      <c r="AR182" s="444"/>
      <c r="AS182" s="442"/>
      <c r="AT182" s="444"/>
      <c r="AU182" s="442" t="s">
        <v>678</v>
      </c>
      <c r="AV182" s="442" t="s">
        <v>677</v>
      </c>
      <c r="AW182" s="442" t="s">
        <v>676</v>
      </c>
      <c r="AX182" s="442" t="s">
        <v>674</v>
      </c>
      <c r="AY182" s="442"/>
      <c r="AZ182" s="442"/>
      <c r="BA182" s="442" t="s">
        <v>679</v>
      </c>
      <c r="BB182" s="442"/>
      <c r="BC182" s="442"/>
      <c r="BD182" s="442"/>
      <c r="BE182" s="444"/>
      <c r="BF182" s="442" t="s">
        <v>298</v>
      </c>
      <c r="BG182" s="442" t="s">
        <v>680</v>
      </c>
      <c r="BH182" s="442" t="s">
        <v>681</v>
      </c>
      <c r="BI182" s="442"/>
    </row>
    <row r="183" spans="1:61">
      <c r="A183" s="442" t="s">
        <v>704</v>
      </c>
      <c r="B183" s="442" t="s">
        <v>1112</v>
      </c>
      <c r="C183" s="442" t="s">
        <v>1105</v>
      </c>
      <c r="D183" s="442" t="s">
        <v>724</v>
      </c>
      <c r="E183" s="442" t="s">
        <v>3</v>
      </c>
      <c r="F183" s="443" t="s">
        <v>83</v>
      </c>
      <c r="G183" s="443" t="s">
        <v>829</v>
      </c>
      <c r="H183" s="444">
        <v>96000</v>
      </c>
      <c r="I183" s="444">
        <v>96000</v>
      </c>
      <c r="J183" s="444">
        <v>0</v>
      </c>
      <c r="K183" s="444">
        <v>0</v>
      </c>
      <c r="L183" s="444">
        <v>87273</v>
      </c>
      <c r="M183" s="444">
        <v>0</v>
      </c>
      <c r="N183" s="444">
        <v>0</v>
      </c>
      <c r="O183" s="444">
        <v>8727</v>
      </c>
      <c r="P183" s="444">
        <v>0</v>
      </c>
      <c r="Q183" s="444">
        <v>0</v>
      </c>
      <c r="R183" s="444">
        <v>0</v>
      </c>
      <c r="S183" s="444">
        <v>0</v>
      </c>
      <c r="T183" s="444">
        <v>0</v>
      </c>
      <c r="U183" s="444">
        <v>0</v>
      </c>
      <c r="V183" s="444">
        <v>0</v>
      </c>
      <c r="W183" s="444">
        <v>0</v>
      </c>
      <c r="X183" s="442" t="s">
        <v>674</v>
      </c>
      <c r="Y183" s="442" t="s">
        <v>675</v>
      </c>
      <c r="Z183" s="442" t="s">
        <v>675</v>
      </c>
      <c r="AA183" s="442" t="s">
        <v>675</v>
      </c>
      <c r="AB183" s="442" t="s">
        <v>675</v>
      </c>
      <c r="AC183" s="442"/>
      <c r="AD183" s="442"/>
      <c r="AE183" s="442"/>
      <c r="AF183" s="442"/>
      <c r="AG183" s="443" t="s">
        <v>1122</v>
      </c>
      <c r="AH183" s="442"/>
      <c r="AI183" s="443" t="s">
        <v>1122</v>
      </c>
      <c r="AJ183" s="443" t="s">
        <v>762</v>
      </c>
      <c r="AK183" s="442" t="s">
        <v>677</v>
      </c>
      <c r="AL183" s="442"/>
      <c r="AM183" s="442" t="s">
        <v>726</v>
      </c>
      <c r="AN183" s="442" t="s">
        <v>1123</v>
      </c>
      <c r="AO183" s="442" t="s">
        <v>704</v>
      </c>
      <c r="AP183" s="442" t="s">
        <v>703</v>
      </c>
      <c r="AQ183" s="442" t="s">
        <v>729</v>
      </c>
      <c r="AR183" s="444">
        <v>96000</v>
      </c>
      <c r="AS183" s="442" t="s">
        <v>675</v>
      </c>
      <c r="AT183" s="444">
        <v>0</v>
      </c>
      <c r="AU183" s="442" t="s">
        <v>678</v>
      </c>
      <c r="AV183" s="442" t="s">
        <v>677</v>
      </c>
      <c r="AW183" s="442" t="s">
        <v>676</v>
      </c>
      <c r="AX183" s="442" t="s">
        <v>679</v>
      </c>
      <c r="AY183" s="442"/>
      <c r="AZ183" s="442"/>
      <c r="BA183" s="442" t="s">
        <v>679</v>
      </c>
      <c r="BB183" s="442"/>
      <c r="BC183" s="442"/>
      <c r="BD183" s="442"/>
      <c r="BE183" s="444"/>
      <c r="BF183" s="442" t="s">
        <v>298</v>
      </c>
      <c r="BG183" s="442" t="s">
        <v>680</v>
      </c>
      <c r="BH183" s="442" t="s">
        <v>681</v>
      </c>
      <c r="BI183" s="442"/>
    </row>
    <row r="184" spans="1:61">
      <c r="A184" s="442" t="s">
        <v>704</v>
      </c>
      <c r="B184" s="442" t="s">
        <v>1112</v>
      </c>
      <c r="C184" s="442" t="s">
        <v>1105</v>
      </c>
      <c r="D184" s="442" t="s">
        <v>724</v>
      </c>
      <c r="E184" s="442" t="s">
        <v>3</v>
      </c>
      <c r="F184" s="443" t="s">
        <v>83</v>
      </c>
      <c r="G184" s="443" t="s">
        <v>700</v>
      </c>
      <c r="H184" s="444">
        <v>66000</v>
      </c>
      <c r="I184" s="444">
        <v>66000</v>
      </c>
      <c r="J184" s="444">
        <v>0</v>
      </c>
      <c r="K184" s="444">
        <v>0</v>
      </c>
      <c r="L184" s="444">
        <v>60000</v>
      </c>
      <c r="M184" s="444">
        <v>0</v>
      </c>
      <c r="N184" s="444">
        <v>0</v>
      </c>
      <c r="O184" s="444">
        <v>6000</v>
      </c>
      <c r="P184" s="444">
        <v>0</v>
      </c>
      <c r="Q184" s="444">
        <v>0</v>
      </c>
      <c r="R184" s="444">
        <v>0</v>
      </c>
      <c r="S184" s="444">
        <v>0</v>
      </c>
      <c r="T184" s="444">
        <v>0</v>
      </c>
      <c r="U184" s="444">
        <v>0</v>
      </c>
      <c r="V184" s="444">
        <v>0</v>
      </c>
      <c r="W184" s="444">
        <v>0</v>
      </c>
      <c r="X184" s="442" t="s">
        <v>674</v>
      </c>
      <c r="Y184" s="442" t="s">
        <v>675</v>
      </c>
      <c r="Z184" s="442" t="s">
        <v>675</v>
      </c>
      <c r="AA184" s="442" t="s">
        <v>675</v>
      </c>
      <c r="AB184" s="442" t="s">
        <v>675</v>
      </c>
      <c r="AC184" s="442"/>
      <c r="AD184" s="442"/>
      <c r="AE184" s="442"/>
      <c r="AF184" s="442"/>
      <c r="AG184" s="443" t="s">
        <v>1113</v>
      </c>
      <c r="AH184" s="442"/>
      <c r="AI184" s="443" t="s">
        <v>1113</v>
      </c>
      <c r="AJ184" s="443" t="s">
        <v>1124</v>
      </c>
      <c r="AK184" s="442" t="s">
        <v>677</v>
      </c>
      <c r="AL184" s="442"/>
      <c r="AM184" s="442" t="s">
        <v>726</v>
      </c>
      <c r="AN184" s="442" t="s">
        <v>1125</v>
      </c>
      <c r="AO184" s="442" t="s">
        <v>704</v>
      </c>
      <c r="AP184" s="442" t="s">
        <v>703</v>
      </c>
      <c r="AQ184" s="442" t="s">
        <v>729</v>
      </c>
      <c r="AR184" s="444">
        <v>66000</v>
      </c>
      <c r="AS184" s="442" t="s">
        <v>675</v>
      </c>
      <c r="AT184" s="444">
        <v>0</v>
      </c>
      <c r="AU184" s="442" t="s">
        <v>678</v>
      </c>
      <c r="AV184" s="442" t="s">
        <v>677</v>
      </c>
      <c r="AW184" s="442" t="s">
        <v>676</v>
      </c>
      <c r="AX184" s="442" t="s">
        <v>674</v>
      </c>
      <c r="AY184" s="442"/>
      <c r="AZ184" s="442"/>
      <c r="BA184" s="442" t="s">
        <v>679</v>
      </c>
      <c r="BB184" s="442"/>
      <c r="BC184" s="442"/>
      <c r="BD184" s="442"/>
      <c r="BE184" s="444"/>
      <c r="BF184" s="442" t="s">
        <v>298</v>
      </c>
      <c r="BG184" s="442" t="s">
        <v>680</v>
      </c>
      <c r="BH184" s="442" t="s">
        <v>681</v>
      </c>
      <c r="BI184" s="442"/>
    </row>
    <row r="185" spans="1:61">
      <c r="A185" s="442" t="s">
        <v>703</v>
      </c>
      <c r="B185" s="442" t="s">
        <v>703</v>
      </c>
      <c r="C185" s="442" t="s">
        <v>704</v>
      </c>
      <c r="D185" s="442" t="s">
        <v>673</v>
      </c>
      <c r="E185" s="442" t="s">
        <v>3</v>
      </c>
      <c r="F185" s="443" t="s">
        <v>83</v>
      </c>
      <c r="G185" s="443" t="s">
        <v>700</v>
      </c>
      <c r="H185" s="444">
        <v>742400</v>
      </c>
      <c r="I185" s="444">
        <v>742400</v>
      </c>
      <c r="J185" s="444">
        <v>0</v>
      </c>
      <c r="K185" s="444">
        <v>0</v>
      </c>
      <c r="L185" s="444">
        <v>742400</v>
      </c>
      <c r="M185" s="444">
        <v>0</v>
      </c>
      <c r="N185" s="444">
        <v>0</v>
      </c>
      <c r="O185" s="444">
        <v>0</v>
      </c>
      <c r="P185" s="444">
        <v>0</v>
      </c>
      <c r="Q185" s="444">
        <v>0</v>
      </c>
      <c r="R185" s="444">
        <v>0</v>
      </c>
      <c r="S185" s="444">
        <v>0</v>
      </c>
      <c r="T185" s="444">
        <v>0</v>
      </c>
      <c r="U185" s="444">
        <v>0</v>
      </c>
      <c r="V185" s="444">
        <v>0</v>
      </c>
      <c r="W185" s="444">
        <v>0</v>
      </c>
      <c r="X185" s="442" t="s">
        <v>674</v>
      </c>
      <c r="Y185" s="442" t="s">
        <v>675</v>
      </c>
      <c r="Z185" s="442" t="s">
        <v>675</v>
      </c>
      <c r="AA185" s="442" t="s">
        <v>675</v>
      </c>
      <c r="AB185" s="442" t="s">
        <v>675</v>
      </c>
      <c r="AC185" s="442"/>
      <c r="AD185" s="442"/>
      <c r="AE185" s="442"/>
      <c r="AF185" s="442"/>
      <c r="AG185" s="443" t="s">
        <v>705</v>
      </c>
      <c r="AH185" s="442"/>
      <c r="AI185" s="443" t="s">
        <v>705</v>
      </c>
      <c r="AJ185" s="443" t="s">
        <v>677</v>
      </c>
      <c r="AK185" s="442" t="s">
        <v>677</v>
      </c>
      <c r="AL185" s="442"/>
      <c r="AM185" s="442"/>
      <c r="AN185" s="442"/>
      <c r="AO185" s="442"/>
      <c r="AP185" s="442"/>
      <c r="AQ185" s="442"/>
      <c r="AR185" s="444"/>
      <c r="AS185" s="442"/>
      <c r="AT185" s="444"/>
      <c r="AU185" s="442" t="s">
        <v>678</v>
      </c>
      <c r="AV185" s="442" t="s">
        <v>677</v>
      </c>
      <c r="AW185" s="442" t="s">
        <v>676</v>
      </c>
      <c r="AX185" s="442" t="s">
        <v>674</v>
      </c>
      <c r="AY185" s="442"/>
      <c r="AZ185" s="442"/>
      <c r="BA185" s="442" t="s">
        <v>679</v>
      </c>
      <c r="BB185" s="442"/>
      <c r="BC185" s="442"/>
      <c r="BD185" s="442"/>
      <c r="BE185" s="444"/>
      <c r="BF185" s="442" t="s">
        <v>298</v>
      </c>
      <c r="BG185" s="442" t="s">
        <v>680</v>
      </c>
      <c r="BH185" s="442" t="s">
        <v>681</v>
      </c>
      <c r="BI185" s="442"/>
    </row>
    <row r="186" spans="1:61">
      <c r="A186" s="442" t="s">
        <v>703</v>
      </c>
      <c r="B186" s="442" t="s">
        <v>703</v>
      </c>
      <c r="C186" s="442" t="s">
        <v>704</v>
      </c>
      <c r="D186" s="442" t="s">
        <v>673</v>
      </c>
      <c r="E186" s="442" t="s">
        <v>3</v>
      </c>
      <c r="F186" s="443" t="s">
        <v>83</v>
      </c>
      <c r="G186" s="443" t="s">
        <v>700</v>
      </c>
      <c r="H186" s="444">
        <v>742400</v>
      </c>
      <c r="I186" s="444">
        <v>742400</v>
      </c>
      <c r="J186" s="444">
        <v>0</v>
      </c>
      <c r="K186" s="444">
        <v>0</v>
      </c>
      <c r="L186" s="444">
        <v>742400</v>
      </c>
      <c r="M186" s="444">
        <v>0</v>
      </c>
      <c r="N186" s="444">
        <v>0</v>
      </c>
      <c r="O186" s="444">
        <v>0</v>
      </c>
      <c r="P186" s="444">
        <v>0</v>
      </c>
      <c r="Q186" s="444">
        <v>0</v>
      </c>
      <c r="R186" s="444">
        <v>0</v>
      </c>
      <c r="S186" s="444">
        <v>0</v>
      </c>
      <c r="T186" s="444">
        <v>0</v>
      </c>
      <c r="U186" s="444">
        <v>0</v>
      </c>
      <c r="V186" s="444">
        <v>0</v>
      </c>
      <c r="W186" s="444">
        <v>0</v>
      </c>
      <c r="X186" s="442" t="s">
        <v>674</v>
      </c>
      <c r="Y186" s="442" t="s">
        <v>675</v>
      </c>
      <c r="Z186" s="442" t="s">
        <v>675</v>
      </c>
      <c r="AA186" s="442" t="s">
        <v>675</v>
      </c>
      <c r="AB186" s="442" t="s">
        <v>675</v>
      </c>
      <c r="AC186" s="442"/>
      <c r="AD186" s="442"/>
      <c r="AE186" s="442"/>
      <c r="AF186" s="442"/>
      <c r="AG186" s="443" t="s">
        <v>705</v>
      </c>
      <c r="AH186" s="442"/>
      <c r="AI186" s="443" t="s">
        <v>705</v>
      </c>
      <c r="AJ186" s="443" t="s">
        <v>677</v>
      </c>
      <c r="AK186" s="442" t="s">
        <v>677</v>
      </c>
      <c r="AL186" s="442"/>
      <c r="AM186" s="442"/>
      <c r="AN186" s="442"/>
      <c r="AO186" s="442"/>
      <c r="AP186" s="442"/>
      <c r="AQ186" s="442"/>
      <c r="AR186" s="444"/>
      <c r="AS186" s="442"/>
      <c r="AT186" s="444"/>
      <c r="AU186" s="442" t="s">
        <v>678</v>
      </c>
      <c r="AV186" s="442" t="s">
        <v>677</v>
      </c>
      <c r="AW186" s="442" t="s">
        <v>676</v>
      </c>
      <c r="AX186" s="442" t="s">
        <v>674</v>
      </c>
      <c r="AY186" s="442"/>
      <c r="AZ186" s="442"/>
      <c r="BA186" s="442" t="s">
        <v>679</v>
      </c>
      <c r="BB186" s="442"/>
      <c r="BC186" s="442"/>
      <c r="BD186" s="442"/>
      <c r="BE186" s="444"/>
      <c r="BF186" s="442" t="s">
        <v>298</v>
      </c>
      <c r="BG186" s="442" t="s">
        <v>680</v>
      </c>
      <c r="BH186" s="442" t="s">
        <v>681</v>
      </c>
      <c r="BI186" s="442"/>
    </row>
    <row r="187" spans="1:61">
      <c r="A187" s="442" t="s">
        <v>703</v>
      </c>
      <c r="B187" s="442" t="s">
        <v>703</v>
      </c>
      <c r="C187" s="442" t="s">
        <v>704</v>
      </c>
      <c r="D187" s="442" t="s">
        <v>673</v>
      </c>
      <c r="E187" s="442" t="s">
        <v>3</v>
      </c>
      <c r="F187" s="443" t="s">
        <v>83</v>
      </c>
      <c r="G187" s="443" t="s">
        <v>700</v>
      </c>
      <c r="H187" s="444">
        <v>742400</v>
      </c>
      <c r="I187" s="444">
        <v>742400</v>
      </c>
      <c r="J187" s="444">
        <v>0</v>
      </c>
      <c r="K187" s="444">
        <v>0</v>
      </c>
      <c r="L187" s="444">
        <v>742400</v>
      </c>
      <c r="M187" s="444">
        <v>0</v>
      </c>
      <c r="N187" s="444">
        <v>0</v>
      </c>
      <c r="O187" s="444">
        <v>0</v>
      </c>
      <c r="P187" s="444">
        <v>0</v>
      </c>
      <c r="Q187" s="444">
        <v>0</v>
      </c>
      <c r="R187" s="444">
        <v>0</v>
      </c>
      <c r="S187" s="444">
        <v>0</v>
      </c>
      <c r="T187" s="444">
        <v>0</v>
      </c>
      <c r="U187" s="444">
        <v>0</v>
      </c>
      <c r="V187" s="444">
        <v>0</v>
      </c>
      <c r="W187" s="444">
        <v>0</v>
      </c>
      <c r="X187" s="442" t="s">
        <v>674</v>
      </c>
      <c r="Y187" s="442" t="s">
        <v>675</v>
      </c>
      <c r="Z187" s="442" t="s">
        <v>675</v>
      </c>
      <c r="AA187" s="442" t="s">
        <v>675</v>
      </c>
      <c r="AB187" s="442" t="s">
        <v>675</v>
      </c>
      <c r="AC187" s="442"/>
      <c r="AD187" s="442"/>
      <c r="AE187" s="442"/>
      <c r="AF187" s="442"/>
      <c r="AG187" s="443" t="s">
        <v>705</v>
      </c>
      <c r="AH187" s="442"/>
      <c r="AI187" s="443" t="s">
        <v>705</v>
      </c>
      <c r="AJ187" s="443" t="s">
        <v>677</v>
      </c>
      <c r="AK187" s="442" t="s">
        <v>677</v>
      </c>
      <c r="AL187" s="442"/>
      <c r="AM187" s="442"/>
      <c r="AN187" s="442"/>
      <c r="AO187" s="442"/>
      <c r="AP187" s="442"/>
      <c r="AQ187" s="442"/>
      <c r="AR187" s="444"/>
      <c r="AS187" s="442"/>
      <c r="AT187" s="444"/>
      <c r="AU187" s="442" t="s">
        <v>678</v>
      </c>
      <c r="AV187" s="442" t="s">
        <v>677</v>
      </c>
      <c r="AW187" s="442" t="s">
        <v>676</v>
      </c>
      <c r="AX187" s="442" t="s">
        <v>674</v>
      </c>
      <c r="AY187" s="442"/>
      <c r="AZ187" s="442"/>
      <c r="BA187" s="442" t="s">
        <v>679</v>
      </c>
      <c r="BB187" s="442"/>
      <c r="BC187" s="442"/>
      <c r="BD187" s="442"/>
      <c r="BE187" s="444"/>
      <c r="BF187" s="442" t="s">
        <v>298</v>
      </c>
      <c r="BG187" s="442" t="s">
        <v>680</v>
      </c>
      <c r="BH187" s="442" t="s">
        <v>681</v>
      </c>
      <c r="BI187" s="442"/>
    </row>
    <row r="188" spans="1:61">
      <c r="A188" s="442" t="s">
        <v>703</v>
      </c>
      <c r="B188" s="442" t="s">
        <v>703</v>
      </c>
      <c r="C188" s="442" t="s">
        <v>704</v>
      </c>
      <c r="D188" s="442" t="s">
        <v>673</v>
      </c>
      <c r="E188" s="442" t="s">
        <v>3</v>
      </c>
      <c r="F188" s="443" t="s">
        <v>83</v>
      </c>
      <c r="G188" s="443" t="s">
        <v>700</v>
      </c>
      <c r="H188" s="444">
        <v>742400</v>
      </c>
      <c r="I188" s="444">
        <v>742400</v>
      </c>
      <c r="J188" s="444">
        <v>0</v>
      </c>
      <c r="K188" s="444">
        <v>0</v>
      </c>
      <c r="L188" s="444">
        <v>742400</v>
      </c>
      <c r="M188" s="444">
        <v>0</v>
      </c>
      <c r="N188" s="444">
        <v>0</v>
      </c>
      <c r="O188" s="444">
        <v>0</v>
      </c>
      <c r="P188" s="444">
        <v>0</v>
      </c>
      <c r="Q188" s="444">
        <v>0</v>
      </c>
      <c r="R188" s="444">
        <v>0</v>
      </c>
      <c r="S188" s="444">
        <v>0</v>
      </c>
      <c r="T188" s="444">
        <v>0</v>
      </c>
      <c r="U188" s="444">
        <v>0</v>
      </c>
      <c r="V188" s="444">
        <v>0</v>
      </c>
      <c r="W188" s="444">
        <v>0</v>
      </c>
      <c r="X188" s="442" t="s">
        <v>674</v>
      </c>
      <c r="Y188" s="442" t="s">
        <v>675</v>
      </c>
      <c r="Z188" s="442" t="s">
        <v>675</v>
      </c>
      <c r="AA188" s="442" t="s">
        <v>675</v>
      </c>
      <c r="AB188" s="442" t="s">
        <v>675</v>
      </c>
      <c r="AC188" s="442"/>
      <c r="AD188" s="442"/>
      <c r="AE188" s="442"/>
      <c r="AF188" s="442"/>
      <c r="AG188" s="443" t="s">
        <v>705</v>
      </c>
      <c r="AH188" s="442"/>
      <c r="AI188" s="443" t="s">
        <v>705</v>
      </c>
      <c r="AJ188" s="443" t="s">
        <v>677</v>
      </c>
      <c r="AK188" s="442" t="s">
        <v>677</v>
      </c>
      <c r="AL188" s="442"/>
      <c r="AM188" s="442"/>
      <c r="AN188" s="442"/>
      <c r="AO188" s="442"/>
      <c r="AP188" s="442"/>
      <c r="AQ188" s="442"/>
      <c r="AR188" s="444"/>
      <c r="AS188" s="442"/>
      <c r="AT188" s="444"/>
      <c r="AU188" s="442" t="s">
        <v>678</v>
      </c>
      <c r="AV188" s="442" t="s">
        <v>677</v>
      </c>
      <c r="AW188" s="442" t="s">
        <v>676</v>
      </c>
      <c r="AX188" s="442" t="s">
        <v>674</v>
      </c>
      <c r="AY188" s="442"/>
      <c r="AZ188" s="442"/>
      <c r="BA188" s="442" t="s">
        <v>679</v>
      </c>
      <c r="BB188" s="442"/>
      <c r="BC188" s="442"/>
      <c r="BD188" s="442"/>
      <c r="BE188" s="444"/>
      <c r="BF188" s="442" t="s">
        <v>298</v>
      </c>
      <c r="BG188" s="442" t="s">
        <v>680</v>
      </c>
      <c r="BH188" s="442" t="s">
        <v>681</v>
      </c>
      <c r="BI188" s="442"/>
    </row>
    <row r="189" spans="1:61">
      <c r="A189" s="442" t="s">
        <v>703</v>
      </c>
      <c r="B189" s="442" t="s">
        <v>703</v>
      </c>
      <c r="C189" s="442" t="s">
        <v>704</v>
      </c>
      <c r="D189" s="442" t="s">
        <v>673</v>
      </c>
      <c r="E189" s="442" t="s">
        <v>3</v>
      </c>
      <c r="F189" s="443" t="s">
        <v>83</v>
      </c>
      <c r="G189" s="443" t="s">
        <v>700</v>
      </c>
      <c r="H189" s="444">
        <v>742400</v>
      </c>
      <c r="I189" s="444">
        <v>742400</v>
      </c>
      <c r="J189" s="444">
        <v>0</v>
      </c>
      <c r="K189" s="444">
        <v>0</v>
      </c>
      <c r="L189" s="444">
        <v>742400</v>
      </c>
      <c r="M189" s="444">
        <v>0</v>
      </c>
      <c r="N189" s="444">
        <v>0</v>
      </c>
      <c r="O189" s="444">
        <v>0</v>
      </c>
      <c r="P189" s="444">
        <v>0</v>
      </c>
      <c r="Q189" s="444">
        <v>0</v>
      </c>
      <c r="R189" s="444">
        <v>0</v>
      </c>
      <c r="S189" s="444">
        <v>0</v>
      </c>
      <c r="T189" s="444">
        <v>0</v>
      </c>
      <c r="U189" s="444">
        <v>0</v>
      </c>
      <c r="V189" s="444">
        <v>0</v>
      </c>
      <c r="W189" s="444">
        <v>0</v>
      </c>
      <c r="X189" s="442" t="s">
        <v>674</v>
      </c>
      <c r="Y189" s="442" t="s">
        <v>675</v>
      </c>
      <c r="Z189" s="442" t="s">
        <v>675</v>
      </c>
      <c r="AA189" s="442" t="s">
        <v>675</v>
      </c>
      <c r="AB189" s="442" t="s">
        <v>675</v>
      </c>
      <c r="AC189" s="442"/>
      <c r="AD189" s="442"/>
      <c r="AE189" s="442"/>
      <c r="AF189" s="442"/>
      <c r="AG189" s="443" t="s">
        <v>705</v>
      </c>
      <c r="AH189" s="442"/>
      <c r="AI189" s="443" t="s">
        <v>705</v>
      </c>
      <c r="AJ189" s="443" t="s">
        <v>677</v>
      </c>
      <c r="AK189" s="442" t="s">
        <v>677</v>
      </c>
      <c r="AL189" s="442"/>
      <c r="AM189" s="442"/>
      <c r="AN189" s="442"/>
      <c r="AO189" s="442"/>
      <c r="AP189" s="442"/>
      <c r="AQ189" s="442"/>
      <c r="AR189" s="444"/>
      <c r="AS189" s="442"/>
      <c r="AT189" s="444"/>
      <c r="AU189" s="442" t="s">
        <v>678</v>
      </c>
      <c r="AV189" s="442" t="s">
        <v>677</v>
      </c>
      <c r="AW189" s="442" t="s">
        <v>676</v>
      </c>
      <c r="AX189" s="442" t="s">
        <v>674</v>
      </c>
      <c r="AY189" s="442"/>
      <c r="AZ189" s="442"/>
      <c r="BA189" s="442" t="s">
        <v>679</v>
      </c>
      <c r="BB189" s="442"/>
      <c r="BC189" s="442"/>
      <c r="BD189" s="442"/>
      <c r="BE189" s="444"/>
      <c r="BF189" s="442" t="s">
        <v>298</v>
      </c>
      <c r="BG189" s="442" t="s">
        <v>680</v>
      </c>
      <c r="BH189" s="442" t="s">
        <v>681</v>
      </c>
      <c r="BI189" s="442"/>
    </row>
    <row r="190" spans="1:61">
      <c r="A190" s="442" t="s">
        <v>706</v>
      </c>
      <c r="B190" s="442" t="s">
        <v>706</v>
      </c>
      <c r="C190" s="442" t="s">
        <v>706</v>
      </c>
      <c r="D190" s="442" t="s">
        <v>673</v>
      </c>
      <c r="E190" s="442" t="s">
        <v>3</v>
      </c>
      <c r="F190" s="443" t="s">
        <v>83</v>
      </c>
      <c r="G190" s="443" t="s">
        <v>691</v>
      </c>
      <c r="H190" s="444">
        <v>912000</v>
      </c>
      <c r="I190" s="444">
        <v>912000</v>
      </c>
      <c r="J190" s="444">
        <v>0</v>
      </c>
      <c r="K190" s="444">
        <v>0</v>
      </c>
      <c r="L190" s="444">
        <v>912000</v>
      </c>
      <c r="M190" s="444">
        <v>0</v>
      </c>
      <c r="N190" s="444">
        <v>0</v>
      </c>
      <c r="O190" s="444">
        <v>0</v>
      </c>
      <c r="P190" s="444">
        <v>0</v>
      </c>
      <c r="Q190" s="444">
        <v>0</v>
      </c>
      <c r="R190" s="444">
        <v>0</v>
      </c>
      <c r="S190" s="444">
        <v>0</v>
      </c>
      <c r="T190" s="444">
        <v>0</v>
      </c>
      <c r="U190" s="444">
        <v>0</v>
      </c>
      <c r="V190" s="444">
        <v>0</v>
      </c>
      <c r="W190" s="444">
        <v>0</v>
      </c>
      <c r="X190" s="442" t="s">
        <v>674</v>
      </c>
      <c r="Y190" s="442" t="s">
        <v>675</v>
      </c>
      <c r="Z190" s="442" t="s">
        <v>675</v>
      </c>
      <c r="AA190" s="442" t="s">
        <v>675</v>
      </c>
      <c r="AB190" s="442" t="s">
        <v>675</v>
      </c>
      <c r="AC190" s="442"/>
      <c r="AD190" s="442"/>
      <c r="AE190" s="442" t="s">
        <v>694</v>
      </c>
      <c r="AF190" s="442"/>
      <c r="AG190" s="443" t="s">
        <v>707</v>
      </c>
      <c r="AH190" s="442"/>
      <c r="AI190" s="443" t="s">
        <v>707</v>
      </c>
      <c r="AJ190" s="443" t="s">
        <v>677</v>
      </c>
      <c r="AK190" s="442" t="s">
        <v>677</v>
      </c>
      <c r="AL190" s="442"/>
      <c r="AM190" s="442"/>
      <c r="AN190" s="442"/>
      <c r="AO190" s="442"/>
      <c r="AP190" s="442"/>
      <c r="AQ190" s="442"/>
      <c r="AR190" s="444"/>
      <c r="AS190" s="442"/>
      <c r="AT190" s="444"/>
      <c r="AU190" s="442" t="s">
        <v>678</v>
      </c>
      <c r="AV190" s="442" t="s">
        <v>677</v>
      </c>
      <c r="AW190" s="442" t="s">
        <v>676</v>
      </c>
      <c r="AX190" s="442" t="s">
        <v>674</v>
      </c>
      <c r="AY190" s="442"/>
      <c r="AZ190" s="442"/>
      <c r="BA190" s="442" t="s">
        <v>679</v>
      </c>
      <c r="BB190" s="442"/>
      <c r="BC190" s="442"/>
      <c r="BD190" s="442"/>
      <c r="BE190" s="444"/>
      <c r="BF190" s="442" t="s">
        <v>298</v>
      </c>
      <c r="BG190" s="442" t="s">
        <v>680</v>
      </c>
      <c r="BH190" s="442" t="s">
        <v>681</v>
      </c>
      <c r="BI190" s="442"/>
    </row>
    <row r="191" spans="1:61">
      <c r="A191" s="442" t="s">
        <v>706</v>
      </c>
      <c r="B191" s="442" t="s">
        <v>706</v>
      </c>
      <c r="C191" s="442" t="s">
        <v>706</v>
      </c>
      <c r="D191" s="442" t="s">
        <v>673</v>
      </c>
      <c r="E191" s="442" t="s">
        <v>3</v>
      </c>
      <c r="F191" s="443" t="s">
        <v>83</v>
      </c>
      <c r="G191" s="443" t="s">
        <v>691</v>
      </c>
      <c r="H191" s="444">
        <v>594000</v>
      </c>
      <c r="I191" s="444">
        <v>594000</v>
      </c>
      <c r="J191" s="444">
        <v>0</v>
      </c>
      <c r="K191" s="444">
        <v>0</v>
      </c>
      <c r="L191" s="444">
        <v>594000</v>
      </c>
      <c r="M191" s="444">
        <v>0</v>
      </c>
      <c r="N191" s="444">
        <v>0</v>
      </c>
      <c r="O191" s="444">
        <v>0</v>
      </c>
      <c r="P191" s="444">
        <v>0</v>
      </c>
      <c r="Q191" s="444">
        <v>0</v>
      </c>
      <c r="R191" s="444">
        <v>0</v>
      </c>
      <c r="S191" s="444">
        <v>0</v>
      </c>
      <c r="T191" s="444">
        <v>0</v>
      </c>
      <c r="U191" s="444">
        <v>0</v>
      </c>
      <c r="V191" s="444">
        <v>0</v>
      </c>
      <c r="W191" s="444">
        <v>0</v>
      </c>
      <c r="X191" s="442" t="s">
        <v>674</v>
      </c>
      <c r="Y191" s="442" t="s">
        <v>675</v>
      </c>
      <c r="Z191" s="442" t="s">
        <v>675</v>
      </c>
      <c r="AA191" s="442" t="s">
        <v>675</v>
      </c>
      <c r="AB191" s="442" t="s">
        <v>675</v>
      </c>
      <c r="AC191" s="442"/>
      <c r="AD191" s="442"/>
      <c r="AE191" s="442" t="s">
        <v>676</v>
      </c>
      <c r="AF191" s="442"/>
      <c r="AG191" s="443" t="s">
        <v>708</v>
      </c>
      <c r="AH191" s="442"/>
      <c r="AI191" s="443" t="s">
        <v>708</v>
      </c>
      <c r="AJ191" s="443" t="s">
        <v>677</v>
      </c>
      <c r="AK191" s="442" t="s">
        <v>677</v>
      </c>
      <c r="AL191" s="442"/>
      <c r="AM191" s="442"/>
      <c r="AN191" s="442"/>
      <c r="AO191" s="442"/>
      <c r="AP191" s="442"/>
      <c r="AQ191" s="442"/>
      <c r="AR191" s="444"/>
      <c r="AS191" s="442"/>
      <c r="AT191" s="444"/>
      <c r="AU191" s="442" t="s">
        <v>678</v>
      </c>
      <c r="AV191" s="442" t="s">
        <v>677</v>
      </c>
      <c r="AW191" s="442" t="s">
        <v>676</v>
      </c>
      <c r="AX191" s="442" t="s">
        <v>674</v>
      </c>
      <c r="AY191" s="442"/>
      <c r="AZ191" s="442"/>
      <c r="BA191" s="442" t="s">
        <v>679</v>
      </c>
      <c r="BB191" s="442"/>
      <c r="BC191" s="442"/>
      <c r="BD191" s="442"/>
      <c r="BE191" s="444"/>
      <c r="BF191" s="442" t="s">
        <v>298</v>
      </c>
      <c r="BG191" s="442" t="s">
        <v>680</v>
      </c>
      <c r="BH191" s="442" t="s">
        <v>681</v>
      </c>
      <c r="BI191" s="442"/>
    </row>
    <row r="192" spans="1:61">
      <c r="A192" s="442" t="s">
        <v>706</v>
      </c>
      <c r="B192" s="442" t="s">
        <v>706</v>
      </c>
      <c r="C192" s="442" t="s">
        <v>706</v>
      </c>
      <c r="D192" s="442" t="s">
        <v>673</v>
      </c>
      <c r="E192" s="442" t="s">
        <v>3</v>
      </c>
      <c r="F192" s="443" t="s">
        <v>83</v>
      </c>
      <c r="G192" s="443" t="s">
        <v>691</v>
      </c>
      <c r="H192" s="444">
        <v>88000</v>
      </c>
      <c r="I192" s="444">
        <v>88000</v>
      </c>
      <c r="J192" s="444">
        <v>0</v>
      </c>
      <c r="K192" s="444">
        <v>0</v>
      </c>
      <c r="L192" s="444">
        <v>88000</v>
      </c>
      <c r="M192" s="444">
        <v>0</v>
      </c>
      <c r="N192" s="444">
        <v>0</v>
      </c>
      <c r="O192" s="444">
        <v>0</v>
      </c>
      <c r="P192" s="444">
        <v>0</v>
      </c>
      <c r="Q192" s="444">
        <v>0</v>
      </c>
      <c r="R192" s="444">
        <v>0</v>
      </c>
      <c r="S192" s="444">
        <v>0</v>
      </c>
      <c r="T192" s="444">
        <v>0</v>
      </c>
      <c r="U192" s="444">
        <v>0</v>
      </c>
      <c r="V192" s="444">
        <v>0</v>
      </c>
      <c r="W192" s="444">
        <v>0</v>
      </c>
      <c r="X192" s="442" t="s">
        <v>674</v>
      </c>
      <c r="Y192" s="442" t="s">
        <v>675</v>
      </c>
      <c r="Z192" s="442" t="s">
        <v>675</v>
      </c>
      <c r="AA192" s="442" t="s">
        <v>675</v>
      </c>
      <c r="AB192" s="442" t="s">
        <v>675</v>
      </c>
      <c r="AC192" s="442"/>
      <c r="AD192" s="442"/>
      <c r="AE192" s="442" t="s">
        <v>676</v>
      </c>
      <c r="AF192" s="442"/>
      <c r="AG192" s="443" t="s">
        <v>709</v>
      </c>
      <c r="AH192" s="442"/>
      <c r="AI192" s="443" t="s">
        <v>709</v>
      </c>
      <c r="AJ192" s="443" t="s">
        <v>677</v>
      </c>
      <c r="AK192" s="442" t="s">
        <v>677</v>
      </c>
      <c r="AL192" s="442"/>
      <c r="AM192" s="442"/>
      <c r="AN192" s="442"/>
      <c r="AO192" s="442"/>
      <c r="AP192" s="442"/>
      <c r="AQ192" s="442"/>
      <c r="AR192" s="444"/>
      <c r="AS192" s="442"/>
      <c r="AT192" s="444"/>
      <c r="AU192" s="442" t="s">
        <v>678</v>
      </c>
      <c r="AV192" s="442" t="s">
        <v>677</v>
      </c>
      <c r="AW192" s="442" t="s">
        <v>676</v>
      </c>
      <c r="AX192" s="442" t="s">
        <v>674</v>
      </c>
      <c r="AY192" s="442"/>
      <c r="AZ192" s="442"/>
      <c r="BA192" s="442" t="s">
        <v>679</v>
      </c>
      <c r="BB192" s="442"/>
      <c r="BC192" s="442"/>
      <c r="BD192" s="442"/>
      <c r="BE192" s="444"/>
      <c r="BF192" s="442" t="s">
        <v>298</v>
      </c>
      <c r="BG192" s="442" t="s">
        <v>680</v>
      </c>
      <c r="BH192" s="442" t="s">
        <v>681</v>
      </c>
      <c r="BI192" s="442"/>
    </row>
    <row r="193" spans="1:61">
      <c r="A193" s="442" t="s">
        <v>706</v>
      </c>
      <c r="B193" s="442" t="s">
        <v>706</v>
      </c>
      <c r="C193" s="442" t="s">
        <v>706</v>
      </c>
      <c r="D193" s="442" t="s">
        <v>673</v>
      </c>
      <c r="E193" s="442" t="s">
        <v>3</v>
      </c>
      <c r="F193" s="443" t="s">
        <v>83</v>
      </c>
      <c r="G193" s="443" t="s">
        <v>691</v>
      </c>
      <c r="H193" s="444">
        <v>6156000</v>
      </c>
      <c r="I193" s="444">
        <v>6156000</v>
      </c>
      <c r="J193" s="444">
        <v>0</v>
      </c>
      <c r="K193" s="444">
        <v>0</v>
      </c>
      <c r="L193" s="444">
        <v>6156000</v>
      </c>
      <c r="M193" s="444">
        <v>0</v>
      </c>
      <c r="N193" s="444">
        <v>0</v>
      </c>
      <c r="O193" s="444">
        <v>0</v>
      </c>
      <c r="P193" s="444">
        <v>0</v>
      </c>
      <c r="Q193" s="444">
        <v>0</v>
      </c>
      <c r="R193" s="444">
        <v>0</v>
      </c>
      <c r="S193" s="444">
        <v>0</v>
      </c>
      <c r="T193" s="444">
        <v>0</v>
      </c>
      <c r="U193" s="444">
        <v>0</v>
      </c>
      <c r="V193" s="444">
        <v>0</v>
      </c>
      <c r="W193" s="444">
        <v>0</v>
      </c>
      <c r="X193" s="442" t="s">
        <v>674</v>
      </c>
      <c r="Y193" s="442" t="s">
        <v>675</v>
      </c>
      <c r="Z193" s="442" t="s">
        <v>675</v>
      </c>
      <c r="AA193" s="442" t="s">
        <v>675</v>
      </c>
      <c r="AB193" s="442" t="s">
        <v>675</v>
      </c>
      <c r="AC193" s="442"/>
      <c r="AD193" s="442"/>
      <c r="AE193" s="442" t="s">
        <v>676</v>
      </c>
      <c r="AF193" s="442"/>
      <c r="AG193" s="443" t="s">
        <v>710</v>
      </c>
      <c r="AH193" s="442"/>
      <c r="AI193" s="443" t="s">
        <v>710</v>
      </c>
      <c r="AJ193" s="443" t="s">
        <v>677</v>
      </c>
      <c r="AK193" s="442" t="s">
        <v>677</v>
      </c>
      <c r="AL193" s="442"/>
      <c r="AM193" s="442"/>
      <c r="AN193" s="442"/>
      <c r="AO193" s="442"/>
      <c r="AP193" s="442"/>
      <c r="AQ193" s="442"/>
      <c r="AR193" s="444"/>
      <c r="AS193" s="442"/>
      <c r="AT193" s="444"/>
      <c r="AU193" s="442" t="s">
        <v>678</v>
      </c>
      <c r="AV193" s="442" t="s">
        <v>677</v>
      </c>
      <c r="AW193" s="442" t="s">
        <v>676</v>
      </c>
      <c r="AX193" s="442" t="s">
        <v>674</v>
      </c>
      <c r="AY193" s="442"/>
      <c r="AZ193" s="442"/>
      <c r="BA193" s="442" t="s">
        <v>679</v>
      </c>
      <c r="BB193" s="442"/>
      <c r="BC193" s="442"/>
      <c r="BD193" s="442"/>
      <c r="BE193" s="444"/>
      <c r="BF193" s="442" t="s">
        <v>298</v>
      </c>
      <c r="BG193" s="442" t="s">
        <v>680</v>
      </c>
      <c r="BH193" s="442" t="s">
        <v>681</v>
      </c>
      <c r="BI193" s="442"/>
    </row>
    <row r="194" spans="1:61">
      <c r="A194" s="442" t="s">
        <v>1126</v>
      </c>
      <c r="B194" s="442" t="s">
        <v>1107</v>
      </c>
      <c r="C194" s="442" t="s">
        <v>1117</v>
      </c>
      <c r="D194" s="442" t="s">
        <v>724</v>
      </c>
      <c r="E194" s="442" t="s">
        <v>3</v>
      </c>
      <c r="F194" s="443" t="s">
        <v>83</v>
      </c>
      <c r="G194" s="443" t="s">
        <v>829</v>
      </c>
      <c r="H194" s="444">
        <v>59000</v>
      </c>
      <c r="I194" s="444">
        <v>59000</v>
      </c>
      <c r="J194" s="444">
        <v>0</v>
      </c>
      <c r="K194" s="444">
        <v>0</v>
      </c>
      <c r="L194" s="444">
        <v>53637</v>
      </c>
      <c r="M194" s="444">
        <v>0</v>
      </c>
      <c r="N194" s="444">
        <v>0</v>
      </c>
      <c r="O194" s="444">
        <v>5363</v>
      </c>
      <c r="P194" s="444">
        <v>0</v>
      </c>
      <c r="Q194" s="444">
        <v>0</v>
      </c>
      <c r="R194" s="444">
        <v>0</v>
      </c>
      <c r="S194" s="444">
        <v>0</v>
      </c>
      <c r="T194" s="444">
        <v>0</v>
      </c>
      <c r="U194" s="444">
        <v>0</v>
      </c>
      <c r="V194" s="444">
        <v>0</v>
      </c>
      <c r="W194" s="444">
        <v>0</v>
      </c>
      <c r="X194" s="442" t="s">
        <v>674</v>
      </c>
      <c r="Y194" s="442" t="s">
        <v>675</v>
      </c>
      <c r="Z194" s="442" t="s">
        <v>675</v>
      </c>
      <c r="AA194" s="442" t="s">
        <v>675</v>
      </c>
      <c r="AB194" s="442" t="s">
        <v>675</v>
      </c>
      <c r="AC194" s="442"/>
      <c r="AD194" s="442"/>
      <c r="AE194" s="442"/>
      <c r="AF194" s="442"/>
      <c r="AG194" s="443" t="s">
        <v>1127</v>
      </c>
      <c r="AH194" s="442"/>
      <c r="AI194" s="443" t="s">
        <v>1127</v>
      </c>
      <c r="AJ194" s="443" t="s">
        <v>833</v>
      </c>
      <c r="AK194" s="442" t="s">
        <v>677</v>
      </c>
      <c r="AL194" s="442"/>
      <c r="AM194" s="442" t="s">
        <v>726</v>
      </c>
      <c r="AN194" s="442" t="s">
        <v>1128</v>
      </c>
      <c r="AO194" s="442" t="s">
        <v>1126</v>
      </c>
      <c r="AP194" s="442" t="s">
        <v>706</v>
      </c>
      <c r="AQ194" s="442" t="s">
        <v>729</v>
      </c>
      <c r="AR194" s="444">
        <v>59000</v>
      </c>
      <c r="AS194" s="442" t="s">
        <v>675</v>
      </c>
      <c r="AT194" s="444">
        <v>0</v>
      </c>
      <c r="AU194" s="442" t="s">
        <v>678</v>
      </c>
      <c r="AV194" s="442" t="s">
        <v>677</v>
      </c>
      <c r="AW194" s="442" t="s">
        <v>676</v>
      </c>
      <c r="AX194" s="442" t="s">
        <v>674</v>
      </c>
      <c r="AY194" s="442"/>
      <c r="AZ194" s="442"/>
      <c r="BA194" s="442" t="s">
        <v>679</v>
      </c>
      <c r="BB194" s="442"/>
      <c r="BC194" s="442"/>
      <c r="BD194" s="442"/>
      <c r="BE194" s="444"/>
      <c r="BF194" s="442" t="s">
        <v>298</v>
      </c>
      <c r="BG194" s="442" t="s">
        <v>680</v>
      </c>
      <c r="BH194" s="442" t="s">
        <v>681</v>
      </c>
      <c r="BI194" s="442"/>
    </row>
    <row r="195" spans="1:61">
      <c r="A195" s="442" t="s">
        <v>711</v>
      </c>
      <c r="B195" s="442" t="s">
        <v>711</v>
      </c>
      <c r="C195" s="442" t="s">
        <v>711</v>
      </c>
      <c r="D195" s="442" t="s">
        <v>673</v>
      </c>
      <c r="E195" s="442" t="s">
        <v>3</v>
      </c>
      <c r="F195" s="443" t="s">
        <v>238</v>
      </c>
      <c r="G195" s="443" t="s">
        <v>712</v>
      </c>
      <c r="H195" s="444">
        <v>67900000</v>
      </c>
      <c r="I195" s="444">
        <v>67900000</v>
      </c>
      <c r="J195" s="444">
        <v>0</v>
      </c>
      <c r="K195" s="444">
        <v>0</v>
      </c>
      <c r="L195" s="444">
        <v>84100000</v>
      </c>
      <c r="M195" s="444">
        <v>0</v>
      </c>
      <c r="N195" s="444">
        <v>0</v>
      </c>
      <c r="O195" s="444">
        <v>0</v>
      </c>
      <c r="P195" s="444">
        <v>0</v>
      </c>
      <c r="Q195" s="444">
        <v>0</v>
      </c>
      <c r="R195" s="444">
        <v>16200000</v>
      </c>
      <c r="S195" s="444">
        <v>0</v>
      </c>
      <c r="T195" s="444">
        <v>0</v>
      </c>
      <c r="U195" s="444">
        <v>0</v>
      </c>
      <c r="V195" s="444">
        <v>0</v>
      </c>
      <c r="W195" s="444">
        <v>0</v>
      </c>
      <c r="X195" s="442" t="s">
        <v>674</v>
      </c>
      <c r="Y195" s="442" t="s">
        <v>675</v>
      </c>
      <c r="Z195" s="442" t="s">
        <v>675</v>
      </c>
      <c r="AA195" s="442" t="s">
        <v>675</v>
      </c>
      <c r="AB195" s="442" t="s">
        <v>675</v>
      </c>
      <c r="AC195" s="442"/>
      <c r="AD195" s="442"/>
      <c r="AE195" s="442"/>
      <c r="AF195" s="442"/>
      <c r="AG195" s="443" t="s">
        <v>713</v>
      </c>
      <c r="AH195" s="442"/>
      <c r="AI195" s="443" t="s">
        <v>713</v>
      </c>
      <c r="AJ195" s="443" t="s">
        <v>677</v>
      </c>
      <c r="AK195" s="442" t="s">
        <v>677</v>
      </c>
      <c r="AL195" s="442"/>
      <c r="AM195" s="442"/>
      <c r="AN195" s="442"/>
      <c r="AO195" s="442"/>
      <c r="AP195" s="442"/>
      <c r="AQ195" s="442"/>
      <c r="AR195" s="444"/>
      <c r="AS195" s="442"/>
      <c r="AT195" s="444"/>
      <c r="AU195" s="442" t="s">
        <v>678</v>
      </c>
      <c r="AV195" s="442" t="s">
        <v>677</v>
      </c>
      <c r="AW195" s="442" t="s">
        <v>676</v>
      </c>
      <c r="AX195" s="442" t="s">
        <v>784</v>
      </c>
      <c r="AY195" s="442" t="s">
        <v>785</v>
      </c>
      <c r="AZ195" s="442" t="s">
        <v>1129</v>
      </c>
      <c r="BA195" s="442" t="s">
        <v>679</v>
      </c>
      <c r="BB195" s="442"/>
      <c r="BC195" s="442"/>
      <c r="BD195" s="442"/>
      <c r="BE195" s="444"/>
      <c r="BF195" s="442" t="s">
        <v>298</v>
      </c>
      <c r="BG195" s="442" t="s">
        <v>680</v>
      </c>
      <c r="BH195" s="442" t="s">
        <v>681</v>
      </c>
      <c r="BI195" s="442"/>
    </row>
    <row r="196" spans="1:61">
      <c r="A196" s="442" t="s">
        <v>714</v>
      </c>
      <c r="B196" s="442" t="s">
        <v>715</v>
      </c>
      <c r="C196" s="442" t="s">
        <v>714</v>
      </c>
      <c r="D196" s="442" t="s">
        <v>716</v>
      </c>
      <c r="E196" s="442" t="s">
        <v>3</v>
      </c>
      <c r="F196" s="443" t="s">
        <v>83</v>
      </c>
      <c r="G196" s="443" t="s">
        <v>700</v>
      </c>
      <c r="H196" s="444">
        <v>20000000</v>
      </c>
      <c r="I196" s="444">
        <v>20000000</v>
      </c>
      <c r="J196" s="444">
        <v>0</v>
      </c>
      <c r="K196" s="444">
        <v>0</v>
      </c>
      <c r="L196" s="444">
        <v>18181818</v>
      </c>
      <c r="M196" s="444">
        <v>0</v>
      </c>
      <c r="N196" s="444">
        <v>0</v>
      </c>
      <c r="O196" s="444">
        <v>1818182</v>
      </c>
      <c r="P196" s="444">
        <v>0</v>
      </c>
      <c r="Q196" s="444">
        <v>0</v>
      </c>
      <c r="R196" s="444">
        <v>0</v>
      </c>
      <c r="S196" s="444">
        <v>0</v>
      </c>
      <c r="T196" s="444">
        <v>0</v>
      </c>
      <c r="U196" s="444">
        <v>0</v>
      </c>
      <c r="V196" s="444">
        <v>0</v>
      </c>
      <c r="W196" s="444">
        <v>0</v>
      </c>
      <c r="X196" s="442" t="s">
        <v>674</v>
      </c>
      <c r="Y196" s="442" t="s">
        <v>675</v>
      </c>
      <c r="Z196" s="442" t="s">
        <v>675</v>
      </c>
      <c r="AA196" s="442" t="s">
        <v>675</v>
      </c>
      <c r="AB196" s="442" t="s">
        <v>675</v>
      </c>
      <c r="AC196" s="442"/>
      <c r="AD196" s="442"/>
      <c r="AE196" s="442"/>
      <c r="AF196" s="442"/>
      <c r="AG196" s="443" t="s">
        <v>717</v>
      </c>
      <c r="AH196" s="442"/>
      <c r="AI196" s="443" t="s">
        <v>717</v>
      </c>
      <c r="AJ196" s="443" t="s">
        <v>718</v>
      </c>
      <c r="AK196" s="442" t="s">
        <v>677</v>
      </c>
      <c r="AL196" s="442"/>
      <c r="AM196" s="442"/>
      <c r="AN196" s="442"/>
      <c r="AO196" s="442"/>
      <c r="AP196" s="442"/>
      <c r="AQ196" s="442"/>
      <c r="AR196" s="444"/>
      <c r="AS196" s="442"/>
      <c r="AT196" s="444"/>
      <c r="AU196" s="442" t="s">
        <v>678</v>
      </c>
      <c r="AV196" s="442" t="s">
        <v>677</v>
      </c>
      <c r="AW196" s="442" t="s">
        <v>676</v>
      </c>
      <c r="AX196" s="442" t="s">
        <v>784</v>
      </c>
      <c r="AY196" s="442" t="s">
        <v>785</v>
      </c>
      <c r="AZ196" s="442" t="s">
        <v>1130</v>
      </c>
      <c r="BA196" s="442" t="s">
        <v>679</v>
      </c>
      <c r="BB196" s="442"/>
      <c r="BC196" s="442"/>
      <c r="BD196" s="442"/>
      <c r="BE196" s="444"/>
      <c r="BF196" s="442" t="s">
        <v>298</v>
      </c>
      <c r="BG196" s="442" t="s">
        <v>680</v>
      </c>
      <c r="BH196" s="442" t="s">
        <v>681</v>
      </c>
      <c r="BI196" s="442"/>
    </row>
    <row r="197" spans="1:61">
      <c r="A197" s="442" t="s">
        <v>671</v>
      </c>
      <c r="B197" s="442" t="s">
        <v>715</v>
      </c>
      <c r="C197" s="442" t="s">
        <v>714</v>
      </c>
      <c r="D197" s="442" t="s">
        <v>716</v>
      </c>
      <c r="E197" s="442" t="s">
        <v>3</v>
      </c>
      <c r="F197" s="443" t="s">
        <v>71</v>
      </c>
      <c r="G197" s="443" t="s">
        <v>719</v>
      </c>
      <c r="H197" s="444">
        <v>2332000</v>
      </c>
      <c r="I197" s="444">
        <v>2332000</v>
      </c>
      <c r="J197" s="444">
        <v>0</v>
      </c>
      <c r="K197" s="444">
        <v>0</v>
      </c>
      <c r="L197" s="444">
        <v>2120000</v>
      </c>
      <c r="M197" s="444">
        <v>0</v>
      </c>
      <c r="N197" s="444">
        <v>0</v>
      </c>
      <c r="O197" s="444">
        <v>212000</v>
      </c>
      <c r="P197" s="444">
        <v>0</v>
      </c>
      <c r="Q197" s="444">
        <v>0</v>
      </c>
      <c r="R197" s="444">
        <v>0</v>
      </c>
      <c r="S197" s="444">
        <v>0</v>
      </c>
      <c r="T197" s="444">
        <v>0</v>
      </c>
      <c r="U197" s="444">
        <v>0</v>
      </c>
      <c r="V197" s="444">
        <v>0</v>
      </c>
      <c r="W197" s="444">
        <v>0</v>
      </c>
      <c r="X197" s="442" t="s">
        <v>674</v>
      </c>
      <c r="Y197" s="442" t="s">
        <v>675</v>
      </c>
      <c r="Z197" s="442" t="s">
        <v>675</v>
      </c>
      <c r="AA197" s="442" t="s">
        <v>675</v>
      </c>
      <c r="AB197" s="442" t="s">
        <v>675</v>
      </c>
      <c r="AC197" s="442"/>
      <c r="AD197" s="442"/>
      <c r="AE197" s="442"/>
      <c r="AF197" s="442"/>
      <c r="AG197" s="443" t="s">
        <v>720</v>
      </c>
      <c r="AH197" s="442"/>
      <c r="AI197" s="443" t="s">
        <v>720</v>
      </c>
      <c r="AJ197" s="443" t="s">
        <v>721</v>
      </c>
      <c r="AK197" s="442" t="s">
        <v>677</v>
      </c>
      <c r="AL197" s="442"/>
      <c r="AM197" s="442"/>
      <c r="AN197" s="442"/>
      <c r="AO197" s="442"/>
      <c r="AP197" s="442"/>
      <c r="AQ197" s="442"/>
      <c r="AR197" s="444"/>
      <c r="AS197" s="442"/>
      <c r="AT197" s="444"/>
      <c r="AU197" s="442" t="s">
        <v>678</v>
      </c>
      <c r="AV197" s="442" t="s">
        <v>677</v>
      </c>
      <c r="AW197" s="442" t="s">
        <v>676</v>
      </c>
      <c r="AX197" s="442" t="s">
        <v>674</v>
      </c>
      <c r="AY197" s="442"/>
      <c r="AZ197" s="442"/>
      <c r="BA197" s="442" t="s">
        <v>679</v>
      </c>
      <c r="BB197" s="442"/>
      <c r="BC197" s="442"/>
      <c r="BD197" s="442"/>
      <c r="BE197" s="444"/>
      <c r="BF197" s="442" t="s">
        <v>298</v>
      </c>
      <c r="BG197" s="442" t="s">
        <v>680</v>
      </c>
      <c r="BH197" s="442" t="s">
        <v>681</v>
      </c>
      <c r="BI197" s="442"/>
    </row>
    <row r="198" spans="1:61">
      <c r="A198" s="442" t="s">
        <v>1131</v>
      </c>
      <c r="B198" s="442" t="s">
        <v>1105</v>
      </c>
      <c r="C198" s="442" t="s">
        <v>1105</v>
      </c>
      <c r="D198" s="442" t="s">
        <v>724</v>
      </c>
      <c r="E198" s="442" t="s">
        <v>3</v>
      </c>
      <c r="F198" s="443" t="s">
        <v>83</v>
      </c>
      <c r="G198" s="443" t="s">
        <v>700</v>
      </c>
      <c r="H198" s="444">
        <v>6468000</v>
      </c>
      <c r="I198" s="444">
        <v>6468000</v>
      </c>
      <c r="J198" s="444">
        <v>0</v>
      </c>
      <c r="K198" s="444">
        <v>0</v>
      </c>
      <c r="L198" s="444">
        <v>5880000</v>
      </c>
      <c r="M198" s="444">
        <v>0</v>
      </c>
      <c r="N198" s="444">
        <v>0</v>
      </c>
      <c r="O198" s="444">
        <v>588000</v>
      </c>
      <c r="P198" s="444">
        <v>0</v>
      </c>
      <c r="Q198" s="444">
        <v>0</v>
      </c>
      <c r="R198" s="444">
        <v>0</v>
      </c>
      <c r="S198" s="444">
        <v>0</v>
      </c>
      <c r="T198" s="444">
        <v>0</v>
      </c>
      <c r="U198" s="444">
        <v>0</v>
      </c>
      <c r="V198" s="444">
        <v>0</v>
      </c>
      <c r="W198" s="444">
        <v>0</v>
      </c>
      <c r="X198" s="442" t="s">
        <v>674</v>
      </c>
      <c r="Y198" s="442" t="s">
        <v>675</v>
      </c>
      <c r="Z198" s="442" t="s">
        <v>675</v>
      </c>
      <c r="AA198" s="442" t="s">
        <v>675</v>
      </c>
      <c r="AB198" s="442" t="s">
        <v>675</v>
      </c>
      <c r="AC198" s="442"/>
      <c r="AD198" s="442"/>
      <c r="AE198" s="442"/>
      <c r="AF198" s="442"/>
      <c r="AG198" s="443" t="s">
        <v>1106</v>
      </c>
      <c r="AH198" s="442"/>
      <c r="AI198" s="443" t="s">
        <v>1106</v>
      </c>
      <c r="AJ198" s="443" t="s">
        <v>1132</v>
      </c>
      <c r="AK198" s="442" t="s">
        <v>677</v>
      </c>
      <c r="AL198" s="442"/>
      <c r="AM198" s="442" t="s">
        <v>726</v>
      </c>
      <c r="AN198" s="442" t="s">
        <v>1133</v>
      </c>
      <c r="AO198" s="442" t="s">
        <v>1131</v>
      </c>
      <c r="AP198" s="442" t="s">
        <v>1134</v>
      </c>
      <c r="AQ198" s="442" t="s">
        <v>729</v>
      </c>
      <c r="AR198" s="444">
        <v>6468000</v>
      </c>
      <c r="AS198" s="442" t="s">
        <v>675</v>
      </c>
      <c r="AT198" s="444">
        <v>0</v>
      </c>
      <c r="AU198" s="442" t="s">
        <v>678</v>
      </c>
      <c r="AV198" s="442" t="s">
        <v>677</v>
      </c>
      <c r="AW198" s="442" t="s">
        <v>676</v>
      </c>
      <c r="AX198" s="442" t="s">
        <v>674</v>
      </c>
      <c r="AY198" s="442"/>
      <c r="AZ198" s="442"/>
      <c r="BA198" s="442" t="s">
        <v>679</v>
      </c>
      <c r="BB198" s="442"/>
      <c r="BC198" s="442"/>
      <c r="BD198" s="442"/>
      <c r="BE198" s="444"/>
      <c r="BF198" s="442" t="s">
        <v>298</v>
      </c>
      <c r="BG198" s="442" t="s">
        <v>680</v>
      </c>
      <c r="BH198" s="442" t="s">
        <v>681</v>
      </c>
      <c r="BI198" s="442"/>
    </row>
    <row r="199" spans="1:61">
      <c r="A199" s="442" t="s">
        <v>722</v>
      </c>
      <c r="B199" s="442" t="s">
        <v>682</v>
      </c>
      <c r="C199" s="442" t="s">
        <v>723</v>
      </c>
      <c r="D199" s="442" t="s">
        <v>724</v>
      </c>
      <c r="E199" s="442" t="s">
        <v>3</v>
      </c>
      <c r="F199" s="443" t="s">
        <v>83</v>
      </c>
      <c r="G199" s="443" t="s">
        <v>700</v>
      </c>
      <c r="H199" s="444">
        <v>37000</v>
      </c>
      <c r="I199" s="444">
        <v>37000</v>
      </c>
      <c r="J199" s="444">
        <v>0</v>
      </c>
      <c r="K199" s="444">
        <v>0</v>
      </c>
      <c r="L199" s="444">
        <v>33637</v>
      </c>
      <c r="M199" s="444">
        <v>0</v>
      </c>
      <c r="N199" s="444">
        <v>0</v>
      </c>
      <c r="O199" s="444">
        <v>3363</v>
      </c>
      <c r="P199" s="444">
        <v>0</v>
      </c>
      <c r="Q199" s="444">
        <v>0</v>
      </c>
      <c r="R199" s="444">
        <v>0</v>
      </c>
      <c r="S199" s="444">
        <v>0</v>
      </c>
      <c r="T199" s="444">
        <v>0</v>
      </c>
      <c r="U199" s="444">
        <v>0</v>
      </c>
      <c r="V199" s="444">
        <v>0</v>
      </c>
      <c r="W199" s="444">
        <v>0</v>
      </c>
      <c r="X199" s="442" t="s">
        <v>674</v>
      </c>
      <c r="Y199" s="442" t="s">
        <v>675</v>
      </c>
      <c r="Z199" s="442" t="s">
        <v>675</v>
      </c>
      <c r="AA199" s="442" t="s">
        <v>675</v>
      </c>
      <c r="AB199" s="442" t="s">
        <v>675</v>
      </c>
      <c r="AC199" s="442"/>
      <c r="AD199" s="442"/>
      <c r="AE199" s="442"/>
      <c r="AF199" s="442"/>
      <c r="AG199" s="443" t="s">
        <v>559</v>
      </c>
      <c r="AH199" s="442"/>
      <c r="AI199" s="443" t="s">
        <v>559</v>
      </c>
      <c r="AJ199" s="443" t="s">
        <v>725</v>
      </c>
      <c r="AK199" s="442" t="s">
        <v>677</v>
      </c>
      <c r="AL199" s="442"/>
      <c r="AM199" s="442" t="s">
        <v>726</v>
      </c>
      <c r="AN199" s="442" t="s">
        <v>727</v>
      </c>
      <c r="AO199" s="442" t="s">
        <v>722</v>
      </c>
      <c r="AP199" s="442" t="s">
        <v>728</v>
      </c>
      <c r="AQ199" s="442" t="s">
        <v>729</v>
      </c>
      <c r="AR199" s="444">
        <v>37000</v>
      </c>
      <c r="AS199" s="442" t="s">
        <v>675</v>
      </c>
      <c r="AT199" s="444">
        <v>0</v>
      </c>
      <c r="AU199" s="442" t="s">
        <v>678</v>
      </c>
      <c r="AV199" s="442" t="s">
        <v>677</v>
      </c>
      <c r="AW199" s="442" t="s">
        <v>676</v>
      </c>
      <c r="AX199" s="442" t="s">
        <v>674</v>
      </c>
      <c r="AY199" s="442"/>
      <c r="AZ199" s="442"/>
      <c r="BA199" s="442" t="s">
        <v>679</v>
      </c>
      <c r="BB199" s="442"/>
      <c r="BC199" s="442"/>
      <c r="BD199" s="442"/>
      <c r="BE199" s="444"/>
      <c r="BF199" s="442" t="s">
        <v>298</v>
      </c>
      <c r="BG199" s="442" t="s">
        <v>680</v>
      </c>
      <c r="BH199" s="442" t="s">
        <v>681</v>
      </c>
      <c r="BI199" s="442"/>
    </row>
    <row r="200" spans="1:61">
      <c r="A200" s="442" t="s">
        <v>730</v>
      </c>
      <c r="B200" s="442" t="s">
        <v>671</v>
      </c>
      <c r="C200" s="442" t="s">
        <v>672</v>
      </c>
      <c r="D200" s="442" t="s">
        <v>724</v>
      </c>
      <c r="E200" s="442" t="s">
        <v>3</v>
      </c>
      <c r="F200" s="443" t="s">
        <v>83</v>
      </c>
      <c r="G200" s="443" t="s">
        <v>93</v>
      </c>
      <c r="H200" s="444">
        <v>51800</v>
      </c>
      <c r="I200" s="444">
        <v>51800</v>
      </c>
      <c r="J200" s="444">
        <v>0</v>
      </c>
      <c r="K200" s="444">
        <v>0</v>
      </c>
      <c r="L200" s="444">
        <v>51800</v>
      </c>
      <c r="M200" s="444">
        <v>0</v>
      </c>
      <c r="N200" s="444">
        <v>0</v>
      </c>
      <c r="O200" s="444">
        <v>0</v>
      </c>
      <c r="P200" s="444">
        <v>0</v>
      </c>
      <c r="Q200" s="444">
        <v>0</v>
      </c>
      <c r="R200" s="444">
        <v>0</v>
      </c>
      <c r="S200" s="444">
        <v>0</v>
      </c>
      <c r="T200" s="444">
        <v>0</v>
      </c>
      <c r="U200" s="444">
        <v>0</v>
      </c>
      <c r="V200" s="444">
        <v>0</v>
      </c>
      <c r="W200" s="444">
        <v>0</v>
      </c>
      <c r="X200" s="442" t="s">
        <v>674</v>
      </c>
      <c r="Y200" s="442" t="s">
        <v>675</v>
      </c>
      <c r="Z200" s="442" t="s">
        <v>675</v>
      </c>
      <c r="AA200" s="442" t="s">
        <v>675</v>
      </c>
      <c r="AB200" s="442" t="s">
        <v>675</v>
      </c>
      <c r="AC200" s="442"/>
      <c r="AD200" s="442"/>
      <c r="AE200" s="442" t="s">
        <v>676</v>
      </c>
      <c r="AF200" s="442"/>
      <c r="AG200" s="443" t="s">
        <v>557</v>
      </c>
      <c r="AH200" s="442"/>
      <c r="AI200" s="443" t="s">
        <v>557</v>
      </c>
      <c r="AJ200" s="443" t="s">
        <v>731</v>
      </c>
      <c r="AK200" s="442" t="s">
        <v>677</v>
      </c>
      <c r="AL200" s="442"/>
      <c r="AM200" s="442" t="s">
        <v>726</v>
      </c>
      <c r="AN200" s="442" t="s">
        <v>732</v>
      </c>
      <c r="AO200" s="442" t="s">
        <v>730</v>
      </c>
      <c r="AP200" s="442" t="s">
        <v>722</v>
      </c>
      <c r="AQ200" s="442" t="s">
        <v>729</v>
      </c>
      <c r="AR200" s="444">
        <v>51800</v>
      </c>
      <c r="AS200" s="442" t="s">
        <v>675</v>
      </c>
      <c r="AT200" s="444">
        <v>0</v>
      </c>
      <c r="AU200" s="442" t="s">
        <v>678</v>
      </c>
      <c r="AV200" s="442" t="s">
        <v>677</v>
      </c>
      <c r="AW200" s="442" t="s">
        <v>676</v>
      </c>
      <c r="AX200" s="442" t="s">
        <v>674</v>
      </c>
      <c r="AY200" s="442"/>
      <c r="AZ200" s="442"/>
      <c r="BA200" s="442" t="s">
        <v>679</v>
      </c>
      <c r="BB200" s="442"/>
      <c r="BC200" s="442"/>
      <c r="BD200" s="442"/>
      <c r="BE200" s="444"/>
      <c r="BF200" s="442" t="s">
        <v>298</v>
      </c>
      <c r="BG200" s="442" t="s">
        <v>680</v>
      </c>
      <c r="BH200" s="442" t="s">
        <v>681</v>
      </c>
      <c r="BI200" s="442"/>
    </row>
    <row r="201" spans="1:61">
      <c r="A201" s="442" t="s">
        <v>728</v>
      </c>
      <c r="B201" s="442" t="s">
        <v>728</v>
      </c>
      <c r="C201" s="442" t="s">
        <v>730</v>
      </c>
      <c r="D201" s="442" t="s">
        <v>673</v>
      </c>
      <c r="E201" s="442" t="s">
        <v>3</v>
      </c>
      <c r="F201" s="443" t="s">
        <v>83</v>
      </c>
      <c r="G201" s="443" t="s">
        <v>691</v>
      </c>
      <c r="H201" s="444">
        <v>318380</v>
      </c>
      <c r="I201" s="444">
        <v>318380</v>
      </c>
      <c r="J201" s="444">
        <v>0</v>
      </c>
      <c r="K201" s="444">
        <v>0</v>
      </c>
      <c r="L201" s="444">
        <v>318380</v>
      </c>
      <c r="M201" s="444">
        <v>0</v>
      </c>
      <c r="N201" s="444">
        <v>0</v>
      </c>
      <c r="O201" s="444">
        <v>0</v>
      </c>
      <c r="P201" s="444">
        <v>0</v>
      </c>
      <c r="Q201" s="444">
        <v>0</v>
      </c>
      <c r="R201" s="444">
        <v>0</v>
      </c>
      <c r="S201" s="444">
        <v>0</v>
      </c>
      <c r="T201" s="444">
        <v>0</v>
      </c>
      <c r="U201" s="444">
        <v>0</v>
      </c>
      <c r="V201" s="444">
        <v>0</v>
      </c>
      <c r="W201" s="444">
        <v>0</v>
      </c>
      <c r="X201" s="442" t="s">
        <v>674</v>
      </c>
      <c r="Y201" s="442" t="s">
        <v>675</v>
      </c>
      <c r="Z201" s="442" t="s">
        <v>675</v>
      </c>
      <c r="AA201" s="442" t="s">
        <v>675</v>
      </c>
      <c r="AB201" s="442" t="s">
        <v>675</v>
      </c>
      <c r="AC201" s="442"/>
      <c r="AD201" s="442"/>
      <c r="AE201" s="442" t="s">
        <v>676</v>
      </c>
      <c r="AF201" s="442"/>
      <c r="AG201" s="443" t="s">
        <v>733</v>
      </c>
      <c r="AH201" s="442"/>
      <c r="AI201" s="443" t="s">
        <v>733</v>
      </c>
      <c r="AJ201" s="443" t="s">
        <v>677</v>
      </c>
      <c r="AK201" s="442" t="s">
        <v>677</v>
      </c>
      <c r="AL201" s="442"/>
      <c r="AM201" s="442"/>
      <c r="AN201" s="442"/>
      <c r="AO201" s="442"/>
      <c r="AP201" s="442"/>
      <c r="AQ201" s="442"/>
      <c r="AR201" s="444"/>
      <c r="AS201" s="442"/>
      <c r="AT201" s="444"/>
      <c r="AU201" s="442" t="s">
        <v>678</v>
      </c>
      <c r="AV201" s="442" t="s">
        <v>677</v>
      </c>
      <c r="AW201" s="442" t="s">
        <v>676</v>
      </c>
      <c r="AX201" s="442" t="s">
        <v>674</v>
      </c>
      <c r="AY201" s="442"/>
      <c r="AZ201" s="442"/>
      <c r="BA201" s="442" t="s">
        <v>679</v>
      </c>
      <c r="BB201" s="442"/>
      <c r="BC201" s="442"/>
      <c r="BD201" s="442"/>
      <c r="BE201" s="444"/>
      <c r="BF201" s="442" t="s">
        <v>298</v>
      </c>
      <c r="BG201" s="442" t="s">
        <v>680</v>
      </c>
      <c r="BH201" s="442" t="s">
        <v>681</v>
      </c>
      <c r="BI201" s="442"/>
    </row>
    <row r="202" spans="1:61">
      <c r="A202" s="442" t="s">
        <v>728</v>
      </c>
      <c r="B202" s="442" t="s">
        <v>728</v>
      </c>
      <c r="C202" s="442" t="s">
        <v>730</v>
      </c>
      <c r="D202" s="442" t="s">
        <v>673</v>
      </c>
      <c r="E202" s="442" t="s">
        <v>3</v>
      </c>
      <c r="F202" s="443" t="s">
        <v>83</v>
      </c>
      <c r="G202" s="443" t="s">
        <v>691</v>
      </c>
      <c r="H202" s="444">
        <v>88000</v>
      </c>
      <c r="I202" s="444">
        <v>88000</v>
      </c>
      <c r="J202" s="444">
        <v>0</v>
      </c>
      <c r="K202" s="444">
        <v>0</v>
      </c>
      <c r="L202" s="444">
        <v>88000</v>
      </c>
      <c r="M202" s="444">
        <v>0</v>
      </c>
      <c r="N202" s="444">
        <v>0</v>
      </c>
      <c r="O202" s="444">
        <v>0</v>
      </c>
      <c r="P202" s="444">
        <v>0</v>
      </c>
      <c r="Q202" s="444">
        <v>0</v>
      </c>
      <c r="R202" s="444">
        <v>0</v>
      </c>
      <c r="S202" s="444">
        <v>0</v>
      </c>
      <c r="T202" s="444">
        <v>0</v>
      </c>
      <c r="U202" s="444">
        <v>0</v>
      </c>
      <c r="V202" s="444">
        <v>0</v>
      </c>
      <c r="W202" s="444">
        <v>0</v>
      </c>
      <c r="X202" s="442" t="s">
        <v>674</v>
      </c>
      <c r="Y202" s="442" t="s">
        <v>675</v>
      </c>
      <c r="Z202" s="442" t="s">
        <v>675</v>
      </c>
      <c r="AA202" s="442" t="s">
        <v>675</v>
      </c>
      <c r="AB202" s="442" t="s">
        <v>675</v>
      </c>
      <c r="AC202" s="442"/>
      <c r="AD202" s="442"/>
      <c r="AE202" s="442" t="s">
        <v>676</v>
      </c>
      <c r="AF202" s="442"/>
      <c r="AG202" s="443" t="s">
        <v>734</v>
      </c>
      <c r="AH202" s="442"/>
      <c r="AI202" s="443" t="s">
        <v>734</v>
      </c>
      <c r="AJ202" s="443" t="s">
        <v>677</v>
      </c>
      <c r="AK202" s="442" t="s">
        <v>677</v>
      </c>
      <c r="AL202" s="442"/>
      <c r="AM202" s="442"/>
      <c r="AN202" s="442"/>
      <c r="AO202" s="442"/>
      <c r="AP202" s="442"/>
      <c r="AQ202" s="442"/>
      <c r="AR202" s="444"/>
      <c r="AS202" s="442"/>
      <c r="AT202" s="444"/>
      <c r="AU202" s="442" t="s">
        <v>678</v>
      </c>
      <c r="AV202" s="442" t="s">
        <v>677</v>
      </c>
      <c r="AW202" s="442" t="s">
        <v>676</v>
      </c>
      <c r="AX202" s="442" t="s">
        <v>674</v>
      </c>
      <c r="AY202" s="442"/>
      <c r="AZ202" s="442"/>
      <c r="BA202" s="442" t="s">
        <v>679</v>
      </c>
      <c r="BB202" s="442"/>
      <c r="BC202" s="442"/>
      <c r="BD202" s="442"/>
      <c r="BE202" s="444"/>
      <c r="BF202" s="442" t="s">
        <v>298</v>
      </c>
      <c r="BG202" s="442" t="s">
        <v>680</v>
      </c>
      <c r="BH202" s="442" t="s">
        <v>681</v>
      </c>
      <c r="BI202" s="442"/>
    </row>
    <row r="203" spans="1:61">
      <c r="A203" s="442" t="s">
        <v>728</v>
      </c>
      <c r="B203" s="442" t="s">
        <v>728</v>
      </c>
      <c r="C203" s="442" t="s">
        <v>730</v>
      </c>
      <c r="D203" s="442" t="s">
        <v>673</v>
      </c>
      <c r="E203" s="442" t="s">
        <v>3</v>
      </c>
      <c r="F203" s="443" t="s">
        <v>83</v>
      </c>
      <c r="G203" s="443" t="s">
        <v>691</v>
      </c>
      <c r="H203" s="444">
        <v>912000</v>
      </c>
      <c r="I203" s="444">
        <v>912000</v>
      </c>
      <c r="J203" s="444">
        <v>0</v>
      </c>
      <c r="K203" s="444">
        <v>0</v>
      </c>
      <c r="L203" s="444">
        <v>912000</v>
      </c>
      <c r="M203" s="444">
        <v>0</v>
      </c>
      <c r="N203" s="444">
        <v>0</v>
      </c>
      <c r="O203" s="444">
        <v>0</v>
      </c>
      <c r="P203" s="444">
        <v>0</v>
      </c>
      <c r="Q203" s="444">
        <v>0</v>
      </c>
      <c r="R203" s="444">
        <v>0</v>
      </c>
      <c r="S203" s="444">
        <v>0</v>
      </c>
      <c r="T203" s="444">
        <v>0</v>
      </c>
      <c r="U203" s="444">
        <v>0</v>
      </c>
      <c r="V203" s="444">
        <v>0</v>
      </c>
      <c r="W203" s="444">
        <v>0</v>
      </c>
      <c r="X203" s="442" t="s">
        <v>674</v>
      </c>
      <c r="Y203" s="442" t="s">
        <v>675</v>
      </c>
      <c r="Z203" s="442" t="s">
        <v>675</v>
      </c>
      <c r="AA203" s="442" t="s">
        <v>675</v>
      </c>
      <c r="AB203" s="442" t="s">
        <v>675</v>
      </c>
      <c r="AC203" s="442"/>
      <c r="AD203" s="442"/>
      <c r="AE203" s="442" t="s">
        <v>676</v>
      </c>
      <c r="AF203" s="442"/>
      <c r="AG203" s="443" t="s">
        <v>735</v>
      </c>
      <c r="AH203" s="442"/>
      <c r="AI203" s="443" t="s">
        <v>735</v>
      </c>
      <c r="AJ203" s="443" t="s">
        <v>677</v>
      </c>
      <c r="AK203" s="442" t="s">
        <v>677</v>
      </c>
      <c r="AL203" s="442"/>
      <c r="AM203" s="442"/>
      <c r="AN203" s="442"/>
      <c r="AO203" s="442"/>
      <c r="AP203" s="442"/>
      <c r="AQ203" s="442"/>
      <c r="AR203" s="444"/>
      <c r="AS203" s="442"/>
      <c r="AT203" s="444"/>
      <c r="AU203" s="442" t="s">
        <v>678</v>
      </c>
      <c r="AV203" s="442" t="s">
        <v>677</v>
      </c>
      <c r="AW203" s="442" t="s">
        <v>676</v>
      </c>
      <c r="AX203" s="442" t="s">
        <v>674</v>
      </c>
      <c r="AY203" s="442"/>
      <c r="AZ203" s="442"/>
      <c r="BA203" s="442" t="s">
        <v>679</v>
      </c>
      <c r="BB203" s="442"/>
      <c r="BC203" s="442"/>
      <c r="BD203" s="442"/>
      <c r="BE203" s="444"/>
      <c r="BF203" s="442" t="s">
        <v>298</v>
      </c>
      <c r="BG203" s="442" t="s">
        <v>680</v>
      </c>
      <c r="BH203" s="442" t="s">
        <v>681</v>
      </c>
      <c r="BI203" s="442"/>
    </row>
    <row r="204" spans="1:61">
      <c r="A204" s="442" t="s">
        <v>728</v>
      </c>
      <c r="B204" s="442" t="s">
        <v>728</v>
      </c>
      <c r="C204" s="442" t="s">
        <v>730</v>
      </c>
      <c r="D204" s="442" t="s">
        <v>673</v>
      </c>
      <c r="E204" s="442" t="s">
        <v>3</v>
      </c>
      <c r="F204" s="443" t="s">
        <v>83</v>
      </c>
      <c r="G204" s="443" t="s">
        <v>691</v>
      </c>
      <c r="H204" s="444">
        <v>3299620</v>
      </c>
      <c r="I204" s="444">
        <v>3299620</v>
      </c>
      <c r="J204" s="444">
        <v>0</v>
      </c>
      <c r="K204" s="444">
        <v>0</v>
      </c>
      <c r="L204" s="444">
        <v>3299620</v>
      </c>
      <c r="M204" s="444">
        <v>0</v>
      </c>
      <c r="N204" s="444">
        <v>0</v>
      </c>
      <c r="O204" s="444">
        <v>0</v>
      </c>
      <c r="P204" s="444">
        <v>0</v>
      </c>
      <c r="Q204" s="444">
        <v>0</v>
      </c>
      <c r="R204" s="444">
        <v>0</v>
      </c>
      <c r="S204" s="444">
        <v>0</v>
      </c>
      <c r="T204" s="444">
        <v>0</v>
      </c>
      <c r="U204" s="444">
        <v>0</v>
      </c>
      <c r="V204" s="444">
        <v>0</v>
      </c>
      <c r="W204" s="444">
        <v>0</v>
      </c>
      <c r="X204" s="442" t="s">
        <v>674</v>
      </c>
      <c r="Y204" s="442" t="s">
        <v>675</v>
      </c>
      <c r="Z204" s="442" t="s">
        <v>675</v>
      </c>
      <c r="AA204" s="442" t="s">
        <v>675</v>
      </c>
      <c r="AB204" s="442" t="s">
        <v>675</v>
      </c>
      <c r="AC204" s="442"/>
      <c r="AD204" s="442"/>
      <c r="AE204" s="442" t="s">
        <v>676</v>
      </c>
      <c r="AF204" s="442"/>
      <c r="AG204" s="443" t="s">
        <v>736</v>
      </c>
      <c r="AH204" s="442"/>
      <c r="AI204" s="443" t="s">
        <v>736</v>
      </c>
      <c r="AJ204" s="443" t="s">
        <v>677</v>
      </c>
      <c r="AK204" s="442" t="s">
        <v>677</v>
      </c>
      <c r="AL204" s="442"/>
      <c r="AM204" s="442"/>
      <c r="AN204" s="442"/>
      <c r="AO204" s="442"/>
      <c r="AP204" s="442"/>
      <c r="AQ204" s="442"/>
      <c r="AR204" s="444"/>
      <c r="AS204" s="442"/>
      <c r="AT204" s="444"/>
      <c r="AU204" s="442" t="s">
        <v>678</v>
      </c>
      <c r="AV204" s="442" t="s">
        <v>677</v>
      </c>
      <c r="AW204" s="442" t="s">
        <v>676</v>
      </c>
      <c r="AX204" s="442" t="s">
        <v>674</v>
      </c>
      <c r="AY204" s="442"/>
      <c r="AZ204" s="442"/>
      <c r="BA204" s="442" t="s">
        <v>679</v>
      </c>
      <c r="BB204" s="442"/>
      <c r="BC204" s="442"/>
      <c r="BD204" s="442"/>
      <c r="BE204" s="444"/>
      <c r="BF204" s="442" t="s">
        <v>298</v>
      </c>
      <c r="BG204" s="442" t="s">
        <v>680</v>
      </c>
      <c r="BH204" s="442" t="s">
        <v>681</v>
      </c>
      <c r="BI204" s="442"/>
    </row>
    <row r="205" spans="1:61">
      <c r="A205" s="442" t="s">
        <v>728</v>
      </c>
      <c r="B205" s="442" t="s">
        <v>728</v>
      </c>
      <c r="C205" s="442" t="s">
        <v>730</v>
      </c>
      <c r="D205" s="442" t="s">
        <v>673</v>
      </c>
      <c r="E205" s="442" t="s">
        <v>3</v>
      </c>
      <c r="F205" s="443" t="s">
        <v>7</v>
      </c>
      <c r="G205" s="443" t="s">
        <v>684</v>
      </c>
      <c r="H205" s="444">
        <v>326417</v>
      </c>
      <c r="I205" s="444">
        <v>326417</v>
      </c>
      <c r="J205" s="444">
        <v>0</v>
      </c>
      <c r="K205" s="444">
        <v>0</v>
      </c>
      <c r="L205" s="444">
        <v>326417</v>
      </c>
      <c r="M205" s="444">
        <v>0</v>
      </c>
      <c r="N205" s="444">
        <v>0</v>
      </c>
      <c r="O205" s="444">
        <v>0</v>
      </c>
      <c r="P205" s="444">
        <v>0</v>
      </c>
      <c r="Q205" s="444">
        <v>0</v>
      </c>
      <c r="R205" s="444">
        <v>0</v>
      </c>
      <c r="S205" s="444">
        <v>0</v>
      </c>
      <c r="T205" s="444">
        <v>0</v>
      </c>
      <c r="U205" s="444">
        <v>0</v>
      </c>
      <c r="V205" s="444">
        <v>0</v>
      </c>
      <c r="W205" s="444">
        <v>0</v>
      </c>
      <c r="X205" s="442" t="s">
        <v>674</v>
      </c>
      <c r="Y205" s="442" t="s">
        <v>675</v>
      </c>
      <c r="Z205" s="442" t="s">
        <v>675</v>
      </c>
      <c r="AA205" s="442" t="s">
        <v>675</v>
      </c>
      <c r="AB205" s="442" t="s">
        <v>675</v>
      </c>
      <c r="AC205" s="442"/>
      <c r="AD205" s="442"/>
      <c r="AE205" s="442"/>
      <c r="AF205" s="442"/>
      <c r="AG205" s="443" t="s">
        <v>737</v>
      </c>
      <c r="AH205" s="442"/>
      <c r="AI205" s="443" t="s">
        <v>737</v>
      </c>
      <c r="AJ205" s="443" t="s">
        <v>677</v>
      </c>
      <c r="AK205" s="442" t="s">
        <v>677</v>
      </c>
      <c r="AL205" s="442"/>
      <c r="AM205" s="442"/>
      <c r="AN205" s="442"/>
      <c r="AO205" s="442"/>
      <c r="AP205" s="442"/>
      <c r="AQ205" s="442"/>
      <c r="AR205" s="444"/>
      <c r="AS205" s="442"/>
      <c r="AT205" s="444"/>
      <c r="AU205" s="442" t="s">
        <v>678</v>
      </c>
      <c r="AV205" s="442" t="s">
        <v>677</v>
      </c>
      <c r="AW205" s="442" t="s">
        <v>676</v>
      </c>
      <c r="AX205" s="442" t="s">
        <v>674</v>
      </c>
      <c r="AY205" s="442"/>
      <c r="AZ205" s="442"/>
      <c r="BA205" s="442" t="s">
        <v>679</v>
      </c>
      <c r="BB205" s="442"/>
      <c r="BC205" s="442"/>
      <c r="BD205" s="442"/>
      <c r="BE205" s="444"/>
      <c r="BF205" s="442" t="s">
        <v>298</v>
      </c>
      <c r="BG205" s="442" t="s">
        <v>680</v>
      </c>
      <c r="BH205" s="442" t="s">
        <v>681</v>
      </c>
      <c r="BI205" s="442"/>
    </row>
    <row r="206" spans="1:61">
      <c r="A206" s="442" t="s">
        <v>728</v>
      </c>
      <c r="B206" s="442" t="s">
        <v>728</v>
      </c>
      <c r="C206" s="442" t="s">
        <v>730</v>
      </c>
      <c r="D206" s="442" t="s">
        <v>673</v>
      </c>
      <c r="E206" s="442" t="s">
        <v>3</v>
      </c>
      <c r="F206" s="443" t="s">
        <v>7</v>
      </c>
      <c r="G206" s="443" t="s">
        <v>684</v>
      </c>
      <c r="H206" s="444">
        <v>368340</v>
      </c>
      <c r="I206" s="444">
        <v>368340</v>
      </c>
      <c r="J206" s="444">
        <v>0</v>
      </c>
      <c r="K206" s="444">
        <v>0</v>
      </c>
      <c r="L206" s="444">
        <v>368340</v>
      </c>
      <c r="M206" s="444">
        <v>0</v>
      </c>
      <c r="N206" s="444">
        <v>0</v>
      </c>
      <c r="O206" s="444">
        <v>0</v>
      </c>
      <c r="P206" s="444">
        <v>0</v>
      </c>
      <c r="Q206" s="444">
        <v>0</v>
      </c>
      <c r="R206" s="444">
        <v>0</v>
      </c>
      <c r="S206" s="444">
        <v>0</v>
      </c>
      <c r="T206" s="444">
        <v>0</v>
      </c>
      <c r="U206" s="444">
        <v>0</v>
      </c>
      <c r="V206" s="444">
        <v>0</v>
      </c>
      <c r="W206" s="444">
        <v>0</v>
      </c>
      <c r="X206" s="442" t="s">
        <v>674</v>
      </c>
      <c r="Y206" s="442" t="s">
        <v>675</v>
      </c>
      <c r="Z206" s="442" t="s">
        <v>675</v>
      </c>
      <c r="AA206" s="442" t="s">
        <v>675</v>
      </c>
      <c r="AB206" s="442" t="s">
        <v>675</v>
      </c>
      <c r="AC206" s="442"/>
      <c r="AD206" s="442"/>
      <c r="AE206" s="442"/>
      <c r="AF206" s="442"/>
      <c r="AG206" s="443" t="s">
        <v>738</v>
      </c>
      <c r="AH206" s="442"/>
      <c r="AI206" s="443" t="s">
        <v>738</v>
      </c>
      <c r="AJ206" s="443" t="s">
        <v>677</v>
      </c>
      <c r="AK206" s="442" t="s">
        <v>677</v>
      </c>
      <c r="AL206" s="442"/>
      <c r="AM206" s="442"/>
      <c r="AN206" s="442"/>
      <c r="AO206" s="442"/>
      <c r="AP206" s="442"/>
      <c r="AQ206" s="442"/>
      <c r="AR206" s="444"/>
      <c r="AS206" s="442"/>
      <c r="AT206" s="444"/>
      <c r="AU206" s="442" t="s">
        <v>678</v>
      </c>
      <c r="AV206" s="442" t="s">
        <v>677</v>
      </c>
      <c r="AW206" s="442" t="s">
        <v>676</v>
      </c>
      <c r="AX206" s="442" t="s">
        <v>674</v>
      </c>
      <c r="AY206" s="442"/>
      <c r="AZ206" s="442"/>
      <c r="BA206" s="442" t="s">
        <v>679</v>
      </c>
      <c r="BB206" s="442"/>
      <c r="BC206" s="442"/>
      <c r="BD206" s="442"/>
      <c r="BE206" s="444"/>
      <c r="BF206" s="442" t="s">
        <v>298</v>
      </c>
      <c r="BG206" s="442" t="s">
        <v>680</v>
      </c>
      <c r="BH206" s="442" t="s">
        <v>681</v>
      </c>
      <c r="BI206" s="442"/>
    </row>
    <row r="207" spans="1:61">
      <c r="A207" s="442" t="s">
        <v>728</v>
      </c>
      <c r="B207" s="442" t="s">
        <v>728</v>
      </c>
      <c r="C207" s="442" t="s">
        <v>730</v>
      </c>
      <c r="D207" s="442" t="s">
        <v>673</v>
      </c>
      <c r="E207" s="442" t="s">
        <v>3</v>
      </c>
      <c r="F207" s="443" t="s">
        <v>7</v>
      </c>
      <c r="G207" s="443" t="s">
        <v>684</v>
      </c>
      <c r="H207" s="444">
        <v>316700</v>
      </c>
      <c r="I207" s="444">
        <v>316700</v>
      </c>
      <c r="J207" s="444">
        <v>0</v>
      </c>
      <c r="K207" s="444">
        <v>0</v>
      </c>
      <c r="L207" s="444">
        <v>316700</v>
      </c>
      <c r="M207" s="444">
        <v>0</v>
      </c>
      <c r="N207" s="444">
        <v>0</v>
      </c>
      <c r="O207" s="444">
        <v>0</v>
      </c>
      <c r="P207" s="444">
        <v>0</v>
      </c>
      <c r="Q207" s="444">
        <v>0</v>
      </c>
      <c r="R207" s="444">
        <v>0</v>
      </c>
      <c r="S207" s="444">
        <v>0</v>
      </c>
      <c r="T207" s="444">
        <v>0</v>
      </c>
      <c r="U207" s="444">
        <v>0</v>
      </c>
      <c r="V207" s="444">
        <v>0</v>
      </c>
      <c r="W207" s="444">
        <v>0</v>
      </c>
      <c r="X207" s="442" t="s">
        <v>674</v>
      </c>
      <c r="Y207" s="442" t="s">
        <v>675</v>
      </c>
      <c r="Z207" s="442" t="s">
        <v>675</v>
      </c>
      <c r="AA207" s="442" t="s">
        <v>675</v>
      </c>
      <c r="AB207" s="442" t="s">
        <v>675</v>
      </c>
      <c r="AC207" s="442"/>
      <c r="AD207" s="442"/>
      <c r="AE207" s="442"/>
      <c r="AF207" s="442"/>
      <c r="AG207" s="443" t="s">
        <v>739</v>
      </c>
      <c r="AH207" s="442"/>
      <c r="AI207" s="443" t="s">
        <v>739</v>
      </c>
      <c r="AJ207" s="443" t="s">
        <v>677</v>
      </c>
      <c r="AK207" s="442" t="s">
        <v>677</v>
      </c>
      <c r="AL207" s="442"/>
      <c r="AM207" s="442"/>
      <c r="AN207" s="442"/>
      <c r="AO207" s="442"/>
      <c r="AP207" s="442"/>
      <c r="AQ207" s="442"/>
      <c r="AR207" s="444"/>
      <c r="AS207" s="442"/>
      <c r="AT207" s="444"/>
      <c r="AU207" s="442" t="s">
        <v>678</v>
      </c>
      <c r="AV207" s="442" t="s">
        <v>677</v>
      </c>
      <c r="AW207" s="442" t="s">
        <v>676</v>
      </c>
      <c r="AX207" s="442" t="s">
        <v>674</v>
      </c>
      <c r="AY207" s="442"/>
      <c r="AZ207" s="442"/>
      <c r="BA207" s="442" t="s">
        <v>679</v>
      </c>
      <c r="BB207" s="442"/>
      <c r="BC207" s="442"/>
      <c r="BD207" s="442"/>
      <c r="BE207" s="444"/>
      <c r="BF207" s="442" t="s">
        <v>298</v>
      </c>
      <c r="BG207" s="442" t="s">
        <v>680</v>
      </c>
      <c r="BH207" s="442" t="s">
        <v>681</v>
      </c>
      <c r="BI207" s="442"/>
    </row>
    <row r="208" spans="1:61">
      <c r="A208" s="442" t="s">
        <v>728</v>
      </c>
      <c r="B208" s="442" t="s">
        <v>728</v>
      </c>
      <c r="C208" s="442" t="s">
        <v>730</v>
      </c>
      <c r="D208" s="442" t="s">
        <v>673</v>
      </c>
      <c r="E208" s="442" t="s">
        <v>3</v>
      </c>
      <c r="F208" s="443" t="s">
        <v>7</v>
      </c>
      <c r="G208" s="443" t="s">
        <v>684</v>
      </c>
      <c r="H208" s="444">
        <v>274240</v>
      </c>
      <c r="I208" s="444">
        <v>274240</v>
      </c>
      <c r="J208" s="444">
        <v>0</v>
      </c>
      <c r="K208" s="444">
        <v>0</v>
      </c>
      <c r="L208" s="444">
        <v>274240</v>
      </c>
      <c r="M208" s="444">
        <v>0</v>
      </c>
      <c r="N208" s="444">
        <v>0</v>
      </c>
      <c r="O208" s="444">
        <v>0</v>
      </c>
      <c r="P208" s="444">
        <v>0</v>
      </c>
      <c r="Q208" s="444">
        <v>0</v>
      </c>
      <c r="R208" s="444">
        <v>0</v>
      </c>
      <c r="S208" s="444">
        <v>0</v>
      </c>
      <c r="T208" s="444">
        <v>0</v>
      </c>
      <c r="U208" s="444">
        <v>0</v>
      </c>
      <c r="V208" s="444">
        <v>0</v>
      </c>
      <c r="W208" s="444">
        <v>0</v>
      </c>
      <c r="X208" s="442" t="s">
        <v>674</v>
      </c>
      <c r="Y208" s="442" t="s">
        <v>675</v>
      </c>
      <c r="Z208" s="442" t="s">
        <v>675</v>
      </c>
      <c r="AA208" s="442" t="s">
        <v>675</v>
      </c>
      <c r="AB208" s="442" t="s">
        <v>675</v>
      </c>
      <c r="AC208" s="442"/>
      <c r="AD208" s="442"/>
      <c r="AE208" s="442"/>
      <c r="AF208" s="442"/>
      <c r="AG208" s="443" t="s">
        <v>738</v>
      </c>
      <c r="AH208" s="442"/>
      <c r="AI208" s="443" t="s">
        <v>738</v>
      </c>
      <c r="AJ208" s="443" t="s">
        <v>677</v>
      </c>
      <c r="AK208" s="442" t="s">
        <v>677</v>
      </c>
      <c r="AL208" s="442"/>
      <c r="AM208" s="442"/>
      <c r="AN208" s="442"/>
      <c r="AO208" s="442"/>
      <c r="AP208" s="442"/>
      <c r="AQ208" s="442"/>
      <c r="AR208" s="444"/>
      <c r="AS208" s="442"/>
      <c r="AT208" s="444"/>
      <c r="AU208" s="442" t="s">
        <v>678</v>
      </c>
      <c r="AV208" s="442" t="s">
        <v>677</v>
      </c>
      <c r="AW208" s="442" t="s">
        <v>676</v>
      </c>
      <c r="AX208" s="442" t="s">
        <v>674</v>
      </c>
      <c r="AY208" s="442"/>
      <c r="AZ208" s="442"/>
      <c r="BA208" s="442" t="s">
        <v>679</v>
      </c>
      <c r="BB208" s="442"/>
      <c r="BC208" s="442"/>
      <c r="BD208" s="442"/>
      <c r="BE208" s="444"/>
      <c r="BF208" s="442" t="s">
        <v>298</v>
      </c>
      <c r="BG208" s="442" t="s">
        <v>680</v>
      </c>
      <c r="BH208" s="442" t="s">
        <v>681</v>
      </c>
      <c r="BI208" s="442"/>
    </row>
    <row r="209" spans="1:61">
      <c r="A209" s="442" t="s">
        <v>728</v>
      </c>
      <c r="B209" s="442" t="s">
        <v>728</v>
      </c>
      <c r="C209" s="442" t="s">
        <v>730</v>
      </c>
      <c r="D209" s="442" t="s">
        <v>673</v>
      </c>
      <c r="E209" s="442" t="s">
        <v>3</v>
      </c>
      <c r="F209" s="443" t="s">
        <v>7</v>
      </c>
      <c r="G209" s="443" t="s">
        <v>684</v>
      </c>
      <c r="H209" s="444">
        <v>72840</v>
      </c>
      <c r="I209" s="444">
        <v>72840</v>
      </c>
      <c r="J209" s="444">
        <v>0</v>
      </c>
      <c r="K209" s="444">
        <v>0</v>
      </c>
      <c r="L209" s="444">
        <v>72840</v>
      </c>
      <c r="M209" s="444">
        <v>0</v>
      </c>
      <c r="N209" s="444">
        <v>0</v>
      </c>
      <c r="O209" s="444">
        <v>0</v>
      </c>
      <c r="P209" s="444">
        <v>0</v>
      </c>
      <c r="Q209" s="444">
        <v>0</v>
      </c>
      <c r="R209" s="444">
        <v>0</v>
      </c>
      <c r="S209" s="444">
        <v>0</v>
      </c>
      <c r="T209" s="444">
        <v>0</v>
      </c>
      <c r="U209" s="444">
        <v>0</v>
      </c>
      <c r="V209" s="444">
        <v>0</v>
      </c>
      <c r="W209" s="444">
        <v>0</v>
      </c>
      <c r="X209" s="442" t="s">
        <v>674</v>
      </c>
      <c r="Y209" s="442" t="s">
        <v>675</v>
      </c>
      <c r="Z209" s="442" t="s">
        <v>675</v>
      </c>
      <c r="AA209" s="442" t="s">
        <v>675</v>
      </c>
      <c r="AB209" s="442" t="s">
        <v>675</v>
      </c>
      <c r="AC209" s="442"/>
      <c r="AD209" s="442"/>
      <c r="AE209" s="442"/>
      <c r="AF209" s="442"/>
      <c r="AG209" s="443" t="s">
        <v>740</v>
      </c>
      <c r="AH209" s="442"/>
      <c r="AI209" s="443" t="s">
        <v>740</v>
      </c>
      <c r="AJ209" s="443" t="s">
        <v>677</v>
      </c>
      <c r="AK209" s="442" t="s">
        <v>677</v>
      </c>
      <c r="AL209" s="442"/>
      <c r="AM209" s="442"/>
      <c r="AN209" s="442"/>
      <c r="AO209" s="442"/>
      <c r="AP209" s="442"/>
      <c r="AQ209" s="442"/>
      <c r="AR209" s="444"/>
      <c r="AS209" s="442"/>
      <c r="AT209" s="444"/>
      <c r="AU209" s="442" t="s">
        <v>678</v>
      </c>
      <c r="AV209" s="442" t="s">
        <v>677</v>
      </c>
      <c r="AW209" s="442" t="s">
        <v>676</v>
      </c>
      <c r="AX209" s="442" t="s">
        <v>674</v>
      </c>
      <c r="AY209" s="442"/>
      <c r="AZ209" s="442"/>
      <c r="BA209" s="442" t="s">
        <v>679</v>
      </c>
      <c r="BB209" s="442"/>
      <c r="BC209" s="442"/>
      <c r="BD209" s="442"/>
      <c r="BE209" s="444"/>
      <c r="BF209" s="442" t="s">
        <v>298</v>
      </c>
      <c r="BG209" s="442" t="s">
        <v>680</v>
      </c>
      <c r="BH209" s="442" t="s">
        <v>681</v>
      </c>
      <c r="BI209" s="442"/>
    </row>
    <row r="210" spans="1:61">
      <c r="A210" s="442" t="s">
        <v>728</v>
      </c>
      <c r="B210" s="442" t="s">
        <v>728</v>
      </c>
      <c r="C210" s="442" t="s">
        <v>730</v>
      </c>
      <c r="D210" s="442" t="s">
        <v>673</v>
      </c>
      <c r="E210" s="442" t="s">
        <v>3</v>
      </c>
      <c r="F210" s="443" t="s">
        <v>7</v>
      </c>
      <c r="G210" s="443" t="s">
        <v>684</v>
      </c>
      <c r="H210" s="444">
        <v>425360</v>
      </c>
      <c r="I210" s="444">
        <v>425360</v>
      </c>
      <c r="J210" s="444">
        <v>0</v>
      </c>
      <c r="K210" s="444">
        <v>0</v>
      </c>
      <c r="L210" s="444">
        <v>425360</v>
      </c>
      <c r="M210" s="444">
        <v>0</v>
      </c>
      <c r="N210" s="444">
        <v>0</v>
      </c>
      <c r="O210" s="444">
        <v>0</v>
      </c>
      <c r="P210" s="444">
        <v>0</v>
      </c>
      <c r="Q210" s="444">
        <v>0</v>
      </c>
      <c r="R210" s="444">
        <v>0</v>
      </c>
      <c r="S210" s="444">
        <v>0</v>
      </c>
      <c r="T210" s="444">
        <v>0</v>
      </c>
      <c r="U210" s="444">
        <v>0</v>
      </c>
      <c r="V210" s="444">
        <v>0</v>
      </c>
      <c r="W210" s="444">
        <v>0</v>
      </c>
      <c r="X210" s="442" t="s">
        <v>674</v>
      </c>
      <c r="Y210" s="442" t="s">
        <v>675</v>
      </c>
      <c r="Z210" s="442" t="s">
        <v>675</v>
      </c>
      <c r="AA210" s="442" t="s">
        <v>675</v>
      </c>
      <c r="AB210" s="442" t="s">
        <v>675</v>
      </c>
      <c r="AC210" s="442"/>
      <c r="AD210" s="442"/>
      <c r="AE210" s="442"/>
      <c r="AF210" s="442"/>
      <c r="AG210" s="443" t="s">
        <v>739</v>
      </c>
      <c r="AH210" s="442"/>
      <c r="AI210" s="443" t="s">
        <v>739</v>
      </c>
      <c r="AJ210" s="443" t="s">
        <v>677</v>
      </c>
      <c r="AK210" s="442" t="s">
        <v>677</v>
      </c>
      <c r="AL210" s="442"/>
      <c r="AM210" s="442"/>
      <c r="AN210" s="442"/>
      <c r="AO210" s="442"/>
      <c r="AP210" s="442"/>
      <c r="AQ210" s="442"/>
      <c r="AR210" s="444"/>
      <c r="AS210" s="442"/>
      <c r="AT210" s="444"/>
      <c r="AU210" s="442" t="s">
        <v>678</v>
      </c>
      <c r="AV210" s="442" t="s">
        <v>677</v>
      </c>
      <c r="AW210" s="442" t="s">
        <v>676</v>
      </c>
      <c r="AX210" s="442" t="s">
        <v>674</v>
      </c>
      <c r="AY210" s="442"/>
      <c r="AZ210" s="442"/>
      <c r="BA210" s="442" t="s">
        <v>679</v>
      </c>
      <c r="BB210" s="442"/>
      <c r="BC210" s="442"/>
      <c r="BD210" s="442"/>
      <c r="BE210" s="444"/>
      <c r="BF210" s="442" t="s">
        <v>298</v>
      </c>
      <c r="BG210" s="442" t="s">
        <v>680</v>
      </c>
      <c r="BH210" s="442" t="s">
        <v>681</v>
      </c>
      <c r="BI210" s="442"/>
    </row>
    <row r="211" spans="1:61">
      <c r="A211" s="442" t="s">
        <v>728</v>
      </c>
      <c r="B211" s="442" t="s">
        <v>728</v>
      </c>
      <c r="C211" s="442" t="s">
        <v>730</v>
      </c>
      <c r="D211" s="442" t="s">
        <v>673</v>
      </c>
      <c r="E211" s="442" t="s">
        <v>3</v>
      </c>
      <c r="F211" s="443" t="s">
        <v>7</v>
      </c>
      <c r="G211" s="443" t="s">
        <v>684</v>
      </c>
      <c r="H211" s="444">
        <v>3347790</v>
      </c>
      <c r="I211" s="444">
        <v>3347790</v>
      </c>
      <c r="J211" s="444">
        <v>0</v>
      </c>
      <c r="K211" s="444">
        <v>0</v>
      </c>
      <c r="L211" s="444">
        <v>3347790</v>
      </c>
      <c r="M211" s="444">
        <v>0</v>
      </c>
      <c r="N211" s="444">
        <v>0</v>
      </c>
      <c r="O211" s="444">
        <v>0</v>
      </c>
      <c r="P211" s="444">
        <v>0</v>
      </c>
      <c r="Q211" s="444">
        <v>0</v>
      </c>
      <c r="R211" s="444">
        <v>0</v>
      </c>
      <c r="S211" s="444">
        <v>0</v>
      </c>
      <c r="T211" s="444">
        <v>0</v>
      </c>
      <c r="U211" s="444">
        <v>0</v>
      </c>
      <c r="V211" s="444">
        <v>0</v>
      </c>
      <c r="W211" s="444">
        <v>0</v>
      </c>
      <c r="X211" s="442" t="s">
        <v>674</v>
      </c>
      <c r="Y211" s="442" t="s">
        <v>675</v>
      </c>
      <c r="Z211" s="442" t="s">
        <v>675</v>
      </c>
      <c r="AA211" s="442" t="s">
        <v>675</v>
      </c>
      <c r="AB211" s="442" t="s">
        <v>675</v>
      </c>
      <c r="AC211" s="442"/>
      <c r="AD211" s="442"/>
      <c r="AE211" s="442"/>
      <c r="AF211" s="442"/>
      <c r="AG211" s="443" t="s">
        <v>741</v>
      </c>
      <c r="AH211" s="442"/>
      <c r="AI211" s="443" t="s">
        <v>741</v>
      </c>
      <c r="AJ211" s="443" t="s">
        <v>677</v>
      </c>
      <c r="AK211" s="442" t="s">
        <v>677</v>
      </c>
      <c r="AL211" s="442"/>
      <c r="AM211" s="442"/>
      <c r="AN211" s="442"/>
      <c r="AO211" s="442"/>
      <c r="AP211" s="442"/>
      <c r="AQ211" s="442"/>
      <c r="AR211" s="444"/>
      <c r="AS211" s="442"/>
      <c r="AT211" s="444"/>
      <c r="AU211" s="442" t="s">
        <v>678</v>
      </c>
      <c r="AV211" s="442" t="s">
        <v>677</v>
      </c>
      <c r="AW211" s="442" t="s">
        <v>676</v>
      </c>
      <c r="AX211" s="442" t="s">
        <v>674</v>
      </c>
      <c r="AY211" s="442"/>
      <c r="AZ211" s="442"/>
      <c r="BA211" s="442" t="s">
        <v>679</v>
      </c>
      <c r="BB211" s="442"/>
      <c r="BC211" s="442"/>
      <c r="BD211" s="442"/>
      <c r="BE211" s="444"/>
      <c r="BF211" s="442" t="s">
        <v>298</v>
      </c>
      <c r="BG211" s="442" t="s">
        <v>680</v>
      </c>
      <c r="BH211" s="442" t="s">
        <v>681</v>
      </c>
      <c r="BI211" s="442"/>
    </row>
    <row r="212" spans="1:61">
      <c r="A212" s="442" t="s">
        <v>728</v>
      </c>
      <c r="B212" s="442" t="s">
        <v>728</v>
      </c>
      <c r="C212" s="442" t="s">
        <v>730</v>
      </c>
      <c r="D212" s="442" t="s">
        <v>673</v>
      </c>
      <c r="E212" s="442" t="s">
        <v>3</v>
      </c>
      <c r="F212" s="443" t="s">
        <v>7</v>
      </c>
      <c r="G212" s="443" t="s">
        <v>684</v>
      </c>
      <c r="H212" s="444">
        <v>200870</v>
      </c>
      <c r="I212" s="444">
        <v>200870</v>
      </c>
      <c r="J212" s="444">
        <v>0</v>
      </c>
      <c r="K212" s="444">
        <v>0</v>
      </c>
      <c r="L212" s="444">
        <v>200870</v>
      </c>
      <c r="M212" s="444">
        <v>0</v>
      </c>
      <c r="N212" s="444">
        <v>0</v>
      </c>
      <c r="O212" s="444">
        <v>0</v>
      </c>
      <c r="P212" s="444">
        <v>0</v>
      </c>
      <c r="Q212" s="444">
        <v>0</v>
      </c>
      <c r="R212" s="444">
        <v>0</v>
      </c>
      <c r="S212" s="444">
        <v>0</v>
      </c>
      <c r="T212" s="444">
        <v>0</v>
      </c>
      <c r="U212" s="444">
        <v>0</v>
      </c>
      <c r="V212" s="444">
        <v>0</v>
      </c>
      <c r="W212" s="444">
        <v>0</v>
      </c>
      <c r="X212" s="442" t="s">
        <v>674</v>
      </c>
      <c r="Y212" s="442" t="s">
        <v>675</v>
      </c>
      <c r="Z212" s="442" t="s">
        <v>675</v>
      </c>
      <c r="AA212" s="442" t="s">
        <v>675</v>
      </c>
      <c r="AB212" s="442" t="s">
        <v>675</v>
      </c>
      <c r="AC212" s="442"/>
      <c r="AD212" s="442"/>
      <c r="AE212" s="442"/>
      <c r="AF212" s="442"/>
      <c r="AG212" s="443" t="s">
        <v>740</v>
      </c>
      <c r="AH212" s="442"/>
      <c r="AI212" s="443" t="s">
        <v>740</v>
      </c>
      <c r="AJ212" s="443" t="s">
        <v>677</v>
      </c>
      <c r="AK212" s="442" t="s">
        <v>677</v>
      </c>
      <c r="AL212" s="442"/>
      <c r="AM212" s="442"/>
      <c r="AN212" s="442"/>
      <c r="AO212" s="442"/>
      <c r="AP212" s="442"/>
      <c r="AQ212" s="442"/>
      <c r="AR212" s="444"/>
      <c r="AS212" s="442"/>
      <c r="AT212" s="444"/>
      <c r="AU212" s="442" t="s">
        <v>678</v>
      </c>
      <c r="AV212" s="442" t="s">
        <v>677</v>
      </c>
      <c r="AW212" s="442" t="s">
        <v>676</v>
      </c>
      <c r="AX212" s="442" t="s">
        <v>674</v>
      </c>
      <c r="AY212" s="442"/>
      <c r="AZ212" s="442"/>
      <c r="BA212" s="442" t="s">
        <v>679</v>
      </c>
      <c r="BB212" s="442"/>
      <c r="BC212" s="442"/>
      <c r="BD212" s="442"/>
      <c r="BE212" s="444"/>
      <c r="BF212" s="442" t="s">
        <v>298</v>
      </c>
      <c r="BG212" s="442" t="s">
        <v>680</v>
      </c>
      <c r="BH212" s="442" t="s">
        <v>681</v>
      </c>
      <c r="BI212" s="442"/>
    </row>
    <row r="213" spans="1:61">
      <c r="A213" s="442" t="s">
        <v>728</v>
      </c>
      <c r="B213" s="442" t="s">
        <v>728</v>
      </c>
      <c r="C213" s="442" t="s">
        <v>730</v>
      </c>
      <c r="D213" s="442" t="s">
        <v>673</v>
      </c>
      <c r="E213" s="442" t="s">
        <v>3</v>
      </c>
      <c r="F213" s="443" t="s">
        <v>7</v>
      </c>
      <c r="G213" s="443" t="s">
        <v>684</v>
      </c>
      <c r="H213" s="444">
        <v>243050</v>
      </c>
      <c r="I213" s="444">
        <v>243050</v>
      </c>
      <c r="J213" s="444">
        <v>0</v>
      </c>
      <c r="K213" s="444">
        <v>0</v>
      </c>
      <c r="L213" s="444">
        <v>243050</v>
      </c>
      <c r="M213" s="444">
        <v>0</v>
      </c>
      <c r="N213" s="444">
        <v>0</v>
      </c>
      <c r="O213" s="444">
        <v>0</v>
      </c>
      <c r="P213" s="444">
        <v>0</v>
      </c>
      <c r="Q213" s="444">
        <v>0</v>
      </c>
      <c r="R213" s="444">
        <v>0</v>
      </c>
      <c r="S213" s="444">
        <v>0</v>
      </c>
      <c r="T213" s="444">
        <v>0</v>
      </c>
      <c r="U213" s="444">
        <v>0</v>
      </c>
      <c r="V213" s="444">
        <v>0</v>
      </c>
      <c r="W213" s="444">
        <v>0</v>
      </c>
      <c r="X213" s="442" t="s">
        <v>674</v>
      </c>
      <c r="Y213" s="442" t="s">
        <v>675</v>
      </c>
      <c r="Z213" s="442" t="s">
        <v>675</v>
      </c>
      <c r="AA213" s="442" t="s">
        <v>675</v>
      </c>
      <c r="AB213" s="442" t="s">
        <v>675</v>
      </c>
      <c r="AC213" s="442"/>
      <c r="AD213" s="442"/>
      <c r="AE213" s="442"/>
      <c r="AF213" s="442"/>
      <c r="AG213" s="443" t="s">
        <v>737</v>
      </c>
      <c r="AH213" s="442"/>
      <c r="AI213" s="443" t="s">
        <v>737</v>
      </c>
      <c r="AJ213" s="443" t="s">
        <v>677</v>
      </c>
      <c r="AK213" s="442" t="s">
        <v>677</v>
      </c>
      <c r="AL213" s="442"/>
      <c r="AM213" s="442"/>
      <c r="AN213" s="442"/>
      <c r="AO213" s="442"/>
      <c r="AP213" s="442"/>
      <c r="AQ213" s="442"/>
      <c r="AR213" s="444"/>
      <c r="AS213" s="442"/>
      <c r="AT213" s="444"/>
      <c r="AU213" s="442" t="s">
        <v>678</v>
      </c>
      <c r="AV213" s="442" t="s">
        <v>677</v>
      </c>
      <c r="AW213" s="442" t="s">
        <v>676</v>
      </c>
      <c r="AX213" s="442" t="s">
        <v>674</v>
      </c>
      <c r="AY213" s="442"/>
      <c r="AZ213" s="442"/>
      <c r="BA213" s="442" t="s">
        <v>679</v>
      </c>
      <c r="BB213" s="442"/>
      <c r="BC213" s="442"/>
      <c r="BD213" s="442"/>
      <c r="BE213" s="444"/>
      <c r="BF213" s="442" t="s">
        <v>298</v>
      </c>
      <c r="BG213" s="442" t="s">
        <v>680</v>
      </c>
      <c r="BH213" s="442" t="s">
        <v>681</v>
      </c>
      <c r="BI213" s="442"/>
    </row>
    <row r="214" spans="1:61">
      <c r="A214" s="442" t="s">
        <v>728</v>
      </c>
      <c r="B214" s="442" t="s">
        <v>728</v>
      </c>
      <c r="C214" s="442" t="s">
        <v>730</v>
      </c>
      <c r="D214" s="442" t="s">
        <v>673</v>
      </c>
      <c r="E214" s="442" t="s">
        <v>3</v>
      </c>
      <c r="F214" s="443" t="s">
        <v>7</v>
      </c>
      <c r="G214" s="443" t="s">
        <v>684</v>
      </c>
      <c r="H214" s="444">
        <v>2569587</v>
      </c>
      <c r="I214" s="444">
        <v>2569587</v>
      </c>
      <c r="J214" s="444">
        <v>0</v>
      </c>
      <c r="K214" s="444">
        <v>0</v>
      </c>
      <c r="L214" s="444">
        <v>2569587</v>
      </c>
      <c r="M214" s="444">
        <v>0</v>
      </c>
      <c r="N214" s="444">
        <v>0</v>
      </c>
      <c r="O214" s="444">
        <v>0</v>
      </c>
      <c r="P214" s="444">
        <v>0</v>
      </c>
      <c r="Q214" s="444">
        <v>0</v>
      </c>
      <c r="R214" s="444">
        <v>0</v>
      </c>
      <c r="S214" s="444">
        <v>0</v>
      </c>
      <c r="T214" s="444">
        <v>0</v>
      </c>
      <c r="U214" s="444">
        <v>0</v>
      </c>
      <c r="V214" s="444">
        <v>0</v>
      </c>
      <c r="W214" s="444">
        <v>0</v>
      </c>
      <c r="X214" s="442" t="s">
        <v>674</v>
      </c>
      <c r="Y214" s="442" t="s">
        <v>675</v>
      </c>
      <c r="Z214" s="442" t="s">
        <v>675</v>
      </c>
      <c r="AA214" s="442" t="s">
        <v>675</v>
      </c>
      <c r="AB214" s="442" t="s">
        <v>675</v>
      </c>
      <c r="AC214" s="442"/>
      <c r="AD214" s="442"/>
      <c r="AE214" s="442"/>
      <c r="AF214" s="442"/>
      <c r="AG214" s="443" t="s">
        <v>741</v>
      </c>
      <c r="AH214" s="442"/>
      <c r="AI214" s="443" t="s">
        <v>741</v>
      </c>
      <c r="AJ214" s="443" t="s">
        <v>677</v>
      </c>
      <c r="AK214" s="442" t="s">
        <v>677</v>
      </c>
      <c r="AL214" s="442"/>
      <c r="AM214" s="442"/>
      <c r="AN214" s="442"/>
      <c r="AO214" s="442"/>
      <c r="AP214" s="442"/>
      <c r="AQ214" s="442"/>
      <c r="AR214" s="444"/>
      <c r="AS214" s="442"/>
      <c r="AT214" s="444"/>
      <c r="AU214" s="442" t="s">
        <v>678</v>
      </c>
      <c r="AV214" s="442" t="s">
        <v>677</v>
      </c>
      <c r="AW214" s="442" t="s">
        <v>676</v>
      </c>
      <c r="AX214" s="442" t="s">
        <v>674</v>
      </c>
      <c r="AY214" s="442"/>
      <c r="AZ214" s="442"/>
      <c r="BA214" s="442" t="s">
        <v>679</v>
      </c>
      <c r="BB214" s="442"/>
      <c r="BC214" s="442"/>
      <c r="BD214" s="442"/>
      <c r="BE214" s="444"/>
      <c r="BF214" s="442" t="s">
        <v>298</v>
      </c>
      <c r="BG214" s="442" t="s">
        <v>680</v>
      </c>
      <c r="BH214" s="442" t="s">
        <v>681</v>
      </c>
      <c r="BI214" s="442"/>
    </row>
    <row r="215" spans="1:61">
      <c r="A215" s="442" t="s">
        <v>728</v>
      </c>
      <c r="B215" s="442" t="s">
        <v>728</v>
      </c>
      <c r="C215" s="442" t="s">
        <v>730</v>
      </c>
      <c r="D215" s="442" t="s">
        <v>673</v>
      </c>
      <c r="E215" s="442" t="s">
        <v>3</v>
      </c>
      <c r="F215" s="443" t="s">
        <v>7</v>
      </c>
      <c r="G215" s="443" t="s">
        <v>684</v>
      </c>
      <c r="H215" s="444">
        <v>171354</v>
      </c>
      <c r="I215" s="444">
        <v>171354</v>
      </c>
      <c r="J215" s="444">
        <v>0</v>
      </c>
      <c r="K215" s="444">
        <v>0</v>
      </c>
      <c r="L215" s="444">
        <v>171354</v>
      </c>
      <c r="M215" s="444">
        <v>0</v>
      </c>
      <c r="N215" s="444">
        <v>0</v>
      </c>
      <c r="O215" s="444">
        <v>0</v>
      </c>
      <c r="P215" s="444">
        <v>0</v>
      </c>
      <c r="Q215" s="444">
        <v>0</v>
      </c>
      <c r="R215" s="444">
        <v>0</v>
      </c>
      <c r="S215" s="444">
        <v>0</v>
      </c>
      <c r="T215" s="444">
        <v>0</v>
      </c>
      <c r="U215" s="444">
        <v>0</v>
      </c>
      <c r="V215" s="444">
        <v>0</v>
      </c>
      <c r="W215" s="444">
        <v>0</v>
      </c>
      <c r="X215" s="442" t="s">
        <v>674</v>
      </c>
      <c r="Y215" s="442" t="s">
        <v>675</v>
      </c>
      <c r="Z215" s="442" t="s">
        <v>675</v>
      </c>
      <c r="AA215" s="442" t="s">
        <v>675</v>
      </c>
      <c r="AB215" s="442" t="s">
        <v>675</v>
      </c>
      <c r="AC215" s="442"/>
      <c r="AD215" s="442"/>
      <c r="AE215" s="442"/>
      <c r="AF215" s="442"/>
      <c r="AG215" s="443" t="s">
        <v>737</v>
      </c>
      <c r="AH215" s="442"/>
      <c r="AI215" s="443" t="s">
        <v>737</v>
      </c>
      <c r="AJ215" s="443" t="s">
        <v>677</v>
      </c>
      <c r="AK215" s="442" t="s">
        <v>677</v>
      </c>
      <c r="AL215" s="442"/>
      <c r="AM215" s="442"/>
      <c r="AN215" s="442"/>
      <c r="AO215" s="442"/>
      <c r="AP215" s="442"/>
      <c r="AQ215" s="442"/>
      <c r="AR215" s="444"/>
      <c r="AS215" s="442"/>
      <c r="AT215" s="444"/>
      <c r="AU215" s="442" t="s">
        <v>678</v>
      </c>
      <c r="AV215" s="442" t="s">
        <v>677</v>
      </c>
      <c r="AW215" s="442" t="s">
        <v>676</v>
      </c>
      <c r="AX215" s="442" t="s">
        <v>674</v>
      </c>
      <c r="AY215" s="442"/>
      <c r="AZ215" s="442"/>
      <c r="BA215" s="442" t="s">
        <v>679</v>
      </c>
      <c r="BB215" s="442"/>
      <c r="BC215" s="442"/>
      <c r="BD215" s="442"/>
      <c r="BE215" s="444"/>
      <c r="BF215" s="442" t="s">
        <v>298</v>
      </c>
      <c r="BG215" s="442" t="s">
        <v>680</v>
      </c>
      <c r="BH215" s="442" t="s">
        <v>681</v>
      </c>
      <c r="BI215" s="442"/>
    </row>
    <row r="216" spans="1:61">
      <c r="A216" s="442" t="s">
        <v>728</v>
      </c>
      <c r="B216" s="442" t="s">
        <v>728</v>
      </c>
      <c r="C216" s="442" t="s">
        <v>730</v>
      </c>
      <c r="D216" s="442" t="s">
        <v>673</v>
      </c>
      <c r="E216" s="442" t="s">
        <v>3</v>
      </c>
      <c r="F216" s="443" t="s">
        <v>7</v>
      </c>
      <c r="G216" s="443" t="s">
        <v>684</v>
      </c>
      <c r="H216" s="444">
        <v>223280</v>
      </c>
      <c r="I216" s="444">
        <v>223280</v>
      </c>
      <c r="J216" s="444">
        <v>0</v>
      </c>
      <c r="K216" s="444">
        <v>0</v>
      </c>
      <c r="L216" s="444">
        <v>223280</v>
      </c>
      <c r="M216" s="444">
        <v>0</v>
      </c>
      <c r="N216" s="444">
        <v>0</v>
      </c>
      <c r="O216" s="444">
        <v>0</v>
      </c>
      <c r="P216" s="444">
        <v>0</v>
      </c>
      <c r="Q216" s="444">
        <v>0</v>
      </c>
      <c r="R216" s="444">
        <v>0</v>
      </c>
      <c r="S216" s="444">
        <v>0</v>
      </c>
      <c r="T216" s="444">
        <v>0</v>
      </c>
      <c r="U216" s="444">
        <v>0</v>
      </c>
      <c r="V216" s="444">
        <v>0</v>
      </c>
      <c r="W216" s="444">
        <v>0</v>
      </c>
      <c r="X216" s="442" t="s">
        <v>674</v>
      </c>
      <c r="Y216" s="442" t="s">
        <v>675</v>
      </c>
      <c r="Z216" s="442" t="s">
        <v>675</v>
      </c>
      <c r="AA216" s="442" t="s">
        <v>675</v>
      </c>
      <c r="AB216" s="442" t="s">
        <v>675</v>
      </c>
      <c r="AC216" s="442"/>
      <c r="AD216" s="442"/>
      <c r="AE216" s="442"/>
      <c r="AF216" s="442"/>
      <c r="AG216" s="443" t="s">
        <v>739</v>
      </c>
      <c r="AH216" s="442"/>
      <c r="AI216" s="443" t="s">
        <v>739</v>
      </c>
      <c r="AJ216" s="443" t="s">
        <v>677</v>
      </c>
      <c r="AK216" s="442" t="s">
        <v>677</v>
      </c>
      <c r="AL216" s="442"/>
      <c r="AM216" s="442"/>
      <c r="AN216" s="442"/>
      <c r="AO216" s="442"/>
      <c r="AP216" s="442"/>
      <c r="AQ216" s="442"/>
      <c r="AR216" s="444"/>
      <c r="AS216" s="442"/>
      <c r="AT216" s="444"/>
      <c r="AU216" s="442" t="s">
        <v>678</v>
      </c>
      <c r="AV216" s="442" t="s">
        <v>677</v>
      </c>
      <c r="AW216" s="442" t="s">
        <v>676</v>
      </c>
      <c r="AX216" s="442" t="s">
        <v>674</v>
      </c>
      <c r="AY216" s="442"/>
      <c r="AZ216" s="442"/>
      <c r="BA216" s="442" t="s">
        <v>679</v>
      </c>
      <c r="BB216" s="442"/>
      <c r="BC216" s="442"/>
      <c r="BD216" s="442"/>
      <c r="BE216" s="444"/>
      <c r="BF216" s="442" t="s">
        <v>298</v>
      </c>
      <c r="BG216" s="442" t="s">
        <v>680</v>
      </c>
      <c r="BH216" s="442" t="s">
        <v>681</v>
      </c>
      <c r="BI216" s="442"/>
    </row>
    <row r="217" spans="1:61">
      <c r="A217" s="442" t="s">
        <v>728</v>
      </c>
      <c r="B217" s="442" t="s">
        <v>728</v>
      </c>
      <c r="C217" s="442" t="s">
        <v>730</v>
      </c>
      <c r="D217" s="442" t="s">
        <v>673</v>
      </c>
      <c r="E217" s="442" t="s">
        <v>3</v>
      </c>
      <c r="F217" s="443" t="s">
        <v>7</v>
      </c>
      <c r="G217" s="443" t="s">
        <v>684</v>
      </c>
      <c r="H217" s="444">
        <v>193340</v>
      </c>
      <c r="I217" s="444">
        <v>193340</v>
      </c>
      <c r="J217" s="444">
        <v>0</v>
      </c>
      <c r="K217" s="444">
        <v>0</v>
      </c>
      <c r="L217" s="444">
        <v>193340</v>
      </c>
      <c r="M217" s="444">
        <v>0</v>
      </c>
      <c r="N217" s="444">
        <v>0</v>
      </c>
      <c r="O217" s="444">
        <v>0</v>
      </c>
      <c r="P217" s="444">
        <v>0</v>
      </c>
      <c r="Q217" s="444">
        <v>0</v>
      </c>
      <c r="R217" s="444">
        <v>0</v>
      </c>
      <c r="S217" s="444">
        <v>0</v>
      </c>
      <c r="T217" s="444">
        <v>0</v>
      </c>
      <c r="U217" s="444">
        <v>0</v>
      </c>
      <c r="V217" s="444">
        <v>0</v>
      </c>
      <c r="W217" s="444">
        <v>0</v>
      </c>
      <c r="X217" s="442" t="s">
        <v>674</v>
      </c>
      <c r="Y217" s="442" t="s">
        <v>675</v>
      </c>
      <c r="Z217" s="442" t="s">
        <v>675</v>
      </c>
      <c r="AA217" s="442" t="s">
        <v>675</v>
      </c>
      <c r="AB217" s="442" t="s">
        <v>675</v>
      </c>
      <c r="AC217" s="442"/>
      <c r="AD217" s="442"/>
      <c r="AE217" s="442"/>
      <c r="AF217" s="442"/>
      <c r="AG217" s="443" t="s">
        <v>738</v>
      </c>
      <c r="AH217" s="442"/>
      <c r="AI217" s="443" t="s">
        <v>738</v>
      </c>
      <c r="AJ217" s="443" t="s">
        <v>677</v>
      </c>
      <c r="AK217" s="442" t="s">
        <v>677</v>
      </c>
      <c r="AL217" s="442"/>
      <c r="AM217" s="442"/>
      <c r="AN217" s="442"/>
      <c r="AO217" s="442"/>
      <c r="AP217" s="442"/>
      <c r="AQ217" s="442"/>
      <c r="AR217" s="444"/>
      <c r="AS217" s="442"/>
      <c r="AT217" s="444"/>
      <c r="AU217" s="442" t="s">
        <v>678</v>
      </c>
      <c r="AV217" s="442" t="s">
        <v>677</v>
      </c>
      <c r="AW217" s="442" t="s">
        <v>676</v>
      </c>
      <c r="AX217" s="442" t="s">
        <v>674</v>
      </c>
      <c r="AY217" s="442"/>
      <c r="AZ217" s="442"/>
      <c r="BA217" s="442" t="s">
        <v>679</v>
      </c>
      <c r="BB217" s="442"/>
      <c r="BC217" s="442"/>
      <c r="BD217" s="442"/>
      <c r="BE217" s="444"/>
      <c r="BF217" s="442" t="s">
        <v>298</v>
      </c>
      <c r="BG217" s="442" t="s">
        <v>680</v>
      </c>
      <c r="BH217" s="442" t="s">
        <v>681</v>
      </c>
      <c r="BI217" s="442"/>
    </row>
    <row r="218" spans="1:61">
      <c r="A218" s="442" t="s">
        <v>728</v>
      </c>
      <c r="B218" s="442" t="s">
        <v>728</v>
      </c>
      <c r="C218" s="442" t="s">
        <v>730</v>
      </c>
      <c r="D218" s="442" t="s">
        <v>673</v>
      </c>
      <c r="E218" s="442" t="s">
        <v>3</v>
      </c>
      <c r="F218" s="443" t="s">
        <v>7</v>
      </c>
      <c r="G218" s="443" t="s">
        <v>684</v>
      </c>
      <c r="H218" s="444">
        <v>23240</v>
      </c>
      <c r="I218" s="444">
        <v>23240</v>
      </c>
      <c r="J218" s="444">
        <v>0</v>
      </c>
      <c r="K218" s="444">
        <v>0</v>
      </c>
      <c r="L218" s="444">
        <v>23240</v>
      </c>
      <c r="M218" s="444">
        <v>0</v>
      </c>
      <c r="N218" s="444">
        <v>0</v>
      </c>
      <c r="O218" s="444">
        <v>0</v>
      </c>
      <c r="P218" s="444">
        <v>0</v>
      </c>
      <c r="Q218" s="444">
        <v>0</v>
      </c>
      <c r="R218" s="444">
        <v>0</v>
      </c>
      <c r="S218" s="444">
        <v>0</v>
      </c>
      <c r="T218" s="444">
        <v>0</v>
      </c>
      <c r="U218" s="444">
        <v>0</v>
      </c>
      <c r="V218" s="444">
        <v>0</v>
      </c>
      <c r="W218" s="444">
        <v>0</v>
      </c>
      <c r="X218" s="442" t="s">
        <v>674</v>
      </c>
      <c r="Y218" s="442" t="s">
        <v>675</v>
      </c>
      <c r="Z218" s="442" t="s">
        <v>675</v>
      </c>
      <c r="AA218" s="442" t="s">
        <v>675</v>
      </c>
      <c r="AB218" s="442" t="s">
        <v>675</v>
      </c>
      <c r="AC218" s="442"/>
      <c r="AD218" s="442"/>
      <c r="AE218" s="442"/>
      <c r="AF218" s="442"/>
      <c r="AG218" s="443" t="s">
        <v>740</v>
      </c>
      <c r="AH218" s="442"/>
      <c r="AI218" s="443" t="s">
        <v>740</v>
      </c>
      <c r="AJ218" s="443" t="s">
        <v>677</v>
      </c>
      <c r="AK218" s="442" t="s">
        <v>677</v>
      </c>
      <c r="AL218" s="442"/>
      <c r="AM218" s="442"/>
      <c r="AN218" s="442"/>
      <c r="AO218" s="442"/>
      <c r="AP218" s="442"/>
      <c r="AQ218" s="442"/>
      <c r="AR218" s="444"/>
      <c r="AS218" s="442"/>
      <c r="AT218" s="444"/>
      <c r="AU218" s="442" t="s">
        <v>678</v>
      </c>
      <c r="AV218" s="442" t="s">
        <v>677</v>
      </c>
      <c r="AW218" s="442" t="s">
        <v>676</v>
      </c>
      <c r="AX218" s="442" t="s">
        <v>674</v>
      </c>
      <c r="AY218" s="442"/>
      <c r="AZ218" s="442"/>
      <c r="BA218" s="442" t="s">
        <v>679</v>
      </c>
      <c r="BB218" s="442"/>
      <c r="BC218" s="442"/>
      <c r="BD218" s="442"/>
      <c r="BE218" s="444"/>
      <c r="BF218" s="442" t="s">
        <v>298</v>
      </c>
      <c r="BG218" s="442" t="s">
        <v>680</v>
      </c>
      <c r="BH218" s="442" t="s">
        <v>681</v>
      </c>
      <c r="BI218" s="442"/>
    </row>
    <row r="219" spans="1:61">
      <c r="A219" s="442" t="s">
        <v>728</v>
      </c>
      <c r="B219" s="442" t="s">
        <v>728</v>
      </c>
      <c r="C219" s="442" t="s">
        <v>730</v>
      </c>
      <c r="D219" s="442" t="s">
        <v>673</v>
      </c>
      <c r="E219" s="442" t="s">
        <v>3</v>
      </c>
      <c r="F219" s="443" t="s">
        <v>7</v>
      </c>
      <c r="G219" s="443" t="s">
        <v>684</v>
      </c>
      <c r="H219" s="444">
        <v>425360</v>
      </c>
      <c r="I219" s="444">
        <v>425360</v>
      </c>
      <c r="J219" s="444">
        <v>0</v>
      </c>
      <c r="K219" s="444">
        <v>0</v>
      </c>
      <c r="L219" s="444">
        <v>425360</v>
      </c>
      <c r="M219" s="444">
        <v>0</v>
      </c>
      <c r="N219" s="444">
        <v>0</v>
      </c>
      <c r="O219" s="444">
        <v>0</v>
      </c>
      <c r="P219" s="444">
        <v>0</v>
      </c>
      <c r="Q219" s="444">
        <v>0</v>
      </c>
      <c r="R219" s="444">
        <v>0</v>
      </c>
      <c r="S219" s="444">
        <v>0</v>
      </c>
      <c r="T219" s="444">
        <v>0</v>
      </c>
      <c r="U219" s="444">
        <v>0</v>
      </c>
      <c r="V219" s="444">
        <v>0</v>
      </c>
      <c r="W219" s="444">
        <v>0</v>
      </c>
      <c r="X219" s="442" t="s">
        <v>674</v>
      </c>
      <c r="Y219" s="442" t="s">
        <v>675</v>
      </c>
      <c r="Z219" s="442" t="s">
        <v>675</v>
      </c>
      <c r="AA219" s="442" t="s">
        <v>675</v>
      </c>
      <c r="AB219" s="442" t="s">
        <v>675</v>
      </c>
      <c r="AC219" s="442"/>
      <c r="AD219" s="442"/>
      <c r="AE219" s="442"/>
      <c r="AF219" s="442"/>
      <c r="AG219" s="443" t="s">
        <v>739</v>
      </c>
      <c r="AH219" s="442"/>
      <c r="AI219" s="443" t="s">
        <v>739</v>
      </c>
      <c r="AJ219" s="443" t="s">
        <v>677</v>
      </c>
      <c r="AK219" s="442" t="s">
        <v>677</v>
      </c>
      <c r="AL219" s="442"/>
      <c r="AM219" s="442"/>
      <c r="AN219" s="442"/>
      <c r="AO219" s="442"/>
      <c r="AP219" s="442"/>
      <c r="AQ219" s="442"/>
      <c r="AR219" s="444"/>
      <c r="AS219" s="442"/>
      <c r="AT219" s="444"/>
      <c r="AU219" s="442" t="s">
        <v>678</v>
      </c>
      <c r="AV219" s="442" t="s">
        <v>677</v>
      </c>
      <c r="AW219" s="442" t="s">
        <v>676</v>
      </c>
      <c r="AX219" s="442" t="s">
        <v>674</v>
      </c>
      <c r="AY219" s="442"/>
      <c r="AZ219" s="442"/>
      <c r="BA219" s="442" t="s">
        <v>679</v>
      </c>
      <c r="BB219" s="442"/>
      <c r="BC219" s="442"/>
      <c r="BD219" s="442"/>
      <c r="BE219" s="444"/>
      <c r="BF219" s="442" t="s">
        <v>298</v>
      </c>
      <c r="BG219" s="442" t="s">
        <v>680</v>
      </c>
      <c r="BH219" s="442" t="s">
        <v>681</v>
      </c>
      <c r="BI219" s="442"/>
    </row>
    <row r="220" spans="1:61">
      <c r="A220" s="442" t="s">
        <v>728</v>
      </c>
      <c r="B220" s="442" t="s">
        <v>728</v>
      </c>
      <c r="C220" s="442" t="s">
        <v>730</v>
      </c>
      <c r="D220" s="442" t="s">
        <v>673</v>
      </c>
      <c r="E220" s="442" t="s">
        <v>3</v>
      </c>
      <c r="F220" s="443" t="s">
        <v>7</v>
      </c>
      <c r="G220" s="443" t="s">
        <v>684</v>
      </c>
      <c r="H220" s="444">
        <v>1839670</v>
      </c>
      <c r="I220" s="444">
        <v>1839670</v>
      </c>
      <c r="J220" s="444">
        <v>0</v>
      </c>
      <c r="K220" s="444">
        <v>0</v>
      </c>
      <c r="L220" s="444">
        <v>1839670</v>
      </c>
      <c r="M220" s="444">
        <v>0</v>
      </c>
      <c r="N220" s="444">
        <v>0</v>
      </c>
      <c r="O220" s="444">
        <v>0</v>
      </c>
      <c r="P220" s="444">
        <v>0</v>
      </c>
      <c r="Q220" s="444">
        <v>0</v>
      </c>
      <c r="R220" s="444">
        <v>0</v>
      </c>
      <c r="S220" s="444">
        <v>0</v>
      </c>
      <c r="T220" s="444">
        <v>0</v>
      </c>
      <c r="U220" s="444">
        <v>0</v>
      </c>
      <c r="V220" s="444">
        <v>0</v>
      </c>
      <c r="W220" s="444">
        <v>0</v>
      </c>
      <c r="X220" s="442" t="s">
        <v>674</v>
      </c>
      <c r="Y220" s="442" t="s">
        <v>675</v>
      </c>
      <c r="Z220" s="442" t="s">
        <v>675</v>
      </c>
      <c r="AA220" s="442" t="s">
        <v>675</v>
      </c>
      <c r="AB220" s="442" t="s">
        <v>675</v>
      </c>
      <c r="AC220" s="442"/>
      <c r="AD220" s="442"/>
      <c r="AE220" s="442"/>
      <c r="AF220" s="442"/>
      <c r="AG220" s="443" t="s">
        <v>741</v>
      </c>
      <c r="AH220" s="442"/>
      <c r="AI220" s="443" t="s">
        <v>741</v>
      </c>
      <c r="AJ220" s="443" t="s">
        <v>677</v>
      </c>
      <c r="AK220" s="442" t="s">
        <v>677</v>
      </c>
      <c r="AL220" s="442"/>
      <c r="AM220" s="442"/>
      <c r="AN220" s="442"/>
      <c r="AO220" s="442"/>
      <c r="AP220" s="442"/>
      <c r="AQ220" s="442"/>
      <c r="AR220" s="444"/>
      <c r="AS220" s="442"/>
      <c r="AT220" s="444"/>
      <c r="AU220" s="442" t="s">
        <v>678</v>
      </c>
      <c r="AV220" s="442" t="s">
        <v>677</v>
      </c>
      <c r="AW220" s="442" t="s">
        <v>676</v>
      </c>
      <c r="AX220" s="442" t="s">
        <v>674</v>
      </c>
      <c r="AY220" s="442"/>
      <c r="AZ220" s="442"/>
      <c r="BA220" s="442" t="s">
        <v>679</v>
      </c>
      <c r="BB220" s="442"/>
      <c r="BC220" s="442"/>
      <c r="BD220" s="442"/>
      <c r="BE220" s="444"/>
      <c r="BF220" s="442" t="s">
        <v>298</v>
      </c>
      <c r="BG220" s="442" t="s">
        <v>680</v>
      </c>
      <c r="BH220" s="442" t="s">
        <v>681</v>
      </c>
      <c r="BI220" s="442"/>
    </row>
    <row r="221" spans="1:61">
      <c r="A221" s="442" t="s">
        <v>728</v>
      </c>
      <c r="B221" s="442" t="s">
        <v>728</v>
      </c>
      <c r="C221" s="442" t="s">
        <v>730</v>
      </c>
      <c r="D221" s="442" t="s">
        <v>673</v>
      </c>
      <c r="E221" s="442" t="s">
        <v>3</v>
      </c>
      <c r="F221" s="443" t="s">
        <v>7</v>
      </c>
      <c r="G221" s="443" t="s">
        <v>684</v>
      </c>
      <c r="H221" s="444">
        <v>326410</v>
      </c>
      <c r="I221" s="444">
        <v>326410</v>
      </c>
      <c r="J221" s="444">
        <v>0</v>
      </c>
      <c r="K221" s="444">
        <v>0</v>
      </c>
      <c r="L221" s="444">
        <v>326410</v>
      </c>
      <c r="M221" s="444">
        <v>0</v>
      </c>
      <c r="N221" s="444">
        <v>0</v>
      </c>
      <c r="O221" s="444">
        <v>0</v>
      </c>
      <c r="P221" s="444">
        <v>0</v>
      </c>
      <c r="Q221" s="444">
        <v>0</v>
      </c>
      <c r="R221" s="444">
        <v>0</v>
      </c>
      <c r="S221" s="444">
        <v>0</v>
      </c>
      <c r="T221" s="444">
        <v>0</v>
      </c>
      <c r="U221" s="444">
        <v>0</v>
      </c>
      <c r="V221" s="444">
        <v>0</v>
      </c>
      <c r="W221" s="444">
        <v>0</v>
      </c>
      <c r="X221" s="442" t="s">
        <v>674</v>
      </c>
      <c r="Y221" s="442" t="s">
        <v>675</v>
      </c>
      <c r="Z221" s="442" t="s">
        <v>675</v>
      </c>
      <c r="AA221" s="442" t="s">
        <v>675</v>
      </c>
      <c r="AB221" s="442" t="s">
        <v>675</v>
      </c>
      <c r="AC221" s="442"/>
      <c r="AD221" s="442"/>
      <c r="AE221" s="442"/>
      <c r="AF221" s="442"/>
      <c r="AG221" s="443" t="s">
        <v>737</v>
      </c>
      <c r="AH221" s="442"/>
      <c r="AI221" s="443" t="s">
        <v>737</v>
      </c>
      <c r="AJ221" s="443" t="s">
        <v>677</v>
      </c>
      <c r="AK221" s="442" t="s">
        <v>677</v>
      </c>
      <c r="AL221" s="442"/>
      <c r="AM221" s="442"/>
      <c r="AN221" s="442"/>
      <c r="AO221" s="442"/>
      <c r="AP221" s="442"/>
      <c r="AQ221" s="442"/>
      <c r="AR221" s="444"/>
      <c r="AS221" s="442"/>
      <c r="AT221" s="444"/>
      <c r="AU221" s="442" t="s">
        <v>678</v>
      </c>
      <c r="AV221" s="442" t="s">
        <v>677</v>
      </c>
      <c r="AW221" s="442" t="s">
        <v>676</v>
      </c>
      <c r="AX221" s="442" t="s">
        <v>674</v>
      </c>
      <c r="AY221" s="442"/>
      <c r="AZ221" s="442"/>
      <c r="BA221" s="442" t="s">
        <v>679</v>
      </c>
      <c r="BB221" s="442"/>
      <c r="BC221" s="442"/>
      <c r="BD221" s="442"/>
      <c r="BE221" s="444"/>
      <c r="BF221" s="442" t="s">
        <v>298</v>
      </c>
      <c r="BG221" s="442" t="s">
        <v>680</v>
      </c>
      <c r="BH221" s="442" t="s">
        <v>681</v>
      </c>
      <c r="BI221" s="442"/>
    </row>
    <row r="222" spans="1:61">
      <c r="A222" s="442" t="s">
        <v>728</v>
      </c>
      <c r="B222" s="442" t="s">
        <v>728</v>
      </c>
      <c r="C222" s="442" t="s">
        <v>730</v>
      </c>
      <c r="D222" s="442" t="s">
        <v>673</v>
      </c>
      <c r="E222" s="442" t="s">
        <v>3</v>
      </c>
      <c r="F222" s="443" t="s">
        <v>7</v>
      </c>
      <c r="G222" s="443" t="s">
        <v>684</v>
      </c>
      <c r="H222" s="444">
        <v>368340</v>
      </c>
      <c r="I222" s="444">
        <v>368340</v>
      </c>
      <c r="J222" s="444">
        <v>0</v>
      </c>
      <c r="K222" s="444">
        <v>0</v>
      </c>
      <c r="L222" s="444">
        <v>368340</v>
      </c>
      <c r="M222" s="444">
        <v>0</v>
      </c>
      <c r="N222" s="444">
        <v>0</v>
      </c>
      <c r="O222" s="444">
        <v>0</v>
      </c>
      <c r="P222" s="444">
        <v>0</v>
      </c>
      <c r="Q222" s="444">
        <v>0</v>
      </c>
      <c r="R222" s="444">
        <v>0</v>
      </c>
      <c r="S222" s="444">
        <v>0</v>
      </c>
      <c r="T222" s="444">
        <v>0</v>
      </c>
      <c r="U222" s="444">
        <v>0</v>
      </c>
      <c r="V222" s="444">
        <v>0</v>
      </c>
      <c r="W222" s="444">
        <v>0</v>
      </c>
      <c r="X222" s="442" t="s">
        <v>674</v>
      </c>
      <c r="Y222" s="442" t="s">
        <v>675</v>
      </c>
      <c r="Z222" s="442" t="s">
        <v>675</v>
      </c>
      <c r="AA222" s="442" t="s">
        <v>675</v>
      </c>
      <c r="AB222" s="442" t="s">
        <v>675</v>
      </c>
      <c r="AC222" s="442"/>
      <c r="AD222" s="442"/>
      <c r="AE222" s="442"/>
      <c r="AF222" s="442"/>
      <c r="AG222" s="443" t="s">
        <v>738</v>
      </c>
      <c r="AH222" s="442"/>
      <c r="AI222" s="443" t="s">
        <v>738</v>
      </c>
      <c r="AJ222" s="443" t="s">
        <v>677</v>
      </c>
      <c r="AK222" s="442" t="s">
        <v>677</v>
      </c>
      <c r="AL222" s="442"/>
      <c r="AM222" s="442"/>
      <c r="AN222" s="442"/>
      <c r="AO222" s="442"/>
      <c r="AP222" s="442"/>
      <c r="AQ222" s="442"/>
      <c r="AR222" s="444"/>
      <c r="AS222" s="442"/>
      <c r="AT222" s="444"/>
      <c r="AU222" s="442" t="s">
        <v>678</v>
      </c>
      <c r="AV222" s="442" t="s">
        <v>677</v>
      </c>
      <c r="AW222" s="442" t="s">
        <v>676</v>
      </c>
      <c r="AX222" s="442" t="s">
        <v>674</v>
      </c>
      <c r="AY222" s="442"/>
      <c r="AZ222" s="442"/>
      <c r="BA222" s="442" t="s">
        <v>679</v>
      </c>
      <c r="BB222" s="442"/>
      <c r="BC222" s="442"/>
      <c r="BD222" s="442"/>
      <c r="BE222" s="444"/>
      <c r="BF222" s="442" t="s">
        <v>298</v>
      </c>
      <c r="BG222" s="442" t="s">
        <v>680</v>
      </c>
      <c r="BH222" s="442" t="s">
        <v>681</v>
      </c>
      <c r="BI222" s="442"/>
    </row>
    <row r="223" spans="1:61">
      <c r="A223" s="442" t="s">
        <v>728</v>
      </c>
      <c r="B223" s="442" t="s">
        <v>728</v>
      </c>
      <c r="C223" s="442" t="s">
        <v>730</v>
      </c>
      <c r="D223" s="442" t="s">
        <v>673</v>
      </c>
      <c r="E223" s="442" t="s">
        <v>3</v>
      </c>
      <c r="F223" s="443" t="s">
        <v>7</v>
      </c>
      <c r="G223" s="443" t="s">
        <v>684</v>
      </c>
      <c r="H223" s="444">
        <v>200870</v>
      </c>
      <c r="I223" s="444">
        <v>200870</v>
      </c>
      <c r="J223" s="444">
        <v>0</v>
      </c>
      <c r="K223" s="444">
        <v>0</v>
      </c>
      <c r="L223" s="444">
        <v>200870</v>
      </c>
      <c r="M223" s="444">
        <v>0</v>
      </c>
      <c r="N223" s="444">
        <v>0</v>
      </c>
      <c r="O223" s="444">
        <v>0</v>
      </c>
      <c r="P223" s="444">
        <v>0</v>
      </c>
      <c r="Q223" s="444">
        <v>0</v>
      </c>
      <c r="R223" s="444">
        <v>0</v>
      </c>
      <c r="S223" s="444">
        <v>0</v>
      </c>
      <c r="T223" s="444">
        <v>0</v>
      </c>
      <c r="U223" s="444">
        <v>0</v>
      </c>
      <c r="V223" s="444">
        <v>0</v>
      </c>
      <c r="W223" s="444">
        <v>0</v>
      </c>
      <c r="X223" s="442" t="s">
        <v>674</v>
      </c>
      <c r="Y223" s="442" t="s">
        <v>675</v>
      </c>
      <c r="Z223" s="442" t="s">
        <v>675</v>
      </c>
      <c r="AA223" s="442" t="s">
        <v>675</v>
      </c>
      <c r="AB223" s="442" t="s">
        <v>675</v>
      </c>
      <c r="AC223" s="442"/>
      <c r="AD223" s="442"/>
      <c r="AE223" s="442"/>
      <c r="AF223" s="442"/>
      <c r="AG223" s="443" t="s">
        <v>740</v>
      </c>
      <c r="AH223" s="442"/>
      <c r="AI223" s="443" t="s">
        <v>740</v>
      </c>
      <c r="AJ223" s="443" t="s">
        <v>677</v>
      </c>
      <c r="AK223" s="442" t="s">
        <v>677</v>
      </c>
      <c r="AL223" s="442"/>
      <c r="AM223" s="442"/>
      <c r="AN223" s="442"/>
      <c r="AO223" s="442"/>
      <c r="AP223" s="442"/>
      <c r="AQ223" s="442"/>
      <c r="AR223" s="444"/>
      <c r="AS223" s="442"/>
      <c r="AT223" s="444"/>
      <c r="AU223" s="442" t="s">
        <v>678</v>
      </c>
      <c r="AV223" s="442" t="s">
        <v>677</v>
      </c>
      <c r="AW223" s="442" t="s">
        <v>676</v>
      </c>
      <c r="AX223" s="442" t="s">
        <v>674</v>
      </c>
      <c r="AY223" s="442"/>
      <c r="AZ223" s="442"/>
      <c r="BA223" s="442" t="s">
        <v>679</v>
      </c>
      <c r="BB223" s="442"/>
      <c r="BC223" s="442"/>
      <c r="BD223" s="442"/>
      <c r="BE223" s="444"/>
      <c r="BF223" s="442" t="s">
        <v>298</v>
      </c>
      <c r="BG223" s="442" t="s">
        <v>680</v>
      </c>
      <c r="BH223" s="442" t="s">
        <v>681</v>
      </c>
      <c r="BI223" s="442"/>
    </row>
    <row r="224" spans="1:61">
      <c r="A224" s="442" t="s">
        <v>728</v>
      </c>
      <c r="B224" s="442" t="s">
        <v>728</v>
      </c>
      <c r="C224" s="442" t="s">
        <v>730</v>
      </c>
      <c r="D224" s="442" t="s">
        <v>673</v>
      </c>
      <c r="E224" s="442" t="s">
        <v>3</v>
      </c>
      <c r="F224" s="443" t="s">
        <v>7</v>
      </c>
      <c r="G224" s="443" t="s">
        <v>684</v>
      </c>
      <c r="H224" s="444">
        <v>3347790</v>
      </c>
      <c r="I224" s="444">
        <v>3347790</v>
      </c>
      <c r="J224" s="444">
        <v>0</v>
      </c>
      <c r="K224" s="444">
        <v>0</v>
      </c>
      <c r="L224" s="444">
        <v>3347790</v>
      </c>
      <c r="M224" s="444">
        <v>0</v>
      </c>
      <c r="N224" s="444">
        <v>0</v>
      </c>
      <c r="O224" s="444">
        <v>0</v>
      </c>
      <c r="P224" s="444">
        <v>0</v>
      </c>
      <c r="Q224" s="444">
        <v>0</v>
      </c>
      <c r="R224" s="444">
        <v>0</v>
      </c>
      <c r="S224" s="444">
        <v>0</v>
      </c>
      <c r="T224" s="444">
        <v>0</v>
      </c>
      <c r="U224" s="444">
        <v>0</v>
      </c>
      <c r="V224" s="444">
        <v>0</v>
      </c>
      <c r="W224" s="444">
        <v>0</v>
      </c>
      <c r="X224" s="442" t="s">
        <v>674</v>
      </c>
      <c r="Y224" s="442" t="s">
        <v>675</v>
      </c>
      <c r="Z224" s="442" t="s">
        <v>675</v>
      </c>
      <c r="AA224" s="442" t="s">
        <v>675</v>
      </c>
      <c r="AB224" s="442" t="s">
        <v>675</v>
      </c>
      <c r="AC224" s="442"/>
      <c r="AD224" s="442"/>
      <c r="AE224" s="442"/>
      <c r="AF224" s="442"/>
      <c r="AG224" s="443" t="s">
        <v>741</v>
      </c>
      <c r="AH224" s="442"/>
      <c r="AI224" s="443" t="s">
        <v>741</v>
      </c>
      <c r="AJ224" s="443" t="s">
        <v>677</v>
      </c>
      <c r="AK224" s="442" t="s">
        <v>677</v>
      </c>
      <c r="AL224" s="442"/>
      <c r="AM224" s="442"/>
      <c r="AN224" s="442"/>
      <c r="AO224" s="442"/>
      <c r="AP224" s="442"/>
      <c r="AQ224" s="442"/>
      <c r="AR224" s="444"/>
      <c r="AS224" s="442"/>
      <c r="AT224" s="444"/>
      <c r="AU224" s="442" t="s">
        <v>678</v>
      </c>
      <c r="AV224" s="442" t="s">
        <v>677</v>
      </c>
      <c r="AW224" s="442" t="s">
        <v>676</v>
      </c>
      <c r="AX224" s="442" t="s">
        <v>674</v>
      </c>
      <c r="AY224" s="442"/>
      <c r="AZ224" s="442"/>
      <c r="BA224" s="442" t="s">
        <v>679</v>
      </c>
      <c r="BB224" s="442"/>
      <c r="BC224" s="442"/>
      <c r="BD224" s="442"/>
      <c r="BE224" s="444"/>
      <c r="BF224" s="442" t="s">
        <v>298</v>
      </c>
      <c r="BG224" s="442" t="s">
        <v>680</v>
      </c>
      <c r="BH224" s="442" t="s">
        <v>681</v>
      </c>
      <c r="BI224" s="442"/>
    </row>
    <row r="225" spans="1:61">
      <c r="A225" s="442" t="s">
        <v>723</v>
      </c>
      <c r="B225" s="442" t="s">
        <v>682</v>
      </c>
      <c r="C225" s="442" t="s">
        <v>723</v>
      </c>
      <c r="D225" s="442" t="s">
        <v>716</v>
      </c>
      <c r="E225" s="442" t="s">
        <v>3</v>
      </c>
      <c r="F225" s="443" t="s">
        <v>71</v>
      </c>
      <c r="G225" s="443" t="s">
        <v>719</v>
      </c>
      <c r="H225" s="444">
        <v>3168000</v>
      </c>
      <c r="I225" s="444">
        <v>3168000</v>
      </c>
      <c r="J225" s="444">
        <v>0</v>
      </c>
      <c r="K225" s="444">
        <v>0</v>
      </c>
      <c r="L225" s="444">
        <v>2880000</v>
      </c>
      <c r="M225" s="444">
        <v>0</v>
      </c>
      <c r="N225" s="444">
        <v>0</v>
      </c>
      <c r="O225" s="444">
        <v>288000</v>
      </c>
      <c r="P225" s="444">
        <v>0</v>
      </c>
      <c r="Q225" s="444">
        <v>0</v>
      </c>
      <c r="R225" s="444">
        <v>0</v>
      </c>
      <c r="S225" s="444">
        <v>0</v>
      </c>
      <c r="T225" s="444">
        <v>0</v>
      </c>
      <c r="U225" s="444">
        <v>0</v>
      </c>
      <c r="V225" s="444">
        <v>0</v>
      </c>
      <c r="W225" s="444">
        <v>0</v>
      </c>
      <c r="X225" s="442" t="s">
        <v>674</v>
      </c>
      <c r="Y225" s="442" t="s">
        <v>675</v>
      </c>
      <c r="Z225" s="442" t="s">
        <v>675</v>
      </c>
      <c r="AA225" s="442" t="s">
        <v>675</v>
      </c>
      <c r="AB225" s="442" t="s">
        <v>675</v>
      </c>
      <c r="AC225" s="442"/>
      <c r="AD225" s="442"/>
      <c r="AE225" s="442"/>
      <c r="AF225" s="442"/>
      <c r="AG225" s="443" t="s">
        <v>742</v>
      </c>
      <c r="AH225" s="442"/>
      <c r="AI225" s="443" t="s">
        <v>742</v>
      </c>
      <c r="AJ225" s="443" t="s">
        <v>743</v>
      </c>
      <c r="AK225" s="442" t="s">
        <v>677</v>
      </c>
      <c r="AL225" s="442"/>
      <c r="AM225" s="442"/>
      <c r="AN225" s="442"/>
      <c r="AO225" s="442"/>
      <c r="AP225" s="442"/>
      <c r="AQ225" s="442"/>
      <c r="AR225" s="444"/>
      <c r="AS225" s="442"/>
      <c r="AT225" s="444"/>
      <c r="AU225" s="442" t="s">
        <v>678</v>
      </c>
      <c r="AV225" s="442" t="s">
        <v>677</v>
      </c>
      <c r="AW225" s="442" t="s">
        <v>676</v>
      </c>
      <c r="AX225" s="442" t="s">
        <v>674</v>
      </c>
      <c r="AY225" s="442"/>
      <c r="AZ225" s="442"/>
      <c r="BA225" s="442" t="s">
        <v>679</v>
      </c>
      <c r="BB225" s="442"/>
      <c r="BC225" s="442"/>
      <c r="BD225" s="442"/>
      <c r="BE225" s="444"/>
      <c r="BF225" s="442" t="s">
        <v>298</v>
      </c>
      <c r="BG225" s="442" t="s">
        <v>680</v>
      </c>
      <c r="BH225" s="442" t="s">
        <v>681</v>
      </c>
      <c r="BI225" s="442"/>
    </row>
    <row r="226" spans="1:61">
      <c r="A226" s="442" t="s">
        <v>730</v>
      </c>
      <c r="B226" s="442" t="s">
        <v>730</v>
      </c>
      <c r="C226" s="442" t="s">
        <v>744</v>
      </c>
      <c r="D226" s="442" t="s">
        <v>673</v>
      </c>
      <c r="E226" s="442" t="s">
        <v>3</v>
      </c>
      <c r="F226" s="443" t="s">
        <v>83</v>
      </c>
      <c r="G226" s="443" t="s">
        <v>691</v>
      </c>
      <c r="H226" s="444">
        <v>176000</v>
      </c>
      <c r="I226" s="444">
        <v>176000</v>
      </c>
      <c r="J226" s="444">
        <v>0</v>
      </c>
      <c r="K226" s="444">
        <v>0</v>
      </c>
      <c r="L226" s="444">
        <v>176000</v>
      </c>
      <c r="M226" s="444">
        <v>0</v>
      </c>
      <c r="N226" s="444">
        <v>0</v>
      </c>
      <c r="O226" s="444">
        <v>0</v>
      </c>
      <c r="P226" s="444">
        <v>0</v>
      </c>
      <c r="Q226" s="444">
        <v>0</v>
      </c>
      <c r="R226" s="444">
        <v>0</v>
      </c>
      <c r="S226" s="444">
        <v>0</v>
      </c>
      <c r="T226" s="444">
        <v>0</v>
      </c>
      <c r="U226" s="444">
        <v>0</v>
      </c>
      <c r="V226" s="444">
        <v>0</v>
      </c>
      <c r="W226" s="444">
        <v>0</v>
      </c>
      <c r="X226" s="442" t="s">
        <v>674</v>
      </c>
      <c r="Y226" s="442" t="s">
        <v>675</v>
      </c>
      <c r="Z226" s="442" t="s">
        <v>675</v>
      </c>
      <c r="AA226" s="442" t="s">
        <v>675</v>
      </c>
      <c r="AB226" s="442" t="s">
        <v>675</v>
      </c>
      <c r="AC226" s="442"/>
      <c r="AD226" s="442"/>
      <c r="AE226" s="442" t="s">
        <v>676</v>
      </c>
      <c r="AF226" s="442"/>
      <c r="AG226" s="443" t="s">
        <v>745</v>
      </c>
      <c r="AH226" s="442"/>
      <c r="AI226" s="443" t="s">
        <v>745</v>
      </c>
      <c r="AJ226" s="443" t="s">
        <v>677</v>
      </c>
      <c r="AK226" s="442" t="s">
        <v>677</v>
      </c>
      <c r="AL226" s="442"/>
      <c r="AM226" s="442"/>
      <c r="AN226" s="442"/>
      <c r="AO226" s="442"/>
      <c r="AP226" s="442"/>
      <c r="AQ226" s="442"/>
      <c r="AR226" s="444"/>
      <c r="AS226" s="442"/>
      <c r="AT226" s="444"/>
      <c r="AU226" s="442" t="s">
        <v>678</v>
      </c>
      <c r="AV226" s="442" t="s">
        <v>677</v>
      </c>
      <c r="AW226" s="442" t="s">
        <v>676</v>
      </c>
      <c r="AX226" s="442" t="s">
        <v>674</v>
      </c>
      <c r="AY226" s="442"/>
      <c r="AZ226" s="442"/>
      <c r="BA226" s="442" t="s">
        <v>679</v>
      </c>
      <c r="BB226" s="442"/>
      <c r="BC226" s="442"/>
      <c r="BD226" s="442"/>
      <c r="BE226" s="444"/>
      <c r="BF226" s="442" t="s">
        <v>298</v>
      </c>
      <c r="BG226" s="442" t="s">
        <v>680</v>
      </c>
      <c r="BH226" s="442" t="s">
        <v>681</v>
      </c>
      <c r="BI226" s="442"/>
    </row>
    <row r="227" spans="1:61">
      <c r="A227" s="442" t="s">
        <v>730</v>
      </c>
      <c r="B227" s="442" t="s">
        <v>730</v>
      </c>
      <c r="C227" s="442" t="s">
        <v>744</v>
      </c>
      <c r="D227" s="442" t="s">
        <v>673</v>
      </c>
      <c r="E227" s="442" t="s">
        <v>3</v>
      </c>
      <c r="F227" s="443" t="s">
        <v>83</v>
      </c>
      <c r="G227" s="443" t="s">
        <v>691</v>
      </c>
      <c r="H227" s="444">
        <v>1824000</v>
      </c>
      <c r="I227" s="444">
        <v>1824000</v>
      </c>
      <c r="J227" s="444">
        <v>0</v>
      </c>
      <c r="K227" s="444">
        <v>0</v>
      </c>
      <c r="L227" s="444">
        <v>1824000</v>
      </c>
      <c r="M227" s="444">
        <v>0</v>
      </c>
      <c r="N227" s="444">
        <v>0</v>
      </c>
      <c r="O227" s="444">
        <v>0</v>
      </c>
      <c r="P227" s="444">
        <v>0</v>
      </c>
      <c r="Q227" s="444">
        <v>0</v>
      </c>
      <c r="R227" s="444">
        <v>0</v>
      </c>
      <c r="S227" s="444">
        <v>0</v>
      </c>
      <c r="T227" s="444">
        <v>0</v>
      </c>
      <c r="U227" s="444">
        <v>0</v>
      </c>
      <c r="V227" s="444">
        <v>0</v>
      </c>
      <c r="W227" s="444">
        <v>0</v>
      </c>
      <c r="X227" s="442" t="s">
        <v>674</v>
      </c>
      <c r="Y227" s="442" t="s">
        <v>675</v>
      </c>
      <c r="Z227" s="442" t="s">
        <v>675</v>
      </c>
      <c r="AA227" s="442" t="s">
        <v>675</v>
      </c>
      <c r="AB227" s="442" t="s">
        <v>675</v>
      </c>
      <c r="AC227" s="442"/>
      <c r="AD227" s="442"/>
      <c r="AE227" s="442" t="s">
        <v>676</v>
      </c>
      <c r="AF227" s="442"/>
      <c r="AG227" s="443" t="s">
        <v>746</v>
      </c>
      <c r="AH227" s="442"/>
      <c r="AI227" s="443" t="s">
        <v>746</v>
      </c>
      <c r="AJ227" s="443" t="s">
        <v>677</v>
      </c>
      <c r="AK227" s="442" t="s">
        <v>677</v>
      </c>
      <c r="AL227" s="442"/>
      <c r="AM227" s="442"/>
      <c r="AN227" s="442"/>
      <c r="AO227" s="442"/>
      <c r="AP227" s="442"/>
      <c r="AQ227" s="442"/>
      <c r="AR227" s="444"/>
      <c r="AS227" s="442"/>
      <c r="AT227" s="444"/>
      <c r="AU227" s="442" t="s">
        <v>678</v>
      </c>
      <c r="AV227" s="442" t="s">
        <v>677</v>
      </c>
      <c r="AW227" s="442" t="s">
        <v>676</v>
      </c>
      <c r="AX227" s="442" t="s">
        <v>674</v>
      </c>
      <c r="AY227" s="442"/>
      <c r="AZ227" s="442"/>
      <c r="BA227" s="442" t="s">
        <v>679</v>
      </c>
      <c r="BB227" s="442"/>
      <c r="BC227" s="442"/>
      <c r="BD227" s="442"/>
      <c r="BE227" s="444"/>
      <c r="BF227" s="442" t="s">
        <v>298</v>
      </c>
      <c r="BG227" s="442" t="s">
        <v>680</v>
      </c>
      <c r="BH227" s="442" t="s">
        <v>681</v>
      </c>
      <c r="BI227" s="442"/>
    </row>
    <row r="228" spans="1:61">
      <c r="A228" s="442" t="s">
        <v>730</v>
      </c>
      <c r="B228" s="442" t="s">
        <v>730</v>
      </c>
      <c r="C228" s="442" t="s">
        <v>744</v>
      </c>
      <c r="D228" s="442" t="s">
        <v>673</v>
      </c>
      <c r="E228" s="442" t="s">
        <v>3</v>
      </c>
      <c r="F228" s="443" t="s">
        <v>83</v>
      </c>
      <c r="G228" s="443" t="s">
        <v>691</v>
      </c>
      <c r="H228" s="444">
        <v>176000</v>
      </c>
      <c r="I228" s="444">
        <v>176000</v>
      </c>
      <c r="J228" s="444">
        <v>0</v>
      </c>
      <c r="K228" s="444">
        <v>0</v>
      </c>
      <c r="L228" s="444">
        <v>176000</v>
      </c>
      <c r="M228" s="444">
        <v>0</v>
      </c>
      <c r="N228" s="444">
        <v>0</v>
      </c>
      <c r="O228" s="444">
        <v>0</v>
      </c>
      <c r="P228" s="444">
        <v>0</v>
      </c>
      <c r="Q228" s="444">
        <v>0</v>
      </c>
      <c r="R228" s="444">
        <v>0</v>
      </c>
      <c r="S228" s="444">
        <v>0</v>
      </c>
      <c r="T228" s="444">
        <v>0</v>
      </c>
      <c r="U228" s="444">
        <v>0</v>
      </c>
      <c r="V228" s="444">
        <v>0</v>
      </c>
      <c r="W228" s="444">
        <v>0</v>
      </c>
      <c r="X228" s="442" t="s">
        <v>674</v>
      </c>
      <c r="Y228" s="442" t="s">
        <v>675</v>
      </c>
      <c r="Z228" s="442" t="s">
        <v>675</v>
      </c>
      <c r="AA228" s="442" t="s">
        <v>675</v>
      </c>
      <c r="AB228" s="442" t="s">
        <v>675</v>
      </c>
      <c r="AC228" s="442"/>
      <c r="AD228" s="442"/>
      <c r="AE228" s="442" t="s">
        <v>676</v>
      </c>
      <c r="AF228" s="442"/>
      <c r="AG228" s="443" t="s">
        <v>747</v>
      </c>
      <c r="AH228" s="442"/>
      <c r="AI228" s="443" t="s">
        <v>747</v>
      </c>
      <c r="AJ228" s="443" t="s">
        <v>677</v>
      </c>
      <c r="AK228" s="442" t="s">
        <v>677</v>
      </c>
      <c r="AL228" s="442"/>
      <c r="AM228" s="442"/>
      <c r="AN228" s="442"/>
      <c r="AO228" s="442"/>
      <c r="AP228" s="442"/>
      <c r="AQ228" s="442"/>
      <c r="AR228" s="444"/>
      <c r="AS228" s="442"/>
      <c r="AT228" s="444"/>
      <c r="AU228" s="442" t="s">
        <v>678</v>
      </c>
      <c r="AV228" s="442" t="s">
        <v>677</v>
      </c>
      <c r="AW228" s="442" t="s">
        <v>676</v>
      </c>
      <c r="AX228" s="442" t="s">
        <v>674</v>
      </c>
      <c r="AY228" s="442"/>
      <c r="AZ228" s="442"/>
      <c r="BA228" s="442" t="s">
        <v>679</v>
      </c>
      <c r="BB228" s="442"/>
      <c r="BC228" s="442"/>
      <c r="BD228" s="442"/>
      <c r="BE228" s="444"/>
      <c r="BF228" s="442" t="s">
        <v>298</v>
      </c>
      <c r="BG228" s="442" t="s">
        <v>680</v>
      </c>
      <c r="BH228" s="442" t="s">
        <v>681</v>
      </c>
      <c r="BI228" s="442"/>
    </row>
    <row r="229" spans="1:61">
      <c r="A229" s="442" t="s">
        <v>730</v>
      </c>
      <c r="B229" s="442" t="s">
        <v>730</v>
      </c>
      <c r="C229" s="442" t="s">
        <v>744</v>
      </c>
      <c r="D229" s="442" t="s">
        <v>673</v>
      </c>
      <c r="E229" s="442" t="s">
        <v>3</v>
      </c>
      <c r="F229" s="443" t="s">
        <v>83</v>
      </c>
      <c r="G229" s="443" t="s">
        <v>691</v>
      </c>
      <c r="H229" s="444">
        <v>1824000</v>
      </c>
      <c r="I229" s="444">
        <v>1824000</v>
      </c>
      <c r="J229" s="444">
        <v>0</v>
      </c>
      <c r="K229" s="444">
        <v>0</v>
      </c>
      <c r="L229" s="444">
        <v>1824000</v>
      </c>
      <c r="M229" s="444">
        <v>0</v>
      </c>
      <c r="N229" s="444">
        <v>0</v>
      </c>
      <c r="O229" s="444">
        <v>0</v>
      </c>
      <c r="P229" s="444">
        <v>0</v>
      </c>
      <c r="Q229" s="444">
        <v>0</v>
      </c>
      <c r="R229" s="444">
        <v>0</v>
      </c>
      <c r="S229" s="444">
        <v>0</v>
      </c>
      <c r="T229" s="444">
        <v>0</v>
      </c>
      <c r="U229" s="444">
        <v>0</v>
      </c>
      <c r="V229" s="444">
        <v>0</v>
      </c>
      <c r="W229" s="444">
        <v>0</v>
      </c>
      <c r="X229" s="442" t="s">
        <v>674</v>
      </c>
      <c r="Y229" s="442" t="s">
        <v>675</v>
      </c>
      <c r="Z229" s="442" t="s">
        <v>675</v>
      </c>
      <c r="AA229" s="442" t="s">
        <v>675</v>
      </c>
      <c r="AB229" s="442" t="s">
        <v>675</v>
      </c>
      <c r="AC229" s="442"/>
      <c r="AD229" s="442"/>
      <c r="AE229" s="442" t="s">
        <v>676</v>
      </c>
      <c r="AF229" s="442"/>
      <c r="AG229" s="443" t="s">
        <v>748</v>
      </c>
      <c r="AH229" s="442"/>
      <c r="AI229" s="443" t="s">
        <v>748</v>
      </c>
      <c r="AJ229" s="443" t="s">
        <v>677</v>
      </c>
      <c r="AK229" s="442" t="s">
        <v>677</v>
      </c>
      <c r="AL229" s="442"/>
      <c r="AM229" s="442"/>
      <c r="AN229" s="442"/>
      <c r="AO229" s="442"/>
      <c r="AP229" s="442"/>
      <c r="AQ229" s="442"/>
      <c r="AR229" s="444"/>
      <c r="AS229" s="442"/>
      <c r="AT229" s="444"/>
      <c r="AU229" s="442" t="s">
        <v>678</v>
      </c>
      <c r="AV229" s="442" t="s">
        <v>677</v>
      </c>
      <c r="AW229" s="442" t="s">
        <v>676</v>
      </c>
      <c r="AX229" s="442" t="s">
        <v>674</v>
      </c>
      <c r="AY229" s="442"/>
      <c r="AZ229" s="442"/>
      <c r="BA229" s="442" t="s">
        <v>679</v>
      </c>
      <c r="BB229" s="442"/>
      <c r="BC229" s="442"/>
      <c r="BD229" s="442"/>
      <c r="BE229" s="444"/>
      <c r="BF229" s="442" t="s">
        <v>298</v>
      </c>
      <c r="BG229" s="442" t="s">
        <v>680</v>
      </c>
      <c r="BH229" s="442" t="s">
        <v>681</v>
      </c>
      <c r="BI229" s="442"/>
    </row>
    <row r="230" spans="1:61">
      <c r="A230" s="442" t="s">
        <v>730</v>
      </c>
      <c r="B230" s="442" t="s">
        <v>730</v>
      </c>
      <c r="C230" s="442" t="s">
        <v>744</v>
      </c>
      <c r="D230" s="442" t="s">
        <v>673</v>
      </c>
      <c r="E230" s="442" t="s">
        <v>3</v>
      </c>
      <c r="F230" s="443" t="s">
        <v>83</v>
      </c>
      <c r="G230" s="443" t="s">
        <v>691</v>
      </c>
      <c r="H230" s="444">
        <v>2736000</v>
      </c>
      <c r="I230" s="444">
        <v>2736000</v>
      </c>
      <c r="J230" s="444">
        <v>0</v>
      </c>
      <c r="K230" s="444">
        <v>0</v>
      </c>
      <c r="L230" s="444">
        <v>2736000</v>
      </c>
      <c r="M230" s="444">
        <v>0</v>
      </c>
      <c r="N230" s="444">
        <v>0</v>
      </c>
      <c r="O230" s="444">
        <v>0</v>
      </c>
      <c r="P230" s="444">
        <v>0</v>
      </c>
      <c r="Q230" s="444">
        <v>0</v>
      </c>
      <c r="R230" s="444">
        <v>0</v>
      </c>
      <c r="S230" s="444">
        <v>0</v>
      </c>
      <c r="T230" s="444">
        <v>0</v>
      </c>
      <c r="U230" s="444">
        <v>0</v>
      </c>
      <c r="V230" s="444">
        <v>0</v>
      </c>
      <c r="W230" s="444">
        <v>0</v>
      </c>
      <c r="X230" s="442" t="s">
        <v>674</v>
      </c>
      <c r="Y230" s="442" t="s">
        <v>675</v>
      </c>
      <c r="Z230" s="442" t="s">
        <v>675</v>
      </c>
      <c r="AA230" s="442" t="s">
        <v>675</v>
      </c>
      <c r="AB230" s="442" t="s">
        <v>675</v>
      </c>
      <c r="AC230" s="442"/>
      <c r="AD230" s="442"/>
      <c r="AE230" s="442" t="s">
        <v>676</v>
      </c>
      <c r="AF230" s="442"/>
      <c r="AG230" s="443" t="s">
        <v>746</v>
      </c>
      <c r="AH230" s="442"/>
      <c r="AI230" s="443" t="s">
        <v>746</v>
      </c>
      <c r="AJ230" s="443" t="s">
        <v>677</v>
      </c>
      <c r="AK230" s="442" t="s">
        <v>677</v>
      </c>
      <c r="AL230" s="442"/>
      <c r="AM230" s="442"/>
      <c r="AN230" s="442"/>
      <c r="AO230" s="442"/>
      <c r="AP230" s="442"/>
      <c r="AQ230" s="442"/>
      <c r="AR230" s="444"/>
      <c r="AS230" s="442"/>
      <c r="AT230" s="444"/>
      <c r="AU230" s="442" t="s">
        <v>678</v>
      </c>
      <c r="AV230" s="442" t="s">
        <v>677</v>
      </c>
      <c r="AW230" s="442" t="s">
        <v>676</v>
      </c>
      <c r="AX230" s="442" t="s">
        <v>674</v>
      </c>
      <c r="AY230" s="442"/>
      <c r="AZ230" s="442"/>
      <c r="BA230" s="442" t="s">
        <v>679</v>
      </c>
      <c r="BB230" s="442"/>
      <c r="BC230" s="442"/>
      <c r="BD230" s="442"/>
      <c r="BE230" s="444"/>
      <c r="BF230" s="442" t="s">
        <v>298</v>
      </c>
      <c r="BG230" s="442" t="s">
        <v>680</v>
      </c>
      <c r="BH230" s="442" t="s">
        <v>681</v>
      </c>
      <c r="BI230" s="442"/>
    </row>
    <row r="231" spans="1:61">
      <c r="A231" s="442" t="s">
        <v>730</v>
      </c>
      <c r="B231" s="442" t="s">
        <v>730</v>
      </c>
      <c r="C231" s="442" t="s">
        <v>744</v>
      </c>
      <c r="D231" s="442" t="s">
        <v>673</v>
      </c>
      <c r="E231" s="442" t="s">
        <v>3</v>
      </c>
      <c r="F231" s="443" t="s">
        <v>83</v>
      </c>
      <c r="G231" s="443" t="s">
        <v>691</v>
      </c>
      <c r="H231" s="444">
        <v>264000</v>
      </c>
      <c r="I231" s="444">
        <v>264000</v>
      </c>
      <c r="J231" s="444">
        <v>0</v>
      </c>
      <c r="K231" s="444">
        <v>0</v>
      </c>
      <c r="L231" s="444">
        <v>264000</v>
      </c>
      <c r="M231" s="444">
        <v>0</v>
      </c>
      <c r="N231" s="444">
        <v>0</v>
      </c>
      <c r="O231" s="444">
        <v>0</v>
      </c>
      <c r="P231" s="444">
        <v>0</v>
      </c>
      <c r="Q231" s="444">
        <v>0</v>
      </c>
      <c r="R231" s="444">
        <v>0</v>
      </c>
      <c r="S231" s="444">
        <v>0</v>
      </c>
      <c r="T231" s="444">
        <v>0</v>
      </c>
      <c r="U231" s="444">
        <v>0</v>
      </c>
      <c r="V231" s="444">
        <v>0</v>
      </c>
      <c r="W231" s="444">
        <v>0</v>
      </c>
      <c r="X231" s="442" t="s">
        <v>674</v>
      </c>
      <c r="Y231" s="442" t="s">
        <v>675</v>
      </c>
      <c r="Z231" s="442" t="s">
        <v>675</v>
      </c>
      <c r="AA231" s="442" t="s">
        <v>675</v>
      </c>
      <c r="AB231" s="442" t="s">
        <v>675</v>
      </c>
      <c r="AC231" s="442"/>
      <c r="AD231" s="442"/>
      <c r="AE231" s="442" t="s">
        <v>676</v>
      </c>
      <c r="AF231" s="442"/>
      <c r="AG231" s="443" t="s">
        <v>747</v>
      </c>
      <c r="AH231" s="442"/>
      <c r="AI231" s="443" t="s">
        <v>747</v>
      </c>
      <c r="AJ231" s="443" t="s">
        <v>677</v>
      </c>
      <c r="AK231" s="442" t="s">
        <v>677</v>
      </c>
      <c r="AL231" s="442"/>
      <c r="AM231" s="442"/>
      <c r="AN231" s="442"/>
      <c r="AO231" s="442"/>
      <c r="AP231" s="442"/>
      <c r="AQ231" s="442"/>
      <c r="AR231" s="444"/>
      <c r="AS231" s="442"/>
      <c r="AT231" s="444"/>
      <c r="AU231" s="442" t="s">
        <v>678</v>
      </c>
      <c r="AV231" s="442" t="s">
        <v>677</v>
      </c>
      <c r="AW231" s="442" t="s">
        <v>676</v>
      </c>
      <c r="AX231" s="442" t="s">
        <v>674</v>
      </c>
      <c r="AY231" s="442"/>
      <c r="AZ231" s="442"/>
      <c r="BA231" s="442" t="s">
        <v>679</v>
      </c>
      <c r="BB231" s="442"/>
      <c r="BC231" s="442"/>
      <c r="BD231" s="442"/>
      <c r="BE231" s="444"/>
      <c r="BF231" s="442" t="s">
        <v>298</v>
      </c>
      <c r="BG231" s="442" t="s">
        <v>680</v>
      </c>
      <c r="BH231" s="442" t="s">
        <v>681</v>
      </c>
      <c r="BI231" s="442"/>
    </row>
    <row r="232" spans="1:61">
      <c r="A232" s="442" t="s">
        <v>749</v>
      </c>
      <c r="B232" s="442" t="s">
        <v>671</v>
      </c>
      <c r="C232" s="442" t="s">
        <v>672</v>
      </c>
      <c r="D232" s="442" t="s">
        <v>724</v>
      </c>
      <c r="E232" s="442" t="s">
        <v>3</v>
      </c>
      <c r="F232" s="443" t="s">
        <v>83</v>
      </c>
      <c r="G232" s="443" t="s">
        <v>93</v>
      </c>
      <c r="H232" s="444">
        <v>409734</v>
      </c>
      <c r="I232" s="444">
        <v>409734</v>
      </c>
      <c r="J232" s="444">
        <v>0</v>
      </c>
      <c r="K232" s="444">
        <v>0</v>
      </c>
      <c r="L232" s="444">
        <v>372486</v>
      </c>
      <c r="M232" s="444">
        <v>0</v>
      </c>
      <c r="N232" s="444">
        <v>0</v>
      </c>
      <c r="O232" s="444">
        <v>37248</v>
      </c>
      <c r="P232" s="444">
        <v>0</v>
      </c>
      <c r="Q232" s="444">
        <v>0</v>
      </c>
      <c r="R232" s="444">
        <v>0</v>
      </c>
      <c r="S232" s="444">
        <v>0</v>
      </c>
      <c r="T232" s="444">
        <v>0</v>
      </c>
      <c r="U232" s="444">
        <v>0</v>
      </c>
      <c r="V232" s="444">
        <v>0</v>
      </c>
      <c r="W232" s="444">
        <v>0</v>
      </c>
      <c r="X232" s="442" t="s">
        <v>674</v>
      </c>
      <c r="Y232" s="442" t="s">
        <v>675</v>
      </c>
      <c r="Z232" s="442" t="s">
        <v>675</v>
      </c>
      <c r="AA232" s="442" t="s">
        <v>675</v>
      </c>
      <c r="AB232" s="442" t="s">
        <v>675</v>
      </c>
      <c r="AC232" s="442"/>
      <c r="AD232" s="442"/>
      <c r="AE232" s="442" t="s">
        <v>676</v>
      </c>
      <c r="AF232" s="442"/>
      <c r="AG232" s="443" t="s">
        <v>557</v>
      </c>
      <c r="AH232" s="442"/>
      <c r="AI232" s="443" t="s">
        <v>557</v>
      </c>
      <c r="AJ232" s="443" t="s">
        <v>750</v>
      </c>
      <c r="AK232" s="442" t="s">
        <v>677</v>
      </c>
      <c r="AL232" s="442"/>
      <c r="AM232" s="442" t="s">
        <v>726</v>
      </c>
      <c r="AN232" s="442" t="s">
        <v>751</v>
      </c>
      <c r="AO232" s="442" t="s">
        <v>749</v>
      </c>
      <c r="AP232" s="442" t="s">
        <v>752</v>
      </c>
      <c r="AQ232" s="442" t="s">
        <v>729</v>
      </c>
      <c r="AR232" s="444">
        <v>409734</v>
      </c>
      <c r="AS232" s="442" t="s">
        <v>675</v>
      </c>
      <c r="AT232" s="444">
        <v>0</v>
      </c>
      <c r="AU232" s="442" t="s">
        <v>678</v>
      </c>
      <c r="AV232" s="442" t="s">
        <v>677</v>
      </c>
      <c r="AW232" s="442" t="s">
        <v>676</v>
      </c>
      <c r="AX232" s="442" t="s">
        <v>674</v>
      </c>
      <c r="AY232" s="442"/>
      <c r="AZ232" s="442"/>
      <c r="BA232" s="442" t="s">
        <v>679</v>
      </c>
      <c r="BB232" s="442"/>
      <c r="BC232" s="442"/>
      <c r="BD232" s="442"/>
      <c r="BE232" s="444"/>
      <c r="BF232" s="442" t="s">
        <v>298</v>
      </c>
      <c r="BG232" s="442" t="s">
        <v>680</v>
      </c>
      <c r="BH232" s="442" t="s">
        <v>681</v>
      </c>
      <c r="BI232" s="442"/>
    </row>
    <row r="233" spans="1:61">
      <c r="A233" s="442" t="s">
        <v>753</v>
      </c>
      <c r="B233" s="442" t="s">
        <v>703</v>
      </c>
      <c r="C233" s="442" t="s">
        <v>704</v>
      </c>
      <c r="D233" s="442" t="s">
        <v>724</v>
      </c>
      <c r="E233" s="442" t="s">
        <v>3</v>
      </c>
      <c r="F233" s="443" t="s">
        <v>83</v>
      </c>
      <c r="G233" s="443" t="s">
        <v>700</v>
      </c>
      <c r="H233" s="444">
        <v>501199</v>
      </c>
      <c r="I233" s="444">
        <v>501199</v>
      </c>
      <c r="J233" s="444">
        <v>0</v>
      </c>
      <c r="K233" s="444">
        <v>0</v>
      </c>
      <c r="L233" s="444">
        <v>501199</v>
      </c>
      <c r="M233" s="444">
        <v>0</v>
      </c>
      <c r="N233" s="444">
        <v>0</v>
      </c>
      <c r="O233" s="444">
        <v>0</v>
      </c>
      <c r="P233" s="444">
        <v>0</v>
      </c>
      <c r="Q233" s="444">
        <v>0</v>
      </c>
      <c r="R233" s="444">
        <v>0</v>
      </c>
      <c r="S233" s="444">
        <v>0</v>
      </c>
      <c r="T233" s="444">
        <v>0</v>
      </c>
      <c r="U233" s="444">
        <v>0</v>
      </c>
      <c r="V233" s="444">
        <v>0</v>
      </c>
      <c r="W233" s="444">
        <v>0</v>
      </c>
      <c r="X233" s="442" t="s">
        <v>674</v>
      </c>
      <c r="Y233" s="442" t="s">
        <v>675</v>
      </c>
      <c r="Z233" s="442" t="s">
        <v>675</v>
      </c>
      <c r="AA233" s="442" t="s">
        <v>675</v>
      </c>
      <c r="AB233" s="442" t="s">
        <v>675</v>
      </c>
      <c r="AC233" s="442"/>
      <c r="AD233" s="442"/>
      <c r="AE233" s="442"/>
      <c r="AF233" s="442"/>
      <c r="AG233" s="443" t="s">
        <v>705</v>
      </c>
      <c r="AH233" s="442"/>
      <c r="AI233" s="443" t="s">
        <v>705</v>
      </c>
      <c r="AJ233" s="443" t="s">
        <v>754</v>
      </c>
      <c r="AK233" s="442" t="s">
        <v>677</v>
      </c>
      <c r="AL233" s="442"/>
      <c r="AM233" s="442" t="s">
        <v>726</v>
      </c>
      <c r="AN233" s="442" t="s">
        <v>755</v>
      </c>
      <c r="AO233" s="442" t="s">
        <v>753</v>
      </c>
      <c r="AP233" s="442" t="s">
        <v>756</v>
      </c>
      <c r="AQ233" s="442" t="s">
        <v>757</v>
      </c>
      <c r="AR233" s="444">
        <v>501199</v>
      </c>
      <c r="AS233" s="442" t="s">
        <v>675</v>
      </c>
      <c r="AT233" s="444">
        <v>0</v>
      </c>
      <c r="AU233" s="442" t="s">
        <v>678</v>
      </c>
      <c r="AV233" s="442" t="s">
        <v>677</v>
      </c>
      <c r="AW233" s="442" t="s">
        <v>676</v>
      </c>
      <c r="AX233" s="442" t="s">
        <v>674</v>
      </c>
      <c r="AY233" s="442"/>
      <c r="AZ233" s="442"/>
      <c r="BA233" s="442" t="s">
        <v>679</v>
      </c>
      <c r="BB233" s="442"/>
      <c r="BC233" s="442"/>
      <c r="BD233" s="442"/>
      <c r="BE233" s="444"/>
      <c r="BF233" s="442" t="s">
        <v>298</v>
      </c>
      <c r="BG233" s="442" t="s">
        <v>680</v>
      </c>
      <c r="BH233" s="442" t="s">
        <v>681</v>
      </c>
      <c r="BI233" s="442"/>
    </row>
    <row r="234" spans="1:61">
      <c r="A234" s="442" t="s">
        <v>753</v>
      </c>
      <c r="B234" s="442" t="s">
        <v>703</v>
      </c>
      <c r="C234" s="442" t="s">
        <v>704</v>
      </c>
      <c r="D234" s="442" t="s">
        <v>724</v>
      </c>
      <c r="E234" s="442" t="s">
        <v>3</v>
      </c>
      <c r="F234" s="443" t="s">
        <v>83</v>
      </c>
      <c r="G234" s="443" t="s">
        <v>700</v>
      </c>
      <c r="H234" s="444">
        <v>501199</v>
      </c>
      <c r="I234" s="444">
        <v>501199</v>
      </c>
      <c r="J234" s="444">
        <v>0</v>
      </c>
      <c r="K234" s="444">
        <v>0</v>
      </c>
      <c r="L234" s="444">
        <v>501199</v>
      </c>
      <c r="M234" s="444">
        <v>0</v>
      </c>
      <c r="N234" s="444">
        <v>0</v>
      </c>
      <c r="O234" s="444">
        <v>0</v>
      </c>
      <c r="P234" s="444">
        <v>0</v>
      </c>
      <c r="Q234" s="444">
        <v>0</v>
      </c>
      <c r="R234" s="444">
        <v>0</v>
      </c>
      <c r="S234" s="444">
        <v>0</v>
      </c>
      <c r="T234" s="444">
        <v>0</v>
      </c>
      <c r="U234" s="444">
        <v>0</v>
      </c>
      <c r="V234" s="444">
        <v>0</v>
      </c>
      <c r="W234" s="444">
        <v>0</v>
      </c>
      <c r="X234" s="442" t="s">
        <v>674</v>
      </c>
      <c r="Y234" s="442" t="s">
        <v>675</v>
      </c>
      <c r="Z234" s="442" t="s">
        <v>675</v>
      </c>
      <c r="AA234" s="442" t="s">
        <v>675</v>
      </c>
      <c r="AB234" s="442" t="s">
        <v>675</v>
      </c>
      <c r="AC234" s="442"/>
      <c r="AD234" s="442"/>
      <c r="AE234" s="442"/>
      <c r="AF234" s="442"/>
      <c r="AG234" s="443" t="s">
        <v>705</v>
      </c>
      <c r="AH234" s="442"/>
      <c r="AI234" s="443" t="s">
        <v>705</v>
      </c>
      <c r="AJ234" s="443" t="s">
        <v>754</v>
      </c>
      <c r="AK234" s="442" t="s">
        <v>677</v>
      </c>
      <c r="AL234" s="442"/>
      <c r="AM234" s="442" t="s">
        <v>726</v>
      </c>
      <c r="AN234" s="442" t="s">
        <v>758</v>
      </c>
      <c r="AO234" s="442" t="s">
        <v>753</v>
      </c>
      <c r="AP234" s="442" t="s">
        <v>756</v>
      </c>
      <c r="AQ234" s="442" t="s">
        <v>757</v>
      </c>
      <c r="AR234" s="444">
        <v>501199</v>
      </c>
      <c r="AS234" s="442" t="s">
        <v>675</v>
      </c>
      <c r="AT234" s="444">
        <v>0</v>
      </c>
      <c r="AU234" s="442" t="s">
        <v>678</v>
      </c>
      <c r="AV234" s="442" t="s">
        <v>677</v>
      </c>
      <c r="AW234" s="442" t="s">
        <v>676</v>
      </c>
      <c r="AX234" s="442" t="s">
        <v>674</v>
      </c>
      <c r="AY234" s="442"/>
      <c r="AZ234" s="442"/>
      <c r="BA234" s="442" t="s">
        <v>679</v>
      </c>
      <c r="BB234" s="442"/>
      <c r="BC234" s="442"/>
      <c r="BD234" s="442"/>
      <c r="BE234" s="444"/>
      <c r="BF234" s="442" t="s">
        <v>298</v>
      </c>
      <c r="BG234" s="442" t="s">
        <v>680</v>
      </c>
      <c r="BH234" s="442" t="s">
        <v>681</v>
      </c>
      <c r="BI234" s="442"/>
    </row>
    <row r="235" spans="1:61">
      <c r="A235" s="442" t="s">
        <v>759</v>
      </c>
      <c r="B235" s="442" t="s">
        <v>760</v>
      </c>
      <c r="C235" s="442" t="s">
        <v>760</v>
      </c>
      <c r="D235" s="442" t="s">
        <v>724</v>
      </c>
      <c r="E235" s="442" t="s">
        <v>3</v>
      </c>
      <c r="F235" s="443" t="s">
        <v>83</v>
      </c>
      <c r="G235" s="443" t="s">
        <v>700</v>
      </c>
      <c r="H235" s="444">
        <v>109000</v>
      </c>
      <c r="I235" s="444">
        <v>109000</v>
      </c>
      <c r="J235" s="444">
        <v>0</v>
      </c>
      <c r="K235" s="444">
        <v>0</v>
      </c>
      <c r="L235" s="444">
        <v>99091</v>
      </c>
      <c r="M235" s="444">
        <v>0</v>
      </c>
      <c r="N235" s="444">
        <v>0</v>
      </c>
      <c r="O235" s="444">
        <v>9909</v>
      </c>
      <c r="P235" s="444">
        <v>0</v>
      </c>
      <c r="Q235" s="444">
        <v>0</v>
      </c>
      <c r="R235" s="444">
        <v>0</v>
      </c>
      <c r="S235" s="444">
        <v>0</v>
      </c>
      <c r="T235" s="444">
        <v>0</v>
      </c>
      <c r="U235" s="444">
        <v>0</v>
      </c>
      <c r="V235" s="444">
        <v>0</v>
      </c>
      <c r="W235" s="444">
        <v>0</v>
      </c>
      <c r="X235" s="442" t="s">
        <v>674</v>
      </c>
      <c r="Y235" s="442" t="s">
        <v>675</v>
      </c>
      <c r="Z235" s="442" t="s">
        <v>675</v>
      </c>
      <c r="AA235" s="442" t="s">
        <v>675</v>
      </c>
      <c r="AB235" s="442" t="s">
        <v>675</v>
      </c>
      <c r="AC235" s="442"/>
      <c r="AD235" s="442"/>
      <c r="AE235" s="442"/>
      <c r="AF235" s="442"/>
      <c r="AG235" s="443" t="s">
        <v>761</v>
      </c>
      <c r="AH235" s="442"/>
      <c r="AI235" s="443" t="s">
        <v>761</v>
      </c>
      <c r="AJ235" s="443" t="s">
        <v>762</v>
      </c>
      <c r="AK235" s="442" t="s">
        <v>677</v>
      </c>
      <c r="AL235" s="442"/>
      <c r="AM235" s="442" t="s">
        <v>763</v>
      </c>
      <c r="AN235" s="442" t="s">
        <v>764</v>
      </c>
      <c r="AO235" s="442" t="s">
        <v>759</v>
      </c>
      <c r="AP235" s="442" t="s">
        <v>753</v>
      </c>
      <c r="AQ235" s="442" t="s">
        <v>757</v>
      </c>
      <c r="AR235" s="444">
        <v>109000</v>
      </c>
      <c r="AS235" s="442" t="s">
        <v>675</v>
      </c>
      <c r="AT235" s="444">
        <v>0</v>
      </c>
      <c r="AU235" s="442" t="s">
        <v>678</v>
      </c>
      <c r="AV235" s="442" t="s">
        <v>677</v>
      </c>
      <c r="AW235" s="442" t="s">
        <v>676</v>
      </c>
      <c r="AX235" s="442" t="s">
        <v>674</v>
      </c>
      <c r="AY235" s="442"/>
      <c r="AZ235" s="442"/>
      <c r="BA235" s="442" t="s">
        <v>679</v>
      </c>
      <c r="BB235" s="442"/>
      <c r="BC235" s="442"/>
      <c r="BD235" s="442"/>
      <c r="BE235" s="444"/>
      <c r="BF235" s="442" t="s">
        <v>298</v>
      </c>
      <c r="BG235" s="442" t="s">
        <v>680</v>
      </c>
      <c r="BH235" s="442" t="s">
        <v>681</v>
      </c>
      <c r="BI235" s="442"/>
    </row>
    <row r="236" spans="1:61">
      <c r="A236" s="442" t="s">
        <v>753</v>
      </c>
      <c r="B236" s="442" t="s">
        <v>753</v>
      </c>
      <c r="C236" s="442" t="s">
        <v>759</v>
      </c>
      <c r="D236" s="442" t="s">
        <v>673</v>
      </c>
      <c r="E236" s="442" t="s">
        <v>3</v>
      </c>
      <c r="F236" s="443" t="s">
        <v>83</v>
      </c>
      <c r="G236" s="443" t="s">
        <v>691</v>
      </c>
      <c r="H236" s="444">
        <v>147320</v>
      </c>
      <c r="I236" s="444">
        <v>147320</v>
      </c>
      <c r="J236" s="444">
        <v>0</v>
      </c>
      <c r="K236" s="444">
        <v>0</v>
      </c>
      <c r="L236" s="444">
        <v>147320</v>
      </c>
      <c r="M236" s="444">
        <v>0</v>
      </c>
      <c r="N236" s="444">
        <v>0</v>
      </c>
      <c r="O236" s="444">
        <v>0</v>
      </c>
      <c r="P236" s="444">
        <v>0</v>
      </c>
      <c r="Q236" s="444">
        <v>0</v>
      </c>
      <c r="R236" s="444">
        <v>0</v>
      </c>
      <c r="S236" s="444">
        <v>0</v>
      </c>
      <c r="T236" s="444">
        <v>0</v>
      </c>
      <c r="U236" s="444">
        <v>0</v>
      </c>
      <c r="V236" s="444">
        <v>0</v>
      </c>
      <c r="W236" s="444">
        <v>0</v>
      </c>
      <c r="X236" s="442" t="s">
        <v>674</v>
      </c>
      <c r="Y236" s="442" t="s">
        <v>675</v>
      </c>
      <c r="Z236" s="442" t="s">
        <v>675</v>
      </c>
      <c r="AA236" s="442" t="s">
        <v>675</v>
      </c>
      <c r="AB236" s="442" t="s">
        <v>675</v>
      </c>
      <c r="AC236" s="442"/>
      <c r="AD236" s="442"/>
      <c r="AE236" s="442" t="s">
        <v>676</v>
      </c>
      <c r="AF236" s="442"/>
      <c r="AG236" s="443" t="s">
        <v>733</v>
      </c>
      <c r="AH236" s="442"/>
      <c r="AI236" s="443" t="s">
        <v>733</v>
      </c>
      <c r="AJ236" s="443" t="s">
        <v>677</v>
      </c>
      <c r="AK236" s="442" t="s">
        <v>677</v>
      </c>
      <c r="AL236" s="442"/>
      <c r="AM236" s="442"/>
      <c r="AN236" s="442"/>
      <c r="AO236" s="442"/>
      <c r="AP236" s="442"/>
      <c r="AQ236" s="442"/>
      <c r="AR236" s="444"/>
      <c r="AS236" s="442"/>
      <c r="AT236" s="444"/>
      <c r="AU236" s="442" t="s">
        <v>678</v>
      </c>
      <c r="AV236" s="442" t="s">
        <v>677</v>
      </c>
      <c r="AW236" s="442" t="s">
        <v>676</v>
      </c>
      <c r="AX236" s="442" t="s">
        <v>674</v>
      </c>
      <c r="AY236" s="442"/>
      <c r="AZ236" s="442"/>
      <c r="BA236" s="442" t="s">
        <v>679</v>
      </c>
      <c r="BB236" s="442"/>
      <c r="BC236" s="442"/>
      <c r="BD236" s="442"/>
      <c r="BE236" s="444"/>
      <c r="BF236" s="442" t="s">
        <v>298</v>
      </c>
      <c r="BG236" s="442" t="s">
        <v>680</v>
      </c>
      <c r="BH236" s="442" t="s">
        <v>681</v>
      </c>
      <c r="BI236" s="442"/>
    </row>
    <row r="237" spans="1:61">
      <c r="A237" s="442" t="s">
        <v>753</v>
      </c>
      <c r="B237" s="442" t="s">
        <v>753</v>
      </c>
      <c r="C237" s="442" t="s">
        <v>759</v>
      </c>
      <c r="D237" s="442" t="s">
        <v>673</v>
      </c>
      <c r="E237" s="442" t="s">
        <v>3</v>
      </c>
      <c r="F237" s="443" t="s">
        <v>83</v>
      </c>
      <c r="G237" s="443" t="s">
        <v>691</v>
      </c>
      <c r="H237" s="444">
        <v>1745570</v>
      </c>
      <c r="I237" s="444">
        <v>1745570</v>
      </c>
      <c r="J237" s="444">
        <v>0</v>
      </c>
      <c r="K237" s="444">
        <v>0</v>
      </c>
      <c r="L237" s="444">
        <v>1745570</v>
      </c>
      <c r="M237" s="444">
        <v>0</v>
      </c>
      <c r="N237" s="444">
        <v>0</v>
      </c>
      <c r="O237" s="444">
        <v>0</v>
      </c>
      <c r="P237" s="444">
        <v>0</v>
      </c>
      <c r="Q237" s="444">
        <v>0</v>
      </c>
      <c r="R237" s="444">
        <v>0</v>
      </c>
      <c r="S237" s="444">
        <v>0</v>
      </c>
      <c r="T237" s="444">
        <v>0</v>
      </c>
      <c r="U237" s="444">
        <v>0</v>
      </c>
      <c r="V237" s="444">
        <v>0</v>
      </c>
      <c r="W237" s="444">
        <v>0</v>
      </c>
      <c r="X237" s="442" t="s">
        <v>674</v>
      </c>
      <c r="Y237" s="442" t="s">
        <v>675</v>
      </c>
      <c r="Z237" s="442" t="s">
        <v>675</v>
      </c>
      <c r="AA237" s="442" t="s">
        <v>675</v>
      </c>
      <c r="AB237" s="442" t="s">
        <v>675</v>
      </c>
      <c r="AC237" s="442"/>
      <c r="AD237" s="442"/>
      <c r="AE237" s="442" t="s">
        <v>676</v>
      </c>
      <c r="AF237" s="442"/>
      <c r="AG237" s="443" t="s">
        <v>736</v>
      </c>
      <c r="AH237" s="442"/>
      <c r="AI237" s="443" t="s">
        <v>736</v>
      </c>
      <c r="AJ237" s="443" t="s">
        <v>677</v>
      </c>
      <c r="AK237" s="442" t="s">
        <v>677</v>
      </c>
      <c r="AL237" s="442"/>
      <c r="AM237" s="442"/>
      <c r="AN237" s="442"/>
      <c r="AO237" s="442"/>
      <c r="AP237" s="442"/>
      <c r="AQ237" s="442"/>
      <c r="AR237" s="444"/>
      <c r="AS237" s="442"/>
      <c r="AT237" s="444"/>
      <c r="AU237" s="442" t="s">
        <v>678</v>
      </c>
      <c r="AV237" s="442" t="s">
        <v>677</v>
      </c>
      <c r="AW237" s="442" t="s">
        <v>676</v>
      </c>
      <c r="AX237" s="442" t="s">
        <v>674</v>
      </c>
      <c r="AY237" s="442"/>
      <c r="AZ237" s="442"/>
      <c r="BA237" s="442" t="s">
        <v>679</v>
      </c>
      <c r="BB237" s="442"/>
      <c r="BC237" s="442"/>
      <c r="BD237" s="442"/>
      <c r="BE237" s="444"/>
      <c r="BF237" s="442" t="s">
        <v>298</v>
      </c>
      <c r="BG237" s="442" t="s">
        <v>680</v>
      </c>
      <c r="BH237" s="442" t="s">
        <v>681</v>
      </c>
      <c r="BI237" s="442"/>
    </row>
    <row r="238" spans="1:61">
      <c r="A238" s="442" t="s">
        <v>753</v>
      </c>
      <c r="B238" s="442" t="s">
        <v>753</v>
      </c>
      <c r="C238" s="442" t="s">
        <v>759</v>
      </c>
      <c r="D238" s="442" t="s">
        <v>673</v>
      </c>
      <c r="E238" s="442" t="s">
        <v>3</v>
      </c>
      <c r="F238" s="443" t="s">
        <v>83</v>
      </c>
      <c r="G238" s="443" t="s">
        <v>691</v>
      </c>
      <c r="H238" s="444">
        <v>389900</v>
      </c>
      <c r="I238" s="444">
        <v>389900</v>
      </c>
      <c r="J238" s="444">
        <v>0</v>
      </c>
      <c r="K238" s="444">
        <v>0</v>
      </c>
      <c r="L238" s="444">
        <v>389900</v>
      </c>
      <c r="M238" s="444">
        <v>0</v>
      </c>
      <c r="N238" s="444">
        <v>0</v>
      </c>
      <c r="O238" s="444">
        <v>0</v>
      </c>
      <c r="P238" s="444">
        <v>0</v>
      </c>
      <c r="Q238" s="444">
        <v>0</v>
      </c>
      <c r="R238" s="444">
        <v>0</v>
      </c>
      <c r="S238" s="444">
        <v>0</v>
      </c>
      <c r="T238" s="444">
        <v>0</v>
      </c>
      <c r="U238" s="444">
        <v>0</v>
      </c>
      <c r="V238" s="444">
        <v>0</v>
      </c>
      <c r="W238" s="444">
        <v>0</v>
      </c>
      <c r="X238" s="442" t="s">
        <v>674</v>
      </c>
      <c r="Y238" s="442" t="s">
        <v>675</v>
      </c>
      <c r="Z238" s="442" t="s">
        <v>675</v>
      </c>
      <c r="AA238" s="442" t="s">
        <v>675</v>
      </c>
      <c r="AB238" s="442" t="s">
        <v>675</v>
      </c>
      <c r="AC238" s="442"/>
      <c r="AD238" s="442"/>
      <c r="AE238" s="442" t="s">
        <v>676</v>
      </c>
      <c r="AF238" s="442"/>
      <c r="AG238" s="443" t="s">
        <v>733</v>
      </c>
      <c r="AH238" s="442"/>
      <c r="AI238" s="443" t="s">
        <v>733</v>
      </c>
      <c r="AJ238" s="443" t="s">
        <v>677</v>
      </c>
      <c r="AK238" s="442" t="s">
        <v>677</v>
      </c>
      <c r="AL238" s="442"/>
      <c r="AM238" s="442"/>
      <c r="AN238" s="442"/>
      <c r="AO238" s="442"/>
      <c r="AP238" s="442"/>
      <c r="AQ238" s="442"/>
      <c r="AR238" s="444"/>
      <c r="AS238" s="442"/>
      <c r="AT238" s="444"/>
      <c r="AU238" s="442" t="s">
        <v>678</v>
      </c>
      <c r="AV238" s="442" t="s">
        <v>677</v>
      </c>
      <c r="AW238" s="442" t="s">
        <v>676</v>
      </c>
      <c r="AX238" s="442" t="s">
        <v>674</v>
      </c>
      <c r="AY238" s="442"/>
      <c r="AZ238" s="442"/>
      <c r="BA238" s="442" t="s">
        <v>679</v>
      </c>
      <c r="BB238" s="442"/>
      <c r="BC238" s="442"/>
      <c r="BD238" s="442"/>
      <c r="BE238" s="444"/>
      <c r="BF238" s="442" t="s">
        <v>298</v>
      </c>
      <c r="BG238" s="442" t="s">
        <v>680</v>
      </c>
      <c r="BH238" s="442" t="s">
        <v>681</v>
      </c>
      <c r="BI238" s="442"/>
    </row>
    <row r="239" spans="1:61">
      <c r="A239" s="442" t="s">
        <v>753</v>
      </c>
      <c r="B239" s="442" t="s">
        <v>753</v>
      </c>
      <c r="C239" s="442" t="s">
        <v>759</v>
      </c>
      <c r="D239" s="442" t="s">
        <v>673</v>
      </c>
      <c r="E239" s="442" t="s">
        <v>3</v>
      </c>
      <c r="F239" s="443" t="s">
        <v>83</v>
      </c>
      <c r="G239" s="443" t="s">
        <v>691</v>
      </c>
      <c r="H239" s="444">
        <v>1526880</v>
      </c>
      <c r="I239" s="444">
        <v>1526880</v>
      </c>
      <c r="J239" s="444">
        <v>0</v>
      </c>
      <c r="K239" s="444">
        <v>0</v>
      </c>
      <c r="L239" s="444">
        <v>1526880</v>
      </c>
      <c r="M239" s="444">
        <v>0</v>
      </c>
      <c r="N239" s="444">
        <v>0</v>
      </c>
      <c r="O239" s="444">
        <v>0</v>
      </c>
      <c r="P239" s="444">
        <v>0</v>
      </c>
      <c r="Q239" s="444">
        <v>0</v>
      </c>
      <c r="R239" s="444">
        <v>0</v>
      </c>
      <c r="S239" s="444">
        <v>0</v>
      </c>
      <c r="T239" s="444">
        <v>0</v>
      </c>
      <c r="U239" s="444">
        <v>0</v>
      </c>
      <c r="V239" s="444">
        <v>0</v>
      </c>
      <c r="W239" s="444">
        <v>0</v>
      </c>
      <c r="X239" s="442" t="s">
        <v>674</v>
      </c>
      <c r="Y239" s="442" t="s">
        <v>675</v>
      </c>
      <c r="Z239" s="442" t="s">
        <v>675</v>
      </c>
      <c r="AA239" s="442" t="s">
        <v>675</v>
      </c>
      <c r="AB239" s="442" t="s">
        <v>675</v>
      </c>
      <c r="AC239" s="442"/>
      <c r="AD239" s="442"/>
      <c r="AE239" s="442" t="s">
        <v>676</v>
      </c>
      <c r="AF239" s="442"/>
      <c r="AG239" s="443" t="s">
        <v>736</v>
      </c>
      <c r="AH239" s="442"/>
      <c r="AI239" s="443" t="s">
        <v>736</v>
      </c>
      <c r="AJ239" s="443" t="s">
        <v>677</v>
      </c>
      <c r="AK239" s="442" t="s">
        <v>677</v>
      </c>
      <c r="AL239" s="442"/>
      <c r="AM239" s="442"/>
      <c r="AN239" s="442"/>
      <c r="AO239" s="442"/>
      <c r="AP239" s="442"/>
      <c r="AQ239" s="442"/>
      <c r="AR239" s="444"/>
      <c r="AS239" s="442"/>
      <c r="AT239" s="444"/>
      <c r="AU239" s="442" t="s">
        <v>678</v>
      </c>
      <c r="AV239" s="442" t="s">
        <v>677</v>
      </c>
      <c r="AW239" s="442" t="s">
        <v>676</v>
      </c>
      <c r="AX239" s="442" t="s">
        <v>674</v>
      </c>
      <c r="AY239" s="442"/>
      <c r="AZ239" s="442"/>
      <c r="BA239" s="442" t="s">
        <v>679</v>
      </c>
      <c r="BB239" s="442"/>
      <c r="BC239" s="442"/>
      <c r="BD239" s="442"/>
      <c r="BE239" s="444"/>
      <c r="BF239" s="442" t="s">
        <v>298</v>
      </c>
      <c r="BG239" s="442" t="s">
        <v>680</v>
      </c>
      <c r="BH239" s="442" t="s">
        <v>681</v>
      </c>
      <c r="BI239" s="442"/>
    </row>
    <row r="240" spans="1:61">
      <c r="A240" s="442" t="s">
        <v>753</v>
      </c>
      <c r="B240" s="442" t="s">
        <v>753</v>
      </c>
      <c r="C240" s="442" t="s">
        <v>759</v>
      </c>
      <c r="D240" s="442" t="s">
        <v>673</v>
      </c>
      <c r="E240" s="442" t="s">
        <v>3</v>
      </c>
      <c r="F240" s="443" t="s">
        <v>83</v>
      </c>
      <c r="G240" s="443" t="s">
        <v>691</v>
      </c>
      <c r="H240" s="444">
        <v>168430</v>
      </c>
      <c r="I240" s="444">
        <v>168430</v>
      </c>
      <c r="J240" s="444">
        <v>0</v>
      </c>
      <c r="K240" s="444">
        <v>0</v>
      </c>
      <c r="L240" s="444">
        <v>168430</v>
      </c>
      <c r="M240" s="444">
        <v>0</v>
      </c>
      <c r="N240" s="444">
        <v>0</v>
      </c>
      <c r="O240" s="444">
        <v>0</v>
      </c>
      <c r="P240" s="444">
        <v>0</v>
      </c>
      <c r="Q240" s="444">
        <v>0</v>
      </c>
      <c r="R240" s="444">
        <v>0</v>
      </c>
      <c r="S240" s="444">
        <v>0</v>
      </c>
      <c r="T240" s="444">
        <v>0</v>
      </c>
      <c r="U240" s="444">
        <v>0</v>
      </c>
      <c r="V240" s="444">
        <v>0</v>
      </c>
      <c r="W240" s="444">
        <v>0</v>
      </c>
      <c r="X240" s="442" t="s">
        <v>674</v>
      </c>
      <c r="Y240" s="442" t="s">
        <v>675</v>
      </c>
      <c r="Z240" s="442" t="s">
        <v>675</v>
      </c>
      <c r="AA240" s="442" t="s">
        <v>675</v>
      </c>
      <c r="AB240" s="442" t="s">
        <v>675</v>
      </c>
      <c r="AC240" s="442"/>
      <c r="AD240" s="442"/>
      <c r="AE240" s="442" t="s">
        <v>676</v>
      </c>
      <c r="AF240" s="442"/>
      <c r="AG240" s="443" t="s">
        <v>733</v>
      </c>
      <c r="AH240" s="442"/>
      <c r="AI240" s="443" t="s">
        <v>733</v>
      </c>
      <c r="AJ240" s="443" t="s">
        <v>677</v>
      </c>
      <c r="AK240" s="442" t="s">
        <v>677</v>
      </c>
      <c r="AL240" s="442"/>
      <c r="AM240" s="442"/>
      <c r="AN240" s="442"/>
      <c r="AO240" s="442"/>
      <c r="AP240" s="442"/>
      <c r="AQ240" s="442"/>
      <c r="AR240" s="444"/>
      <c r="AS240" s="442"/>
      <c r="AT240" s="444"/>
      <c r="AU240" s="442" t="s">
        <v>678</v>
      </c>
      <c r="AV240" s="442" t="s">
        <v>677</v>
      </c>
      <c r="AW240" s="442" t="s">
        <v>676</v>
      </c>
      <c r="AX240" s="442" t="s">
        <v>674</v>
      </c>
      <c r="AY240" s="442"/>
      <c r="AZ240" s="442"/>
      <c r="BA240" s="442" t="s">
        <v>679</v>
      </c>
      <c r="BB240" s="442"/>
      <c r="BC240" s="442"/>
      <c r="BD240" s="442"/>
      <c r="BE240" s="444"/>
      <c r="BF240" s="442" t="s">
        <v>298</v>
      </c>
      <c r="BG240" s="442" t="s">
        <v>680</v>
      </c>
      <c r="BH240" s="442" t="s">
        <v>681</v>
      </c>
      <c r="BI240" s="442"/>
    </row>
    <row r="241" spans="1:61">
      <c r="A241" s="442" t="s">
        <v>753</v>
      </c>
      <c r="B241" s="442" t="s">
        <v>753</v>
      </c>
      <c r="C241" s="442" t="s">
        <v>759</v>
      </c>
      <c r="D241" s="442" t="s">
        <v>673</v>
      </c>
      <c r="E241" s="442" t="s">
        <v>3</v>
      </c>
      <c r="F241" s="443" t="s">
        <v>83</v>
      </c>
      <c r="G241" s="443" t="s">
        <v>691</v>
      </c>
      <c r="H241" s="444">
        <v>4040900</v>
      </c>
      <c r="I241" s="444">
        <v>4040900</v>
      </c>
      <c r="J241" s="444">
        <v>0</v>
      </c>
      <c r="K241" s="444">
        <v>0</v>
      </c>
      <c r="L241" s="444">
        <v>4040900</v>
      </c>
      <c r="M241" s="444">
        <v>0</v>
      </c>
      <c r="N241" s="444">
        <v>0</v>
      </c>
      <c r="O241" s="444">
        <v>0</v>
      </c>
      <c r="P241" s="444">
        <v>0</v>
      </c>
      <c r="Q241" s="444">
        <v>0</v>
      </c>
      <c r="R241" s="444">
        <v>0</v>
      </c>
      <c r="S241" s="444">
        <v>0</v>
      </c>
      <c r="T241" s="444">
        <v>0</v>
      </c>
      <c r="U241" s="444">
        <v>0</v>
      </c>
      <c r="V241" s="444">
        <v>0</v>
      </c>
      <c r="W241" s="444">
        <v>0</v>
      </c>
      <c r="X241" s="442" t="s">
        <v>674</v>
      </c>
      <c r="Y241" s="442" t="s">
        <v>675</v>
      </c>
      <c r="Z241" s="442" t="s">
        <v>675</v>
      </c>
      <c r="AA241" s="442" t="s">
        <v>675</v>
      </c>
      <c r="AB241" s="442" t="s">
        <v>675</v>
      </c>
      <c r="AC241" s="442"/>
      <c r="AD241" s="442"/>
      <c r="AE241" s="442" t="s">
        <v>676</v>
      </c>
      <c r="AF241" s="442"/>
      <c r="AG241" s="443" t="s">
        <v>736</v>
      </c>
      <c r="AH241" s="442"/>
      <c r="AI241" s="443" t="s">
        <v>736</v>
      </c>
      <c r="AJ241" s="443" t="s">
        <v>677</v>
      </c>
      <c r="AK241" s="442" t="s">
        <v>677</v>
      </c>
      <c r="AL241" s="442"/>
      <c r="AM241" s="442"/>
      <c r="AN241" s="442"/>
      <c r="AO241" s="442"/>
      <c r="AP241" s="442"/>
      <c r="AQ241" s="442"/>
      <c r="AR241" s="444"/>
      <c r="AS241" s="442"/>
      <c r="AT241" s="444"/>
      <c r="AU241" s="442" t="s">
        <v>678</v>
      </c>
      <c r="AV241" s="442" t="s">
        <v>677</v>
      </c>
      <c r="AW241" s="442" t="s">
        <v>676</v>
      </c>
      <c r="AX241" s="442" t="s">
        <v>674</v>
      </c>
      <c r="AY241" s="442"/>
      <c r="AZ241" s="442"/>
      <c r="BA241" s="442" t="s">
        <v>679</v>
      </c>
      <c r="BB241" s="442"/>
      <c r="BC241" s="442"/>
      <c r="BD241" s="442"/>
      <c r="BE241" s="444"/>
      <c r="BF241" s="442" t="s">
        <v>298</v>
      </c>
      <c r="BG241" s="442" t="s">
        <v>680</v>
      </c>
      <c r="BH241" s="442" t="s">
        <v>681</v>
      </c>
      <c r="BI241" s="442"/>
    </row>
    <row r="242" spans="1:61">
      <c r="A242" s="442" t="s">
        <v>753</v>
      </c>
      <c r="B242" s="442" t="s">
        <v>753</v>
      </c>
      <c r="C242" s="442" t="s">
        <v>759</v>
      </c>
      <c r="D242" s="442" t="s">
        <v>673</v>
      </c>
      <c r="E242" s="442" t="s">
        <v>3</v>
      </c>
      <c r="F242" s="443" t="s">
        <v>83</v>
      </c>
      <c r="G242" s="443" t="s">
        <v>691</v>
      </c>
      <c r="H242" s="444">
        <v>912000</v>
      </c>
      <c r="I242" s="444">
        <v>912000</v>
      </c>
      <c r="J242" s="444">
        <v>0</v>
      </c>
      <c r="K242" s="444">
        <v>0</v>
      </c>
      <c r="L242" s="444">
        <v>912000</v>
      </c>
      <c r="M242" s="444">
        <v>0</v>
      </c>
      <c r="N242" s="444">
        <v>0</v>
      </c>
      <c r="O242" s="444">
        <v>0</v>
      </c>
      <c r="P242" s="444">
        <v>0</v>
      </c>
      <c r="Q242" s="444">
        <v>0</v>
      </c>
      <c r="R242" s="444">
        <v>0</v>
      </c>
      <c r="S242" s="444">
        <v>0</v>
      </c>
      <c r="T242" s="444">
        <v>0</v>
      </c>
      <c r="U242" s="444">
        <v>0</v>
      </c>
      <c r="V242" s="444">
        <v>0</v>
      </c>
      <c r="W242" s="444">
        <v>0</v>
      </c>
      <c r="X242" s="442" t="s">
        <v>674</v>
      </c>
      <c r="Y242" s="442" t="s">
        <v>675</v>
      </c>
      <c r="Z242" s="442" t="s">
        <v>675</v>
      </c>
      <c r="AA242" s="442" t="s">
        <v>675</v>
      </c>
      <c r="AB242" s="442" t="s">
        <v>675</v>
      </c>
      <c r="AC242" s="442"/>
      <c r="AD242" s="442"/>
      <c r="AE242" s="442" t="s">
        <v>676</v>
      </c>
      <c r="AF242" s="442"/>
      <c r="AG242" s="443" t="s">
        <v>735</v>
      </c>
      <c r="AH242" s="442"/>
      <c r="AI242" s="443" t="s">
        <v>735</v>
      </c>
      <c r="AJ242" s="443" t="s">
        <v>677</v>
      </c>
      <c r="AK242" s="442" t="s">
        <v>677</v>
      </c>
      <c r="AL242" s="442"/>
      <c r="AM242" s="442"/>
      <c r="AN242" s="442"/>
      <c r="AO242" s="442"/>
      <c r="AP242" s="442"/>
      <c r="AQ242" s="442"/>
      <c r="AR242" s="444"/>
      <c r="AS242" s="442"/>
      <c r="AT242" s="444"/>
      <c r="AU242" s="442" t="s">
        <v>678</v>
      </c>
      <c r="AV242" s="442" t="s">
        <v>677</v>
      </c>
      <c r="AW242" s="442" t="s">
        <v>676</v>
      </c>
      <c r="AX242" s="442" t="s">
        <v>674</v>
      </c>
      <c r="AY242" s="442"/>
      <c r="AZ242" s="442"/>
      <c r="BA242" s="442" t="s">
        <v>679</v>
      </c>
      <c r="BB242" s="442"/>
      <c r="BC242" s="442"/>
      <c r="BD242" s="442"/>
      <c r="BE242" s="444"/>
      <c r="BF242" s="442" t="s">
        <v>298</v>
      </c>
      <c r="BG242" s="442" t="s">
        <v>680</v>
      </c>
      <c r="BH242" s="442" t="s">
        <v>681</v>
      </c>
      <c r="BI242" s="442"/>
    </row>
    <row r="243" spans="1:61">
      <c r="A243" s="442" t="s">
        <v>753</v>
      </c>
      <c r="B243" s="442" t="s">
        <v>753</v>
      </c>
      <c r="C243" s="442" t="s">
        <v>759</v>
      </c>
      <c r="D243" s="442" t="s">
        <v>673</v>
      </c>
      <c r="E243" s="442" t="s">
        <v>3</v>
      </c>
      <c r="F243" s="443" t="s">
        <v>83</v>
      </c>
      <c r="G243" s="443" t="s">
        <v>691</v>
      </c>
      <c r="H243" s="444">
        <v>88000</v>
      </c>
      <c r="I243" s="444">
        <v>88000</v>
      </c>
      <c r="J243" s="444">
        <v>0</v>
      </c>
      <c r="K243" s="444">
        <v>0</v>
      </c>
      <c r="L243" s="444">
        <v>88000</v>
      </c>
      <c r="M243" s="444">
        <v>0</v>
      </c>
      <c r="N243" s="444">
        <v>0</v>
      </c>
      <c r="O243" s="444">
        <v>0</v>
      </c>
      <c r="P243" s="444">
        <v>0</v>
      </c>
      <c r="Q243" s="444">
        <v>0</v>
      </c>
      <c r="R243" s="444">
        <v>0</v>
      </c>
      <c r="S243" s="444">
        <v>0</v>
      </c>
      <c r="T243" s="444">
        <v>0</v>
      </c>
      <c r="U243" s="444">
        <v>0</v>
      </c>
      <c r="V243" s="444">
        <v>0</v>
      </c>
      <c r="W243" s="444">
        <v>0</v>
      </c>
      <c r="X243" s="442" t="s">
        <v>674</v>
      </c>
      <c r="Y243" s="442" t="s">
        <v>675</v>
      </c>
      <c r="Z243" s="442" t="s">
        <v>675</v>
      </c>
      <c r="AA243" s="442" t="s">
        <v>675</v>
      </c>
      <c r="AB243" s="442" t="s">
        <v>675</v>
      </c>
      <c r="AC243" s="442"/>
      <c r="AD243" s="442"/>
      <c r="AE243" s="442" t="s">
        <v>676</v>
      </c>
      <c r="AF243" s="442"/>
      <c r="AG243" s="443" t="s">
        <v>734</v>
      </c>
      <c r="AH243" s="442"/>
      <c r="AI243" s="443" t="s">
        <v>734</v>
      </c>
      <c r="AJ243" s="443" t="s">
        <v>677</v>
      </c>
      <c r="AK243" s="442" t="s">
        <v>677</v>
      </c>
      <c r="AL243" s="442"/>
      <c r="AM243" s="442"/>
      <c r="AN243" s="442"/>
      <c r="AO243" s="442"/>
      <c r="AP243" s="442"/>
      <c r="AQ243" s="442"/>
      <c r="AR243" s="444"/>
      <c r="AS243" s="442"/>
      <c r="AT243" s="444"/>
      <c r="AU243" s="442" t="s">
        <v>678</v>
      </c>
      <c r="AV243" s="442" t="s">
        <v>677</v>
      </c>
      <c r="AW243" s="442" t="s">
        <v>676</v>
      </c>
      <c r="AX243" s="442" t="s">
        <v>674</v>
      </c>
      <c r="AY243" s="442"/>
      <c r="AZ243" s="442"/>
      <c r="BA243" s="442" t="s">
        <v>679</v>
      </c>
      <c r="BB243" s="442"/>
      <c r="BC243" s="442"/>
      <c r="BD243" s="442"/>
      <c r="BE243" s="444"/>
      <c r="BF243" s="442" t="s">
        <v>298</v>
      </c>
      <c r="BG243" s="442" t="s">
        <v>680</v>
      </c>
      <c r="BH243" s="442" t="s">
        <v>681</v>
      </c>
      <c r="BI243" s="442"/>
    </row>
    <row r="244" spans="1:61">
      <c r="A244" s="442" t="s">
        <v>753</v>
      </c>
      <c r="B244" s="442" t="s">
        <v>753</v>
      </c>
      <c r="C244" s="442" t="s">
        <v>759</v>
      </c>
      <c r="D244" s="442" t="s">
        <v>673</v>
      </c>
      <c r="E244" s="442" t="s">
        <v>3</v>
      </c>
      <c r="F244" s="443" t="s">
        <v>83</v>
      </c>
      <c r="G244" s="443" t="s">
        <v>691</v>
      </c>
      <c r="H244" s="444">
        <v>88000</v>
      </c>
      <c r="I244" s="444">
        <v>88000</v>
      </c>
      <c r="J244" s="444">
        <v>0</v>
      </c>
      <c r="K244" s="444">
        <v>0</v>
      </c>
      <c r="L244" s="444">
        <v>88000</v>
      </c>
      <c r="M244" s="444">
        <v>0</v>
      </c>
      <c r="N244" s="444">
        <v>0</v>
      </c>
      <c r="O244" s="444">
        <v>0</v>
      </c>
      <c r="P244" s="444">
        <v>0</v>
      </c>
      <c r="Q244" s="444">
        <v>0</v>
      </c>
      <c r="R244" s="444">
        <v>0</v>
      </c>
      <c r="S244" s="444">
        <v>0</v>
      </c>
      <c r="T244" s="444">
        <v>0</v>
      </c>
      <c r="U244" s="444">
        <v>0</v>
      </c>
      <c r="V244" s="444">
        <v>0</v>
      </c>
      <c r="W244" s="444">
        <v>0</v>
      </c>
      <c r="X244" s="442" t="s">
        <v>674</v>
      </c>
      <c r="Y244" s="442" t="s">
        <v>675</v>
      </c>
      <c r="Z244" s="442" t="s">
        <v>675</v>
      </c>
      <c r="AA244" s="442" t="s">
        <v>675</v>
      </c>
      <c r="AB244" s="442" t="s">
        <v>675</v>
      </c>
      <c r="AC244" s="442"/>
      <c r="AD244" s="442"/>
      <c r="AE244" s="442" t="s">
        <v>676</v>
      </c>
      <c r="AF244" s="442"/>
      <c r="AG244" s="443" t="s">
        <v>734</v>
      </c>
      <c r="AH244" s="442"/>
      <c r="AI244" s="443" t="s">
        <v>734</v>
      </c>
      <c r="AJ244" s="443" t="s">
        <v>677</v>
      </c>
      <c r="AK244" s="442" t="s">
        <v>677</v>
      </c>
      <c r="AL244" s="442"/>
      <c r="AM244" s="442"/>
      <c r="AN244" s="442"/>
      <c r="AO244" s="442"/>
      <c r="AP244" s="442"/>
      <c r="AQ244" s="442"/>
      <c r="AR244" s="444"/>
      <c r="AS244" s="442"/>
      <c r="AT244" s="444"/>
      <c r="AU244" s="442" t="s">
        <v>678</v>
      </c>
      <c r="AV244" s="442" t="s">
        <v>677</v>
      </c>
      <c r="AW244" s="442" t="s">
        <v>676</v>
      </c>
      <c r="AX244" s="442" t="s">
        <v>674</v>
      </c>
      <c r="AY244" s="442"/>
      <c r="AZ244" s="442"/>
      <c r="BA244" s="442" t="s">
        <v>679</v>
      </c>
      <c r="BB244" s="442"/>
      <c r="BC244" s="442"/>
      <c r="BD244" s="442"/>
      <c r="BE244" s="444"/>
      <c r="BF244" s="442" t="s">
        <v>298</v>
      </c>
      <c r="BG244" s="442" t="s">
        <v>680</v>
      </c>
      <c r="BH244" s="442" t="s">
        <v>681</v>
      </c>
      <c r="BI244" s="442"/>
    </row>
    <row r="245" spans="1:61">
      <c r="A245" s="442" t="s">
        <v>753</v>
      </c>
      <c r="B245" s="442" t="s">
        <v>753</v>
      </c>
      <c r="C245" s="442" t="s">
        <v>759</v>
      </c>
      <c r="D245" s="442" t="s">
        <v>673</v>
      </c>
      <c r="E245" s="442" t="s">
        <v>3</v>
      </c>
      <c r="F245" s="443" t="s">
        <v>83</v>
      </c>
      <c r="G245" s="443" t="s">
        <v>691</v>
      </c>
      <c r="H245" s="444">
        <v>912000</v>
      </c>
      <c r="I245" s="444">
        <v>912000</v>
      </c>
      <c r="J245" s="444">
        <v>0</v>
      </c>
      <c r="K245" s="444">
        <v>0</v>
      </c>
      <c r="L245" s="444">
        <v>912000</v>
      </c>
      <c r="M245" s="444">
        <v>0</v>
      </c>
      <c r="N245" s="444">
        <v>0</v>
      </c>
      <c r="O245" s="444">
        <v>0</v>
      </c>
      <c r="P245" s="444">
        <v>0</v>
      </c>
      <c r="Q245" s="444">
        <v>0</v>
      </c>
      <c r="R245" s="444">
        <v>0</v>
      </c>
      <c r="S245" s="444">
        <v>0</v>
      </c>
      <c r="T245" s="444">
        <v>0</v>
      </c>
      <c r="U245" s="444">
        <v>0</v>
      </c>
      <c r="V245" s="444">
        <v>0</v>
      </c>
      <c r="W245" s="444">
        <v>0</v>
      </c>
      <c r="X245" s="442" t="s">
        <v>674</v>
      </c>
      <c r="Y245" s="442" t="s">
        <v>675</v>
      </c>
      <c r="Z245" s="442" t="s">
        <v>675</v>
      </c>
      <c r="AA245" s="442" t="s">
        <v>675</v>
      </c>
      <c r="AB245" s="442" t="s">
        <v>675</v>
      </c>
      <c r="AC245" s="442"/>
      <c r="AD245" s="442"/>
      <c r="AE245" s="442" t="s">
        <v>676</v>
      </c>
      <c r="AF245" s="442"/>
      <c r="AG245" s="443" t="s">
        <v>735</v>
      </c>
      <c r="AH245" s="442"/>
      <c r="AI245" s="443" t="s">
        <v>735</v>
      </c>
      <c r="AJ245" s="443" t="s">
        <v>677</v>
      </c>
      <c r="AK245" s="442" t="s">
        <v>677</v>
      </c>
      <c r="AL245" s="442"/>
      <c r="AM245" s="442"/>
      <c r="AN245" s="442"/>
      <c r="AO245" s="442"/>
      <c r="AP245" s="442"/>
      <c r="AQ245" s="442"/>
      <c r="AR245" s="444"/>
      <c r="AS245" s="442"/>
      <c r="AT245" s="444"/>
      <c r="AU245" s="442" t="s">
        <v>678</v>
      </c>
      <c r="AV245" s="442" t="s">
        <v>677</v>
      </c>
      <c r="AW245" s="442" t="s">
        <v>676</v>
      </c>
      <c r="AX245" s="442" t="s">
        <v>674</v>
      </c>
      <c r="AY245" s="442"/>
      <c r="AZ245" s="442"/>
      <c r="BA245" s="442" t="s">
        <v>679</v>
      </c>
      <c r="BB245" s="442"/>
      <c r="BC245" s="442"/>
      <c r="BD245" s="442"/>
      <c r="BE245" s="444"/>
      <c r="BF245" s="442" t="s">
        <v>298</v>
      </c>
      <c r="BG245" s="442" t="s">
        <v>680</v>
      </c>
      <c r="BH245" s="442" t="s">
        <v>681</v>
      </c>
      <c r="BI245" s="442"/>
    </row>
    <row r="246" spans="1:61">
      <c r="A246" s="442" t="s">
        <v>767</v>
      </c>
      <c r="B246" s="442" t="s">
        <v>1105</v>
      </c>
      <c r="C246" s="442" t="s">
        <v>1105</v>
      </c>
      <c r="D246" s="442" t="s">
        <v>724</v>
      </c>
      <c r="E246" s="442" t="s">
        <v>3</v>
      </c>
      <c r="F246" s="443" t="s">
        <v>83</v>
      </c>
      <c r="G246" s="443" t="s">
        <v>700</v>
      </c>
      <c r="H246" s="444">
        <v>153610</v>
      </c>
      <c r="I246" s="444">
        <v>153610</v>
      </c>
      <c r="J246" s="444">
        <v>0</v>
      </c>
      <c r="K246" s="444">
        <v>0</v>
      </c>
      <c r="L246" s="444">
        <v>139646</v>
      </c>
      <c r="M246" s="444">
        <v>0</v>
      </c>
      <c r="N246" s="444">
        <v>0</v>
      </c>
      <c r="O246" s="444">
        <v>13964</v>
      </c>
      <c r="P246" s="444">
        <v>0</v>
      </c>
      <c r="Q246" s="444">
        <v>0</v>
      </c>
      <c r="R246" s="444">
        <v>0</v>
      </c>
      <c r="S246" s="444">
        <v>0</v>
      </c>
      <c r="T246" s="444">
        <v>0</v>
      </c>
      <c r="U246" s="444">
        <v>0</v>
      </c>
      <c r="V246" s="444">
        <v>0</v>
      </c>
      <c r="W246" s="444">
        <v>0</v>
      </c>
      <c r="X246" s="442" t="s">
        <v>674</v>
      </c>
      <c r="Y246" s="442" t="s">
        <v>675</v>
      </c>
      <c r="Z246" s="442" t="s">
        <v>675</v>
      </c>
      <c r="AA246" s="442" t="s">
        <v>675</v>
      </c>
      <c r="AB246" s="442" t="s">
        <v>675</v>
      </c>
      <c r="AC246" s="442"/>
      <c r="AD246" s="442"/>
      <c r="AE246" s="442"/>
      <c r="AF246" s="442"/>
      <c r="AG246" s="443" t="s">
        <v>1106</v>
      </c>
      <c r="AH246" s="442"/>
      <c r="AI246" s="443" t="s">
        <v>1106</v>
      </c>
      <c r="AJ246" s="443" t="s">
        <v>1002</v>
      </c>
      <c r="AK246" s="442" t="s">
        <v>677</v>
      </c>
      <c r="AL246" s="442"/>
      <c r="AM246" s="442" t="s">
        <v>726</v>
      </c>
      <c r="AN246" s="442" t="s">
        <v>1135</v>
      </c>
      <c r="AO246" s="442" t="s">
        <v>767</v>
      </c>
      <c r="AP246" s="442" t="s">
        <v>845</v>
      </c>
      <c r="AQ246" s="442" t="s">
        <v>729</v>
      </c>
      <c r="AR246" s="444">
        <v>153610</v>
      </c>
      <c r="AS246" s="442" t="s">
        <v>675</v>
      </c>
      <c r="AT246" s="444">
        <v>0</v>
      </c>
      <c r="AU246" s="442" t="s">
        <v>678</v>
      </c>
      <c r="AV246" s="442" t="s">
        <v>677</v>
      </c>
      <c r="AW246" s="442" t="s">
        <v>676</v>
      </c>
      <c r="AX246" s="442" t="s">
        <v>674</v>
      </c>
      <c r="AY246" s="442"/>
      <c r="AZ246" s="442"/>
      <c r="BA246" s="442" t="s">
        <v>679</v>
      </c>
      <c r="BB246" s="442"/>
      <c r="BC246" s="442"/>
      <c r="BD246" s="442"/>
      <c r="BE246" s="444"/>
      <c r="BF246" s="442" t="s">
        <v>298</v>
      </c>
      <c r="BG246" s="442" t="s">
        <v>680</v>
      </c>
      <c r="BH246" s="442" t="s">
        <v>681</v>
      </c>
      <c r="BI246" s="442"/>
    </row>
    <row r="247" spans="1:61">
      <c r="A247" s="442" t="s">
        <v>767</v>
      </c>
      <c r="B247" s="442" t="s">
        <v>1105</v>
      </c>
      <c r="C247" s="442" t="s">
        <v>1105</v>
      </c>
      <c r="D247" s="442" t="s">
        <v>724</v>
      </c>
      <c r="E247" s="442" t="s">
        <v>3</v>
      </c>
      <c r="F247" s="443" t="s">
        <v>83</v>
      </c>
      <c r="G247" s="443" t="s">
        <v>700</v>
      </c>
      <c r="H247" s="444">
        <v>1452600</v>
      </c>
      <c r="I247" s="444">
        <v>1452600</v>
      </c>
      <c r="J247" s="444">
        <v>0</v>
      </c>
      <c r="K247" s="444">
        <v>0</v>
      </c>
      <c r="L247" s="444">
        <v>1452600</v>
      </c>
      <c r="M247" s="444">
        <v>0</v>
      </c>
      <c r="N247" s="444">
        <v>0</v>
      </c>
      <c r="O247" s="444">
        <v>0</v>
      </c>
      <c r="P247" s="444">
        <v>0</v>
      </c>
      <c r="Q247" s="444">
        <v>0</v>
      </c>
      <c r="R247" s="444">
        <v>0</v>
      </c>
      <c r="S247" s="444">
        <v>0</v>
      </c>
      <c r="T247" s="444">
        <v>0</v>
      </c>
      <c r="U247" s="444">
        <v>0</v>
      </c>
      <c r="V247" s="444">
        <v>0</v>
      </c>
      <c r="W247" s="444">
        <v>0</v>
      </c>
      <c r="X247" s="442" t="s">
        <v>674</v>
      </c>
      <c r="Y247" s="442" t="s">
        <v>675</v>
      </c>
      <c r="Z247" s="442" t="s">
        <v>675</v>
      </c>
      <c r="AA247" s="442" t="s">
        <v>675</v>
      </c>
      <c r="AB247" s="442" t="s">
        <v>675</v>
      </c>
      <c r="AC247" s="442"/>
      <c r="AD247" s="442"/>
      <c r="AE247" s="442"/>
      <c r="AF247" s="442"/>
      <c r="AG247" s="443" t="s">
        <v>1106</v>
      </c>
      <c r="AH247" s="442"/>
      <c r="AI247" s="443" t="s">
        <v>1106</v>
      </c>
      <c r="AJ247" s="443" t="s">
        <v>1136</v>
      </c>
      <c r="AK247" s="442" t="s">
        <v>677</v>
      </c>
      <c r="AL247" s="442"/>
      <c r="AM247" s="442" t="s">
        <v>726</v>
      </c>
      <c r="AN247" s="442" t="s">
        <v>1137</v>
      </c>
      <c r="AO247" s="442" t="s">
        <v>767</v>
      </c>
      <c r="AP247" s="442" t="s">
        <v>1138</v>
      </c>
      <c r="AQ247" s="442" t="s">
        <v>729</v>
      </c>
      <c r="AR247" s="444">
        <v>1452600</v>
      </c>
      <c r="AS247" s="442" t="s">
        <v>675</v>
      </c>
      <c r="AT247" s="444">
        <v>0</v>
      </c>
      <c r="AU247" s="442" t="s">
        <v>678</v>
      </c>
      <c r="AV247" s="442" t="s">
        <v>677</v>
      </c>
      <c r="AW247" s="442" t="s">
        <v>676</v>
      </c>
      <c r="AX247" s="442" t="s">
        <v>674</v>
      </c>
      <c r="AY247" s="442"/>
      <c r="AZ247" s="442"/>
      <c r="BA247" s="442" t="s">
        <v>679</v>
      </c>
      <c r="BB247" s="442"/>
      <c r="BC247" s="442"/>
      <c r="BD247" s="442"/>
      <c r="BE247" s="444"/>
      <c r="BF247" s="442" t="s">
        <v>298</v>
      </c>
      <c r="BG247" s="442" t="s">
        <v>680</v>
      </c>
      <c r="BH247" s="442" t="s">
        <v>681</v>
      </c>
      <c r="BI247" s="442"/>
    </row>
    <row r="248" spans="1:61">
      <c r="A248" s="442" t="s">
        <v>767</v>
      </c>
      <c r="B248" s="442" t="s">
        <v>1105</v>
      </c>
      <c r="C248" s="442" t="s">
        <v>1105</v>
      </c>
      <c r="D248" s="442" t="s">
        <v>724</v>
      </c>
      <c r="E248" s="442" t="s">
        <v>3</v>
      </c>
      <c r="F248" s="443" t="s">
        <v>83</v>
      </c>
      <c r="G248" s="443" t="s">
        <v>700</v>
      </c>
      <c r="H248" s="444">
        <v>1452600</v>
      </c>
      <c r="I248" s="444">
        <v>1452600</v>
      </c>
      <c r="J248" s="444">
        <v>0</v>
      </c>
      <c r="K248" s="444">
        <v>0</v>
      </c>
      <c r="L248" s="444">
        <v>1452600</v>
      </c>
      <c r="M248" s="444">
        <v>0</v>
      </c>
      <c r="N248" s="444">
        <v>0</v>
      </c>
      <c r="O248" s="444">
        <v>0</v>
      </c>
      <c r="P248" s="444">
        <v>0</v>
      </c>
      <c r="Q248" s="444">
        <v>0</v>
      </c>
      <c r="R248" s="444">
        <v>0</v>
      </c>
      <c r="S248" s="444">
        <v>0</v>
      </c>
      <c r="T248" s="444">
        <v>0</v>
      </c>
      <c r="U248" s="444">
        <v>0</v>
      </c>
      <c r="V248" s="444">
        <v>0</v>
      </c>
      <c r="W248" s="444">
        <v>0</v>
      </c>
      <c r="X248" s="442" t="s">
        <v>674</v>
      </c>
      <c r="Y248" s="442" t="s">
        <v>675</v>
      </c>
      <c r="Z248" s="442" t="s">
        <v>675</v>
      </c>
      <c r="AA248" s="442" t="s">
        <v>675</v>
      </c>
      <c r="AB248" s="442" t="s">
        <v>675</v>
      </c>
      <c r="AC248" s="442"/>
      <c r="AD248" s="442"/>
      <c r="AE248" s="442"/>
      <c r="AF248" s="442"/>
      <c r="AG248" s="443" t="s">
        <v>1106</v>
      </c>
      <c r="AH248" s="442"/>
      <c r="AI248" s="443" t="s">
        <v>1106</v>
      </c>
      <c r="AJ248" s="443" t="s">
        <v>1139</v>
      </c>
      <c r="AK248" s="442" t="s">
        <v>677</v>
      </c>
      <c r="AL248" s="442"/>
      <c r="AM248" s="442" t="s">
        <v>726</v>
      </c>
      <c r="AN248" s="442" t="s">
        <v>1140</v>
      </c>
      <c r="AO248" s="442" t="s">
        <v>767</v>
      </c>
      <c r="AP248" s="442" t="s">
        <v>1138</v>
      </c>
      <c r="AQ248" s="442" t="s">
        <v>729</v>
      </c>
      <c r="AR248" s="444">
        <v>1452600</v>
      </c>
      <c r="AS248" s="442" t="s">
        <v>675</v>
      </c>
      <c r="AT248" s="444">
        <v>0</v>
      </c>
      <c r="AU248" s="442" t="s">
        <v>678</v>
      </c>
      <c r="AV248" s="442" t="s">
        <v>677</v>
      </c>
      <c r="AW248" s="442" t="s">
        <v>676</v>
      </c>
      <c r="AX248" s="442" t="s">
        <v>674</v>
      </c>
      <c r="AY248" s="442"/>
      <c r="AZ248" s="442"/>
      <c r="BA248" s="442" t="s">
        <v>679</v>
      </c>
      <c r="BB248" s="442"/>
      <c r="BC248" s="442"/>
      <c r="BD248" s="442"/>
      <c r="BE248" s="444"/>
      <c r="BF248" s="442" t="s">
        <v>298</v>
      </c>
      <c r="BG248" s="442" t="s">
        <v>680</v>
      </c>
      <c r="BH248" s="442" t="s">
        <v>681</v>
      </c>
      <c r="BI248" s="442"/>
    </row>
    <row r="249" spans="1:61">
      <c r="A249" s="442" t="s">
        <v>765</v>
      </c>
      <c r="B249" s="442" t="s">
        <v>703</v>
      </c>
      <c r="C249" s="442" t="s">
        <v>704</v>
      </c>
      <c r="D249" s="442" t="s">
        <v>724</v>
      </c>
      <c r="E249" s="442" t="s">
        <v>3</v>
      </c>
      <c r="F249" s="443" t="s">
        <v>83</v>
      </c>
      <c r="G249" s="443" t="s">
        <v>700</v>
      </c>
      <c r="H249" s="444">
        <v>504669</v>
      </c>
      <c r="I249" s="444">
        <v>504669</v>
      </c>
      <c r="J249" s="444">
        <v>0</v>
      </c>
      <c r="K249" s="444">
        <v>0</v>
      </c>
      <c r="L249" s="444">
        <v>504669</v>
      </c>
      <c r="M249" s="444">
        <v>0</v>
      </c>
      <c r="N249" s="444">
        <v>0</v>
      </c>
      <c r="O249" s="444">
        <v>0</v>
      </c>
      <c r="P249" s="444">
        <v>0</v>
      </c>
      <c r="Q249" s="444">
        <v>0</v>
      </c>
      <c r="R249" s="444">
        <v>0</v>
      </c>
      <c r="S249" s="444">
        <v>0</v>
      </c>
      <c r="T249" s="444">
        <v>0</v>
      </c>
      <c r="U249" s="444">
        <v>0</v>
      </c>
      <c r="V249" s="444">
        <v>0</v>
      </c>
      <c r="W249" s="444">
        <v>0</v>
      </c>
      <c r="X249" s="442" t="s">
        <v>674</v>
      </c>
      <c r="Y249" s="442" t="s">
        <v>675</v>
      </c>
      <c r="Z249" s="442" t="s">
        <v>675</v>
      </c>
      <c r="AA249" s="442" t="s">
        <v>675</v>
      </c>
      <c r="AB249" s="442" t="s">
        <v>675</v>
      </c>
      <c r="AC249" s="442"/>
      <c r="AD249" s="442"/>
      <c r="AE249" s="442"/>
      <c r="AF249" s="442"/>
      <c r="AG249" s="443" t="s">
        <v>705</v>
      </c>
      <c r="AH249" s="442"/>
      <c r="AI249" s="443" t="s">
        <v>705</v>
      </c>
      <c r="AJ249" s="443" t="s">
        <v>754</v>
      </c>
      <c r="AK249" s="442" t="s">
        <v>677</v>
      </c>
      <c r="AL249" s="442"/>
      <c r="AM249" s="442" t="s">
        <v>726</v>
      </c>
      <c r="AN249" s="442" t="s">
        <v>766</v>
      </c>
      <c r="AO249" s="442" t="s">
        <v>765</v>
      </c>
      <c r="AP249" s="442" t="s">
        <v>767</v>
      </c>
      <c r="AQ249" s="442" t="s">
        <v>757</v>
      </c>
      <c r="AR249" s="444">
        <v>504669</v>
      </c>
      <c r="AS249" s="442" t="s">
        <v>675</v>
      </c>
      <c r="AT249" s="444">
        <v>0</v>
      </c>
      <c r="AU249" s="442" t="s">
        <v>678</v>
      </c>
      <c r="AV249" s="442" t="s">
        <v>677</v>
      </c>
      <c r="AW249" s="442" t="s">
        <v>676</v>
      </c>
      <c r="AX249" s="442" t="s">
        <v>674</v>
      </c>
      <c r="AY249" s="442"/>
      <c r="AZ249" s="442"/>
      <c r="BA249" s="442" t="s">
        <v>679</v>
      </c>
      <c r="BB249" s="442"/>
      <c r="BC249" s="442"/>
      <c r="BD249" s="442"/>
      <c r="BE249" s="444"/>
      <c r="BF249" s="442" t="s">
        <v>298</v>
      </c>
      <c r="BG249" s="442" t="s">
        <v>680</v>
      </c>
      <c r="BH249" s="442" t="s">
        <v>681</v>
      </c>
      <c r="BI249" s="442"/>
    </row>
    <row r="250" spans="1:61">
      <c r="A250" s="442" t="s">
        <v>765</v>
      </c>
      <c r="B250" s="442" t="s">
        <v>703</v>
      </c>
      <c r="C250" s="442" t="s">
        <v>704</v>
      </c>
      <c r="D250" s="442" t="s">
        <v>724</v>
      </c>
      <c r="E250" s="442" t="s">
        <v>3</v>
      </c>
      <c r="F250" s="443" t="s">
        <v>83</v>
      </c>
      <c r="G250" s="443" t="s">
        <v>700</v>
      </c>
      <c r="H250" s="444">
        <v>504669</v>
      </c>
      <c r="I250" s="444">
        <v>504669</v>
      </c>
      <c r="J250" s="444">
        <v>0</v>
      </c>
      <c r="K250" s="444">
        <v>0</v>
      </c>
      <c r="L250" s="444">
        <v>504669</v>
      </c>
      <c r="M250" s="444">
        <v>0</v>
      </c>
      <c r="N250" s="444">
        <v>0</v>
      </c>
      <c r="O250" s="444">
        <v>0</v>
      </c>
      <c r="P250" s="444">
        <v>0</v>
      </c>
      <c r="Q250" s="444">
        <v>0</v>
      </c>
      <c r="R250" s="444">
        <v>0</v>
      </c>
      <c r="S250" s="444">
        <v>0</v>
      </c>
      <c r="T250" s="444">
        <v>0</v>
      </c>
      <c r="U250" s="444">
        <v>0</v>
      </c>
      <c r="V250" s="444">
        <v>0</v>
      </c>
      <c r="W250" s="444">
        <v>0</v>
      </c>
      <c r="X250" s="442" t="s">
        <v>674</v>
      </c>
      <c r="Y250" s="442" t="s">
        <v>675</v>
      </c>
      <c r="Z250" s="442" t="s">
        <v>675</v>
      </c>
      <c r="AA250" s="442" t="s">
        <v>675</v>
      </c>
      <c r="AB250" s="442" t="s">
        <v>675</v>
      </c>
      <c r="AC250" s="442"/>
      <c r="AD250" s="442"/>
      <c r="AE250" s="442"/>
      <c r="AF250" s="442"/>
      <c r="AG250" s="443" t="s">
        <v>705</v>
      </c>
      <c r="AH250" s="442"/>
      <c r="AI250" s="443" t="s">
        <v>705</v>
      </c>
      <c r="AJ250" s="443" t="s">
        <v>754</v>
      </c>
      <c r="AK250" s="442" t="s">
        <v>677</v>
      </c>
      <c r="AL250" s="442"/>
      <c r="AM250" s="442" t="s">
        <v>726</v>
      </c>
      <c r="AN250" s="442" t="s">
        <v>768</v>
      </c>
      <c r="AO250" s="442" t="s">
        <v>765</v>
      </c>
      <c r="AP250" s="442" t="s">
        <v>767</v>
      </c>
      <c r="AQ250" s="442" t="s">
        <v>757</v>
      </c>
      <c r="AR250" s="444">
        <v>504669</v>
      </c>
      <c r="AS250" s="442" t="s">
        <v>675</v>
      </c>
      <c r="AT250" s="444">
        <v>0</v>
      </c>
      <c r="AU250" s="442" t="s">
        <v>678</v>
      </c>
      <c r="AV250" s="442" t="s">
        <v>677</v>
      </c>
      <c r="AW250" s="442" t="s">
        <v>676</v>
      </c>
      <c r="AX250" s="442" t="s">
        <v>674</v>
      </c>
      <c r="AY250" s="442"/>
      <c r="AZ250" s="442"/>
      <c r="BA250" s="442" t="s">
        <v>679</v>
      </c>
      <c r="BB250" s="442"/>
      <c r="BC250" s="442"/>
      <c r="BD250" s="442"/>
      <c r="BE250" s="444"/>
      <c r="BF250" s="442" t="s">
        <v>298</v>
      </c>
      <c r="BG250" s="442" t="s">
        <v>680</v>
      </c>
      <c r="BH250" s="442" t="s">
        <v>681</v>
      </c>
      <c r="BI250" s="442"/>
    </row>
    <row r="251" spans="1:61">
      <c r="A251" s="442" t="s">
        <v>765</v>
      </c>
      <c r="B251" s="442" t="s">
        <v>703</v>
      </c>
      <c r="C251" s="442" t="s">
        <v>704</v>
      </c>
      <c r="D251" s="442" t="s">
        <v>724</v>
      </c>
      <c r="E251" s="442" t="s">
        <v>3</v>
      </c>
      <c r="F251" s="443" t="s">
        <v>83</v>
      </c>
      <c r="G251" s="443" t="s">
        <v>700</v>
      </c>
      <c r="H251" s="444">
        <v>504669</v>
      </c>
      <c r="I251" s="444">
        <v>504669</v>
      </c>
      <c r="J251" s="444">
        <v>0</v>
      </c>
      <c r="K251" s="444">
        <v>0</v>
      </c>
      <c r="L251" s="444">
        <v>504669</v>
      </c>
      <c r="M251" s="444">
        <v>0</v>
      </c>
      <c r="N251" s="444">
        <v>0</v>
      </c>
      <c r="O251" s="444">
        <v>0</v>
      </c>
      <c r="P251" s="444">
        <v>0</v>
      </c>
      <c r="Q251" s="444">
        <v>0</v>
      </c>
      <c r="R251" s="444">
        <v>0</v>
      </c>
      <c r="S251" s="444">
        <v>0</v>
      </c>
      <c r="T251" s="444">
        <v>0</v>
      </c>
      <c r="U251" s="444">
        <v>0</v>
      </c>
      <c r="V251" s="444">
        <v>0</v>
      </c>
      <c r="W251" s="444">
        <v>0</v>
      </c>
      <c r="X251" s="442" t="s">
        <v>674</v>
      </c>
      <c r="Y251" s="442" t="s">
        <v>675</v>
      </c>
      <c r="Z251" s="442" t="s">
        <v>675</v>
      </c>
      <c r="AA251" s="442" t="s">
        <v>675</v>
      </c>
      <c r="AB251" s="442" t="s">
        <v>675</v>
      </c>
      <c r="AC251" s="442"/>
      <c r="AD251" s="442"/>
      <c r="AE251" s="442"/>
      <c r="AF251" s="442"/>
      <c r="AG251" s="443" t="s">
        <v>705</v>
      </c>
      <c r="AH251" s="442"/>
      <c r="AI251" s="443" t="s">
        <v>705</v>
      </c>
      <c r="AJ251" s="443" t="s">
        <v>754</v>
      </c>
      <c r="AK251" s="442" t="s">
        <v>677</v>
      </c>
      <c r="AL251" s="442"/>
      <c r="AM251" s="442" t="s">
        <v>726</v>
      </c>
      <c r="AN251" s="442" t="s">
        <v>769</v>
      </c>
      <c r="AO251" s="442" t="s">
        <v>765</v>
      </c>
      <c r="AP251" s="442" t="s">
        <v>767</v>
      </c>
      <c r="AQ251" s="442" t="s">
        <v>757</v>
      </c>
      <c r="AR251" s="444">
        <v>504669</v>
      </c>
      <c r="AS251" s="442" t="s">
        <v>675</v>
      </c>
      <c r="AT251" s="444">
        <v>0</v>
      </c>
      <c r="AU251" s="442" t="s">
        <v>678</v>
      </c>
      <c r="AV251" s="442" t="s">
        <v>677</v>
      </c>
      <c r="AW251" s="442" t="s">
        <v>676</v>
      </c>
      <c r="AX251" s="442" t="s">
        <v>674</v>
      </c>
      <c r="AY251" s="442"/>
      <c r="AZ251" s="442"/>
      <c r="BA251" s="442" t="s">
        <v>679</v>
      </c>
      <c r="BB251" s="442"/>
      <c r="BC251" s="442"/>
      <c r="BD251" s="442"/>
      <c r="BE251" s="444"/>
      <c r="BF251" s="442" t="s">
        <v>298</v>
      </c>
      <c r="BG251" s="442" t="s">
        <v>680</v>
      </c>
      <c r="BH251" s="442" t="s">
        <v>681</v>
      </c>
      <c r="BI251" s="442"/>
    </row>
    <row r="252" spans="1:61">
      <c r="A252" s="442" t="s">
        <v>770</v>
      </c>
      <c r="B252" s="442" t="s">
        <v>1179</v>
      </c>
      <c r="C252" s="442" t="s">
        <v>729</v>
      </c>
      <c r="D252" s="442" t="s">
        <v>724</v>
      </c>
      <c r="E252" s="442" t="s">
        <v>3</v>
      </c>
      <c r="F252" s="443" t="s">
        <v>83</v>
      </c>
      <c r="G252" s="443" t="s">
        <v>829</v>
      </c>
      <c r="H252" s="444">
        <v>52500</v>
      </c>
      <c r="I252" s="444">
        <v>52500</v>
      </c>
      <c r="J252" s="444">
        <v>0</v>
      </c>
      <c r="K252" s="444">
        <v>0</v>
      </c>
      <c r="L252" s="444">
        <v>47728</v>
      </c>
      <c r="M252" s="444">
        <v>0</v>
      </c>
      <c r="N252" s="444">
        <v>0</v>
      </c>
      <c r="O252" s="444">
        <v>4772</v>
      </c>
      <c r="P252" s="444">
        <v>0</v>
      </c>
      <c r="Q252" s="444">
        <v>0</v>
      </c>
      <c r="R252" s="444">
        <v>0</v>
      </c>
      <c r="S252" s="444">
        <v>0</v>
      </c>
      <c r="T252" s="444">
        <v>0</v>
      </c>
      <c r="U252" s="444">
        <v>0</v>
      </c>
      <c r="V252" s="444">
        <v>0</v>
      </c>
      <c r="W252" s="444">
        <v>0</v>
      </c>
      <c r="X252" s="442" t="s">
        <v>674</v>
      </c>
      <c r="Y252" s="442" t="s">
        <v>675</v>
      </c>
      <c r="Z252" s="442" t="s">
        <v>675</v>
      </c>
      <c r="AA252" s="442" t="s">
        <v>675</v>
      </c>
      <c r="AB252" s="442" t="s">
        <v>675</v>
      </c>
      <c r="AC252" s="442"/>
      <c r="AD252" s="442"/>
      <c r="AE252" s="442"/>
      <c r="AF252" s="442"/>
      <c r="AG252" s="443" t="s">
        <v>1199</v>
      </c>
      <c r="AH252" s="442"/>
      <c r="AI252" s="443" t="s">
        <v>1199</v>
      </c>
      <c r="AJ252" s="443" t="s">
        <v>833</v>
      </c>
      <c r="AK252" s="442" t="s">
        <v>677</v>
      </c>
      <c r="AL252" s="442"/>
      <c r="AM252" s="442" t="s">
        <v>763</v>
      </c>
      <c r="AN252" s="442" t="s">
        <v>1200</v>
      </c>
      <c r="AO252" s="442" t="s">
        <v>770</v>
      </c>
      <c r="AP252" s="442" t="s">
        <v>765</v>
      </c>
      <c r="AQ252" s="442" t="s">
        <v>1184</v>
      </c>
      <c r="AR252" s="444">
        <v>52500</v>
      </c>
      <c r="AS252" s="442" t="s">
        <v>675</v>
      </c>
      <c r="AT252" s="444">
        <v>0</v>
      </c>
      <c r="AU252" s="442" t="s">
        <v>678</v>
      </c>
      <c r="AV252" s="442" t="s">
        <v>677</v>
      </c>
      <c r="AW252" s="442" t="s">
        <v>676</v>
      </c>
      <c r="AX252" s="442" t="s">
        <v>674</v>
      </c>
      <c r="AY252" s="442"/>
      <c r="AZ252" s="442"/>
      <c r="BA252" s="442" t="s">
        <v>679</v>
      </c>
      <c r="BB252" s="442"/>
      <c r="BC252" s="442"/>
      <c r="BD252" s="442"/>
      <c r="BE252" s="444"/>
      <c r="BF252" s="442" t="s">
        <v>298</v>
      </c>
      <c r="BG252" s="442" t="s">
        <v>680</v>
      </c>
      <c r="BH252" s="442" t="s">
        <v>681</v>
      </c>
      <c r="BI252" s="442"/>
    </row>
    <row r="253" spans="1:61">
      <c r="A253" s="442" t="s">
        <v>770</v>
      </c>
      <c r="B253" s="442" t="s">
        <v>703</v>
      </c>
      <c r="C253" s="442" t="s">
        <v>704</v>
      </c>
      <c r="D253" s="442" t="s">
        <v>724</v>
      </c>
      <c r="E253" s="442" t="s">
        <v>3</v>
      </c>
      <c r="F253" s="443" t="s">
        <v>83</v>
      </c>
      <c r="G253" s="443" t="s">
        <v>700</v>
      </c>
      <c r="H253" s="444">
        <v>11062500</v>
      </c>
      <c r="I253" s="444">
        <v>11062500</v>
      </c>
      <c r="J253" s="444">
        <v>0</v>
      </c>
      <c r="K253" s="444">
        <v>0</v>
      </c>
      <c r="L253" s="444">
        <v>11062500</v>
      </c>
      <c r="M253" s="444">
        <v>0</v>
      </c>
      <c r="N253" s="444">
        <v>0</v>
      </c>
      <c r="O253" s="444">
        <v>0</v>
      </c>
      <c r="P253" s="444">
        <v>0</v>
      </c>
      <c r="Q253" s="444">
        <v>0</v>
      </c>
      <c r="R253" s="444">
        <v>0</v>
      </c>
      <c r="S253" s="444">
        <v>0</v>
      </c>
      <c r="T253" s="444">
        <v>0</v>
      </c>
      <c r="U253" s="444">
        <v>0</v>
      </c>
      <c r="V253" s="444">
        <v>0</v>
      </c>
      <c r="W253" s="444">
        <v>0</v>
      </c>
      <c r="X253" s="442" t="s">
        <v>674</v>
      </c>
      <c r="Y253" s="442" t="s">
        <v>675</v>
      </c>
      <c r="Z253" s="442" t="s">
        <v>675</v>
      </c>
      <c r="AA253" s="442" t="s">
        <v>675</v>
      </c>
      <c r="AB253" s="442" t="s">
        <v>675</v>
      </c>
      <c r="AC253" s="442"/>
      <c r="AD253" s="442"/>
      <c r="AE253" s="442"/>
      <c r="AF253" s="442"/>
      <c r="AG253" s="443" t="s">
        <v>705</v>
      </c>
      <c r="AH253" s="442"/>
      <c r="AI253" s="443" t="s">
        <v>705</v>
      </c>
      <c r="AJ253" s="443" t="s">
        <v>771</v>
      </c>
      <c r="AK253" s="442" t="s">
        <v>677</v>
      </c>
      <c r="AL253" s="442"/>
      <c r="AM253" s="442" t="s">
        <v>763</v>
      </c>
      <c r="AN253" s="442" t="s">
        <v>772</v>
      </c>
      <c r="AO253" s="442" t="s">
        <v>770</v>
      </c>
      <c r="AP253" s="442" t="s">
        <v>773</v>
      </c>
      <c r="AQ253" s="442" t="s">
        <v>757</v>
      </c>
      <c r="AR253" s="444">
        <v>11062500</v>
      </c>
      <c r="AS253" s="442" t="s">
        <v>675</v>
      </c>
      <c r="AT253" s="444">
        <v>0</v>
      </c>
      <c r="AU253" s="442" t="s">
        <v>678</v>
      </c>
      <c r="AV253" s="442" t="s">
        <v>677</v>
      </c>
      <c r="AW253" s="442" t="s">
        <v>676</v>
      </c>
      <c r="AX253" s="442" t="s">
        <v>674</v>
      </c>
      <c r="AY253" s="442"/>
      <c r="AZ253" s="442"/>
      <c r="BA253" s="442" t="s">
        <v>679</v>
      </c>
      <c r="BB253" s="442"/>
      <c r="BC253" s="442"/>
      <c r="BD253" s="442"/>
      <c r="BE253" s="444"/>
      <c r="BF253" s="442" t="s">
        <v>298</v>
      </c>
      <c r="BG253" s="442" t="s">
        <v>680</v>
      </c>
      <c r="BH253" s="442" t="s">
        <v>681</v>
      </c>
      <c r="BI253" s="442"/>
    </row>
    <row r="254" spans="1:61">
      <c r="A254" s="442" t="s">
        <v>770</v>
      </c>
      <c r="B254" s="442" t="s">
        <v>703</v>
      </c>
      <c r="C254" s="442" t="s">
        <v>704</v>
      </c>
      <c r="D254" s="442" t="s">
        <v>724</v>
      </c>
      <c r="E254" s="442" t="s">
        <v>3</v>
      </c>
      <c r="F254" s="443" t="s">
        <v>83</v>
      </c>
      <c r="G254" s="443" t="s">
        <v>700</v>
      </c>
      <c r="H254" s="444">
        <v>30279</v>
      </c>
      <c r="I254" s="444">
        <v>30279</v>
      </c>
      <c r="J254" s="444">
        <v>0</v>
      </c>
      <c r="K254" s="444">
        <v>0</v>
      </c>
      <c r="L254" s="444">
        <v>30279</v>
      </c>
      <c r="M254" s="444">
        <v>0</v>
      </c>
      <c r="N254" s="444">
        <v>0</v>
      </c>
      <c r="O254" s="444">
        <v>0</v>
      </c>
      <c r="P254" s="444">
        <v>0</v>
      </c>
      <c r="Q254" s="444">
        <v>0</v>
      </c>
      <c r="R254" s="444">
        <v>0</v>
      </c>
      <c r="S254" s="444">
        <v>0</v>
      </c>
      <c r="T254" s="444">
        <v>0</v>
      </c>
      <c r="U254" s="444">
        <v>0</v>
      </c>
      <c r="V254" s="444">
        <v>0</v>
      </c>
      <c r="W254" s="444">
        <v>0</v>
      </c>
      <c r="X254" s="442" t="s">
        <v>674</v>
      </c>
      <c r="Y254" s="442" t="s">
        <v>675</v>
      </c>
      <c r="Z254" s="442" t="s">
        <v>675</v>
      </c>
      <c r="AA254" s="442" t="s">
        <v>675</v>
      </c>
      <c r="AB254" s="442" t="s">
        <v>675</v>
      </c>
      <c r="AC254" s="442"/>
      <c r="AD254" s="442"/>
      <c r="AE254" s="442"/>
      <c r="AF254" s="442"/>
      <c r="AG254" s="443" t="s">
        <v>705</v>
      </c>
      <c r="AH254" s="442"/>
      <c r="AI254" s="443" t="s">
        <v>705</v>
      </c>
      <c r="AJ254" s="443" t="s">
        <v>774</v>
      </c>
      <c r="AK254" s="442" t="s">
        <v>677</v>
      </c>
      <c r="AL254" s="442"/>
      <c r="AM254" s="442" t="s">
        <v>726</v>
      </c>
      <c r="AN254" s="442" t="s">
        <v>775</v>
      </c>
      <c r="AO254" s="442" t="s">
        <v>770</v>
      </c>
      <c r="AP254" s="442" t="s">
        <v>767</v>
      </c>
      <c r="AQ254" s="442" t="s">
        <v>757</v>
      </c>
      <c r="AR254" s="444">
        <v>30279</v>
      </c>
      <c r="AS254" s="442" t="s">
        <v>675</v>
      </c>
      <c r="AT254" s="444">
        <v>0</v>
      </c>
      <c r="AU254" s="442" t="s">
        <v>678</v>
      </c>
      <c r="AV254" s="442" t="s">
        <v>677</v>
      </c>
      <c r="AW254" s="442" t="s">
        <v>676</v>
      </c>
      <c r="AX254" s="442" t="s">
        <v>674</v>
      </c>
      <c r="AY254" s="442"/>
      <c r="AZ254" s="442"/>
      <c r="BA254" s="442" t="s">
        <v>679</v>
      </c>
      <c r="BB254" s="442"/>
      <c r="BC254" s="442"/>
      <c r="BD254" s="442"/>
      <c r="BE254" s="444"/>
      <c r="BF254" s="442" t="s">
        <v>298</v>
      </c>
      <c r="BG254" s="442" t="s">
        <v>680</v>
      </c>
      <c r="BH254" s="442" t="s">
        <v>681</v>
      </c>
      <c r="BI254" s="442"/>
    </row>
    <row r="255" spans="1:61">
      <c r="A255" s="442" t="s">
        <v>770</v>
      </c>
      <c r="B255" s="442" t="s">
        <v>703</v>
      </c>
      <c r="C255" s="442" t="s">
        <v>704</v>
      </c>
      <c r="D255" s="442" t="s">
        <v>724</v>
      </c>
      <c r="E255" s="442" t="s">
        <v>3</v>
      </c>
      <c r="F255" s="443" t="s">
        <v>83</v>
      </c>
      <c r="G255" s="443" t="s">
        <v>700</v>
      </c>
      <c r="H255" s="444">
        <v>504669</v>
      </c>
      <c r="I255" s="444">
        <v>504669</v>
      </c>
      <c r="J255" s="444">
        <v>0</v>
      </c>
      <c r="K255" s="444">
        <v>0</v>
      </c>
      <c r="L255" s="444">
        <v>504669</v>
      </c>
      <c r="M255" s="444">
        <v>0</v>
      </c>
      <c r="N255" s="444">
        <v>0</v>
      </c>
      <c r="O255" s="444">
        <v>0</v>
      </c>
      <c r="P255" s="444">
        <v>0</v>
      </c>
      <c r="Q255" s="444">
        <v>0</v>
      </c>
      <c r="R255" s="444">
        <v>0</v>
      </c>
      <c r="S255" s="444">
        <v>0</v>
      </c>
      <c r="T255" s="444">
        <v>0</v>
      </c>
      <c r="U255" s="444">
        <v>0</v>
      </c>
      <c r="V255" s="444">
        <v>0</v>
      </c>
      <c r="W255" s="444">
        <v>0</v>
      </c>
      <c r="X255" s="442" t="s">
        <v>674</v>
      </c>
      <c r="Y255" s="442" t="s">
        <v>675</v>
      </c>
      <c r="Z255" s="442" t="s">
        <v>675</v>
      </c>
      <c r="AA255" s="442" t="s">
        <v>675</v>
      </c>
      <c r="AB255" s="442" t="s">
        <v>675</v>
      </c>
      <c r="AC255" s="442"/>
      <c r="AD255" s="442"/>
      <c r="AE255" s="442"/>
      <c r="AF255" s="442"/>
      <c r="AG255" s="443" t="s">
        <v>705</v>
      </c>
      <c r="AH255" s="442"/>
      <c r="AI255" s="443" t="s">
        <v>705</v>
      </c>
      <c r="AJ255" s="443" t="s">
        <v>754</v>
      </c>
      <c r="AK255" s="442" t="s">
        <v>677</v>
      </c>
      <c r="AL255" s="442"/>
      <c r="AM255" s="442" t="s">
        <v>726</v>
      </c>
      <c r="AN255" s="442" t="s">
        <v>776</v>
      </c>
      <c r="AO255" s="442" t="s">
        <v>770</v>
      </c>
      <c r="AP255" s="442" t="s">
        <v>767</v>
      </c>
      <c r="AQ255" s="442" t="s">
        <v>757</v>
      </c>
      <c r="AR255" s="444">
        <v>504669</v>
      </c>
      <c r="AS255" s="442" t="s">
        <v>675</v>
      </c>
      <c r="AT255" s="444">
        <v>0</v>
      </c>
      <c r="AU255" s="442" t="s">
        <v>678</v>
      </c>
      <c r="AV255" s="442" t="s">
        <v>677</v>
      </c>
      <c r="AW255" s="442" t="s">
        <v>676</v>
      </c>
      <c r="AX255" s="442" t="s">
        <v>674</v>
      </c>
      <c r="AY255" s="442"/>
      <c r="AZ255" s="442"/>
      <c r="BA255" s="442" t="s">
        <v>679</v>
      </c>
      <c r="BB255" s="442"/>
      <c r="BC255" s="442"/>
      <c r="BD255" s="442"/>
      <c r="BE255" s="444"/>
      <c r="BF255" s="442" t="s">
        <v>298</v>
      </c>
      <c r="BG255" s="442" t="s">
        <v>680</v>
      </c>
      <c r="BH255" s="442" t="s">
        <v>681</v>
      </c>
      <c r="BI255" s="442"/>
    </row>
    <row r="256" spans="1:61">
      <c r="A256" s="442" t="s">
        <v>770</v>
      </c>
      <c r="B256" s="442" t="s">
        <v>703</v>
      </c>
      <c r="C256" s="442" t="s">
        <v>704</v>
      </c>
      <c r="D256" s="442" t="s">
        <v>724</v>
      </c>
      <c r="E256" s="442" t="s">
        <v>3</v>
      </c>
      <c r="F256" s="443" t="s">
        <v>83</v>
      </c>
      <c r="G256" s="443" t="s">
        <v>700</v>
      </c>
      <c r="H256" s="444">
        <v>30279</v>
      </c>
      <c r="I256" s="444">
        <v>30279</v>
      </c>
      <c r="J256" s="444">
        <v>0</v>
      </c>
      <c r="K256" s="444">
        <v>0</v>
      </c>
      <c r="L256" s="444">
        <v>30279</v>
      </c>
      <c r="M256" s="444">
        <v>0</v>
      </c>
      <c r="N256" s="444">
        <v>0</v>
      </c>
      <c r="O256" s="444">
        <v>0</v>
      </c>
      <c r="P256" s="444">
        <v>0</v>
      </c>
      <c r="Q256" s="444">
        <v>0</v>
      </c>
      <c r="R256" s="444">
        <v>0</v>
      </c>
      <c r="S256" s="444">
        <v>0</v>
      </c>
      <c r="T256" s="444">
        <v>0</v>
      </c>
      <c r="U256" s="444">
        <v>0</v>
      </c>
      <c r="V256" s="444">
        <v>0</v>
      </c>
      <c r="W256" s="444">
        <v>0</v>
      </c>
      <c r="X256" s="442" t="s">
        <v>674</v>
      </c>
      <c r="Y256" s="442" t="s">
        <v>675</v>
      </c>
      <c r="Z256" s="442" t="s">
        <v>675</v>
      </c>
      <c r="AA256" s="442" t="s">
        <v>675</v>
      </c>
      <c r="AB256" s="442" t="s">
        <v>675</v>
      </c>
      <c r="AC256" s="442"/>
      <c r="AD256" s="442"/>
      <c r="AE256" s="442"/>
      <c r="AF256" s="442"/>
      <c r="AG256" s="443" t="s">
        <v>705</v>
      </c>
      <c r="AH256" s="442"/>
      <c r="AI256" s="443" t="s">
        <v>705</v>
      </c>
      <c r="AJ256" s="443" t="s">
        <v>774</v>
      </c>
      <c r="AK256" s="442" t="s">
        <v>677</v>
      </c>
      <c r="AL256" s="442"/>
      <c r="AM256" s="442" t="s">
        <v>726</v>
      </c>
      <c r="AN256" s="442" t="s">
        <v>777</v>
      </c>
      <c r="AO256" s="442" t="s">
        <v>770</v>
      </c>
      <c r="AP256" s="442" t="s">
        <v>767</v>
      </c>
      <c r="AQ256" s="442" t="s">
        <v>757</v>
      </c>
      <c r="AR256" s="444">
        <v>30279</v>
      </c>
      <c r="AS256" s="442" t="s">
        <v>675</v>
      </c>
      <c r="AT256" s="444">
        <v>0</v>
      </c>
      <c r="AU256" s="442" t="s">
        <v>678</v>
      </c>
      <c r="AV256" s="442" t="s">
        <v>677</v>
      </c>
      <c r="AW256" s="442" t="s">
        <v>676</v>
      </c>
      <c r="AX256" s="442" t="s">
        <v>674</v>
      </c>
      <c r="AY256" s="442"/>
      <c r="AZ256" s="442"/>
      <c r="BA256" s="442" t="s">
        <v>679</v>
      </c>
      <c r="BB256" s="442"/>
      <c r="BC256" s="442"/>
      <c r="BD256" s="442"/>
      <c r="BE256" s="444"/>
      <c r="BF256" s="442" t="s">
        <v>298</v>
      </c>
      <c r="BG256" s="442" t="s">
        <v>680</v>
      </c>
      <c r="BH256" s="442" t="s">
        <v>681</v>
      </c>
      <c r="BI256" s="442"/>
    </row>
    <row r="257" spans="1:61">
      <c r="A257" s="442" t="s">
        <v>770</v>
      </c>
      <c r="B257" s="442" t="s">
        <v>703</v>
      </c>
      <c r="C257" s="442" t="s">
        <v>704</v>
      </c>
      <c r="D257" s="442" t="s">
        <v>724</v>
      </c>
      <c r="E257" s="442" t="s">
        <v>3</v>
      </c>
      <c r="F257" s="443" t="s">
        <v>83</v>
      </c>
      <c r="G257" s="443" t="s">
        <v>700</v>
      </c>
      <c r="H257" s="444">
        <v>30279</v>
      </c>
      <c r="I257" s="444">
        <v>30279</v>
      </c>
      <c r="J257" s="444">
        <v>0</v>
      </c>
      <c r="K257" s="444">
        <v>0</v>
      </c>
      <c r="L257" s="444">
        <v>30279</v>
      </c>
      <c r="M257" s="444">
        <v>0</v>
      </c>
      <c r="N257" s="444">
        <v>0</v>
      </c>
      <c r="O257" s="444">
        <v>0</v>
      </c>
      <c r="P257" s="444">
        <v>0</v>
      </c>
      <c r="Q257" s="444">
        <v>0</v>
      </c>
      <c r="R257" s="444">
        <v>0</v>
      </c>
      <c r="S257" s="444">
        <v>0</v>
      </c>
      <c r="T257" s="444">
        <v>0</v>
      </c>
      <c r="U257" s="444">
        <v>0</v>
      </c>
      <c r="V257" s="444">
        <v>0</v>
      </c>
      <c r="W257" s="444">
        <v>0</v>
      </c>
      <c r="X257" s="442" t="s">
        <v>674</v>
      </c>
      <c r="Y257" s="442" t="s">
        <v>675</v>
      </c>
      <c r="Z257" s="442" t="s">
        <v>675</v>
      </c>
      <c r="AA257" s="442" t="s">
        <v>675</v>
      </c>
      <c r="AB257" s="442" t="s">
        <v>675</v>
      </c>
      <c r="AC257" s="442"/>
      <c r="AD257" s="442"/>
      <c r="AE257" s="442"/>
      <c r="AF257" s="442"/>
      <c r="AG257" s="443" t="s">
        <v>705</v>
      </c>
      <c r="AH257" s="442"/>
      <c r="AI257" s="443" t="s">
        <v>705</v>
      </c>
      <c r="AJ257" s="443" t="s">
        <v>774</v>
      </c>
      <c r="AK257" s="442" t="s">
        <v>677</v>
      </c>
      <c r="AL257" s="442"/>
      <c r="AM257" s="442" t="s">
        <v>726</v>
      </c>
      <c r="AN257" s="442" t="s">
        <v>778</v>
      </c>
      <c r="AO257" s="442" t="s">
        <v>770</v>
      </c>
      <c r="AP257" s="442" t="s">
        <v>767</v>
      </c>
      <c r="AQ257" s="442" t="s">
        <v>757</v>
      </c>
      <c r="AR257" s="444">
        <v>30279</v>
      </c>
      <c r="AS257" s="442" t="s">
        <v>675</v>
      </c>
      <c r="AT257" s="444">
        <v>0</v>
      </c>
      <c r="AU257" s="442" t="s">
        <v>678</v>
      </c>
      <c r="AV257" s="442" t="s">
        <v>677</v>
      </c>
      <c r="AW257" s="442" t="s">
        <v>676</v>
      </c>
      <c r="AX257" s="442" t="s">
        <v>674</v>
      </c>
      <c r="AY257" s="442"/>
      <c r="AZ257" s="442"/>
      <c r="BA257" s="442" t="s">
        <v>679</v>
      </c>
      <c r="BB257" s="442"/>
      <c r="BC257" s="442"/>
      <c r="BD257" s="442"/>
      <c r="BE257" s="444"/>
      <c r="BF257" s="442" t="s">
        <v>298</v>
      </c>
      <c r="BG257" s="442" t="s">
        <v>680</v>
      </c>
      <c r="BH257" s="442" t="s">
        <v>681</v>
      </c>
      <c r="BI257" s="442"/>
    </row>
    <row r="258" spans="1:61">
      <c r="A258" s="442" t="s">
        <v>760</v>
      </c>
      <c r="B258" s="442" t="s">
        <v>779</v>
      </c>
      <c r="C258" s="442" t="s">
        <v>779</v>
      </c>
      <c r="D258" s="442" t="s">
        <v>716</v>
      </c>
      <c r="E258" s="442" t="s">
        <v>3</v>
      </c>
      <c r="F258" s="443" t="s">
        <v>308</v>
      </c>
      <c r="G258" s="443" t="s">
        <v>780</v>
      </c>
      <c r="H258" s="444">
        <v>42988000</v>
      </c>
      <c r="I258" s="444">
        <v>42988000</v>
      </c>
      <c r="J258" s="444">
        <v>0</v>
      </c>
      <c r="K258" s="444">
        <v>0</v>
      </c>
      <c r="L258" s="444">
        <v>39080000</v>
      </c>
      <c r="M258" s="444">
        <v>0</v>
      </c>
      <c r="N258" s="444">
        <v>0</v>
      </c>
      <c r="O258" s="444">
        <v>3908000</v>
      </c>
      <c r="P258" s="444">
        <v>0</v>
      </c>
      <c r="Q258" s="444">
        <v>0</v>
      </c>
      <c r="R258" s="444">
        <v>0</v>
      </c>
      <c r="S258" s="444">
        <v>0</v>
      </c>
      <c r="T258" s="444">
        <v>0</v>
      </c>
      <c r="U258" s="444">
        <v>0</v>
      </c>
      <c r="V258" s="444">
        <v>0</v>
      </c>
      <c r="W258" s="444">
        <v>0</v>
      </c>
      <c r="X258" s="442" t="s">
        <v>674</v>
      </c>
      <c r="Y258" s="442" t="s">
        <v>675</v>
      </c>
      <c r="Z258" s="442" t="s">
        <v>675</v>
      </c>
      <c r="AA258" s="442" t="s">
        <v>675</v>
      </c>
      <c r="AB258" s="442" t="s">
        <v>675</v>
      </c>
      <c r="AC258" s="442"/>
      <c r="AD258" s="442" t="s">
        <v>781</v>
      </c>
      <c r="AE258" s="442"/>
      <c r="AF258" s="442"/>
      <c r="AG258" s="443" t="s">
        <v>782</v>
      </c>
      <c r="AH258" s="442"/>
      <c r="AI258" s="443" t="s">
        <v>782</v>
      </c>
      <c r="AJ258" s="443" t="s">
        <v>783</v>
      </c>
      <c r="AK258" s="442" t="s">
        <v>677</v>
      </c>
      <c r="AL258" s="442"/>
      <c r="AM258" s="442"/>
      <c r="AN258" s="442"/>
      <c r="AO258" s="442"/>
      <c r="AP258" s="442"/>
      <c r="AQ258" s="442"/>
      <c r="AR258" s="444"/>
      <c r="AS258" s="442"/>
      <c r="AT258" s="444"/>
      <c r="AU258" s="442" t="s">
        <v>678</v>
      </c>
      <c r="AV258" s="442" t="s">
        <v>677</v>
      </c>
      <c r="AW258" s="442" t="s">
        <v>676</v>
      </c>
      <c r="AX258" s="442" t="s">
        <v>674</v>
      </c>
      <c r="AY258" s="442"/>
      <c r="AZ258" s="442"/>
      <c r="BA258" s="442" t="s">
        <v>679</v>
      </c>
      <c r="BB258" s="442"/>
      <c r="BC258" s="442"/>
      <c r="BD258" s="442"/>
      <c r="BE258" s="444"/>
      <c r="BF258" s="442" t="s">
        <v>298</v>
      </c>
      <c r="BG258" s="442" t="s">
        <v>680</v>
      </c>
      <c r="BH258" s="442" t="s">
        <v>681</v>
      </c>
      <c r="BI258" s="442"/>
    </row>
    <row r="259" spans="1:61">
      <c r="A259" s="442" t="s">
        <v>786</v>
      </c>
      <c r="B259" s="442" t="s">
        <v>682</v>
      </c>
      <c r="C259" s="442" t="s">
        <v>723</v>
      </c>
      <c r="D259" s="442" t="s">
        <v>724</v>
      </c>
      <c r="E259" s="442" t="s">
        <v>3</v>
      </c>
      <c r="F259" s="443" t="s">
        <v>71</v>
      </c>
      <c r="G259" s="443" t="s">
        <v>719</v>
      </c>
      <c r="H259" s="444">
        <v>33500</v>
      </c>
      <c r="I259" s="444">
        <v>33500</v>
      </c>
      <c r="J259" s="444">
        <v>0</v>
      </c>
      <c r="K259" s="444">
        <v>0</v>
      </c>
      <c r="L259" s="444">
        <v>30455</v>
      </c>
      <c r="M259" s="444">
        <v>0</v>
      </c>
      <c r="N259" s="444">
        <v>0</v>
      </c>
      <c r="O259" s="444">
        <v>3045</v>
      </c>
      <c r="P259" s="444">
        <v>0</v>
      </c>
      <c r="Q259" s="444">
        <v>0</v>
      </c>
      <c r="R259" s="444">
        <v>0</v>
      </c>
      <c r="S259" s="444">
        <v>0</v>
      </c>
      <c r="T259" s="444">
        <v>0</v>
      </c>
      <c r="U259" s="444">
        <v>0</v>
      </c>
      <c r="V259" s="444">
        <v>0</v>
      </c>
      <c r="W259" s="444">
        <v>0</v>
      </c>
      <c r="X259" s="442" t="s">
        <v>674</v>
      </c>
      <c r="Y259" s="442" t="s">
        <v>675</v>
      </c>
      <c r="Z259" s="442" t="s">
        <v>675</v>
      </c>
      <c r="AA259" s="442" t="s">
        <v>675</v>
      </c>
      <c r="AB259" s="442" t="s">
        <v>675</v>
      </c>
      <c r="AC259" s="442"/>
      <c r="AD259" s="442"/>
      <c r="AE259" s="442"/>
      <c r="AF259" s="442"/>
      <c r="AG259" s="443" t="s">
        <v>787</v>
      </c>
      <c r="AH259" s="442"/>
      <c r="AI259" s="443" t="s">
        <v>787</v>
      </c>
      <c r="AJ259" s="443" t="s">
        <v>788</v>
      </c>
      <c r="AK259" s="442" t="s">
        <v>677</v>
      </c>
      <c r="AL259" s="442"/>
      <c r="AM259" s="442" t="s">
        <v>726</v>
      </c>
      <c r="AN259" s="442" t="s">
        <v>789</v>
      </c>
      <c r="AO259" s="442" t="s">
        <v>786</v>
      </c>
      <c r="AP259" s="442" t="s">
        <v>790</v>
      </c>
      <c r="AQ259" s="442" t="s">
        <v>729</v>
      </c>
      <c r="AR259" s="444">
        <v>33500</v>
      </c>
      <c r="AS259" s="442" t="s">
        <v>675</v>
      </c>
      <c r="AT259" s="444">
        <v>0</v>
      </c>
      <c r="AU259" s="442" t="s">
        <v>678</v>
      </c>
      <c r="AV259" s="442" t="s">
        <v>677</v>
      </c>
      <c r="AW259" s="442" t="s">
        <v>676</v>
      </c>
      <c r="AX259" s="442" t="s">
        <v>674</v>
      </c>
      <c r="AY259" s="442"/>
      <c r="AZ259" s="442"/>
      <c r="BA259" s="442" t="s">
        <v>679</v>
      </c>
      <c r="BB259" s="442"/>
      <c r="BC259" s="442"/>
      <c r="BD259" s="442"/>
      <c r="BE259" s="444"/>
      <c r="BF259" s="442" t="s">
        <v>298</v>
      </c>
      <c r="BG259" s="442" t="s">
        <v>680</v>
      </c>
      <c r="BH259" s="442" t="s">
        <v>681</v>
      </c>
      <c r="BI259" s="442"/>
    </row>
    <row r="260" spans="1:61">
      <c r="A260" s="442" t="s">
        <v>723</v>
      </c>
      <c r="B260" s="442" t="s">
        <v>682</v>
      </c>
      <c r="C260" s="442" t="s">
        <v>723</v>
      </c>
      <c r="D260" s="442" t="s">
        <v>716</v>
      </c>
      <c r="E260" s="442" t="s">
        <v>3</v>
      </c>
      <c r="F260" s="443" t="s">
        <v>308</v>
      </c>
      <c r="G260" s="443" t="s">
        <v>780</v>
      </c>
      <c r="H260" s="444">
        <v>21990000</v>
      </c>
      <c r="I260" s="444">
        <v>21990000</v>
      </c>
      <c r="J260" s="444">
        <v>0</v>
      </c>
      <c r="K260" s="444">
        <v>0</v>
      </c>
      <c r="L260" s="444">
        <v>19990909</v>
      </c>
      <c r="M260" s="444">
        <v>0</v>
      </c>
      <c r="N260" s="444">
        <v>0</v>
      </c>
      <c r="O260" s="444">
        <v>1999091</v>
      </c>
      <c r="P260" s="444">
        <v>0</v>
      </c>
      <c r="Q260" s="444">
        <v>0</v>
      </c>
      <c r="R260" s="444">
        <v>0</v>
      </c>
      <c r="S260" s="444">
        <v>0</v>
      </c>
      <c r="T260" s="444">
        <v>0</v>
      </c>
      <c r="U260" s="444">
        <v>0</v>
      </c>
      <c r="V260" s="444">
        <v>0</v>
      </c>
      <c r="W260" s="444">
        <v>0</v>
      </c>
      <c r="X260" s="442" t="s">
        <v>674</v>
      </c>
      <c r="Y260" s="442" t="s">
        <v>675</v>
      </c>
      <c r="Z260" s="442" t="s">
        <v>675</v>
      </c>
      <c r="AA260" s="442" t="s">
        <v>675</v>
      </c>
      <c r="AB260" s="442" t="s">
        <v>675</v>
      </c>
      <c r="AC260" s="442"/>
      <c r="AD260" s="442" t="s">
        <v>676</v>
      </c>
      <c r="AE260" s="442"/>
      <c r="AF260" s="442"/>
      <c r="AG260" s="443" t="s">
        <v>791</v>
      </c>
      <c r="AH260" s="442"/>
      <c r="AI260" s="443" t="s">
        <v>791</v>
      </c>
      <c r="AJ260" s="443" t="s">
        <v>792</v>
      </c>
      <c r="AK260" s="442" t="s">
        <v>677</v>
      </c>
      <c r="AL260" s="442"/>
      <c r="AM260" s="442"/>
      <c r="AN260" s="442"/>
      <c r="AO260" s="442"/>
      <c r="AP260" s="442"/>
      <c r="AQ260" s="442"/>
      <c r="AR260" s="444"/>
      <c r="AS260" s="442"/>
      <c r="AT260" s="444"/>
      <c r="AU260" s="442" t="s">
        <v>678</v>
      </c>
      <c r="AV260" s="442" t="s">
        <v>677</v>
      </c>
      <c r="AW260" s="442" t="s">
        <v>676</v>
      </c>
      <c r="AX260" s="442" t="s">
        <v>674</v>
      </c>
      <c r="AY260" s="442"/>
      <c r="AZ260" s="442"/>
      <c r="BA260" s="442" t="s">
        <v>679</v>
      </c>
      <c r="BB260" s="442"/>
      <c r="BC260" s="442"/>
      <c r="BD260" s="442"/>
      <c r="BE260" s="444"/>
      <c r="BF260" s="442" t="s">
        <v>298</v>
      </c>
      <c r="BG260" s="442" t="s">
        <v>680</v>
      </c>
      <c r="BH260" s="442" t="s">
        <v>681</v>
      </c>
      <c r="BI260" s="442"/>
    </row>
    <row r="261" spans="1:61">
      <c r="A261" s="442" t="s">
        <v>793</v>
      </c>
      <c r="B261" s="442" t="s">
        <v>793</v>
      </c>
      <c r="C261" s="442" t="s">
        <v>790</v>
      </c>
      <c r="D261" s="442" t="s">
        <v>673</v>
      </c>
      <c r="E261" s="442" t="s">
        <v>3</v>
      </c>
      <c r="F261" s="443" t="s">
        <v>7</v>
      </c>
      <c r="G261" s="443" t="s">
        <v>684</v>
      </c>
      <c r="H261" s="444">
        <v>72840</v>
      </c>
      <c r="I261" s="444">
        <v>72840</v>
      </c>
      <c r="J261" s="444">
        <v>0</v>
      </c>
      <c r="K261" s="444">
        <v>0</v>
      </c>
      <c r="L261" s="444">
        <v>72840</v>
      </c>
      <c r="M261" s="444">
        <v>0</v>
      </c>
      <c r="N261" s="444">
        <v>0</v>
      </c>
      <c r="O261" s="444">
        <v>0</v>
      </c>
      <c r="P261" s="444">
        <v>0</v>
      </c>
      <c r="Q261" s="444">
        <v>0</v>
      </c>
      <c r="R261" s="444">
        <v>0</v>
      </c>
      <c r="S261" s="444">
        <v>0</v>
      </c>
      <c r="T261" s="444">
        <v>0</v>
      </c>
      <c r="U261" s="444">
        <v>0</v>
      </c>
      <c r="V261" s="444">
        <v>0</v>
      </c>
      <c r="W261" s="444">
        <v>0</v>
      </c>
      <c r="X261" s="442" t="s">
        <v>674</v>
      </c>
      <c r="Y261" s="442" t="s">
        <v>675</v>
      </c>
      <c r="Z261" s="442" t="s">
        <v>675</v>
      </c>
      <c r="AA261" s="442" t="s">
        <v>675</v>
      </c>
      <c r="AB261" s="442" t="s">
        <v>675</v>
      </c>
      <c r="AC261" s="442"/>
      <c r="AD261" s="442"/>
      <c r="AE261" s="442"/>
      <c r="AF261" s="442"/>
      <c r="AG261" s="443" t="s">
        <v>794</v>
      </c>
      <c r="AH261" s="442"/>
      <c r="AI261" s="443" t="s">
        <v>794</v>
      </c>
      <c r="AJ261" s="443" t="s">
        <v>677</v>
      </c>
      <c r="AK261" s="442" t="s">
        <v>677</v>
      </c>
      <c r="AL261" s="442"/>
      <c r="AM261" s="442"/>
      <c r="AN261" s="442"/>
      <c r="AO261" s="442"/>
      <c r="AP261" s="442"/>
      <c r="AQ261" s="442"/>
      <c r="AR261" s="444"/>
      <c r="AS261" s="442"/>
      <c r="AT261" s="444"/>
      <c r="AU261" s="442" t="s">
        <v>678</v>
      </c>
      <c r="AV261" s="442" t="s">
        <v>677</v>
      </c>
      <c r="AW261" s="442" t="s">
        <v>676</v>
      </c>
      <c r="AX261" s="442" t="s">
        <v>674</v>
      </c>
      <c r="AY261" s="442"/>
      <c r="AZ261" s="442"/>
      <c r="BA261" s="442" t="s">
        <v>679</v>
      </c>
      <c r="BB261" s="442"/>
      <c r="BC261" s="442"/>
      <c r="BD261" s="442"/>
      <c r="BE261" s="444"/>
      <c r="BF261" s="442" t="s">
        <v>298</v>
      </c>
      <c r="BG261" s="442" t="s">
        <v>680</v>
      </c>
      <c r="BH261" s="442" t="s">
        <v>681</v>
      </c>
      <c r="BI261" s="442"/>
    </row>
    <row r="262" spans="1:61">
      <c r="A262" s="442" t="s">
        <v>793</v>
      </c>
      <c r="B262" s="442" t="s">
        <v>793</v>
      </c>
      <c r="C262" s="442" t="s">
        <v>790</v>
      </c>
      <c r="D262" s="442" t="s">
        <v>673</v>
      </c>
      <c r="E262" s="442" t="s">
        <v>3</v>
      </c>
      <c r="F262" s="443" t="s">
        <v>7</v>
      </c>
      <c r="G262" s="443" t="s">
        <v>684</v>
      </c>
      <c r="H262" s="444">
        <v>274240</v>
      </c>
      <c r="I262" s="444">
        <v>274240</v>
      </c>
      <c r="J262" s="444">
        <v>0</v>
      </c>
      <c r="K262" s="444">
        <v>0</v>
      </c>
      <c r="L262" s="444">
        <v>274240</v>
      </c>
      <c r="M262" s="444">
        <v>0</v>
      </c>
      <c r="N262" s="444">
        <v>0</v>
      </c>
      <c r="O262" s="444">
        <v>0</v>
      </c>
      <c r="P262" s="444">
        <v>0</v>
      </c>
      <c r="Q262" s="444">
        <v>0</v>
      </c>
      <c r="R262" s="444">
        <v>0</v>
      </c>
      <c r="S262" s="444">
        <v>0</v>
      </c>
      <c r="T262" s="444">
        <v>0</v>
      </c>
      <c r="U262" s="444">
        <v>0</v>
      </c>
      <c r="V262" s="444">
        <v>0</v>
      </c>
      <c r="W262" s="444">
        <v>0</v>
      </c>
      <c r="X262" s="442" t="s">
        <v>674</v>
      </c>
      <c r="Y262" s="442" t="s">
        <v>675</v>
      </c>
      <c r="Z262" s="442" t="s">
        <v>675</v>
      </c>
      <c r="AA262" s="442" t="s">
        <v>675</v>
      </c>
      <c r="AB262" s="442" t="s">
        <v>675</v>
      </c>
      <c r="AC262" s="442"/>
      <c r="AD262" s="442"/>
      <c r="AE262" s="442"/>
      <c r="AF262" s="442"/>
      <c r="AG262" s="443" t="s">
        <v>795</v>
      </c>
      <c r="AH262" s="442"/>
      <c r="AI262" s="443" t="s">
        <v>795</v>
      </c>
      <c r="AJ262" s="443" t="s">
        <v>677</v>
      </c>
      <c r="AK262" s="442" t="s">
        <v>677</v>
      </c>
      <c r="AL262" s="442"/>
      <c r="AM262" s="442"/>
      <c r="AN262" s="442"/>
      <c r="AO262" s="442"/>
      <c r="AP262" s="442"/>
      <c r="AQ262" s="442"/>
      <c r="AR262" s="444"/>
      <c r="AS262" s="442"/>
      <c r="AT262" s="444"/>
      <c r="AU262" s="442" t="s">
        <v>678</v>
      </c>
      <c r="AV262" s="442" t="s">
        <v>677</v>
      </c>
      <c r="AW262" s="442" t="s">
        <v>676</v>
      </c>
      <c r="AX262" s="442" t="s">
        <v>674</v>
      </c>
      <c r="AY262" s="442"/>
      <c r="AZ262" s="442"/>
      <c r="BA262" s="442" t="s">
        <v>679</v>
      </c>
      <c r="BB262" s="442"/>
      <c r="BC262" s="442"/>
      <c r="BD262" s="442"/>
      <c r="BE262" s="444"/>
      <c r="BF262" s="442" t="s">
        <v>298</v>
      </c>
      <c r="BG262" s="442" t="s">
        <v>680</v>
      </c>
      <c r="BH262" s="442" t="s">
        <v>681</v>
      </c>
      <c r="BI262" s="442"/>
    </row>
    <row r="263" spans="1:61">
      <c r="A263" s="442" t="s">
        <v>793</v>
      </c>
      <c r="B263" s="442" t="s">
        <v>793</v>
      </c>
      <c r="C263" s="442" t="s">
        <v>790</v>
      </c>
      <c r="D263" s="442" t="s">
        <v>673</v>
      </c>
      <c r="E263" s="442" t="s">
        <v>3</v>
      </c>
      <c r="F263" s="443" t="s">
        <v>7</v>
      </c>
      <c r="G263" s="443" t="s">
        <v>684</v>
      </c>
      <c r="H263" s="444">
        <v>2569587</v>
      </c>
      <c r="I263" s="444">
        <v>2569587</v>
      </c>
      <c r="J263" s="444">
        <v>0</v>
      </c>
      <c r="K263" s="444">
        <v>0</v>
      </c>
      <c r="L263" s="444">
        <v>2569587</v>
      </c>
      <c r="M263" s="444">
        <v>0</v>
      </c>
      <c r="N263" s="444">
        <v>0</v>
      </c>
      <c r="O263" s="444">
        <v>0</v>
      </c>
      <c r="P263" s="444">
        <v>0</v>
      </c>
      <c r="Q263" s="444">
        <v>0</v>
      </c>
      <c r="R263" s="444">
        <v>0</v>
      </c>
      <c r="S263" s="444">
        <v>0</v>
      </c>
      <c r="T263" s="444">
        <v>0</v>
      </c>
      <c r="U263" s="444">
        <v>0</v>
      </c>
      <c r="V263" s="444">
        <v>0</v>
      </c>
      <c r="W263" s="444">
        <v>0</v>
      </c>
      <c r="X263" s="442" t="s">
        <v>674</v>
      </c>
      <c r="Y263" s="442" t="s">
        <v>675</v>
      </c>
      <c r="Z263" s="442" t="s">
        <v>675</v>
      </c>
      <c r="AA263" s="442" t="s">
        <v>675</v>
      </c>
      <c r="AB263" s="442" t="s">
        <v>675</v>
      </c>
      <c r="AC263" s="442"/>
      <c r="AD263" s="442"/>
      <c r="AE263" s="442"/>
      <c r="AF263" s="442"/>
      <c r="AG263" s="443" t="s">
        <v>796</v>
      </c>
      <c r="AH263" s="442"/>
      <c r="AI263" s="443" t="s">
        <v>796</v>
      </c>
      <c r="AJ263" s="443" t="s">
        <v>677</v>
      </c>
      <c r="AK263" s="442" t="s">
        <v>677</v>
      </c>
      <c r="AL263" s="442"/>
      <c r="AM263" s="442"/>
      <c r="AN263" s="442"/>
      <c r="AO263" s="442"/>
      <c r="AP263" s="442"/>
      <c r="AQ263" s="442"/>
      <c r="AR263" s="444"/>
      <c r="AS263" s="442"/>
      <c r="AT263" s="444"/>
      <c r="AU263" s="442" t="s">
        <v>678</v>
      </c>
      <c r="AV263" s="442" t="s">
        <v>677</v>
      </c>
      <c r="AW263" s="442" t="s">
        <v>676</v>
      </c>
      <c r="AX263" s="442" t="s">
        <v>674</v>
      </c>
      <c r="AY263" s="442"/>
      <c r="AZ263" s="442"/>
      <c r="BA263" s="442" t="s">
        <v>679</v>
      </c>
      <c r="BB263" s="442"/>
      <c r="BC263" s="442"/>
      <c r="BD263" s="442"/>
      <c r="BE263" s="444"/>
      <c r="BF263" s="442" t="s">
        <v>298</v>
      </c>
      <c r="BG263" s="442" t="s">
        <v>680</v>
      </c>
      <c r="BH263" s="442" t="s">
        <v>681</v>
      </c>
      <c r="BI263" s="442"/>
    </row>
    <row r="264" spans="1:61">
      <c r="A264" s="442" t="s">
        <v>793</v>
      </c>
      <c r="B264" s="442" t="s">
        <v>793</v>
      </c>
      <c r="C264" s="442" t="s">
        <v>790</v>
      </c>
      <c r="D264" s="442" t="s">
        <v>673</v>
      </c>
      <c r="E264" s="442" t="s">
        <v>3</v>
      </c>
      <c r="F264" s="443" t="s">
        <v>7</v>
      </c>
      <c r="G264" s="443" t="s">
        <v>684</v>
      </c>
      <c r="H264" s="444">
        <v>23240</v>
      </c>
      <c r="I264" s="444">
        <v>23240</v>
      </c>
      <c r="J264" s="444">
        <v>0</v>
      </c>
      <c r="K264" s="444">
        <v>0</v>
      </c>
      <c r="L264" s="444">
        <v>23240</v>
      </c>
      <c r="M264" s="444">
        <v>0</v>
      </c>
      <c r="N264" s="444">
        <v>0</v>
      </c>
      <c r="O264" s="444">
        <v>0</v>
      </c>
      <c r="P264" s="444">
        <v>0</v>
      </c>
      <c r="Q264" s="444">
        <v>0</v>
      </c>
      <c r="R264" s="444">
        <v>0</v>
      </c>
      <c r="S264" s="444">
        <v>0</v>
      </c>
      <c r="T264" s="444">
        <v>0</v>
      </c>
      <c r="U264" s="444">
        <v>0</v>
      </c>
      <c r="V264" s="444">
        <v>0</v>
      </c>
      <c r="W264" s="444">
        <v>0</v>
      </c>
      <c r="X264" s="442" t="s">
        <v>674</v>
      </c>
      <c r="Y264" s="442" t="s">
        <v>675</v>
      </c>
      <c r="Z264" s="442" t="s">
        <v>675</v>
      </c>
      <c r="AA264" s="442" t="s">
        <v>675</v>
      </c>
      <c r="AB264" s="442" t="s">
        <v>675</v>
      </c>
      <c r="AC264" s="442"/>
      <c r="AD264" s="442"/>
      <c r="AE264" s="442"/>
      <c r="AF264" s="442"/>
      <c r="AG264" s="443" t="s">
        <v>794</v>
      </c>
      <c r="AH264" s="442"/>
      <c r="AI264" s="443" t="s">
        <v>794</v>
      </c>
      <c r="AJ264" s="443" t="s">
        <v>677</v>
      </c>
      <c r="AK264" s="442" t="s">
        <v>677</v>
      </c>
      <c r="AL264" s="442"/>
      <c r="AM264" s="442"/>
      <c r="AN264" s="442"/>
      <c r="AO264" s="442"/>
      <c r="AP264" s="442"/>
      <c r="AQ264" s="442"/>
      <c r="AR264" s="444"/>
      <c r="AS264" s="442"/>
      <c r="AT264" s="444"/>
      <c r="AU264" s="442" t="s">
        <v>678</v>
      </c>
      <c r="AV264" s="442" t="s">
        <v>677</v>
      </c>
      <c r="AW264" s="442" t="s">
        <v>676</v>
      </c>
      <c r="AX264" s="442" t="s">
        <v>674</v>
      </c>
      <c r="AY264" s="442"/>
      <c r="AZ264" s="442"/>
      <c r="BA264" s="442" t="s">
        <v>679</v>
      </c>
      <c r="BB264" s="442"/>
      <c r="BC264" s="442"/>
      <c r="BD264" s="442"/>
      <c r="BE264" s="444"/>
      <c r="BF264" s="442" t="s">
        <v>298</v>
      </c>
      <c r="BG264" s="442" t="s">
        <v>680</v>
      </c>
      <c r="BH264" s="442" t="s">
        <v>681</v>
      </c>
      <c r="BI264" s="442"/>
    </row>
    <row r="265" spans="1:61">
      <c r="A265" s="442" t="s">
        <v>793</v>
      </c>
      <c r="B265" s="442" t="s">
        <v>793</v>
      </c>
      <c r="C265" s="442" t="s">
        <v>790</v>
      </c>
      <c r="D265" s="442" t="s">
        <v>673</v>
      </c>
      <c r="E265" s="442" t="s">
        <v>3</v>
      </c>
      <c r="F265" s="443" t="s">
        <v>7</v>
      </c>
      <c r="G265" s="443" t="s">
        <v>684</v>
      </c>
      <c r="H265" s="444">
        <v>1839670</v>
      </c>
      <c r="I265" s="444">
        <v>1839670</v>
      </c>
      <c r="J265" s="444">
        <v>0</v>
      </c>
      <c r="K265" s="444">
        <v>0</v>
      </c>
      <c r="L265" s="444">
        <v>1839670</v>
      </c>
      <c r="M265" s="444">
        <v>0</v>
      </c>
      <c r="N265" s="444">
        <v>0</v>
      </c>
      <c r="O265" s="444">
        <v>0</v>
      </c>
      <c r="P265" s="444">
        <v>0</v>
      </c>
      <c r="Q265" s="444">
        <v>0</v>
      </c>
      <c r="R265" s="444">
        <v>0</v>
      </c>
      <c r="S265" s="444">
        <v>0</v>
      </c>
      <c r="T265" s="444">
        <v>0</v>
      </c>
      <c r="U265" s="444">
        <v>0</v>
      </c>
      <c r="V265" s="444">
        <v>0</v>
      </c>
      <c r="W265" s="444">
        <v>0</v>
      </c>
      <c r="X265" s="442" t="s">
        <v>674</v>
      </c>
      <c r="Y265" s="442" t="s">
        <v>675</v>
      </c>
      <c r="Z265" s="442" t="s">
        <v>675</v>
      </c>
      <c r="AA265" s="442" t="s">
        <v>675</v>
      </c>
      <c r="AB265" s="442" t="s">
        <v>675</v>
      </c>
      <c r="AC265" s="442"/>
      <c r="AD265" s="442"/>
      <c r="AE265" s="442"/>
      <c r="AF265" s="442"/>
      <c r="AG265" s="443" t="s">
        <v>796</v>
      </c>
      <c r="AH265" s="442"/>
      <c r="AI265" s="443" t="s">
        <v>796</v>
      </c>
      <c r="AJ265" s="443" t="s">
        <v>677</v>
      </c>
      <c r="AK265" s="442" t="s">
        <v>677</v>
      </c>
      <c r="AL265" s="442"/>
      <c r="AM265" s="442"/>
      <c r="AN265" s="442"/>
      <c r="AO265" s="442"/>
      <c r="AP265" s="442"/>
      <c r="AQ265" s="442"/>
      <c r="AR265" s="444"/>
      <c r="AS265" s="442"/>
      <c r="AT265" s="444"/>
      <c r="AU265" s="442" t="s">
        <v>678</v>
      </c>
      <c r="AV265" s="442" t="s">
        <v>677</v>
      </c>
      <c r="AW265" s="442" t="s">
        <v>676</v>
      </c>
      <c r="AX265" s="442" t="s">
        <v>674</v>
      </c>
      <c r="AY265" s="442"/>
      <c r="AZ265" s="442"/>
      <c r="BA265" s="442" t="s">
        <v>679</v>
      </c>
      <c r="BB265" s="442"/>
      <c r="BC265" s="442"/>
      <c r="BD265" s="442"/>
      <c r="BE265" s="444"/>
      <c r="BF265" s="442" t="s">
        <v>298</v>
      </c>
      <c r="BG265" s="442" t="s">
        <v>680</v>
      </c>
      <c r="BH265" s="442" t="s">
        <v>681</v>
      </c>
      <c r="BI265" s="442"/>
    </row>
    <row r="266" spans="1:61">
      <c r="A266" s="442" t="s">
        <v>793</v>
      </c>
      <c r="B266" s="442" t="s">
        <v>793</v>
      </c>
      <c r="C266" s="442" t="s">
        <v>790</v>
      </c>
      <c r="D266" s="442" t="s">
        <v>673</v>
      </c>
      <c r="E266" s="442" t="s">
        <v>3</v>
      </c>
      <c r="F266" s="443" t="s">
        <v>7</v>
      </c>
      <c r="G266" s="443" t="s">
        <v>684</v>
      </c>
      <c r="H266" s="444">
        <v>3347790</v>
      </c>
      <c r="I266" s="444">
        <v>3347790</v>
      </c>
      <c r="J266" s="444">
        <v>0</v>
      </c>
      <c r="K266" s="444">
        <v>0</v>
      </c>
      <c r="L266" s="444">
        <v>3347790</v>
      </c>
      <c r="M266" s="444">
        <v>0</v>
      </c>
      <c r="N266" s="444">
        <v>0</v>
      </c>
      <c r="O266" s="444">
        <v>0</v>
      </c>
      <c r="P266" s="444">
        <v>0</v>
      </c>
      <c r="Q266" s="444">
        <v>0</v>
      </c>
      <c r="R266" s="444">
        <v>0</v>
      </c>
      <c r="S266" s="444">
        <v>0</v>
      </c>
      <c r="T266" s="444">
        <v>0</v>
      </c>
      <c r="U266" s="444">
        <v>0</v>
      </c>
      <c r="V266" s="444">
        <v>0</v>
      </c>
      <c r="W266" s="444">
        <v>0</v>
      </c>
      <c r="X266" s="442" t="s">
        <v>674</v>
      </c>
      <c r="Y266" s="442" t="s">
        <v>675</v>
      </c>
      <c r="Z266" s="442" t="s">
        <v>675</v>
      </c>
      <c r="AA266" s="442" t="s">
        <v>675</v>
      </c>
      <c r="AB266" s="442" t="s">
        <v>675</v>
      </c>
      <c r="AC266" s="442"/>
      <c r="AD266" s="442"/>
      <c r="AE266" s="442"/>
      <c r="AF266" s="442"/>
      <c r="AG266" s="443" t="s">
        <v>796</v>
      </c>
      <c r="AH266" s="442"/>
      <c r="AI266" s="443" t="s">
        <v>796</v>
      </c>
      <c r="AJ266" s="443" t="s">
        <v>677</v>
      </c>
      <c r="AK266" s="442" t="s">
        <v>677</v>
      </c>
      <c r="AL266" s="442"/>
      <c r="AM266" s="442"/>
      <c r="AN266" s="442"/>
      <c r="AO266" s="442"/>
      <c r="AP266" s="442"/>
      <c r="AQ266" s="442"/>
      <c r="AR266" s="444"/>
      <c r="AS266" s="442"/>
      <c r="AT266" s="444"/>
      <c r="AU266" s="442" t="s">
        <v>678</v>
      </c>
      <c r="AV266" s="442" t="s">
        <v>677</v>
      </c>
      <c r="AW266" s="442" t="s">
        <v>676</v>
      </c>
      <c r="AX266" s="442" t="s">
        <v>674</v>
      </c>
      <c r="AY266" s="442"/>
      <c r="AZ266" s="442"/>
      <c r="BA266" s="442" t="s">
        <v>679</v>
      </c>
      <c r="BB266" s="442"/>
      <c r="BC266" s="442"/>
      <c r="BD266" s="442"/>
      <c r="BE266" s="444"/>
      <c r="BF266" s="442" t="s">
        <v>298</v>
      </c>
      <c r="BG266" s="442" t="s">
        <v>680</v>
      </c>
      <c r="BH266" s="442" t="s">
        <v>681</v>
      </c>
      <c r="BI266" s="442"/>
    </row>
    <row r="267" spans="1:61">
      <c r="A267" s="442" t="s">
        <v>793</v>
      </c>
      <c r="B267" s="442" t="s">
        <v>793</v>
      </c>
      <c r="C267" s="442" t="s">
        <v>790</v>
      </c>
      <c r="D267" s="442" t="s">
        <v>673</v>
      </c>
      <c r="E267" s="442" t="s">
        <v>3</v>
      </c>
      <c r="F267" s="443" t="s">
        <v>7</v>
      </c>
      <c r="G267" s="443" t="s">
        <v>684</v>
      </c>
      <c r="H267" s="444">
        <v>316700</v>
      </c>
      <c r="I267" s="444">
        <v>316700</v>
      </c>
      <c r="J267" s="444">
        <v>0</v>
      </c>
      <c r="K267" s="444">
        <v>0</v>
      </c>
      <c r="L267" s="444">
        <v>316700</v>
      </c>
      <c r="M267" s="444">
        <v>0</v>
      </c>
      <c r="N267" s="444">
        <v>0</v>
      </c>
      <c r="O267" s="444">
        <v>0</v>
      </c>
      <c r="P267" s="444">
        <v>0</v>
      </c>
      <c r="Q267" s="444">
        <v>0</v>
      </c>
      <c r="R267" s="444">
        <v>0</v>
      </c>
      <c r="S267" s="444">
        <v>0</v>
      </c>
      <c r="T267" s="444">
        <v>0</v>
      </c>
      <c r="U267" s="444">
        <v>0</v>
      </c>
      <c r="V267" s="444">
        <v>0</v>
      </c>
      <c r="W267" s="444">
        <v>0</v>
      </c>
      <c r="X267" s="442" t="s">
        <v>674</v>
      </c>
      <c r="Y267" s="442" t="s">
        <v>675</v>
      </c>
      <c r="Z267" s="442" t="s">
        <v>675</v>
      </c>
      <c r="AA267" s="442" t="s">
        <v>675</v>
      </c>
      <c r="AB267" s="442" t="s">
        <v>675</v>
      </c>
      <c r="AC267" s="442"/>
      <c r="AD267" s="442"/>
      <c r="AE267" s="442"/>
      <c r="AF267" s="442"/>
      <c r="AG267" s="443" t="s">
        <v>797</v>
      </c>
      <c r="AH267" s="442"/>
      <c r="AI267" s="443" t="s">
        <v>797</v>
      </c>
      <c r="AJ267" s="443" t="s">
        <v>677</v>
      </c>
      <c r="AK267" s="442" t="s">
        <v>677</v>
      </c>
      <c r="AL267" s="442"/>
      <c r="AM267" s="442"/>
      <c r="AN267" s="442"/>
      <c r="AO267" s="442"/>
      <c r="AP267" s="442"/>
      <c r="AQ267" s="442"/>
      <c r="AR267" s="444"/>
      <c r="AS267" s="442"/>
      <c r="AT267" s="444"/>
      <c r="AU267" s="442" t="s">
        <v>678</v>
      </c>
      <c r="AV267" s="442" t="s">
        <v>677</v>
      </c>
      <c r="AW267" s="442" t="s">
        <v>676</v>
      </c>
      <c r="AX267" s="442" t="s">
        <v>674</v>
      </c>
      <c r="AY267" s="442"/>
      <c r="AZ267" s="442"/>
      <c r="BA267" s="442" t="s">
        <v>679</v>
      </c>
      <c r="BB267" s="442"/>
      <c r="BC267" s="442"/>
      <c r="BD267" s="442"/>
      <c r="BE267" s="444"/>
      <c r="BF267" s="442" t="s">
        <v>298</v>
      </c>
      <c r="BG267" s="442" t="s">
        <v>680</v>
      </c>
      <c r="BH267" s="442" t="s">
        <v>681</v>
      </c>
      <c r="BI267" s="442"/>
    </row>
    <row r="268" spans="1:61">
      <c r="A268" s="442" t="s">
        <v>793</v>
      </c>
      <c r="B268" s="442" t="s">
        <v>793</v>
      </c>
      <c r="C268" s="442" t="s">
        <v>790</v>
      </c>
      <c r="D268" s="442" t="s">
        <v>673</v>
      </c>
      <c r="E268" s="442" t="s">
        <v>3</v>
      </c>
      <c r="F268" s="443" t="s">
        <v>7</v>
      </c>
      <c r="G268" s="443" t="s">
        <v>684</v>
      </c>
      <c r="H268" s="444">
        <v>171354</v>
      </c>
      <c r="I268" s="444">
        <v>171354</v>
      </c>
      <c r="J268" s="444">
        <v>0</v>
      </c>
      <c r="K268" s="444">
        <v>0</v>
      </c>
      <c r="L268" s="444">
        <v>171354</v>
      </c>
      <c r="M268" s="444">
        <v>0</v>
      </c>
      <c r="N268" s="444">
        <v>0</v>
      </c>
      <c r="O268" s="444">
        <v>0</v>
      </c>
      <c r="P268" s="444">
        <v>0</v>
      </c>
      <c r="Q268" s="444">
        <v>0</v>
      </c>
      <c r="R268" s="444">
        <v>0</v>
      </c>
      <c r="S268" s="444">
        <v>0</v>
      </c>
      <c r="T268" s="444">
        <v>0</v>
      </c>
      <c r="U268" s="444">
        <v>0</v>
      </c>
      <c r="V268" s="444">
        <v>0</v>
      </c>
      <c r="W268" s="444">
        <v>0</v>
      </c>
      <c r="X268" s="442" t="s">
        <v>674</v>
      </c>
      <c r="Y268" s="442" t="s">
        <v>675</v>
      </c>
      <c r="Z268" s="442" t="s">
        <v>675</v>
      </c>
      <c r="AA268" s="442" t="s">
        <v>675</v>
      </c>
      <c r="AB268" s="442" t="s">
        <v>675</v>
      </c>
      <c r="AC268" s="442"/>
      <c r="AD268" s="442"/>
      <c r="AE268" s="442"/>
      <c r="AF268" s="442"/>
      <c r="AG268" s="443" t="s">
        <v>798</v>
      </c>
      <c r="AH268" s="442"/>
      <c r="AI268" s="443" t="s">
        <v>798</v>
      </c>
      <c r="AJ268" s="443" t="s">
        <v>677</v>
      </c>
      <c r="AK268" s="442" t="s">
        <v>677</v>
      </c>
      <c r="AL268" s="442"/>
      <c r="AM268" s="442"/>
      <c r="AN268" s="442"/>
      <c r="AO268" s="442"/>
      <c r="AP268" s="442"/>
      <c r="AQ268" s="442"/>
      <c r="AR268" s="444"/>
      <c r="AS268" s="442"/>
      <c r="AT268" s="444"/>
      <c r="AU268" s="442" t="s">
        <v>678</v>
      </c>
      <c r="AV268" s="442" t="s">
        <v>677</v>
      </c>
      <c r="AW268" s="442" t="s">
        <v>676</v>
      </c>
      <c r="AX268" s="442" t="s">
        <v>674</v>
      </c>
      <c r="AY268" s="442"/>
      <c r="AZ268" s="442"/>
      <c r="BA268" s="442" t="s">
        <v>679</v>
      </c>
      <c r="BB268" s="442"/>
      <c r="BC268" s="442"/>
      <c r="BD268" s="442"/>
      <c r="BE268" s="444"/>
      <c r="BF268" s="442" t="s">
        <v>298</v>
      </c>
      <c r="BG268" s="442" t="s">
        <v>680</v>
      </c>
      <c r="BH268" s="442" t="s">
        <v>681</v>
      </c>
      <c r="BI268" s="442"/>
    </row>
    <row r="269" spans="1:61">
      <c r="A269" s="442" t="s">
        <v>793</v>
      </c>
      <c r="B269" s="442" t="s">
        <v>793</v>
      </c>
      <c r="C269" s="442" t="s">
        <v>790</v>
      </c>
      <c r="D269" s="442" t="s">
        <v>673</v>
      </c>
      <c r="E269" s="442" t="s">
        <v>3</v>
      </c>
      <c r="F269" s="443" t="s">
        <v>7</v>
      </c>
      <c r="G269" s="443" t="s">
        <v>684</v>
      </c>
      <c r="H269" s="444">
        <v>223280</v>
      </c>
      <c r="I269" s="444">
        <v>223280</v>
      </c>
      <c r="J269" s="444">
        <v>0</v>
      </c>
      <c r="K269" s="444">
        <v>0</v>
      </c>
      <c r="L269" s="444">
        <v>223280</v>
      </c>
      <c r="M269" s="444">
        <v>0</v>
      </c>
      <c r="N269" s="444">
        <v>0</v>
      </c>
      <c r="O269" s="444">
        <v>0</v>
      </c>
      <c r="P269" s="444">
        <v>0</v>
      </c>
      <c r="Q269" s="444">
        <v>0</v>
      </c>
      <c r="R269" s="444">
        <v>0</v>
      </c>
      <c r="S269" s="444">
        <v>0</v>
      </c>
      <c r="T269" s="444">
        <v>0</v>
      </c>
      <c r="U269" s="444">
        <v>0</v>
      </c>
      <c r="V269" s="444">
        <v>0</v>
      </c>
      <c r="W269" s="444">
        <v>0</v>
      </c>
      <c r="X269" s="442" t="s">
        <v>674</v>
      </c>
      <c r="Y269" s="442" t="s">
        <v>675</v>
      </c>
      <c r="Z269" s="442" t="s">
        <v>675</v>
      </c>
      <c r="AA269" s="442" t="s">
        <v>675</v>
      </c>
      <c r="AB269" s="442" t="s">
        <v>675</v>
      </c>
      <c r="AC269" s="442"/>
      <c r="AD269" s="442"/>
      <c r="AE269" s="442"/>
      <c r="AF269" s="442"/>
      <c r="AG269" s="443" t="s">
        <v>797</v>
      </c>
      <c r="AH269" s="442"/>
      <c r="AI269" s="443" t="s">
        <v>797</v>
      </c>
      <c r="AJ269" s="443" t="s">
        <v>677</v>
      </c>
      <c r="AK269" s="442" t="s">
        <v>677</v>
      </c>
      <c r="AL269" s="442"/>
      <c r="AM269" s="442"/>
      <c r="AN269" s="442"/>
      <c r="AO269" s="442"/>
      <c r="AP269" s="442"/>
      <c r="AQ269" s="442"/>
      <c r="AR269" s="444"/>
      <c r="AS269" s="442"/>
      <c r="AT269" s="444"/>
      <c r="AU269" s="442" t="s">
        <v>678</v>
      </c>
      <c r="AV269" s="442" t="s">
        <v>677</v>
      </c>
      <c r="AW269" s="442" t="s">
        <v>676</v>
      </c>
      <c r="AX269" s="442" t="s">
        <v>674</v>
      </c>
      <c r="AY269" s="442"/>
      <c r="AZ269" s="442"/>
      <c r="BA269" s="442" t="s">
        <v>679</v>
      </c>
      <c r="BB269" s="442"/>
      <c r="BC269" s="442"/>
      <c r="BD269" s="442"/>
      <c r="BE269" s="444"/>
      <c r="BF269" s="442" t="s">
        <v>298</v>
      </c>
      <c r="BG269" s="442" t="s">
        <v>680</v>
      </c>
      <c r="BH269" s="442" t="s">
        <v>681</v>
      </c>
      <c r="BI269" s="442"/>
    </row>
    <row r="270" spans="1:61">
      <c r="A270" s="442" t="s">
        <v>793</v>
      </c>
      <c r="B270" s="442" t="s">
        <v>793</v>
      </c>
      <c r="C270" s="442" t="s">
        <v>790</v>
      </c>
      <c r="D270" s="442" t="s">
        <v>673</v>
      </c>
      <c r="E270" s="442" t="s">
        <v>3</v>
      </c>
      <c r="F270" s="443" t="s">
        <v>7</v>
      </c>
      <c r="G270" s="443" t="s">
        <v>684</v>
      </c>
      <c r="H270" s="444">
        <v>193340</v>
      </c>
      <c r="I270" s="444">
        <v>193340</v>
      </c>
      <c r="J270" s="444">
        <v>0</v>
      </c>
      <c r="K270" s="444">
        <v>0</v>
      </c>
      <c r="L270" s="444">
        <v>193340</v>
      </c>
      <c r="M270" s="444">
        <v>0</v>
      </c>
      <c r="N270" s="444">
        <v>0</v>
      </c>
      <c r="O270" s="444">
        <v>0</v>
      </c>
      <c r="P270" s="444">
        <v>0</v>
      </c>
      <c r="Q270" s="444">
        <v>0</v>
      </c>
      <c r="R270" s="444">
        <v>0</v>
      </c>
      <c r="S270" s="444">
        <v>0</v>
      </c>
      <c r="T270" s="444">
        <v>0</v>
      </c>
      <c r="U270" s="444">
        <v>0</v>
      </c>
      <c r="V270" s="444">
        <v>0</v>
      </c>
      <c r="W270" s="444">
        <v>0</v>
      </c>
      <c r="X270" s="442" t="s">
        <v>674</v>
      </c>
      <c r="Y270" s="442" t="s">
        <v>675</v>
      </c>
      <c r="Z270" s="442" t="s">
        <v>675</v>
      </c>
      <c r="AA270" s="442" t="s">
        <v>675</v>
      </c>
      <c r="AB270" s="442" t="s">
        <v>675</v>
      </c>
      <c r="AC270" s="442"/>
      <c r="AD270" s="442"/>
      <c r="AE270" s="442"/>
      <c r="AF270" s="442"/>
      <c r="AG270" s="443" t="s">
        <v>795</v>
      </c>
      <c r="AH270" s="442"/>
      <c r="AI270" s="443" t="s">
        <v>795</v>
      </c>
      <c r="AJ270" s="443" t="s">
        <v>677</v>
      </c>
      <c r="AK270" s="442" t="s">
        <v>677</v>
      </c>
      <c r="AL270" s="442"/>
      <c r="AM270" s="442"/>
      <c r="AN270" s="442"/>
      <c r="AO270" s="442"/>
      <c r="AP270" s="442"/>
      <c r="AQ270" s="442"/>
      <c r="AR270" s="444"/>
      <c r="AS270" s="442"/>
      <c r="AT270" s="444"/>
      <c r="AU270" s="442" t="s">
        <v>678</v>
      </c>
      <c r="AV270" s="442" t="s">
        <v>677</v>
      </c>
      <c r="AW270" s="442" t="s">
        <v>676</v>
      </c>
      <c r="AX270" s="442" t="s">
        <v>674</v>
      </c>
      <c r="AY270" s="442"/>
      <c r="AZ270" s="442"/>
      <c r="BA270" s="442" t="s">
        <v>679</v>
      </c>
      <c r="BB270" s="442"/>
      <c r="BC270" s="442"/>
      <c r="BD270" s="442"/>
      <c r="BE270" s="444"/>
      <c r="BF270" s="442" t="s">
        <v>298</v>
      </c>
      <c r="BG270" s="442" t="s">
        <v>680</v>
      </c>
      <c r="BH270" s="442" t="s">
        <v>681</v>
      </c>
      <c r="BI270" s="442"/>
    </row>
    <row r="271" spans="1:61">
      <c r="A271" s="442" t="s">
        <v>793</v>
      </c>
      <c r="B271" s="442" t="s">
        <v>793</v>
      </c>
      <c r="C271" s="442" t="s">
        <v>790</v>
      </c>
      <c r="D271" s="442" t="s">
        <v>673</v>
      </c>
      <c r="E271" s="442" t="s">
        <v>3</v>
      </c>
      <c r="F271" s="443" t="s">
        <v>7</v>
      </c>
      <c r="G271" s="443" t="s">
        <v>684</v>
      </c>
      <c r="H271" s="444">
        <v>326410</v>
      </c>
      <c r="I271" s="444">
        <v>326410</v>
      </c>
      <c r="J271" s="444">
        <v>0</v>
      </c>
      <c r="K271" s="444">
        <v>0</v>
      </c>
      <c r="L271" s="444">
        <v>326410</v>
      </c>
      <c r="M271" s="444">
        <v>0</v>
      </c>
      <c r="N271" s="444">
        <v>0</v>
      </c>
      <c r="O271" s="444">
        <v>0</v>
      </c>
      <c r="P271" s="444">
        <v>0</v>
      </c>
      <c r="Q271" s="444">
        <v>0</v>
      </c>
      <c r="R271" s="444">
        <v>0</v>
      </c>
      <c r="S271" s="444">
        <v>0</v>
      </c>
      <c r="T271" s="444">
        <v>0</v>
      </c>
      <c r="U271" s="444">
        <v>0</v>
      </c>
      <c r="V271" s="444">
        <v>0</v>
      </c>
      <c r="W271" s="444">
        <v>0</v>
      </c>
      <c r="X271" s="442" t="s">
        <v>674</v>
      </c>
      <c r="Y271" s="442" t="s">
        <v>675</v>
      </c>
      <c r="Z271" s="442" t="s">
        <v>675</v>
      </c>
      <c r="AA271" s="442" t="s">
        <v>675</v>
      </c>
      <c r="AB271" s="442" t="s">
        <v>675</v>
      </c>
      <c r="AC271" s="442"/>
      <c r="AD271" s="442"/>
      <c r="AE271" s="442"/>
      <c r="AF271" s="442"/>
      <c r="AG271" s="443" t="s">
        <v>798</v>
      </c>
      <c r="AH271" s="442"/>
      <c r="AI271" s="443" t="s">
        <v>798</v>
      </c>
      <c r="AJ271" s="443" t="s">
        <v>677</v>
      </c>
      <c r="AK271" s="442" t="s">
        <v>677</v>
      </c>
      <c r="AL271" s="442"/>
      <c r="AM271" s="442"/>
      <c r="AN271" s="442"/>
      <c r="AO271" s="442"/>
      <c r="AP271" s="442"/>
      <c r="AQ271" s="442"/>
      <c r="AR271" s="444"/>
      <c r="AS271" s="442"/>
      <c r="AT271" s="444"/>
      <c r="AU271" s="442" t="s">
        <v>678</v>
      </c>
      <c r="AV271" s="442" t="s">
        <v>677</v>
      </c>
      <c r="AW271" s="442" t="s">
        <v>676</v>
      </c>
      <c r="AX271" s="442" t="s">
        <v>674</v>
      </c>
      <c r="AY271" s="442"/>
      <c r="AZ271" s="442"/>
      <c r="BA271" s="442" t="s">
        <v>679</v>
      </c>
      <c r="BB271" s="442"/>
      <c r="BC271" s="442"/>
      <c r="BD271" s="442"/>
      <c r="BE271" s="444"/>
      <c r="BF271" s="442" t="s">
        <v>298</v>
      </c>
      <c r="BG271" s="442" t="s">
        <v>680</v>
      </c>
      <c r="BH271" s="442" t="s">
        <v>681</v>
      </c>
      <c r="BI271" s="442"/>
    </row>
    <row r="272" spans="1:61">
      <c r="A272" s="442" t="s">
        <v>793</v>
      </c>
      <c r="B272" s="442" t="s">
        <v>793</v>
      </c>
      <c r="C272" s="442" t="s">
        <v>790</v>
      </c>
      <c r="D272" s="442" t="s">
        <v>673</v>
      </c>
      <c r="E272" s="442" t="s">
        <v>3</v>
      </c>
      <c r="F272" s="443" t="s">
        <v>7</v>
      </c>
      <c r="G272" s="443" t="s">
        <v>684</v>
      </c>
      <c r="H272" s="444">
        <v>425360</v>
      </c>
      <c r="I272" s="444">
        <v>425360</v>
      </c>
      <c r="J272" s="444">
        <v>0</v>
      </c>
      <c r="K272" s="444">
        <v>0</v>
      </c>
      <c r="L272" s="444">
        <v>425360</v>
      </c>
      <c r="M272" s="444">
        <v>0</v>
      </c>
      <c r="N272" s="444">
        <v>0</v>
      </c>
      <c r="O272" s="444">
        <v>0</v>
      </c>
      <c r="P272" s="444">
        <v>0</v>
      </c>
      <c r="Q272" s="444">
        <v>0</v>
      </c>
      <c r="R272" s="444">
        <v>0</v>
      </c>
      <c r="S272" s="444">
        <v>0</v>
      </c>
      <c r="T272" s="444">
        <v>0</v>
      </c>
      <c r="U272" s="444">
        <v>0</v>
      </c>
      <c r="V272" s="444">
        <v>0</v>
      </c>
      <c r="W272" s="444">
        <v>0</v>
      </c>
      <c r="X272" s="442" t="s">
        <v>674</v>
      </c>
      <c r="Y272" s="442" t="s">
        <v>675</v>
      </c>
      <c r="Z272" s="442" t="s">
        <v>675</v>
      </c>
      <c r="AA272" s="442" t="s">
        <v>675</v>
      </c>
      <c r="AB272" s="442" t="s">
        <v>675</v>
      </c>
      <c r="AC272" s="442"/>
      <c r="AD272" s="442"/>
      <c r="AE272" s="442"/>
      <c r="AF272" s="442"/>
      <c r="AG272" s="443" t="s">
        <v>797</v>
      </c>
      <c r="AH272" s="442"/>
      <c r="AI272" s="443" t="s">
        <v>797</v>
      </c>
      <c r="AJ272" s="443" t="s">
        <v>677</v>
      </c>
      <c r="AK272" s="442" t="s">
        <v>677</v>
      </c>
      <c r="AL272" s="442"/>
      <c r="AM272" s="442"/>
      <c r="AN272" s="442"/>
      <c r="AO272" s="442"/>
      <c r="AP272" s="442"/>
      <c r="AQ272" s="442"/>
      <c r="AR272" s="444"/>
      <c r="AS272" s="442"/>
      <c r="AT272" s="444"/>
      <c r="AU272" s="442" t="s">
        <v>678</v>
      </c>
      <c r="AV272" s="442" t="s">
        <v>677</v>
      </c>
      <c r="AW272" s="442" t="s">
        <v>676</v>
      </c>
      <c r="AX272" s="442" t="s">
        <v>674</v>
      </c>
      <c r="AY272" s="442"/>
      <c r="AZ272" s="442"/>
      <c r="BA272" s="442" t="s">
        <v>679</v>
      </c>
      <c r="BB272" s="442"/>
      <c r="BC272" s="442"/>
      <c r="BD272" s="442"/>
      <c r="BE272" s="444"/>
      <c r="BF272" s="442" t="s">
        <v>298</v>
      </c>
      <c r="BG272" s="442" t="s">
        <v>680</v>
      </c>
      <c r="BH272" s="442" t="s">
        <v>681</v>
      </c>
      <c r="BI272" s="442"/>
    </row>
    <row r="273" spans="1:61">
      <c r="A273" s="442" t="s">
        <v>793</v>
      </c>
      <c r="B273" s="442" t="s">
        <v>793</v>
      </c>
      <c r="C273" s="442" t="s">
        <v>790</v>
      </c>
      <c r="D273" s="442" t="s">
        <v>673</v>
      </c>
      <c r="E273" s="442" t="s">
        <v>3</v>
      </c>
      <c r="F273" s="443" t="s">
        <v>7</v>
      </c>
      <c r="G273" s="443" t="s">
        <v>684</v>
      </c>
      <c r="H273" s="444">
        <v>200870</v>
      </c>
      <c r="I273" s="444">
        <v>200870</v>
      </c>
      <c r="J273" s="444">
        <v>0</v>
      </c>
      <c r="K273" s="444">
        <v>0</v>
      </c>
      <c r="L273" s="444">
        <v>200870</v>
      </c>
      <c r="M273" s="444">
        <v>0</v>
      </c>
      <c r="N273" s="444">
        <v>0</v>
      </c>
      <c r="O273" s="444">
        <v>0</v>
      </c>
      <c r="P273" s="444">
        <v>0</v>
      </c>
      <c r="Q273" s="444">
        <v>0</v>
      </c>
      <c r="R273" s="444">
        <v>0</v>
      </c>
      <c r="S273" s="444">
        <v>0</v>
      </c>
      <c r="T273" s="444">
        <v>0</v>
      </c>
      <c r="U273" s="444">
        <v>0</v>
      </c>
      <c r="V273" s="444">
        <v>0</v>
      </c>
      <c r="W273" s="444">
        <v>0</v>
      </c>
      <c r="X273" s="442" t="s">
        <v>674</v>
      </c>
      <c r="Y273" s="442" t="s">
        <v>675</v>
      </c>
      <c r="Z273" s="442" t="s">
        <v>675</v>
      </c>
      <c r="AA273" s="442" t="s">
        <v>675</v>
      </c>
      <c r="AB273" s="442" t="s">
        <v>675</v>
      </c>
      <c r="AC273" s="442"/>
      <c r="AD273" s="442"/>
      <c r="AE273" s="442"/>
      <c r="AF273" s="442"/>
      <c r="AG273" s="443" t="s">
        <v>794</v>
      </c>
      <c r="AH273" s="442"/>
      <c r="AI273" s="443" t="s">
        <v>794</v>
      </c>
      <c r="AJ273" s="443" t="s">
        <v>677</v>
      </c>
      <c r="AK273" s="442" t="s">
        <v>677</v>
      </c>
      <c r="AL273" s="442"/>
      <c r="AM273" s="442"/>
      <c r="AN273" s="442"/>
      <c r="AO273" s="442"/>
      <c r="AP273" s="442"/>
      <c r="AQ273" s="442"/>
      <c r="AR273" s="444"/>
      <c r="AS273" s="442"/>
      <c r="AT273" s="444"/>
      <c r="AU273" s="442" t="s">
        <v>678</v>
      </c>
      <c r="AV273" s="442" t="s">
        <v>677</v>
      </c>
      <c r="AW273" s="442" t="s">
        <v>676</v>
      </c>
      <c r="AX273" s="442" t="s">
        <v>674</v>
      </c>
      <c r="AY273" s="442"/>
      <c r="AZ273" s="442"/>
      <c r="BA273" s="442" t="s">
        <v>679</v>
      </c>
      <c r="BB273" s="442"/>
      <c r="BC273" s="442"/>
      <c r="BD273" s="442"/>
      <c r="BE273" s="444"/>
      <c r="BF273" s="442" t="s">
        <v>298</v>
      </c>
      <c r="BG273" s="442" t="s">
        <v>680</v>
      </c>
      <c r="BH273" s="442" t="s">
        <v>681</v>
      </c>
      <c r="BI273" s="442"/>
    </row>
    <row r="274" spans="1:61">
      <c r="A274" s="442" t="s">
        <v>793</v>
      </c>
      <c r="B274" s="442" t="s">
        <v>793</v>
      </c>
      <c r="C274" s="442" t="s">
        <v>790</v>
      </c>
      <c r="D274" s="442" t="s">
        <v>673</v>
      </c>
      <c r="E274" s="442" t="s">
        <v>3</v>
      </c>
      <c r="F274" s="443" t="s">
        <v>7</v>
      </c>
      <c r="G274" s="443" t="s">
        <v>684</v>
      </c>
      <c r="H274" s="444">
        <v>368340</v>
      </c>
      <c r="I274" s="444">
        <v>368340</v>
      </c>
      <c r="J274" s="444">
        <v>0</v>
      </c>
      <c r="K274" s="444">
        <v>0</v>
      </c>
      <c r="L274" s="444">
        <v>368340</v>
      </c>
      <c r="M274" s="444">
        <v>0</v>
      </c>
      <c r="N274" s="444">
        <v>0</v>
      </c>
      <c r="O274" s="444">
        <v>0</v>
      </c>
      <c r="P274" s="444">
        <v>0</v>
      </c>
      <c r="Q274" s="444">
        <v>0</v>
      </c>
      <c r="R274" s="444">
        <v>0</v>
      </c>
      <c r="S274" s="444">
        <v>0</v>
      </c>
      <c r="T274" s="444">
        <v>0</v>
      </c>
      <c r="U274" s="444">
        <v>0</v>
      </c>
      <c r="V274" s="444">
        <v>0</v>
      </c>
      <c r="W274" s="444">
        <v>0</v>
      </c>
      <c r="X274" s="442" t="s">
        <v>674</v>
      </c>
      <c r="Y274" s="442" t="s">
        <v>675</v>
      </c>
      <c r="Z274" s="442" t="s">
        <v>675</v>
      </c>
      <c r="AA274" s="442" t="s">
        <v>675</v>
      </c>
      <c r="AB274" s="442" t="s">
        <v>675</v>
      </c>
      <c r="AC274" s="442"/>
      <c r="AD274" s="442"/>
      <c r="AE274" s="442"/>
      <c r="AF274" s="442"/>
      <c r="AG274" s="443" t="s">
        <v>795</v>
      </c>
      <c r="AH274" s="442"/>
      <c r="AI274" s="443" t="s">
        <v>795</v>
      </c>
      <c r="AJ274" s="443" t="s">
        <v>677</v>
      </c>
      <c r="AK274" s="442" t="s">
        <v>677</v>
      </c>
      <c r="AL274" s="442"/>
      <c r="AM274" s="442"/>
      <c r="AN274" s="442"/>
      <c r="AO274" s="442"/>
      <c r="AP274" s="442"/>
      <c r="AQ274" s="442"/>
      <c r="AR274" s="444"/>
      <c r="AS274" s="442"/>
      <c r="AT274" s="444"/>
      <c r="AU274" s="442" t="s">
        <v>678</v>
      </c>
      <c r="AV274" s="442" t="s">
        <v>677</v>
      </c>
      <c r="AW274" s="442" t="s">
        <v>676</v>
      </c>
      <c r="AX274" s="442" t="s">
        <v>674</v>
      </c>
      <c r="AY274" s="442"/>
      <c r="AZ274" s="442"/>
      <c r="BA274" s="442" t="s">
        <v>679</v>
      </c>
      <c r="BB274" s="442"/>
      <c r="BC274" s="442"/>
      <c r="BD274" s="442"/>
      <c r="BE274" s="444"/>
      <c r="BF274" s="442" t="s">
        <v>298</v>
      </c>
      <c r="BG274" s="442" t="s">
        <v>680</v>
      </c>
      <c r="BH274" s="442" t="s">
        <v>681</v>
      </c>
      <c r="BI274" s="442"/>
    </row>
    <row r="275" spans="1:61">
      <c r="A275" s="442" t="s">
        <v>793</v>
      </c>
      <c r="B275" s="442" t="s">
        <v>793</v>
      </c>
      <c r="C275" s="442" t="s">
        <v>790</v>
      </c>
      <c r="D275" s="442" t="s">
        <v>673</v>
      </c>
      <c r="E275" s="442" t="s">
        <v>3</v>
      </c>
      <c r="F275" s="443" t="s">
        <v>7</v>
      </c>
      <c r="G275" s="443" t="s">
        <v>684</v>
      </c>
      <c r="H275" s="444">
        <v>200870</v>
      </c>
      <c r="I275" s="444">
        <v>200870</v>
      </c>
      <c r="J275" s="444">
        <v>0</v>
      </c>
      <c r="K275" s="444">
        <v>0</v>
      </c>
      <c r="L275" s="444">
        <v>200870</v>
      </c>
      <c r="M275" s="444">
        <v>0</v>
      </c>
      <c r="N275" s="444">
        <v>0</v>
      </c>
      <c r="O275" s="444">
        <v>0</v>
      </c>
      <c r="P275" s="444">
        <v>0</v>
      </c>
      <c r="Q275" s="444">
        <v>0</v>
      </c>
      <c r="R275" s="444">
        <v>0</v>
      </c>
      <c r="S275" s="444">
        <v>0</v>
      </c>
      <c r="T275" s="444">
        <v>0</v>
      </c>
      <c r="U275" s="444">
        <v>0</v>
      </c>
      <c r="V275" s="444">
        <v>0</v>
      </c>
      <c r="W275" s="444">
        <v>0</v>
      </c>
      <c r="X275" s="442" t="s">
        <v>674</v>
      </c>
      <c r="Y275" s="442" t="s">
        <v>675</v>
      </c>
      <c r="Z275" s="442" t="s">
        <v>675</v>
      </c>
      <c r="AA275" s="442" t="s">
        <v>675</v>
      </c>
      <c r="AB275" s="442" t="s">
        <v>675</v>
      </c>
      <c r="AC275" s="442"/>
      <c r="AD275" s="442"/>
      <c r="AE275" s="442"/>
      <c r="AF275" s="442"/>
      <c r="AG275" s="443" t="s">
        <v>794</v>
      </c>
      <c r="AH275" s="442"/>
      <c r="AI275" s="443" t="s">
        <v>794</v>
      </c>
      <c r="AJ275" s="443" t="s">
        <v>677</v>
      </c>
      <c r="AK275" s="442" t="s">
        <v>677</v>
      </c>
      <c r="AL275" s="442"/>
      <c r="AM275" s="442"/>
      <c r="AN275" s="442"/>
      <c r="AO275" s="442"/>
      <c r="AP275" s="442"/>
      <c r="AQ275" s="442"/>
      <c r="AR275" s="444"/>
      <c r="AS275" s="442"/>
      <c r="AT275" s="444"/>
      <c r="AU275" s="442" t="s">
        <v>678</v>
      </c>
      <c r="AV275" s="442" t="s">
        <v>677</v>
      </c>
      <c r="AW275" s="442" t="s">
        <v>676</v>
      </c>
      <c r="AX275" s="442" t="s">
        <v>674</v>
      </c>
      <c r="AY275" s="442"/>
      <c r="AZ275" s="442"/>
      <c r="BA275" s="442" t="s">
        <v>679</v>
      </c>
      <c r="BB275" s="442"/>
      <c r="BC275" s="442"/>
      <c r="BD275" s="442"/>
      <c r="BE275" s="444"/>
      <c r="BF275" s="442" t="s">
        <v>298</v>
      </c>
      <c r="BG275" s="442" t="s">
        <v>680</v>
      </c>
      <c r="BH275" s="442" t="s">
        <v>681</v>
      </c>
      <c r="BI275" s="442"/>
    </row>
    <row r="276" spans="1:61">
      <c r="A276" s="442" t="s">
        <v>793</v>
      </c>
      <c r="B276" s="442" t="s">
        <v>793</v>
      </c>
      <c r="C276" s="442" t="s">
        <v>790</v>
      </c>
      <c r="D276" s="442" t="s">
        <v>673</v>
      </c>
      <c r="E276" s="442" t="s">
        <v>3</v>
      </c>
      <c r="F276" s="443" t="s">
        <v>7</v>
      </c>
      <c r="G276" s="443" t="s">
        <v>684</v>
      </c>
      <c r="H276" s="444">
        <v>3347790</v>
      </c>
      <c r="I276" s="444">
        <v>3347790</v>
      </c>
      <c r="J276" s="444">
        <v>0</v>
      </c>
      <c r="K276" s="444">
        <v>0</v>
      </c>
      <c r="L276" s="444">
        <v>3347790</v>
      </c>
      <c r="M276" s="444">
        <v>0</v>
      </c>
      <c r="N276" s="444">
        <v>0</v>
      </c>
      <c r="O276" s="444">
        <v>0</v>
      </c>
      <c r="P276" s="444">
        <v>0</v>
      </c>
      <c r="Q276" s="444">
        <v>0</v>
      </c>
      <c r="R276" s="444">
        <v>0</v>
      </c>
      <c r="S276" s="444">
        <v>0</v>
      </c>
      <c r="T276" s="444">
        <v>0</v>
      </c>
      <c r="U276" s="444">
        <v>0</v>
      </c>
      <c r="V276" s="444">
        <v>0</v>
      </c>
      <c r="W276" s="444">
        <v>0</v>
      </c>
      <c r="X276" s="442" t="s">
        <v>674</v>
      </c>
      <c r="Y276" s="442" t="s">
        <v>675</v>
      </c>
      <c r="Z276" s="442" t="s">
        <v>675</v>
      </c>
      <c r="AA276" s="442" t="s">
        <v>675</v>
      </c>
      <c r="AB276" s="442" t="s">
        <v>675</v>
      </c>
      <c r="AC276" s="442"/>
      <c r="AD276" s="442"/>
      <c r="AE276" s="442"/>
      <c r="AF276" s="442"/>
      <c r="AG276" s="443" t="s">
        <v>796</v>
      </c>
      <c r="AH276" s="442"/>
      <c r="AI276" s="443" t="s">
        <v>796</v>
      </c>
      <c r="AJ276" s="443" t="s">
        <v>677</v>
      </c>
      <c r="AK276" s="442" t="s">
        <v>677</v>
      </c>
      <c r="AL276" s="442"/>
      <c r="AM276" s="442"/>
      <c r="AN276" s="442"/>
      <c r="AO276" s="442"/>
      <c r="AP276" s="442"/>
      <c r="AQ276" s="442"/>
      <c r="AR276" s="444"/>
      <c r="AS276" s="442"/>
      <c r="AT276" s="444"/>
      <c r="AU276" s="442" t="s">
        <v>678</v>
      </c>
      <c r="AV276" s="442" t="s">
        <v>677</v>
      </c>
      <c r="AW276" s="442" t="s">
        <v>676</v>
      </c>
      <c r="AX276" s="442" t="s">
        <v>674</v>
      </c>
      <c r="AY276" s="442"/>
      <c r="AZ276" s="442"/>
      <c r="BA276" s="442" t="s">
        <v>679</v>
      </c>
      <c r="BB276" s="442"/>
      <c r="BC276" s="442"/>
      <c r="BD276" s="442"/>
      <c r="BE276" s="444"/>
      <c r="BF276" s="442" t="s">
        <v>298</v>
      </c>
      <c r="BG276" s="442" t="s">
        <v>680</v>
      </c>
      <c r="BH276" s="442" t="s">
        <v>681</v>
      </c>
      <c r="BI276" s="442"/>
    </row>
    <row r="277" spans="1:61">
      <c r="A277" s="442" t="s">
        <v>793</v>
      </c>
      <c r="B277" s="442" t="s">
        <v>793</v>
      </c>
      <c r="C277" s="442" t="s">
        <v>790</v>
      </c>
      <c r="D277" s="442" t="s">
        <v>673</v>
      </c>
      <c r="E277" s="442" t="s">
        <v>3</v>
      </c>
      <c r="F277" s="443" t="s">
        <v>7</v>
      </c>
      <c r="G277" s="443" t="s">
        <v>684</v>
      </c>
      <c r="H277" s="444">
        <v>368340</v>
      </c>
      <c r="I277" s="444">
        <v>368340</v>
      </c>
      <c r="J277" s="444">
        <v>0</v>
      </c>
      <c r="K277" s="444">
        <v>0</v>
      </c>
      <c r="L277" s="444">
        <v>368340</v>
      </c>
      <c r="M277" s="444">
        <v>0</v>
      </c>
      <c r="N277" s="444">
        <v>0</v>
      </c>
      <c r="O277" s="444">
        <v>0</v>
      </c>
      <c r="P277" s="444">
        <v>0</v>
      </c>
      <c r="Q277" s="444">
        <v>0</v>
      </c>
      <c r="R277" s="444">
        <v>0</v>
      </c>
      <c r="S277" s="444">
        <v>0</v>
      </c>
      <c r="T277" s="444">
        <v>0</v>
      </c>
      <c r="U277" s="444">
        <v>0</v>
      </c>
      <c r="V277" s="444">
        <v>0</v>
      </c>
      <c r="W277" s="444">
        <v>0</v>
      </c>
      <c r="X277" s="442" t="s">
        <v>674</v>
      </c>
      <c r="Y277" s="442" t="s">
        <v>675</v>
      </c>
      <c r="Z277" s="442" t="s">
        <v>675</v>
      </c>
      <c r="AA277" s="442" t="s">
        <v>675</v>
      </c>
      <c r="AB277" s="442" t="s">
        <v>675</v>
      </c>
      <c r="AC277" s="442"/>
      <c r="AD277" s="442"/>
      <c r="AE277" s="442"/>
      <c r="AF277" s="442"/>
      <c r="AG277" s="443" t="s">
        <v>795</v>
      </c>
      <c r="AH277" s="442"/>
      <c r="AI277" s="443" t="s">
        <v>795</v>
      </c>
      <c r="AJ277" s="443" t="s">
        <v>677</v>
      </c>
      <c r="AK277" s="442" t="s">
        <v>677</v>
      </c>
      <c r="AL277" s="442"/>
      <c r="AM277" s="442"/>
      <c r="AN277" s="442"/>
      <c r="AO277" s="442"/>
      <c r="AP277" s="442"/>
      <c r="AQ277" s="442"/>
      <c r="AR277" s="444"/>
      <c r="AS277" s="442"/>
      <c r="AT277" s="444"/>
      <c r="AU277" s="442" t="s">
        <v>678</v>
      </c>
      <c r="AV277" s="442" t="s">
        <v>677</v>
      </c>
      <c r="AW277" s="442" t="s">
        <v>676</v>
      </c>
      <c r="AX277" s="442" t="s">
        <v>674</v>
      </c>
      <c r="AY277" s="442"/>
      <c r="AZ277" s="442"/>
      <c r="BA277" s="442" t="s">
        <v>679</v>
      </c>
      <c r="BB277" s="442"/>
      <c r="BC277" s="442"/>
      <c r="BD277" s="442"/>
      <c r="BE277" s="444"/>
      <c r="BF277" s="442" t="s">
        <v>298</v>
      </c>
      <c r="BG277" s="442" t="s">
        <v>680</v>
      </c>
      <c r="BH277" s="442" t="s">
        <v>681</v>
      </c>
      <c r="BI277" s="442"/>
    </row>
    <row r="278" spans="1:61">
      <c r="A278" s="442" t="s">
        <v>793</v>
      </c>
      <c r="B278" s="442" t="s">
        <v>793</v>
      </c>
      <c r="C278" s="442" t="s">
        <v>790</v>
      </c>
      <c r="D278" s="442" t="s">
        <v>673</v>
      </c>
      <c r="E278" s="442" t="s">
        <v>3</v>
      </c>
      <c r="F278" s="443" t="s">
        <v>7</v>
      </c>
      <c r="G278" s="443" t="s">
        <v>684</v>
      </c>
      <c r="H278" s="444">
        <v>243050</v>
      </c>
      <c r="I278" s="444">
        <v>243050</v>
      </c>
      <c r="J278" s="444">
        <v>0</v>
      </c>
      <c r="K278" s="444">
        <v>0</v>
      </c>
      <c r="L278" s="444">
        <v>243050</v>
      </c>
      <c r="M278" s="444">
        <v>0</v>
      </c>
      <c r="N278" s="444">
        <v>0</v>
      </c>
      <c r="O278" s="444">
        <v>0</v>
      </c>
      <c r="P278" s="444">
        <v>0</v>
      </c>
      <c r="Q278" s="444">
        <v>0</v>
      </c>
      <c r="R278" s="444">
        <v>0</v>
      </c>
      <c r="S278" s="444">
        <v>0</v>
      </c>
      <c r="T278" s="444">
        <v>0</v>
      </c>
      <c r="U278" s="444">
        <v>0</v>
      </c>
      <c r="V278" s="444">
        <v>0</v>
      </c>
      <c r="W278" s="444">
        <v>0</v>
      </c>
      <c r="X278" s="442" t="s">
        <v>674</v>
      </c>
      <c r="Y278" s="442" t="s">
        <v>675</v>
      </c>
      <c r="Z278" s="442" t="s">
        <v>675</v>
      </c>
      <c r="AA278" s="442" t="s">
        <v>675</v>
      </c>
      <c r="AB278" s="442" t="s">
        <v>675</v>
      </c>
      <c r="AC278" s="442"/>
      <c r="AD278" s="442"/>
      <c r="AE278" s="442"/>
      <c r="AF278" s="442"/>
      <c r="AG278" s="443" t="s">
        <v>798</v>
      </c>
      <c r="AH278" s="442"/>
      <c r="AI278" s="443" t="s">
        <v>798</v>
      </c>
      <c r="AJ278" s="443" t="s">
        <v>677</v>
      </c>
      <c r="AK278" s="442" t="s">
        <v>677</v>
      </c>
      <c r="AL278" s="442"/>
      <c r="AM278" s="442"/>
      <c r="AN278" s="442"/>
      <c r="AO278" s="442"/>
      <c r="AP278" s="442"/>
      <c r="AQ278" s="442"/>
      <c r="AR278" s="444"/>
      <c r="AS278" s="442"/>
      <c r="AT278" s="444"/>
      <c r="AU278" s="442" t="s">
        <v>678</v>
      </c>
      <c r="AV278" s="442" t="s">
        <v>677</v>
      </c>
      <c r="AW278" s="442" t="s">
        <v>676</v>
      </c>
      <c r="AX278" s="442" t="s">
        <v>674</v>
      </c>
      <c r="AY278" s="442"/>
      <c r="AZ278" s="442"/>
      <c r="BA278" s="442" t="s">
        <v>679</v>
      </c>
      <c r="BB278" s="442"/>
      <c r="BC278" s="442"/>
      <c r="BD278" s="442"/>
      <c r="BE278" s="444"/>
      <c r="BF278" s="442" t="s">
        <v>298</v>
      </c>
      <c r="BG278" s="442" t="s">
        <v>680</v>
      </c>
      <c r="BH278" s="442" t="s">
        <v>681</v>
      </c>
      <c r="BI278" s="442"/>
    </row>
    <row r="279" spans="1:61">
      <c r="A279" s="442" t="s">
        <v>793</v>
      </c>
      <c r="B279" s="442" t="s">
        <v>793</v>
      </c>
      <c r="C279" s="442" t="s">
        <v>790</v>
      </c>
      <c r="D279" s="442" t="s">
        <v>673</v>
      </c>
      <c r="E279" s="442" t="s">
        <v>3</v>
      </c>
      <c r="F279" s="443" t="s">
        <v>7</v>
      </c>
      <c r="G279" s="443" t="s">
        <v>684</v>
      </c>
      <c r="H279" s="444">
        <v>326417</v>
      </c>
      <c r="I279" s="444">
        <v>326417</v>
      </c>
      <c r="J279" s="444">
        <v>0</v>
      </c>
      <c r="K279" s="444">
        <v>0</v>
      </c>
      <c r="L279" s="444">
        <v>326417</v>
      </c>
      <c r="M279" s="444">
        <v>0</v>
      </c>
      <c r="N279" s="444">
        <v>0</v>
      </c>
      <c r="O279" s="444">
        <v>0</v>
      </c>
      <c r="P279" s="444">
        <v>0</v>
      </c>
      <c r="Q279" s="444">
        <v>0</v>
      </c>
      <c r="R279" s="444">
        <v>0</v>
      </c>
      <c r="S279" s="444">
        <v>0</v>
      </c>
      <c r="T279" s="444">
        <v>0</v>
      </c>
      <c r="U279" s="444">
        <v>0</v>
      </c>
      <c r="V279" s="444">
        <v>0</v>
      </c>
      <c r="W279" s="444">
        <v>0</v>
      </c>
      <c r="X279" s="442" t="s">
        <v>674</v>
      </c>
      <c r="Y279" s="442" t="s">
        <v>675</v>
      </c>
      <c r="Z279" s="442" t="s">
        <v>675</v>
      </c>
      <c r="AA279" s="442" t="s">
        <v>675</v>
      </c>
      <c r="AB279" s="442" t="s">
        <v>675</v>
      </c>
      <c r="AC279" s="442"/>
      <c r="AD279" s="442"/>
      <c r="AE279" s="442"/>
      <c r="AF279" s="442"/>
      <c r="AG279" s="443" t="s">
        <v>798</v>
      </c>
      <c r="AH279" s="442"/>
      <c r="AI279" s="443" t="s">
        <v>798</v>
      </c>
      <c r="AJ279" s="443" t="s">
        <v>677</v>
      </c>
      <c r="AK279" s="442" t="s">
        <v>677</v>
      </c>
      <c r="AL279" s="442"/>
      <c r="AM279" s="442"/>
      <c r="AN279" s="442"/>
      <c r="AO279" s="442"/>
      <c r="AP279" s="442"/>
      <c r="AQ279" s="442"/>
      <c r="AR279" s="444"/>
      <c r="AS279" s="442"/>
      <c r="AT279" s="444"/>
      <c r="AU279" s="442" t="s">
        <v>678</v>
      </c>
      <c r="AV279" s="442" t="s">
        <v>677</v>
      </c>
      <c r="AW279" s="442" t="s">
        <v>676</v>
      </c>
      <c r="AX279" s="442" t="s">
        <v>674</v>
      </c>
      <c r="AY279" s="442"/>
      <c r="AZ279" s="442"/>
      <c r="BA279" s="442" t="s">
        <v>679</v>
      </c>
      <c r="BB279" s="442"/>
      <c r="BC279" s="442"/>
      <c r="BD279" s="442"/>
      <c r="BE279" s="444"/>
      <c r="BF279" s="442" t="s">
        <v>298</v>
      </c>
      <c r="BG279" s="442" t="s">
        <v>680</v>
      </c>
      <c r="BH279" s="442" t="s">
        <v>681</v>
      </c>
      <c r="BI279" s="442"/>
    </row>
    <row r="280" spans="1:61">
      <c r="A280" s="442" t="s">
        <v>793</v>
      </c>
      <c r="B280" s="442" t="s">
        <v>793</v>
      </c>
      <c r="C280" s="442" t="s">
        <v>790</v>
      </c>
      <c r="D280" s="442" t="s">
        <v>673</v>
      </c>
      <c r="E280" s="442" t="s">
        <v>3</v>
      </c>
      <c r="F280" s="443" t="s">
        <v>7</v>
      </c>
      <c r="G280" s="443" t="s">
        <v>684</v>
      </c>
      <c r="H280" s="444">
        <v>425360</v>
      </c>
      <c r="I280" s="444">
        <v>425360</v>
      </c>
      <c r="J280" s="444">
        <v>0</v>
      </c>
      <c r="K280" s="444">
        <v>0</v>
      </c>
      <c r="L280" s="444">
        <v>425360</v>
      </c>
      <c r="M280" s="444">
        <v>0</v>
      </c>
      <c r="N280" s="444">
        <v>0</v>
      </c>
      <c r="O280" s="444">
        <v>0</v>
      </c>
      <c r="P280" s="444">
        <v>0</v>
      </c>
      <c r="Q280" s="444">
        <v>0</v>
      </c>
      <c r="R280" s="444">
        <v>0</v>
      </c>
      <c r="S280" s="444">
        <v>0</v>
      </c>
      <c r="T280" s="444">
        <v>0</v>
      </c>
      <c r="U280" s="444">
        <v>0</v>
      </c>
      <c r="V280" s="444">
        <v>0</v>
      </c>
      <c r="W280" s="444">
        <v>0</v>
      </c>
      <c r="X280" s="442" t="s">
        <v>674</v>
      </c>
      <c r="Y280" s="442" t="s">
        <v>675</v>
      </c>
      <c r="Z280" s="442" t="s">
        <v>675</v>
      </c>
      <c r="AA280" s="442" t="s">
        <v>675</v>
      </c>
      <c r="AB280" s="442" t="s">
        <v>675</v>
      </c>
      <c r="AC280" s="442"/>
      <c r="AD280" s="442"/>
      <c r="AE280" s="442"/>
      <c r="AF280" s="442"/>
      <c r="AG280" s="443" t="s">
        <v>797</v>
      </c>
      <c r="AH280" s="442"/>
      <c r="AI280" s="443" t="s">
        <v>797</v>
      </c>
      <c r="AJ280" s="443" t="s">
        <v>677</v>
      </c>
      <c r="AK280" s="442" t="s">
        <v>677</v>
      </c>
      <c r="AL280" s="442"/>
      <c r="AM280" s="442"/>
      <c r="AN280" s="442"/>
      <c r="AO280" s="442"/>
      <c r="AP280" s="442"/>
      <c r="AQ280" s="442"/>
      <c r="AR280" s="444"/>
      <c r="AS280" s="442"/>
      <c r="AT280" s="444"/>
      <c r="AU280" s="442" t="s">
        <v>678</v>
      </c>
      <c r="AV280" s="442" t="s">
        <v>677</v>
      </c>
      <c r="AW280" s="442" t="s">
        <v>676</v>
      </c>
      <c r="AX280" s="442" t="s">
        <v>674</v>
      </c>
      <c r="AY280" s="442"/>
      <c r="AZ280" s="442"/>
      <c r="BA280" s="442" t="s">
        <v>679</v>
      </c>
      <c r="BB280" s="442"/>
      <c r="BC280" s="442"/>
      <c r="BD280" s="442"/>
      <c r="BE280" s="444"/>
      <c r="BF280" s="442" t="s">
        <v>298</v>
      </c>
      <c r="BG280" s="442" t="s">
        <v>680</v>
      </c>
      <c r="BH280" s="442" t="s">
        <v>681</v>
      </c>
      <c r="BI280" s="442"/>
    </row>
    <row r="281" spans="1:61">
      <c r="A281" s="442" t="s">
        <v>799</v>
      </c>
      <c r="B281" s="442" t="s">
        <v>682</v>
      </c>
      <c r="C281" s="442" t="s">
        <v>683</v>
      </c>
      <c r="D281" s="442" t="s">
        <v>724</v>
      </c>
      <c r="E281" s="442" t="s">
        <v>3</v>
      </c>
      <c r="F281" s="443" t="s">
        <v>308</v>
      </c>
      <c r="G281" s="443" t="s">
        <v>697</v>
      </c>
      <c r="H281" s="444">
        <v>165000</v>
      </c>
      <c r="I281" s="444">
        <v>165000</v>
      </c>
      <c r="J281" s="444">
        <v>0</v>
      </c>
      <c r="K281" s="444">
        <v>0</v>
      </c>
      <c r="L281" s="444">
        <v>150000</v>
      </c>
      <c r="M281" s="444">
        <v>0</v>
      </c>
      <c r="N281" s="444">
        <v>0</v>
      </c>
      <c r="O281" s="444">
        <v>15000</v>
      </c>
      <c r="P281" s="444">
        <v>0</v>
      </c>
      <c r="Q281" s="444">
        <v>0</v>
      </c>
      <c r="R281" s="444">
        <v>0</v>
      </c>
      <c r="S281" s="444">
        <v>0</v>
      </c>
      <c r="T281" s="444">
        <v>0</v>
      </c>
      <c r="U281" s="444">
        <v>0</v>
      </c>
      <c r="V281" s="444">
        <v>0</v>
      </c>
      <c r="W281" s="444">
        <v>0</v>
      </c>
      <c r="X281" s="442" t="s">
        <v>674</v>
      </c>
      <c r="Y281" s="442" t="s">
        <v>675</v>
      </c>
      <c r="Z281" s="442" t="s">
        <v>675</v>
      </c>
      <c r="AA281" s="442" t="s">
        <v>675</v>
      </c>
      <c r="AB281" s="442" t="s">
        <v>675</v>
      </c>
      <c r="AC281" s="442"/>
      <c r="AD281" s="442"/>
      <c r="AE281" s="442"/>
      <c r="AF281" s="442"/>
      <c r="AG281" s="443" t="s">
        <v>800</v>
      </c>
      <c r="AH281" s="442"/>
      <c r="AI281" s="443" t="s">
        <v>800</v>
      </c>
      <c r="AJ281" s="443" t="s">
        <v>801</v>
      </c>
      <c r="AK281" s="442" t="s">
        <v>677</v>
      </c>
      <c r="AL281" s="442"/>
      <c r="AM281" s="442" t="s">
        <v>726</v>
      </c>
      <c r="AN281" s="442" t="s">
        <v>802</v>
      </c>
      <c r="AO281" s="442" t="s">
        <v>799</v>
      </c>
      <c r="AP281" s="442" t="s">
        <v>786</v>
      </c>
      <c r="AQ281" s="442" t="s">
        <v>729</v>
      </c>
      <c r="AR281" s="444">
        <v>165000</v>
      </c>
      <c r="AS281" s="442" t="s">
        <v>675</v>
      </c>
      <c r="AT281" s="444">
        <v>0</v>
      </c>
      <c r="AU281" s="442" t="s">
        <v>678</v>
      </c>
      <c r="AV281" s="442" t="s">
        <v>677</v>
      </c>
      <c r="AW281" s="442" t="s">
        <v>676</v>
      </c>
      <c r="AX281" s="442" t="s">
        <v>674</v>
      </c>
      <c r="AY281" s="442"/>
      <c r="AZ281" s="442"/>
      <c r="BA281" s="442" t="s">
        <v>679</v>
      </c>
      <c r="BB281" s="442"/>
      <c r="BC281" s="442"/>
      <c r="BD281" s="442"/>
      <c r="BE281" s="444"/>
      <c r="BF281" s="442" t="s">
        <v>298</v>
      </c>
      <c r="BG281" s="442" t="s">
        <v>680</v>
      </c>
      <c r="BH281" s="442" t="s">
        <v>681</v>
      </c>
      <c r="BI281" s="442"/>
    </row>
    <row r="282" spans="1:61">
      <c r="A282" s="442" t="s">
        <v>753</v>
      </c>
      <c r="B282" s="442" t="s">
        <v>753</v>
      </c>
      <c r="C282" s="442" t="s">
        <v>753</v>
      </c>
      <c r="D282" s="442" t="s">
        <v>716</v>
      </c>
      <c r="E282" s="442" t="s">
        <v>3</v>
      </c>
      <c r="F282" s="443" t="s">
        <v>71</v>
      </c>
      <c r="G282" s="443" t="s">
        <v>719</v>
      </c>
      <c r="H282" s="444">
        <v>643500</v>
      </c>
      <c r="I282" s="444">
        <v>643500</v>
      </c>
      <c r="J282" s="444">
        <v>0</v>
      </c>
      <c r="K282" s="444">
        <v>0</v>
      </c>
      <c r="L282" s="444">
        <v>585000</v>
      </c>
      <c r="M282" s="444">
        <v>0</v>
      </c>
      <c r="N282" s="444">
        <v>0</v>
      </c>
      <c r="O282" s="444">
        <v>58500</v>
      </c>
      <c r="P282" s="444">
        <v>0</v>
      </c>
      <c r="Q282" s="444">
        <v>0</v>
      </c>
      <c r="R282" s="444">
        <v>0</v>
      </c>
      <c r="S282" s="444">
        <v>0</v>
      </c>
      <c r="T282" s="444">
        <v>0</v>
      </c>
      <c r="U282" s="444">
        <v>0</v>
      </c>
      <c r="V282" s="444">
        <v>0</v>
      </c>
      <c r="W282" s="444">
        <v>0</v>
      </c>
      <c r="X282" s="442" t="s">
        <v>674</v>
      </c>
      <c r="Y282" s="442" t="s">
        <v>675</v>
      </c>
      <c r="Z282" s="442" t="s">
        <v>675</v>
      </c>
      <c r="AA282" s="442" t="s">
        <v>675</v>
      </c>
      <c r="AB282" s="442" t="s">
        <v>675</v>
      </c>
      <c r="AC282" s="442"/>
      <c r="AD282" s="442"/>
      <c r="AE282" s="442"/>
      <c r="AF282" s="442"/>
      <c r="AG282" s="443" t="s">
        <v>803</v>
      </c>
      <c r="AH282" s="442"/>
      <c r="AI282" s="443" t="s">
        <v>803</v>
      </c>
      <c r="AJ282" s="443" t="s">
        <v>804</v>
      </c>
      <c r="AK282" s="442" t="s">
        <v>677</v>
      </c>
      <c r="AL282" s="442"/>
      <c r="AM282" s="442"/>
      <c r="AN282" s="442"/>
      <c r="AO282" s="442"/>
      <c r="AP282" s="442"/>
      <c r="AQ282" s="442"/>
      <c r="AR282" s="444"/>
      <c r="AS282" s="442"/>
      <c r="AT282" s="444"/>
      <c r="AU282" s="442" t="s">
        <v>678</v>
      </c>
      <c r="AV282" s="442" t="s">
        <v>677</v>
      </c>
      <c r="AW282" s="442" t="s">
        <v>676</v>
      </c>
      <c r="AX282" s="442" t="s">
        <v>674</v>
      </c>
      <c r="AY282" s="442"/>
      <c r="AZ282" s="442"/>
      <c r="BA282" s="442" t="s">
        <v>679</v>
      </c>
      <c r="BB282" s="442"/>
      <c r="BC282" s="442"/>
      <c r="BD282" s="442"/>
      <c r="BE282" s="444"/>
      <c r="BF282" s="442" t="s">
        <v>298</v>
      </c>
      <c r="BG282" s="442" t="s">
        <v>680</v>
      </c>
      <c r="BH282" s="442" t="s">
        <v>681</v>
      </c>
      <c r="BI282" s="442"/>
    </row>
    <row r="283" spans="1:61">
      <c r="A283" s="442" t="s">
        <v>805</v>
      </c>
      <c r="B283" s="442" t="s">
        <v>805</v>
      </c>
      <c r="C283" s="442" t="s">
        <v>806</v>
      </c>
      <c r="D283" s="442" t="s">
        <v>673</v>
      </c>
      <c r="E283" s="442" t="s">
        <v>3</v>
      </c>
      <c r="F283" s="443" t="s">
        <v>308</v>
      </c>
      <c r="G283" s="443" t="s">
        <v>780</v>
      </c>
      <c r="H283" s="444">
        <v>30000</v>
      </c>
      <c r="I283" s="444">
        <v>30000</v>
      </c>
      <c r="J283" s="444">
        <v>0</v>
      </c>
      <c r="K283" s="444">
        <v>0</v>
      </c>
      <c r="L283" s="444">
        <v>30000</v>
      </c>
      <c r="M283" s="444">
        <v>0</v>
      </c>
      <c r="N283" s="444">
        <v>0</v>
      </c>
      <c r="O283" s="444">
        <v>0</v>
      </c>
      <c r="P283" s="444">
        <v>0</v>
      </c>
      <c r="Q283" s="444">
        <v>0</v>
      </c>
      <c r="R283" s="444">
        <v>0</v>
      </c>
      <c r="S283" s="444">
        <v>0</v>
      </c>
      <c r="T283" s="444">
        <v>0</v>
      </c>
      <c r="U283" s="444">
        <v>0</v>
      </c>
      <c r="V283" s="444">
        <v>0</v>
      </c>
      <c r="W283" s="444">
        <v>0</v>
      </c>
      <c r="X283" s="442" t="s">
        <v>674</v>
      </c>
      <c r="Y283" s="442" t="s">
        <v>675</v>
      </c>
      <c r="Z283" s="442" t="s">
        <v>675</v>
      </c>
      <c r="AA283" s="442" t="s">
        <v>675</v>
      </c>
      <c r="AB283" s="442" t="s">
        <v>675</v>
      </c>
      <c r="AC283" s="442"/>
      <c r="AD283" s="442" t="s">
        <v>807</v>
      </c>
      <c r="AE283" s="442"/>
      <c r="AF283" s="442"/>
      <c r="AG283" s="443" t="s">
        <v>808</v>
      </c>
      <c r="AH283" s="442"/>
      <c r="AI283" s="443" t="s">
        <v>808</v>
      </c>
      <c r="AJ283" s="443" t="s">
        <v>677</v>
      </c>
      <c r="AK283" s="442" t="s">
        <v>677</v>
      </c>
      <c r="AL283" s="442"/>
      <c r="AM283" s="442"/>
      <c r="AN283" s="442"/>
      <c r="AO283" s="442"/>
      <c r="AP283" s="442"/>
      <c r="AQ283" s="442"/>
      <c r="AR283" s="444"/>
      <c r="AS283" s="442"/>
      <c r="AT283" s="444"/>
      <c r="AU283" s="442" t="s">
        <v>678</v>
      </c>
      <c r="AV283" s="442" t="s">
        <v>677</v>
      </c>
      <c r="AW283" s="442" t="s">
        <v>676</v>
      </c>
      <c r="AX283" s="442" t="s">
        <v>674</v>
      </c>
      <c r="AY283" s="442"/>
      <c r="AZ283" s="442"/>
      <c r="BA283" s="442" t="s">
        <v>679</v>
      </c>
      <c r="BB283" s="442"/>
      <c r="BC283" s="442"/>
      <c r="BD283" s="442"/>
      <c r="BE283" s="444"/>
      <c r="BF283" s="442" t="s">
        <v>298</v>
      </c>
      <c r="BG283" s="442" t="s">
        <v>680</v>
      </c>
      <c r="BH283" s="442" t="s">
        <v>681</v>
      </c>
      <c r="BI283" s="442"/>
    </row>
    <row r="284" spans="1:61">
      <c r="A284" s="442" t="s">
        <v>805</v>
      </c>
      <c r="B284" s="442" t="s">
        <v>805</v>
      </c>
      <c r="C284" s="442" t="s">
        <v>806</v>
      </c>
      <c r="D284" s="442" t="s">
        <v>673</v>
      </c>
      <c r="E284" s="442" t="s">
        <v>3</v>
      </c>
      <c r="F284" s="443" t="s">
        <v>308</v>
      </c>
      <c r="G284" s="443" t="s">
        <v>780</v>
      </c>
      <c r="H284" s="444">
        <v>30000</v>
      </c>
      <c r="I284" s="444">
        <v>30000</v>
      </c>
      <c r="J284" s="444">
        <v>0</v>
      </c>
      <c r="K284" s="444">
        <v>0</v>
      </c>
      <c r="L284" s="444">
        <v>30000</v>
      </c>
      <c r="M284" s="444">
        <v>0</v>
      </c>
      <c r="N284" s="444">
        <v>0</v>
      </c>
      <c r="O284" s="444">
        <v>0</v>
      </c>
      <c r="P284" s="444">
        <v>0</v>
      </c>
      <c r="Q284" s="444">
        <v>0</v>
      </c>
      <c r="R284" s="444">
        <v>0</v>
      </c>
      <c r="S284" s="444">
        <v>0</v>
      </c>
      <c r="T284" s="444">
        <v>0</v>
      </c>
      <c r="U284" s="444">
        <v>0</v>
      </c>
      <c r="V284" s="444">
        <v>0</v>
      </c>
      <c r="W284" s="444">
        <v>0</v>
      </c>
      <c r="X284" s="442" t="s">
        <v>674</v>
      </c>
      <c r="Y284" s="442" t="s">
        <v>675</v>
      </c>
      <c r="Z284" s="442" t="s">
        <v>675</v>
      </c>
      <c r="AA284" s="442" t="s">
        <v>675</v>
      </c>
      <c r="AB284" s="442" t="s">
        <v>675</v>
      </c>
      <c r="AC284" s="442"/>
      <c r="AD284" s="442" t="s">
        <v>807</v>
      </c>
      <c r="AE284" s="442"/>
      <c r="AF284" s="442"/>
      <c r="AG284" s="443" t="s">
        <v>809</v>
      </c>
      <c r="AH284" s="442"/>
      <c r="AI284" s="443" t="s">
        <v>809</v>
      </c>
      <c r="AJ284" s="443" t="s">
        <v>677</v>
      </c>
      <c r="AK284" s="442" t="s">
        <v>677</v>
      </c>
      <c r="AL284" s="442"/>
      <c r="AM284" s="442"/>
      <c r="AN284" s="442"/>
      <c r="AO284" s="442"/>
      <c r="AP284" s="442"/>
      <c r="AQ284" s="442"/>
      <c r="AR284" s="444"/>
      <c r="AS284" s="442"/>
      <c r="AT284" s="444"/>
      <c r="AU284" s="442" t="s">
        <v>678</v>
      </c>
      <c r="AV284" s="442" t="s">
        <v>677</v>
      </c>
      <c r="AW284" s="442" t="s">
        <v>676</v>
      </c>
      <c r="AX284" s="442" t="s">
        <v>674</v>
      </c>
      <c r="AY284" s="442"/>
      <c r="AZ284" s="442"/>
      <c r="BA284" s="442" t="s">
        <v>679</v>
      </c>
      <c r="BB284" s="442"/>
      <c r="BC284" s="442"/>
      <c r="BD284" s="442"/>
      <c r="BE284" s="444"/>
      <c r="BF284" s="442" t="s">
        <v>298</v>
      </c>
      <c r="BG284" s="442" t="s">
        <v>680</v>
      </c>
      <c r="BH284" s="442" t="s">
        <v>681</v>
      </c>
      <c r="BI284" s="442"/>
    </row>
    <row r="285" spans="1:61">
      <c r="A285" s="442" t="s">
        <v>805</v>
      </c>
      <c r="B285" s="442" t="s">
        <v>805</v>
      </c>
      <c r="C285" s="442" t="s">
        <v>806</v>
      </c>
      <c r="D285" s="442" t="s">
        <v>673</v>
      </c>
      <c r="E285" s="442" t="s">
        <v>3</v>
      </c>
      <c r="F285" s="443" t="s">
        <v>308</v>
      </c>
      <c r="G285" s="443" t="s">
        <v>780</v>
      </c>
      <c r="H285" s="444">
        <v>30000</v>
      </c>
      <c r="I285" s="444">
        <v>30000</v>
      </c>
      <c r="J285" s="444">
        <v>0</v>
      </c>
      <c r="K285" s="444">
        <v>0</v>
      </c>
      <c r="L285" s="444">
        <v>30000</v>
      </c>
      <c r="M285" s="444">
        <v>0</v>
      </c>
      <c r="N285" s="444">
        <v>0</v>
      </c>
      <c r="O285" s="444">
        <v>0</v>
      </c>
      <c r="P285" s="444">
        <v>0</v>
      </c>
      <c r="Q285" s="444">
        <v>0</v>
      </c>
      <c r="R285" s="444">
        <v>0</v>
      </c>
      <c r="S285" s="444">
        <v>0</v>
      </c>
      <c r="T285" s="444">
        <v>0</v>
      </c>
      <c r="U285" s="444">
        <v>0</v>
      </c>
      <c r="V285" s="444">
        <v>0</v>
      </c>
      <c r="W285" s="444">
        <v>0</v>
      </c>
      <c r="X285" s="442" t="s">
        <v>674</v>
      </c>
      <c r="Y285" s="442" t="s">
        <v>675</v>
      </c>
      <c r="Z285" s="442" t="s">
        <v>675</v>
      </c>
      <c r="AA285" s="442" t="s">
        <v>675</v>
      </c>
      <c r="AB285" s="442" t="s">
        <v>675</v>
      </c>
      <c r="AC285" s="442"/>
      <c r="AD285" s="442" t="s">
        <v>807</v>
      </c>
      <c r="AE285" s="442"/>
      <c r="AF285" s="442"/>
      <c r="AG285" s="443" t="s">
        <v>810</v>
      </c>
      <c r="AH285" s="442"/>
      <c r="AI285" s="443" t="s">
        <v>810</v>
      </c>
      <c r="AJ285" s="443" t="s">
        <v>677</v>
      </c>
      <c r="AK285" s="442" t="s">
        <v>677</v>
      </c>
      <c r="AL285" s="442"/>
      <c r="AM285" s="442"/>
      <c r="AN285" s="442"/>
      <c r="AO285" s="442"/>
      <c r="AP285" s="442"/>
      <c r="AQ285" s="442"/>
      <c r="AR285" s="444"/>
      <c r="AS285" s="442"/>
      <c r="AT285" s="444"/>
      <c r="AU285" s="442" t="s">
        <v>678</v>
      </c>
      <c r="AV285" s="442" t="s">
        <v>677</v>
      </c>
      <c r="AW285" s="442" t="s">
        <v>676</v>
      </c>
      <c r="AX285" s="442" t="s">
        <v>674</v>
      </c>
      <c r="AY285" s="442"/>
      <c r="AZ285" s="442"/>
      <c r="BA285" s="442" t="s">
        <v>679</v>
      </c>
      <c r="BB285" s="442"/>
      <c r="BC285" s="442"/>
      <c r="BD285" s="442"/>
      <c r="BE285" s="444"/>
      <c r="BF285" s="442" t="s">
        <v>298</v>
      </c>
      <c r="BG285" s="442" t="s">
        <v>680</v>
      </c>
      <c r="BH285" s="442" t="s">
        <v>681</v>
      </c>
      <c r="BI285" s="442"/>
    </row>
    <row r="286" spans="1:61">
      <c r="A286" s="442" t="s">
        <v>1141</v>
      </c>
      <c r="B286" s="442" t="s">
        <v>1105</v>
      </c>
      <c r="C286" s="442" t="s">
        <v>1105</v>
      </c>
      <c r="D286" s="442" t="s">
        <v>724</v>
      </c>
      <c r="E286" s="442" t="s">
        <v>3</v>
      </c>
      <c r="F286" s="443" t="s">
        <v>83</v>
      </c>
      <c r="G286" s="443" t="s">
        <v>700</v>
      </c>
      <c r="H286" s="444">
        <v>350000</v>
      </c>
      <c r="I286" s="444">
        <v>350000</v>
      </c>
      <c r="J286" s="444">
        <v>0</v>
      </c>
      <c r="K286" s="444">
        <v>0</v>
      </c>
      <c r="L286" s="444">
        <v>318182</v>
      </c>
      <c r="M286" s="444">
        <v>0</v>
      </c>
      <c r="N286" s="444">
        <v>0</v>
      </c>
      <c r="O286" s="444">
        <v>31818</v>
      </c>
      <c r="P286" s="444">
        <v>0</v>
      </c>
      <c r="Q286" s="444">
        <v>0</v>
      </c>
      <c r="R286" s="444">
        <v>0</v>
      </c>
      <c r="S286" s="444">
        <v>0</v>
      </c>
      <c r="T286" s="444">
        <v>0</v>
      </c>
      <c r="U286" s="444">
        <v>0</v>
      </c>
      <c r="V286" s="444">
        <v>0</v>
      </c>
      <c r="W286" s="444">
        <v>0</v>
      </c>
      <c r="X286" s="442" t="s">
        <v>674</v>
      </c>
      <c r="Y286" s="442" t="s">
        <v>675</v>
      </c>
      <c r="Z286" s="442" t="s">
        <v>675</v>
      </c>
      <c r="AA286" s="442" t="s">
        <v>675</v>
      </c>
      <c r="AB286" s="442" t="s">
        <v>675</v>
      </c>
      <c r="AC286" s="442"/>
      <c r="AD286" s="442"/>
      <c r="AE286" s="442"/>
      <c r="AF286" s="442"/>
      <c r="AG286" s="443" t="s">
        <v>1106</v>
      </c>
      <c r="AH286" s="442"/>
      <c r="AI286" s="443" t="s">
        <v>1106</v>
      </c>
      <c r="AJ286" s="443" t="s">
        <v>1012</v>
      </c>
      <c r="AK286" s="442" t="s">
        <v>677</v>
      </c>
      <c r="AL286" s="442"/>
      <c r="AM286" s="442" t="s">
        <v>726</v>
      </c>
      <c r="AN286" s="442" t="s">
        <v>1142</v>
      </c>
      <c r="AO286" s="442" t="s">
        <v>1141</v>
      </c>
      <c r="AP286" s="442" t="s">
        <v>840</v>
      </c>
      <c r="AQ286" s="442" t="s">
        <v>729</v>
      </c>
      <c r="AR286" s="444">
        <v>350000</v>
      </c>
      <c r="AS286" s="442" t="s">
        <v>675</v>
      </c>
      <c r="AT286" s="444">
        <v>0</v>
      </c>
      <c r="AU286" s="442" t="s">
        <v>678</v>
      </c>
      <c r="AV286" s="442" t="s">
        <v>677</v>
      </c>
      <c r="AW286" s="442" t="s">
        <v>676</v>
      </c>
      <c r="AX286" s="442" t="s">
        <v>674</v>
      </c>
      <c r="AY286" s="442"/>
      <c r="AZ286" s="442"/>
      <c r="BA286" s="442" t="s">
        <v>679</v>
      </c>
      <c r="BB286" s="442"/>
      <c r="BC286" s="442"/>
      <c r="BD286" s="442"/>
      <c r="BE286" s="444"/>
      <c r="BF286" s="442" t="s">
        <v>298</v>
      </c>
      <c r="BG286" s="442" t="s">
        <v>680</v>
      </c>
      <c r="BH286" s="442" t="s">
        <v>681</v>
      </c>
      <c r="BI286" s="442"/>
    </row>
    <row r="287" spans="1:61">
      <c r="A287" s="442" t="s">
        <v>1141</v>
      </c>
      <c r="B287" s="442" t="s">
        <v>1105</v>
      </c>
      <c r="C287" s="442" t="s">
        <v>1105</v>
      </c>
      <c r="D287" s="442" t="s">
        <v>724</v>
      </c>
      <c r="E287" s="442" t="s">
        <v>3</v>
      </c>
      <c r="F287" s="443" t="s">
        <v>83</v>
      </c>
      <c r="G287" s="443" t="s">
        <v>700</v>
      </c>
      <c r="H287" s="444">
        <v>350000</v>
      </c>
      <c r="I287" s="444">
        <v>350000</v>
      </c>
      <c r="J287" s="444">
        <v>0</v>
      </c>
      <c r="K287" s="444">
        <v>0</v>
      </c>
      <c r="L287" s="444">
        <v>318182</v>
      </c>
      <c r="M287" s="444">
        <v>0</v>
      </c>
      <c r="N287" s="444">
        <v>0</v>
      </c>
      <c r="O287" s="444">
        <v>31818</v>
      </c>
      <c r="P287" s="444">
        <v>0</v>
      </c>
      <c r="Q287" s="444">
        <v>0</v>
      </c>
      <c r="R287" s="444">
        <v>0</v>
      </c>
      <c r="S287" s="444">
        <v>0</v>
      </c>
      <c r="T287" s="444">
        <v>0</v>
      </c>
      <c r="U287" s="444">
        <v>0</v>
      </c>
      <c r="V287" s="444">
        <v>0</v>
      </c>
      <c r="W287" s="444">
        <v>0</v>
      </c>
      <c r="X287" s="442" t="s">
        <v>674</v>
      </c>
      <c r="Y287" s="442" t="s">
        <v>675</v>
      </c>
      <c r="Z287" s="442" t="s">
        <v>675</v>
      </c>
      <c r="AA287" s="442" t="s">
        <v>675</v>
      </c>
      <c r="AB287" s="442" t="s">
        <v>675</v>
      </c>
      <c r="AC287" s="442"/>
      <c r="AD287" s="442"/>
      <c r="AE287" s="442"/>
      <c r="AF287" s="442"/>
      <c r="AG287" s="443" t="s">
        <v>1106</v>
      </c>
      <c r="AH287" s="442"/>
      <c r="AI287" s="443" t="s">
        <v>1106</v>
      </c>
      <c r="AJ287" s="443" t="s">
        <v>1012</v>
      </c>
      <c r="AK287" s="442" t="s">
        <v>677</v>
      </c>
      <c r="AL287" s="442"/>
      <c r="AM287" s="442" t="s">
        <v>726</v>
      </c>
      <c r="AN287" s="442" t="s">
        <v>1143</v>
      </c>
      <c r="AO287" s="442" t="s">
        <v>1141</v>
      </c>
      <c r="AP287" s="442" t="s">
        <v>840</v>
      </c>
      <c r="AQ287" s="442" t="s">
        <v>729</v>
      </c>
      <c r="AR287" s="444">
        <v>350000</v>
      </c>
      <c r="AS287" s="442" t="s">
        <v>675</v>
      </c>
      <c r="AT287" s="444">
        <v>0</v>
      </c>
      <c r="AU287" s="442" t="s">
        <v>678</v>
      </c>
      <c r="AV287" s="442" t="s">
        <v>677</v>
      </c>
      <c r="AW287" s="442" t="s">
        <v>676</v>
      </c>
      <c r="AX287" s="442" t="s">
        <v>674</v>
      </c>
      <c r="AY287" s="442"/>
      <c r="AZ287" s="442"/>
      <c r="BA287" s="442" t="s">
        <v>679</v>
      </c>
      <c r="BB287" s="442"/>
      <c r="BC287" s="442"/>
      <c r="BD287" s="442"/>
      <c r="BE287" s="444"/>
      <c r="BF287" s="442" t="s">
        <v>298</v>
      </c>
      <c r="BG287" s="442" t="s">
        <v>680</v>
      </c>
      <c r="BH287" s="442" t="s">
        <v>681</v>
      </c>
      <c r="BI287" s="442"/>
    </row>
    <row r="288" spans="1:61">
      <c r="A288" s="442" t="s">
        <v>821</v>
      </c>
      <c r="B288" s="442" t="s">
        <v>1105</v>
      </c>
      <c r="C288" s="442" t="s">
        <v>1105</v>
      </c>
      <c r="D288" s="442" t="s">
        <v>724</v>
      </c>
      <c r="E288" s="442" t="s">
        <v>3</v>
      </c>
      <c r="F288" s="443" t="s">
        <v>83</v>
      </c>
      <c r="G288" s="443" t="s">
        <v>700</v>
      </c>
      <c r="H288" s="444">
        <v>350000</v>
      </c>
      <c r="I288" s="444">
        <v>350000</v>
      </c>
      <c r="J288" s="444">
        <v>0</v>
      </c>
      <c r="K288" s="444">
        <v>0</v>
      </c>
      <c r="L288" s="444">
        <v>318182</v>
      </c>
      <c r="M288" s="444">
        <v>0</v>
      </c>
      <c r="N288" s="444">
        <v>0</v>
      </c>
      <c r="O288" s="444">
        <v>31818</v>
      </c>
      <c r="P288" s="444">
        <v>0</v>
      </c>
      <c r="Q288" s="444">
        <v>0</v>
      </c>
      <c r="R288" s="444">
        <v>0</v>
      </c>
      <c r="S288" s="444">
        <v>0</v>
      </c>
      <c r="T288" s="444">
        <v>0</v>
      </c>
      <c r="U288" s="444">
        <v>0</v>
      </c>
      <c r="V288" s="444">
        <v>0</v>
      </c>
      <c r="W288" s="444">
        <v>0</v>
      </c>
      <c r="X288" s="442" t="s">
        <v>674</v>
      </c>
      <c r="Y288" s="442" t="s">
        <v>675</v>
      </c>
      <c r="Z288" s="442" t="s">
        <v>675</v>
      </c>
      <c r="AA288" s="442" t="s">
        <v>675</v>
      </c>
      <c r="AB288" s="442" t="s">
        <v>675</v>
      </c>
      <c r="AC288" s="442"/>
      <c r="AD288" s="442"/>
      <c r="AE288" s="442"/>
      <c r="AF288" s="442"/>
      <c r="AG288" s="443" t="s">
        <v>1106</v>
      </c>
      <c r="AH288" s="442"/>
      <c r="AI288" s="443" t="s">
        <v>1106</v>
      </c>
      <c r="AJ288" s="443" t="s">
        <v>1012</v>
      </c>
      <c r="AK288" s="442" t="s">
        <v>677</v>
      </c>
      <c r="AL288" s="442"/>
      <c r="AM288" s="442" t="s">
        <v>726</v>
      </c>
      <c r="AN288" s="442" t="s">
        <v>1144</v>
      </c>
      <c r="AO288" s="442" t="s">
        <v>821</v>
      </c>
      <c r="AP288" s="442" t="s">
        <v>1141</v>
      </c>
      <c r="AQ288" s="442" t="s">
        <v>729</v>
      </c>
      <c r="AR288" s="444">
        <v>350000</v>
      </c>
      <c r="AS288" s="442" t="s">
        <v>675</v>
      </c>
      <c r="AT288" s="444">
        <v>0</v>
      </c>
      <c r="AU288" s="442" t="s">
        <v>678</v>
      </c>
      <c r="AV288" s="442" t="s">
        <v>677</v>
      </c>
      <c r="AW288" s="442" t="s">
        <v>676</v>
      </c>
      <c r="AX288" s="442" t="s">
        <v>674</v>
      </c>
      <c r="AY288" s="442"/>
      <c r="AZ288" s="442"/>
      <c r="BA288" s="442" t="s">
        <v>679</v>
      </c>
      <c r="BB288" s="442"/>
      <c r="BC288" s="442"/>
      <c r="BD288" s="442"/>
      <c r="BE288" s="444"/>
      <c r="BF288" s="442" t="s">
        <v>298</v>
      </c>
      <c r="BG288" s="442" t="s">
        <v>680</v>
      </c>
      <c r="BH288" s="442" t="s">
        <v>681</v>
      </c>
      <c r="BI288" s="442"/>
    </row>
    <row r="289" spans="1:61">
      <c r="A289" s="442" t="s">
        <v>821</v>
      </c>
      <c r="B289" s="442" t="s">
        <v>1105</v>
      </c>
      <c r="C289" s="442" t="s">
        <v>1105</v>
      </c>
      <c r="D289" s="442" t="s">
        <v>724</v>
      </c>
      <c r="E289" s="442" t="s">
        <v>3</v>
      </c>
      <c r="F289" s="443" t="s">
        <v>83</v>
      </c>
      <c r="G289" s="443" t="s">
        <v>700</v>
      </c>
      <c r="H289" s="444">
        <v>350000</v>
      </c>
      <c r="I289" s="444">
        <v>350000</v>
      </c>
      <c r="J289" s="444">
        <v>0</v>
      </c>
      <c r="K289" s="444">
        <v>0</v>
      </c>
      <c r="L289" s="444">
        <v>318182</v>
      </c>
      <c r="M289" s="444">
        <v>0</v>
      </c>
      <c r="N289" s="444">
        <v>0</v>
      </c>
      <c r="O289" s="444">
        <v>31818</v>
      </c>
      <c r="P289" s="444">
        <v>0</v>
      </c>
      <c r="Q289" s="444">
        <v>0</v>
      </c>
      <c r="R289" s="444">
        <v>0</v>
      </c>
      <c r="S289" s="444">
        <v>0</v>
      </c>
      <c r="T289" s="444">
        <v>0</v>
      </c>
      <c r="U289" s="444">
        <v>0</v>
      </c>
      <c r="V289" s="444">
        <v>0</v>
      </c>
      <c r="W289" s="444">
        <v>0</v>
      </c>
      <c r="X289" s="442" t="s">
        <v>674</v>
      </c>
      <c r="Y289" s="442" t="s">
        <v>675</v>
      </c>
      <c r="Z289" s="442" t="s">
        <v>675</v>
      </c>
      <c r="AA289" s="442" t="s">
        <v>675</v>
      </c>
      <c r="AB289" s="442" t="s">
        <v>675</v>
      </c>
      <c r="AC289" s="442"/>
      <c r="AD289" s="442"/>
      <c r="AE289" s="442"/>
      <c r="AF289" s="442"/>
      <c r="AG289" s="443" t="s">
        <v>1106</v>
      </c>
      <c r="AH289" s="442"/>
      <c r="AI289" s="443" t="s">
        <v>1106</v>
      </c>
      <c r="AJ289" s="443" t="s">
        <v>1012</v>
      </c>
      <c r="AK289" s="442" t="s">
        <v>677</v>
      </c>
      <c r="AL289" s="442"/>
      <c r="AM289" s="442" t="s">
        <v>726</v>
      </c>
      <c r="AN289" s="442" t="s">
        <v>1145</v>
      </c>
      <c r="AO289" s="442" t="s">
        <v>821</v>
      </c>
      <c r="AP289" s="442" t="s">
        <v>1141</v>
      </c>
      <c r="AQ289" s="442" t="s">
        <v>729</v>
      </c>
      <c r="AR289" s="444">
        <v>350000</v>
      </c>
      <c r="AS289" s="442" t="s">
        <v>675</v>
      </c>
      <c r="AT289" s="444">
        <v>0</v>
      </c>
      <c r="AU289" s="442" t="s">
        <v>678</v>
      </c>
      <c r="AV289" s="442" t="s">
        <v>677</v>
      </c>
      <c r="AW289" s="442" t="s">
        <v>676</v>
      </c>
      <c r="AX289" s="442" t="s">
        <v>674</v>
      </c>
      <c r="AY289" s="442"/>
      <c r="AZ289" s="442"/>
      <c r="BA289" s="442" t="s">
        <v>679</v>
      </c>
      <c r="BB289" s="442"/>
      <c r="BC289" s="442"/>
      <c r="BD289" s="442"/>
      <c r="BE289" s="444"/>
      <c r="BF289" s="442" t="s">
        <v>298</v>
      </c>
      <c r="BG289" s="442" t="s">
        <v>680</v>
      </c>
      <c r="BH289" s="442" t="s">
        <v>681</v>
      </c>
      <c r="BI289" s="442"/>
    </row>
    <row r="290" spans="1:61">
      <c r="A290" s="442" t="s">
        <v>821</v>
      </c>
      <c r="B290" s="442" t="s">
        <v>1105</v>
      </c>
      <c r="C290" s="442" t="s">
        <v>1105</v>
      </c>
      <c r="D290" s="442" t="s">
        <v>724</v>
      </c>
      <c r="E290" s="442" t="s">
        <v>3</v>
      </c>
      <c r="F290" s="443" t="s">
        <v>83</v>
      </c>
      <c r="G290" s="443" t="s">
        <v>700</v>
      </c>
      <c r="H290" s="444">
        <v>990000</v>
      </c>
      <c r="I290" s="444">
        <v>990000</v>
      </c>
      <c r="J290" s="444">
        <v>0</v>
      </c>
      <c r="K290" s="444">
        <v>0</v>
      </c>
      <c r="L290" s="444">
        <v>900000</v>
      </c>
      <c r="M290" s="444">
        <v>0</v>
      </c>
      <c r="N290" s="444">
        <v>0</v>
      </c>
      <c r="O290" s="444">
        <v>90000</v>
      </c>
      <c r="P290" s="444">
        <v>0</v>
      </c>
      <c r="Q290" s="444">
        <v>0</v>
      </c>
      <c r="R290" s="444">
        <v>0</v>
      </c>
      <c r="S290" s="444">
        <v>0</v>
      </c>
      <c r="T290" s="444">
        <v>0</v>
      </c>
      <c r="U290" s="444">
        <v>0</v>
      </c>
      <c r="V290" s="444">
        <v>0</v>
      </c>
      <c r="W290" s="444">
        <v>0</v>
      </c>
      <c r="X290" s="442" t="s">
        <v>674</v>
      </c>
      <c r="Y290" s="442" t="s">
        <v>675</v>
      </c>
      <c r="Z290" s="442" t="s">
        <v>675</v>
      </c>
      <c r="AA290" s="442" t="s">
        <v>675</v>
      </c>
      <c r="AB290" s="442" t="s">
        <v>675</v>
      </c>
      <c r="AC290" s="442"/>
      <c r="AD290" s="442"/>
      <c r="AE290" s="442"/>
      <c r="AF290" s="442"/>
      <c r="AG290" s="443" t="s">
        <v>1106</v>
      </c>
      <c r="AH290" s="442"/>
      <c r="AI290" s="443" t="s">
        <v>1106</v>
      </c>
      <c r="AJ290" s="443" t="s">
        <v>1012</v>
      </c>
      <c r="AK290" s="442" t="s">
        <v>677</v>
      </c>
      <c r="AL290" s="442"/>
      <c r="AM290" s="442" t="s">
        <v>726</v>
      </c>
      <c r="AN290" s="442" t="s">
        <v>1146</v>
      </c>
      <c r="AO290" s="442" t="s">
        <v>821</v>
      </c>
      <c r="AP290" s="442" t="s">
        <v>1141</v>
      </c>
      <c r="AQ290" s="442" t="s">
        <v>729</v>
      </c>
      <c r="AR290" s="444">
        <v>990000</v>
      </c>
      <c r="AS290" s="442" t="s">
        <v>675</v>
      </c>
      <c r="AT290" s="444">
        <v>0</v>
      </c>
      <c r="AU290" s="442" t="s">
        <v>678</v>
      </c>
      <c r="AV290" s="442" t="s">
        <v>677</v>
      </c>
      <c r="AW290" s="442" t="s">
        <v>676</v>
      </c>
      <c r="AX290" s="442" t="s">
        <v>674</v>
      </c>
      <c r="AY290" s="442"/>
      <c r="AZ290" s="442"/>
      <c r="BA290" s="442" t="s">
        <v>679</v>
      </c>
      <c r="BB290" s="442"/>
      <c r="BC290" s="442"/>
      <c r="BD290" s="442"/>
      <c r="BE290" s="444"/>
      <c r="BF290" s="442" t="s">
        <v>298</v>
      </c>
      <c r="BG290" s="442" t="s">
        <v>680</v>
      </c>
      <c r="BH290" s="442" t="s">
        <v>681</v>
      </c>
      <c r="BI290" s="442"/>
    </row>
    <row r="291" spans="1:61">
      <c r="A291" s="442" t="s">
        <v>821</v>
      </c>
      <c r="B291" s="442" t="s">
        <v>1105</v>
      </c>
      <c r="C291" s="442" t="s">
        <v>1105</v>
      </c>
      <c r="D291" s="442" t="s">
        <v>724</v>
      </c>
      <c r="E291" s="442" t="s">
        <v>3</v>
      </c>
      <c r="F291" s="443" t="s">
        <v>83</v>
      </c>
      <c r="G291" s="443" t="s">
        <v>700</v>
      </c>
      <c r="H291" s="444">
        <v>700000</v>
      </c>
      <c r="I291" s="444">
        <v>700000</v>
      </c>
      <c r="J291" s="444">
        <v>0</v>
      </c>
      <c r="K291" s="444">
        <v>0</v>
      </c>
      <c r="L291" s="444">
        <v>636364</v>
      </c>
      <c r="M291" s="444">
        <v>0</v>
      </c>
      <c r="N291" s="444">
        <v>0</v>
      </c>
      <c r="O291" s="444">
        <v>63636</v>
      </c>
      <c r="P291" s="444">
        <v>0</v>
      </c>
      <c r="Q291" s="444">
        <v>0</v>
      </c>
      <c r="R291" s="444">
        <v>0</v>
      </c>
      <c r="S291" s="444">
        <v>0</v>
      </c>
      <c r="T291" s="444">
        <v>0</v>
      </c>
      <c r="U291" s="444">
        <v>0</v>
      </c>
      <c r="V291" s="444">
        <v>0</v>
      </c>
      <c r="W291" s="444">
        <v>0</v>
      </c>
      <c r="X291" s="442" t="s">
        <v>674</v>
      </c>
      <c r="Y291" s="442" t="s">
        <v>675</v>
      </c>
      <c r="Z291" s="442" t="s">
        <v>675</v>
      </c>
      <c r="AA291" s="442" t="s">
        <v>675</v>
      </c>
      <c r="AB291" s="442" t="s">
        <v>675</v>
      </c>
      <c r="AC291" s="442"/>
      <c r="AD291" s="442"/>
      <c r="AE291" s="442"/>
      <c r="AF291" s="442"/>
      <c r="AG291" s="443" t="s">
        <v>1106</v>
      </c>
      <c r="AH291" s="442"/>
      <c r="AI291" s="443" t="s">
        <v>1106</v>
      </c>
      <c r="AJ291" s="443" t="s">
        <v>1012</v>
      </c>
      <c r="AK291" s="442" t="s">
        <v>677</v>
      </c>
      <c r="AL291" s="442"/>
      <c r="AM291" s="442" t="s">
        <v>726</v>
      </c>
      <c r="AN291" s="442" t="s">
        <v>1147</v>
      </c>
      <c r="AO291" s="442" t="s">
        <v>821</v>
      </c>
      <c r="AP291" s="442" t="s">
        <v>1141</v>
      </c>
      <c r="AQ291" s="442" t="s">
        <v>729</v>
      </c>
      <c r="AR291" s="444">
        <v>700000</v>
      </c>
      <c r="AS291" s="442" t="s">
        <v>675</v>
      </c>
      <c r="AT291" s="444">
        <v>0</v>
      </c>
      <c r="AU291" s="442" t="s">
        <v>678</v>
      </c>
      <c r="AV291" s="442" t="s">
        <v>677</v>
      </c>
      <c r="AW291" s="442" t="s">
        <v>676</v>
      </c>
      <c r="AX291" s="442" t="s">
        <v>674</v>
      </c>
      <c r="AY291" s="442"/>
      <c r="AZ291" s="442"/>
      <c r="BA291" s="442" t="s">
        <v>679</v>
      </c>
      <c r="BB291" s="442"/>
      <c r="BC291" s="442"/>
      <c r="BD291" s="442"/>
      <c r="BE291" s="444"/>
      <c r="BF291" s="442" t="s">
        <v>298</v>
      </c>
      <c r="BG291" s="442" t="s">
        <v>680</v>
      </c>
      <c r="BH291" s="442" t="s">
        <v>681</v>
      </c>
      <c r="BI291" s="442"/>
    </row>
    <row r="292" spans="1:61">
      <c r="A292" s="442" t="s">
        <v>821</v>
      </c>
      <c r="B292" s="442" t="s">
        <v>1105</v>
      </c>
      <c r="C292" s="442" t="s">
        <v>1105</v>
      </c>
      <c r="D292" s="442" t="s">
        <v>724</v>
      </c>
      <c r="E292" s="442" t="s">
        <v>3</v>
      </c>
      <c r="F292" s="443" t="s">
        <v>83</v>
      </c>
      <c r="G292" s="443" t="s">
        <v>700</v>
      </c>
      <c r="H292" s="444">
        <v>350000</v>
      </c>
      <c r="I292" s="444">
        <v>350000</v>
      </c>
      <c r="J292" s="444">
        <v>0</v>
      </c>
      <c r="K292" s="444">
        <v>0</v>
      </c>
      <c r="L292" s="444">
        <v>318182</v>
      </c>
      <c r="M292" s="444">
        <v>0</v>
      </c>
      <c r="N292" s="444">
        <v>0</v>
      </c>
      <c r="O292" s="444">
        <v>31818</v>
      </c>
      <c r="P292" s="444">
        <v>0</v>
      </c>
      <c r="Q292" s="444">
        <v>0</v>
      </c>
      <c r="R292" s="444">
        <v>0</v>
      </c>
      <c r="S292" s="444">
        <v>0</v>
      </c>
      <c r="T292" s="444">
        <v>0</v>
      </c>
      <c r="U292" s="444">
        <v>0</v>
      </c>
      <c r="V292" s="444">
        <v>0</v>
      </c>
      <c r="W292" s="444">
        <v>0</v>
      </c>
      <c r="X292" s="442" t="s">
        <v>674</v>
      </c>
      <c r="Y292" s="442" t="s">
        <v>675</v>
      </c>
      <c r="Z292" s="442" t="s">
        <v>675</v>
      </c>
      <c r="AA292" s="442" t="s">
        <v>675</v>
      </c>
      <c r="AB292" s="442" t="s">
        <v>675</v>
      </c>
      <c r="AC292" s="442"/>
      <c r="AD292" s="442"/>
      <c r="AE292" s="442"/>
      <c r="AF292" s="442"/>
      <c r="AG292" s="443" t="s">
        <v>1106</v>
      </c>
      <c r="AH292" s="442"/>
      <c r="AI292" s="443" t="s">
        <v>1106</v>
      </c>
      <c r="AJ292" s="443" t="s">
        <v>1012</v>
      </c>
      <c r="AK292" s="442" t="s">
        <v>677</v>
      </c>
      <c r="AL292" s="442"/>
      <c r="AM292" s="442" t="s">
        <v>726</v>
      </c>
      <c r="AN292" s="442" t="s">
        <v>1148</v>
      </c>
      <c r="AO292" s="442" t="s">
        <v>821</v>
      </c>
      <c r="AP292" s="442" t="s">
        <v>1141</v>
      </c>
      <c r="AQ292" s="442" t="s">
        <v>729</v>
      </c>
      <c r="AR292" s="444">
        <v>350000</v>
      </c>
      <c r="AS292" s="442" t="s">
        <v>675</v>
      </c>
      <c r="AT292" s="444">
        <v>0</v>
      </c>
      <c r="AU292" s="442" t="s">
        <v>678</v>
      </c>
      <c r="AV292" s="442" t="s">
        <v>677</v>
      </c>
      <c r="AW292" s="442" t="s">
        <v>676</v>
      </c>
      <c r="AX292" s="442" t="s">
        <v>674</v>
      </c>
      <c r="AY292" s="442"/>
      <c r="AZ292" s="442"/>
      <c r="BA292" s="442" t="s">
        <v>679</v>
      </c>
      <c r="BB292" s="442"/>
      <c r="BC292" s="442"/>
      <c r="BD292" s="442"/>
      <c r="BE292" s="444"/>
      <c r="BF292" s="442" t="s">
        <v>298</v>
      </c>
      <c r="BG292" s="442" t="s">
        <v>680</v>
      </c>
      <c r="BH292" s="442" t="s">
        <v>681</v>
      </c>
      <c r="BI292" s="442"/>
    </row>
    <row r="293" spans="1:61">
      <c r="A293" s="442" t="s">
        <v>821</v>
      </c>
      <c r="B293" s="442" t="s">
        <v>1105</v>
      </c>
      <c r="C293" s="442" t="s">
        <v>1105</v>
      </c>
      <c r="D293" s="442" t="s">
        <v>724</v>
      </c>
      <c r="E293" s="442" t="s">
        <v>3</v>
      </c>
      <c r="F293" s="443" t="s">
        <v>83</v>
      </c>
      <c r="G293" s="443" t="s">
        <v>700</v>
      </c>
      <c r="H293" s="444">
        <v>350000</v>
      </c>
      <c r="I293" s="444">
        <v>350000</v>
      </c>
      <c r="J293" s="444">
        <v>0</v>
      </c>
      <c r="K293" s="444">
        <v>0</v>
      </c>
      <c r="L293" s="444">
        <v>318182</v>
      </c>
      <c r="M293" s="444">
        <v>0</v>
      </c>
      <c r="N293" s="444">
        <v>0</v>
      </c>
      <c r="O293" s="444">
        <v>31818</v>
      </c>
      <c r="P293" s="444">
        <v>0</v>
      </c>
      <c r="Q293" s="444">
        <v>0</v>
      </c>
      <c r="R293" s="444">
        <v>0</v>
      </c>
      <c r="S293" s="444">
        <v>0</v>
      </c>
      <c r="T293" s="444">
        <v>0</v>
      </c>
      <c r="U293" s="444">
        <v>0</v>
      </c>
      <c r="V293" s="444">
        <v>0</v>
      </c>
      <c r="W293" s="444">
        <v>0</v>
      </c>
      <c r="X293" s="442" t="s">
        <v>674</v>
      </c>
      <c r="Y293" s="442" t="s">
        <v>675</v>
      </c>
      <c r="Z293" s="442" t="s">
        <v>675</v>
      </c>
      <c r="AA293" s="442" t="s">
        <v>675</v>
      </c>
      <c r="AB293" s="442" t="s">
        <v>675</v>
      </c>
      <c r="AC293" s="442"/>
      <c r="AD293" s="442"/>
      <c r="AE293" s="442"/>
      <c r="AF293" s="442"/>
      <c r="AG293" s="443" t="s">
        <v>1106</v>
      </c>
      <c r="AH293" s="442"/>
      <c r="AI293" s="443" t="s">
        <v>1106</v>
      </c>
      <c r="AJ293" s="443" t="s">
        <v>1012</v>
      </c>
      <c r="AK293" s="442" t="s">
        <v>677</v>
      </c>
      <c r="AL293" s="442"/>
      <c r="AM293" s="442" t="s">
        <v>726</v>
      </c>
      <c r="AN293" s="442" t="s">
        <v>1149</v>
      </c>
      <c r="AO293" s="442" t="s">
        <v>821</v>
      </c>
      <c r="AP293" s="442" t="s">
        <v>1141</v>
      </c>
      <c r="AQ293" s="442" t="s">
        <v>729</v>
      </c>
      <c r="AR293" s="444">
        <v>350000</v>
      </c>
      <c r="AS293" s="442" t="s">
        <v>675</v>
      </c>
      <c r="AT293" s="444">
        <v>0</v>
      </c>
      <c r="AU293" s="442" t="s">
        <v>678</v>
      </c>
      <c r="AV293" s="442" t="s">
        <v>677</v>
      </c>
      <c r="AW293" s="442" t="s">
        <v>676</v>
      </c>
      <c r="AX293" s="442" t="s">
        <v>674</v>
      </c>
      <c r="AY293" s="442"/>
      <c r="AZ293" s="442"/>
      <c r="BA293" s="442" t="s">
        <v>679</v>
      </c>
      <c r="BB293" s="442"/>
      <c r="BC293" s="442"/>
      <c r="BD293" s="442"/>
      <c r="BE293" s="444"/>
      <c r="BF293" s="442" t="s">
        <v>298</v>
      </c>
      <c r="BG293" s="442" t="s">
        <v>680</v>
      </c>
      <c r="BH293" s="442" t="s">
        <v>681</v>
      </c>
      <c r="BI293" s="442"/>
    </row>
    <row r="294" spans="1:61">
      <c r="A294" s="442" t="s">
        <v>821</v>
      </c>
      <c r="B294" s="442" t="s">
        <v>1105</v>
      </c>
      <c r="C294" s="442" t="s">
        <v>1105</v>
      </c>
      <c r="D294" s="442" t="s">
        <v>724</v>
      </c>
      <c r="E294" s="442" t="s">
        <v>3</v>
      </c>
      <c r="F294" s="443" t="s">
        <v>83</v>
      </c>
      <c r="G294" s="443" t="s">
        <v>700</v>
      </c>
      <c r="H294" s="444">
        <v>350000</v>
      </c>
      <c r="I294" s="444">
        <v>350000</v>
      </c>
      <c r="J294" s="444">
        <v>0</v>
      </c>
      <c r="K294" s="444">
        <v>0</v>
      </c>
      <c r="L294" s="444">
        <v>318182</v>
      </c>
      <c r="M294" s="444">
        <v>0</v>
      </c>
      <c r="N294" s="444">
        <v>0</v>
      </c>
      <c r="O294" s="444">
        <v>31818</v>
      </c>
      <c r="P294" s="444">
        <v>0</v>
      </c>
      <c r="Q294" s="444">
        <v>0</v>
      </c>
      <c r="R294" s="444">
        <v>0</v>
      </c>
      <c r="S294" s="444">
        <v>0</v>
      </c>
      <c r="T294" s="444">
        <v>0</v>
      </c>
      <c r="U294" s="444">
        <v>0</v>
      </c>
      <c r="V294" s="444">
        <v>0</v>
      </c>
      <c r="W294" s="444">
        <v>0</v>
      </c>
      <c r="X294" s="442" t="s">
        <v>674</v>
      </c>
      <c r="Y294" s="442" t="s">
        <v>675</v>
      </c>
      <c r="Z294" s="442" t="s">
        <v>675</v>
      </c>
      <c r="AA294" s="442" t="s">
        <v>675</v>
      </c>
      <c r="AB294" s="442" t="s">
        <v>675</v>
      </c>
      <c r="AC294" s="442"/>
      <c r="AD294" s="442"/>
      <c r="AE294" s="442"/>
      <c r="AF294" s="442"/>
      <c r="AG294" s="443" t="s">
        <v>1106</v>
      </c>
      <c r="AH294" s="442"/>
      <c r="AI294" s="443" t="s">
        <v>1106</v>
      </c>
      <c r="AJ294" s="443" t="s">
        <v>1012</v>
      </c>
      <c r="AK294" s="442" t="s">
        <v>677</v>
      </c>
      <c r="AL294" s="442"/>
      <c r="AM294" s="442" t="s">
        <v>726</v>
      </c>
      <c r="AN294" s="442" t="s">
        <v>1150</v>
      </c>
      <c r="AO294" s="442" t="s">
        <v>821</v>
      </c>
      <c r="AP294" s="442" t="s">
        <v>1141</v>
      </c>
      <c r="AQ294" s="442" t="s">
        <v>729</v>
      </c>
      <c r="AR294" s="444">
        <v>350000</v>
      </c>
      <c r="AS294" s="442" t="s">
        <v>675</v>
      </c>
      <c r="AT294" s="444">
        <v>0</v>
      </c>
      <c r="AU294" s="442" t="s">
        <v>678</v>
      </c>
      <c r="AV294" s="442" t="s">
        <v>677</v>
      </c>
      <c r="AW294" s="442" t="s">
        <v>676</v>
      </c>
      <c r="AX294" s="442" t="s">
        <v>674</v>
      </c>
      <c r="AY294" s="442"/>
      <c r="AZ294" s="442"/>
      <c r="BA294" s="442" t="s">
        <v>679</v>
      </c>
      <c r="BB294" s="442"/>
      <c r="BC294" s="442"/>
      <c r="BD294" s="442"/>
      <c r="BE294" s="444"/>
      <c r="BF294" s="442" t="s">
        <v>298</v>
      </c>
      <c r="BG294" s="442" t="s">
        <v>680</v>
      </c>
      <c r="BH294" s="442" t="s">
        <v>681</v>
      </c>
      <c r="BI294" s="442"/>
    </row>
    <row r="295" spans="1:61">
      <c r="A295" s="442" t="s">
        <v>821</v>
      </c>
      <c r="B295" s="442" t="s">
        <v>1105</v>
      </c>
      <c r="C295" s="442" t="s">
        <v>1105</v>
      </c>
      <c r="D295" s="442" t="s">
        <v>724</v>
      </c>
      <c r="E295" s="442" t="s">
        <v>3</v>
      </c>
      <c r="F295" s="443" t="s">
        <v>83</v>
      </c>
      <c r="G295" s="443" t="s">
        <v>700</v>
      </c>
      <c r="H295" s="444">
        <v>350000</v>
      </c>
      <c r="I295" s="444">
        <v>350000</v>
      </c>
      <c r="J295" s="444">
        <v>0</v>
      </c>
      <c r="K295" s="444">
        <v>0</v>
      </c>
      <c r="L295" s="444">
        <v>318182</v>
      </c>
      <c r="M295" s="444">
        <v>0</v>
      </c>
      <c r="N295" s="444">
        <v>0</v>
      </c>
      <c r="O295" s="444">
        <v>31818</v>
      </c>
      <c r="P295" s="444">
        <v>0</v>
      </c>
      <c r="Q295" s="444">
        <v>0</v>
      </c>
      <c r="R295" s="444">
        <v>0</v>
      </c>
      <c r="S295" s="444">
        <v>0</v>
      </c>
      <c r="T295" s="444">
        <v>0</v>
      </c>
      <c r="U295" s="444">
        <v>0</v>
      </c>
      <c r="V295" s="444">
        <v>0</v>
      </c>
      <c r="W295" s="444">
        <v>0</v>
      </c>
      <c r="X295" s="442" t="s">
        <v>674</v>
      </c>
      <c r="Y295" s="442" t="s">
        <v>675</v>
      </c>
      <c r="Z295" s="442" t="s">
        <v>675</v>
      </c>
      <c r="AA295" s="442" t="s">
        <v>675</v>
      </c>
      <c r="AB295" s="442" t="s">
        <v>675</v>
      </c>
      <c r="AC295" s="442"/>
      <c r="AD295" s="442"/>
      <c r="AE295" s="442"/>
      <c r="AF295" s="442"/>
      <c r="AG295" s="443" t="s">
        <v>1106</v>
      </c>
      <c r="AH295" s="442"/>
      <c r="AI295" s="443" t="s">
        <v>1106</v>
      </c>
      <c r="AJ295" s="443" t="s">
        <v>1012</v>
      </c>
      <c r="AK295" s="442" t="s">
        <v>677</v>
      </c>
      <c r="AL295" s="442"/>
      <c r="AM295" s="442" t="s">
        <v>726</v>
      </c>
      <c r="AN295" s="442" t="s">
        <v>1151</v>
      </c>
      <c r="AO295" s="442" t="s">
        <v>821</v>
      </c>
      <c r="AP295" s="442" t="s">
        <v>1141</v>
      </c>
      <c r="AQ295" s="442" t="s">
        <v>729</v>
      </c>
      <c r="AR295" s="444">
        <v>350000</v>
      </c>
      <c r="AS295" s="442" t="s">
        <v>675</v>
      </c>
      <c r="AT295" s="444">
        <v>0</v>
      </c>
      <c r="AU295" s="442" t="s">
        <v>678</v>
      </c>
      <c r="AV295" s="442" t="s">
        <v>677</v>
      </c>
      <c r="AW295" s="442" t="s">
        <v>676</v>
      </c>
      <c r="AX295" s="442" t="s">
        <v>674</v>
      </c>
      <c r="AY295" s="442"/>
      <c r="AZ295" s="442"/>
      <c r="BA295" s="442" t="s">
        <v>679</v>
      </c>
      <c r="BB295" s="442"/>
      <c r="BC295" s="442"/>
      <c r="BD295" s="442"/>
      <c r="BE295" s="444"/>
      <c r="BF295" s="442" t="s">
        <v>298</v>
      </c>
      <c r="BG295" s="442" t="s">
        <v>680</v>
      </c>
      <c r="BH295" s="442" t="s">
        <v>681</v>
      </c>
      <c r="BI295" s="442"/>
    </row>
    <row r="296" spans="1:61">
      <c r="A296" s="442" t="s">
        <v>821</v>
      </c>
      <c r="B296" s="442" t="s">
        <v>1105</v>
      </c>
      <c r="C296" s="442" t="s">
        <v>1105</v>
      </c>
      <c r="D296" s="442" t="s">
        <v>724</v>
      </c>
      <c r="E296" s="442" t="s">
        <v>3</v>
      </c>
      <c r="F296" s="443" t="s">
        <v>83</v>
      </c>
      <c r="G296" s="443" t="s">
        <v>700</v>
      </c>
      <c r="H296" s="444">
        <v>350000</v>
      </c>
      <c r="I296" s="444">
        <v>350000</v>
      </c>
      <c r="J296" s="444">
        <v>0</v>
      </c>
      <c r="K296" s="444">
        <v>0</v>
      </c>
      <c r="L296" s="444">
        <v>318182</v>
      </c>
      <c r="M296" s="444">
        <v>0</v>
      </c>
      <c r="N296" s="444">
        <v>0</v>
      </c>
      <c r="O296" s="444">
        <v>31818</v>
      </c>
      <c r="P296" s="444">
        <v>0</v>
      </c>
      <c r="Q296" s="444">
        <v>0</v>
      </c>
      <c r="R296" s="444">
        <v>0</v>
      </c>
      <c r="S296" s="444">
        <v>0</v>
      </c>
      <c r="T296" s="444">
        <v>0</v>
      </c>
      <c r="U296" s="444">
        <v>0</v>
      </c>
      <c r="V296" s="444">
        <v>0</v>
      </c>
      <c r="W296" s="444">
        <v>0</v>
      </c>
      <c r="X296" s="442" t="s">
        <v>674</v>
      </c>
      <c r="Y296" s="442" t="s">
        <v>675</v>
      </c>
      <c r="Z296" s="442" t="s">
        <v>675</v>
      </c>
      <c r="AA296" s="442" t="s">
        <v>675</v>
      </c>
      <c r="AB296" s="442" t="s">
        <v>675</v>
      </c>
      <c r="AC296" s="442"/>
      <c r="AD296" s="442"/>
      <c r="AE296" s="442"/>
      <c r="AF296" s="442"/>
      <c r="AG296" s="443" t="s">
        <v>1106</v>
      </c>
      <c r="AH296" s="442"/>
      <c r="AI296" s="443" t="s">
        <v>1106</v>
      </c>
      <c r="AJ296" s="443" t="s">
        <v>1012</v>
      </c>
      <c r="AK296" s="442" t="s">
        <v>677</v>
      </c>
      <c r="AL296" s="442"/>
      <c r="AM296" s="442" t="s">
        <v>726</v>
      </c>
      <c r="AN296" s="442" t="s">
        <v>1152</v>
      </c>
      <c r="AO296" s="442" t="s">
        <v>821</v>
      </c>
      <c r="AP296" s="442" t="s">
        <v>1141</v>
      </c>
      <c r="AQ296" s="442" t="s">
        <v>729</v>
      </c>
      <c r="AR296" s="444">
        <v>350000</v>
      </c>
      <c r="AS296" s="442" t="s">
        <v>675</v>
      </c>
      <c r="AT296" s="444">
        <v>0</v>
      </c>
      <c r="AU296" s="442" t="s">
        <v>678</v>
      </c>
      <c r="AV296" s="442" t="s">
        <v>677</v>
      </c>
      <c r="AW296" s="442" t="s">
        <v>676</v>
      </c>
      <c r="AX296" s="442" t="s">
        <v>674</v>
      </c>
      <c r="AY296" s="442"/>
      <c r="AZ296" s="442"/>
      <c r="BA296" s="442" t="s">
        <v>679</v>
      </c>
      <c r="BB296" s="442"/>
      <c r="BC296" s="442"/>
      <c r="BD296" s="442"/>
      <c r="BE296" s="444"/>
      <c r="BF296" s="442" t="s">
        <v>298</v>
      </c>
      <c r="BG296" s="442" t="s">
        <v>680</v>
      </c>
      <c r="BH296" s="442" t="s">
        <v>681</v>
      </c>
      <c r="BI296" s="442"/>
    </row>
    <row r="297" spans="1:61">
      <c r="A297" s="442" t="s">
        <v>821</v>
      </c>
      <c r="B297" s="442" t="s">
        <v>1105</v>
      </c>
      <c r="C297" s="442" t="s">
        <v>1105</v>
      </c>
      <c r="D297" s="442" t="s">
        <v>724</v>
      </c>
      <c r="E297" s="442" t="s">
        <v>3</v>
      </c>
      <c r="F297" s="443" t="s">
        <v>83</v>
      </c>
      <c r="G297" s="443" t="s">
        <v>700</v>
      </c>
      <c r="H297" s="444">
        <v>350000</v>
      </c>
      <c r="I297" s="444">
        <v>350000</v>
      </c>
      <c r="J297" s="444">
        <v>0</v>
      </c>
      <c r="K297" s="444">
        <v>0</v>
      </c>
      <c r="L297" s="444">
        <v>318182</v>
      </c>
      <c r="M297" s="444">
        <v>0</v>
      </c>
      <c r="N297" s="444">
        <v>0</v>
      </c>
      <c r="O297" s="444">
        <v>31818</v>
      </c>
      <c r="P297" s="444">
        <v>0</v>
      </c>
      <c r="Q297" s="444">
        <v>0</v>
      </c>
      <c r="R297" s="444">
        <v>0</v>
      </c>
      <c r="S297" s="444">
        <v>0</v>
      </c>
      <c r="T297" s="444">
        <v>0</v>
      </c>
      <c r="U297" s="444">
        <v>0</v>
      </c>
      <c r="V297" s="444">
        <v>0</v>
      </c>
      <c r="W297" s="444">
        <v>0</v>
      </c>
      <c r="X297" s="442" t="s">
        <v>674</v>
      </c>
      <c r="Y297" s="442" t="s">
        <v>675</v>
      </c>
      <c r="Z297" s="442" t="s">
        <v>675</v>
      </c>
      <c r="AA297" s="442" t="s">
        <v>675</v>
      </c>
      <c r="AB297" s="442" t="s">
        <v>675</v>
      </c>
      <c r="AC297" s="442"/>
      <c r="AD297" s="442"/>
      <c r="AE297" s="442"/>
      <c r="AF297" s="442"/>
      <c r="AG297" s="443" t="s">
        <v>1106</v>
      </c>
      <c r="AH297" s="442"/>
      <c r="AI297" s="443" t="s">
        <v>1106</v>
      </c>
      <c r="AJ297" s="443" t="s">
        <v>1012</v>
      </c>
      <c r="AK297" s="442" t="s">
        <v>677</v>
      </c>
      <c r="AL297" s="442"/>
      <c r="AM297" s="442" t="s">
        <v>726</v>
      </c>
      <c r="AN297" s="442" t="s">
        <v>1153</v>
      </c>
      <c r="AO297" s="442" t="s">
        <v>821</v>
      </c>
      <c r="AP297" s="442" t="s">
        <v>1141</v>
      </c>
      <c r="AQ297" s="442" t="s">
        <v>729</v>
      </c>
      <c r="AR297" s="444">
        <v>350000</v>
      </c>
      <c r="AS297" s="442" t="s">
        <v>675</v>
      </c>
      <c r="AT297" s="444">
        <v>0</v>
      </c>
      <c r="AU297" s="442" t="s">
        <v>678</v>
      </c>
      <c r="AV297" s="442" t="s">
        <v>677</v>
      </c>
      <c r="AW297" s="442" t="s">
        <v>676</v>
      </c>
      <c r="AX297" s="442" t="s">
        <v>674</v>
      </c>
      <c r="AY297" s="442"/>
      <c r="AZ297" s="442"/>
      <c r="BA297" s="442" t="s">
        <v>679</v>
      </c>
      <c r="BB297" s="442"/>
      <c r="BC297" s="442"/>
      <c r="BD297" s="442"/>
      <c r="BE297" s="444"/>
      <c r="BF297" s="442" t="s">
        <v>298</v>
      </c>
      <c r="BG297" s="442" t="s">
        <v>680</v>
      </c>
      <c r="BH297" s="442" t="s">
        <v>681</v>
      </c>
      <c r="BI297" s="442"/>
    </row>
    <row r="298" spans="1:61">
      <c r="A298" s="442" t="s">
        <v>821</v>
      </c>
      <c r="B298" s="442" t="s">
        <v>1105</v>
      </c>
      <c r="C298" s="442" t="s">
        <v>1105</v>
      </c>
      <c r="D298" s="442" t="s">
        <v>724</v>
      </c>
      <c r="E298" s="442" t="s">
        <v>3</v>
      </c>
      <c r="F298" s="443" t="s">
        <v>83</v>
      </c>
      <c r="G298" s="443" t="s">
        <v>700</v>
      </c>
      <c r="H298" s="444">
        <v>350000</v>
      </c>
      <c r="I298" s="444">
        <v>350000</v>
      </c>
      <c r="J298" s="444">
        <v>0</v>
      </c>
      <c r="K298" s="444">
        <v>0</v>
      </c>
      <c r="L298" s="444">
        <v>318182</v>
      </c>
      <c r="M298" s="444">
        <v>0</v>
      </c>
      <c r="N298" s="444">
        <v>0</v>
      </c>
      <c r="O298" s="444">
        <v>31818</v>
      </c>
      <c r="P298" s="444">
        <v>0</v>
      </c>
      <c r="Q298" s="444">
        <v>0</v>
      </c>
      <c r="R298" s="444">
        <v>0</v>
      </c>
      <c r="S298" s="444">
        <v>0</v>
      </c>
      <c r="T298" s="444">
        <v>0</v>
      </c>
      <c r="U298" s="444">
        <v>0</v>
      </c>
      <c r="V298" s="444">
        <v>0</v>
      </c>
      <c r="W298" s="444">
        <v>0</v>
      </c>
      <c r="X298" s="442" t="s">
        <v>674</v>
      </c>
      <c r="Y298" s="442" t="s">
        <v>675</v>
      </c>
      <c r="Z298" s="442" t="s">
        <v>675</v>
      </c>
      <c r="AA298" s="442" t="s">
        <v>675</v>
      </c>
      <c r="AB298" s="442" t="s">
        <v>675</v>
      </c>
      <c r="AC298" s="442"/>
      <c r="AD298" s="442"/>
      <c r="AE298" s="442"/>
      <c r="AF298" s="442"/>
      <c r="AG298" s="443" t="s">
        <v>1106</v>
      </c>
      <c r="AH298" s="442"/>
      <c r="AI298" s="443" t="s">
        <v>1106</v>
      </c>
      <c r="AJ298" s="443" t="s">
        <v>1012</v>
      </c>
      <c r="AK298" s="442" t="s">
        <v>677</v>
      </c>
      <c r="AL298" s="442"/>
      <c r="AM298" s="442" t="s">
        <v>726</v>
      </c>
      <c r="AN298" s="442" t="s">
        <v>1154</v>
      </c>
      <c r="AO298" s="442" t="s">
        <v>821</v>
      </c>
      <c r="AP298" s="442" t="s">
        <v>1141</v>
      </c>
      <c r="AQ298" s="442" t="s">
        <v>729</v>
      </c>
      <c r="AR298" s="444">
        <v>350000</v>
      </c>
      <c r="AS298" s="442" t="s">
        <v>675</v>
      </c>
      <c r="AT298" s="444">
        <v>0</v>
      </c>
      <c r="AU298" s="442" t="s">
        <v>678</v>
      </c>
      <c r="AV298" s="442" t="s">
        <v>677</v>
      </c>
      <c r="AW298" s="442" t="s">
        <v>676</v>
      </c>
      <c r="AX298" s="442" t="s">
        <v>674</v>
      </c>
      <c r="AY298" s="442"/>
      <c r="AZ298" s="442"/>
      <c r="BA298" s="442" t="s">
        <v>679</v>
      </c>
      <c r="BB298" s="442"/>
      <c r="BC298" s="442"/>
      <c r="BD298" s="442"/>
      <c r="BE298" s="444"/>
      <c r="BF298" s="442" t="s">
        <v>298</v>
      </c>
      <c r="BG298" s="442" t="s">
        <v>680</v>
      </c>
      <c r="BH298" s="442" t="s">
        <v>681</v>
      </c>
      <c r="BI298" s="442"/>
    </row>
    <row r="299" spans="1:61">
      <c r="A299" s="442" t="s">
        <v>821</v>
      </c>
      <c r="B299" s="442" t="s">
        <v>1105</v>
      </c>
      <c r="C299" s="442" t="s">
        <v>1105</v>
      </c>
      <c r="D299" s="442" t="s">
        <v>724</v>
      </c>
      <c r="E299" s="442" t="s">
        <v>3</v>
      </c>
      <c r="F299" s="443" t="s">
        <v>83</v>
      </c>
      <c r="G299" s="443" t="s">
        <v>700</v>
      </c>
      <c r="H299" s="444">
        <v>350000</v>
      </c>
      <c r="I299" s="444">
        <v>350000</v>
      </c>
      <c r="J299" s="444">
        <v>0</v>
      </c>
      <c r="K299" s="444">
        <v>0</v>
      </c>
      <c r="L299" s="444">
        <v>318182</v>
      </c>
      <c r="M299" s="444">
        <v>0</v>
      </c>
      <c r="N299" s="444">
        <v>0</v>
      </c>
      <c r="O299" s="444">
        <v>31818</v>
      </c>
      <c r="P299" s="444">
        <v>0</v>
      </c>
      <c r="Q299" s="444">
        <v>0</v>
      </c>
      <c r="R299" s="444">
        <v>0</v>
      </c>
      <c r="S299" s="444">
        <v>0</v>
      </c>
      <c r="T299" s="444">
        <v>0</v>
      </c>
      <c r="U299" s="444">
        <v>0</v>
      </c>
      <c r="V299" s="444">
        <v>0</v>
      </c>
      <c r="W299" s="444">
        <v>0</v>
      </c>
      <c r="X299" s="442" t="s">
        <v>674</v>
      </c>
      <c r="Y299" s="442" t="s">
        <v>675</v>
      </c>
      <c r="Z299" s="442" t="s">
        <v>675</v>
      </c>
      <c r="AA299" s="442" t="s">
        <v>675</v>
      </c>
      <c r="AB299" s="442" t="s">
        <v>675</v>
      </c>
      <c r="AC299" s="442"/>
      <c r="AD299" s="442"/>
      <c r="AE299" s="442"/>
      <c r="AF299" s="442"/>
      <c r="AG299" s="443" t="s">
        <v>1106</v>
      </c>
      <c r="AH299" s="442"/>
      <c r="AI299" s="443" t="s">
        <v>1106</v>
      </c>
      <c r="AJ299" s="443" t="s">
        <v>1012</v>
      </c>
      <c r="AK299" s="442" t="s">
        <v>677</v>
      </c>
      <c r="AL299" s="442"/>
      <c r="AM299" s="442" t="s">
        <v>726</v>
      </c>
      <c r="AN299" s="442" t="s">
        <v>1155</v>
      </c>
      <c r="AO299" s="442" t="s">
        <v>821</v>
      </c>
      <c r="AP299" s="442" t="s">
        <v>1141</v>
      </c>
      <c r="AQ299" s="442" t="s">
        <v>729</v>
      </c>
      <c r="AR299" s="444">
        <v>350000</v>
      </c>
      <c r="AS299" s="442" t="s">
        <v>675</v>
      </c>
      <c r="AT299" s="444">
        <v>0</v>
      </c>
      <c r="AU299" s="442" t="s">
        <v>678</v>
      </c>
      <c r="AV299" s="442" t="s">
        <v>677</v>
      </c>
      <c r="AW299" s="442" t="s">
        <v>676</v>
      </c>
      <c r="AX299" s="442" t="s">
        <v>674</v>
      </c>
      <c r="AY299" s="442"/>
      <c r="AZ299" s="442"/>
      <c r="BA299" s="442" t="s">
        <v>679</v>
      </c>
      <c r="BB299" s="442"/>
      <c r="BC299" s="442"/>
      <c r="BD299" s="442"/>
      <c r="BE299" s="444"/>
      <c r="BF299" s="442" t="s">
        <v>298</v>
      </c>
      <c r="BG299" s="442" t="s">
        <v>680</v>
      </c>
      <c r="BH299" s="442" t="s">
        <v>681</v>
      </c>
      <c r="BI299" s="442"/>
    </row>
    <row r="300" spans="1:61">
      <c r="A300" s="442" t="s">
        <v>821</v>
      </c>
      <c r="B300" s="442" t="s">
        <v>1105</v>
      </c>
      <c r="C300" s="442" t="s">
        <v>1105</v>
      </c>
      <c r="D300" s="442" t="s">
        <v>724</v>
      </c>
      <c r="E300" s="442" t="s">
        <v>3</v>
      </c>
      <c r="F300" s="443" t="s">
        <v>83</v>
      </c>
      <c r="G300" s="443" t="s">
        <v>700</v>
      </c>
      <c r="H300" s="444">
        <v>350000</v>
      </c>
      <c r="I300" s="444">
        <v>350000</v>
      </c>
      <c r="J300" s="444">
        <v>0</v>
      </c>
      <c r="K300" s="444">
        <v>0</v>
      </c>
      <c r="L300" s="444">
        <v>318182</v>
      </c>
      <c r="M300" s="444">
        <v>0</v>
      </c>
      <c r="N300" s="444">
        <v>0</v>
      </c>
      <c r="O300" s="444">
        <v>31818</v>
      </c>
      <c r="P300" s="444">
        <v>0</v>
      </c>
      <c r="Q300" s="444">
        <v>0</v>
      </c>
      <c r="R300" s="444">
        <v>0</v>
      </c>
      <c r="S300" s="444">
        <v>0</v>
      </c>
      <c r="T300" s="444">
        <v>0</v>
      </c>
      <c r="U300" s="444">
        <v>0</v>
      </c>
      <c r="V300" s="444">
        <v>0</v>
      </c>
      <c r="W300" s="444">
        <v>0</v>
      </c>
      <c r="X300" s="442" t="s">
        <v>674</v>
      </c>
      <c r="Y300" s="442" t="s">
        <v>675</v>
      </c>
      <c r="Z300" s="442" t="s">
        <v>675</v>
      </c>
      <c r="AA300" s="442" t="s">
        <v>675</v>
      </c>
      <c r="AB300" s="442" t="s">
        <v>675</v>
      </c>
      <c r="AC300" s="442"/>
      <c r="AD300" s="442"/>
      <c r="AE300" s="442"/>
      <c r="AF300" s="442"/>
      <c r="AG300" s="443" t="s">
        <v>1106</v>
      </c>
      <c r="AH300" s="442"/>
      <c r="AI300" s="443" t="s">
        <v>1106</v>
      </c>
      <c r="AJ300" s="443" t="s">
        <v>1012</v>
      </c>
      <c r="AK300" s="442" t="s">
        <v>677</v>
      </c>
      <c r="AL300" s="442"/>
      <c r="AM300" s="442" t="s">
        <v>726</v>
      </c>
      <c r="AN300" s="442" t="s">
        <v>1156</v>
      </c>
      <c r="AO300" s="442" t="s">
        <v>821</v>
      </c>
      <c r="AP300" s="442" t="s">
        <v>1141</v>
      </c>
      <c r="AQ300" s="442" t="s">
        <v>729</v>
      </c>
      <c r="AR300" s="444">
        <v>350000</v>
      </c>
      <c r="AS300" s="442" t="s">
        <v>675</v>
      </c>
      <c r="AT300" s="444">
        <v>0</v>
      </c>
      <c r="AU300" s="442" t="s">
        <v>678</v>
      </c>
      <c r="AV300" s="442" t="s">
        <v>677</v>
      </c>
      <c r="AW300" s="442" t="s">
        <v>676</v>
      </c>
      <c r="AX300" s="442" t="s">
        <v>674</v>
      </c>
      <c r="AY300" s="442"/>
      <c r="AZ300" s="442"/>
      <c r="BA300" s="442" t="s">
        <v>679</v>
      </c>
      <c r="BB300" s="442"/>
      <c r="BC300" s="442"/>
      <c r="BD300" s="442"/>
      <c r="BE300" s="444"/>
      <c r="BF300" s="442" t="s">
        <v>298</v>
      </c>
      <c r="BG300" s="442" t="s">
        <v>680</v>
      </c>
      <c r="BH300" s="442" t="s">
        <v>681</v>
      </c>
      <c r="BI300" s="442"/>
    </row>
    <row r="301" spans="1:61">
      <c r="A301" s="442" t="s">
        <v>821</v>
      </c>
      <c r="B301" s="442" t="s">
        <v>1105</v>
      </c>
      <c r="C301" s="442" t="s">
        <v>1105</v>
      </c>
      <c r="D301" s="442" t="s">
        <v>724</v>
      </c>
      <c r="E301" s="442" t="s">
        <v>3</v>
      </c>
      <c r="F301" s="443" t="s">
        <v>83</v>
      </c>
      <c r="G301" s="443" t="s">
        <v>700</v>
      </c>
      <c r="H301" s="444">
        <v>350000</v>
      </c>
      <c r="I301" s="444">
        <v>350000</v>
      </c>
      <c r="J301" s="444">
        <v>0</v>
      </c>
      <c r="K301" s="444">
        <v>0</v>
      </c>
      <c r="L301" s="444">
        <v>318182</v>
      </c>
      <c r="M301" s="444">
        <v>0</v>
      </c>
      <c r="N301" s="444">
        <v>0</v>
      </c>
      <c r="O301" s="444">
        <v>31818</v>
      </c>
      <c r="P301" s="444">
        <v>0</v>
      </c>
      <c r="Q301" s="444">
        <v>0</v>
      </c>
      <c r="R301" s="444">
        <v>0</v>
      </c>
      <c r="S301" s="444">
        <v>0</v>
      </c>
      <c r="T301" s="444">
        <v>0</v>
      </c>
      <c r="U301" s="444">
        <v>0</v>
      </c>
      <c r="V301" s="444">
        <v>0</v>
      </c>
      <c r="W301" s="444">
        <v>0</v>
      </c>
      <c r="X301" s="442" t="s">
        <v>674</v>
      </c>
      <c r="Y301" s="442" t="s">
        <v>675</v>
      </c>
      <c r="Z301" s="442" t="s">
        <v>675</v>
      </c>
      <c r="AA301" s="442" t="s">
        <v>675</v>
      </c>
      <c r="AB301" s="442" t="s">
        <v>675</v>
      </c>
      <c r="AC301" s="442"/>
      <c r="AD301" s="442"/>
      <c r="AE301" s="442"/>
      <c r="AF301" s="442"/>
      <c r="AG301" s="443" t="s">
        <v>1106</v>
      </c>
      <c r="AH301" s="442"/>
      <c r="AI301" s="443" t="s">
        <v>1106</v>
      </c>
      <c r="AJ301" s="443" t="s">
        <v>1012</v>
      </c>
      <c r="AK301" s="442" t="s">
        <v>677</v>
      </c>
      <c r="AL301" s="442"/>
      <c r="AM301" s="442" t="s">
        <v>726</v>
      </c>
      <c r="AN301" s="442" t="s">
        <v>1157</v>
      </c>
      <c r="AO301" s="442" t="s">
        <v>821</v>
      </c>
      <c r="AP301" s="442" t="s">
        <v>1141</v>
      </c>
      <c r="AQ301" s="442" t="s">
        <v>729</v>
      </c>
      <c r="AR301" s="444">
        <v>350000</v>
      </c>
      <c r="AS301" s="442" t="s">
        <v>675</v>
      </c>
      <c r="AT301" s="444">
        <v>0</v>
      </c>
      <c r="AU301" s="442" t="s">
        <v>678</v>
      </c>
      <c r="AV301" s="442" t="s">
        <v>677</v>
      </c>
      <c r="AW301" s="442" t="s">
        <v>676</v>
      </c>
      <c r="AX301" s="442" t="s">
        <v>674</v>
      </c>
      <c r="AY301" s="442"/>
      <c r="AZ301" s="442"/>
      <c r="BA301" s="442" t="s">
        <v>679</v>
      </c>
      <c r="BB301" s="442"/>
      <c r="BC301" s="442"/>
      <c r="BD301" s="442"/>
      <c r="BE301" s="444"/>
      <c r="BF301" s="442" t="s">
        <v>298</v>
      </c>
      <c r="BG301" s="442" t="s">
        <v>680</v>
      </c>
      <c r="BH301" s="442" t="s">
        <v>681</v>
      </c>
      <c r="BI301" s="442"/>
    </row>
    <row r="302" spans="1:61">
      <c r="A302" s="442" t="s">
        <v>821</v>
      </c>
      <c r="B302" s="442" t="s">
        <v>1105</v>
      </c>
      <c r="C302" s="442" t="s">
        <v>1105</v>
      </c>
      <c r="D302" s="442" t="s">
        <v>724</v>
      </c>
      <c r="E302" s="442" t="s">
        <v>3</v>
      </c>
      <c r="F302" s="443" t="s">
        <v>83</v>
      </c>
      <c r="G302" s="443" t="s">
        <v>700</v>
      </c>
      <c r="H302" s="444">
        <v>350000</v>
      </c>
      <c r="I302" s="444">
        <v>350000</v>
      </c>
      <c r="J302" s="444">
        <v>0</v>
      </c>
      <c r="K302" s="444">
        <v>0</v>
      </c>
      <c r="L302" s="444">
        <v>318182</v>
      </c>
      <c r="M302" s="444">
        <v>0</v>
      </c>
      <c r="N302" s="444">
        <v>0</v>
      </c>
      <c r="O302" s="444">
        <v>31818</v>
      </c>
      <c r="P302" s="444">
        <v>0</v>
      </c>
      <c r="Q302" s="444">
        <v>0</v>
      </c>
      <c r="R302" s="444">
        <v>0</v>
      </c>
      <c r="S302" s="444">
        <v>0</v>
      </c>
      <c r="T302" s="444">
        <v>0</v>
      </c>
      <c r="U302" s="444">
        <v>0</v>
      </c>
      <c r="V302" s="444">
        <v>0</v>
      </c>
      <c r="W302" s="444">
        <v>0</v>
      </c>
      <c r="X302" s="442" t="s">
        <v>674</v>
      </c>
      <c r="Y302" s="442" t="s">
        <v>675</v>
      </c>
      <c r="Z302" s="442" t="s">
        <v>675</v>
      </c>
      <c r="AA302" s="442" t="s">
        <v>675</v>
      </c>
      <c r="AB302" s="442" t="s">
        <v>675</v>
      </c>
      <c r="AC302" s="442"/>
      <c r="AD302" s="442"/>
      <c r="AE302" s="442"/>
      <c r="AF302" s="442"/>
      <c r="AG302" s="443" t="s">
        <v>1106</v>
      </c>
      <c r="AH302" s="442"/>
      <c r="AI302" s="443" t="s">
        <v>1106</v>
      </c>
      <c r="AJ302" s="443" t="s">
        <v>1012</v>
      </c>
      <c r="AK302" s="442" t="s">
        <v>677</v>
      </c>
      <c r="AL302" s="442"/>
      <c r="AM302" s="442" t="s">
        <v>726</v>
      </c>
      <c r="AN302" s="442" t="s">
        <v>1158</v>
      </c>
      <c r="AO302" s="442" t="s">
        <v>821</v>
      </c>
      <c r="AP302" s="442" t="s">
        <v>1141</v>
      </c>
      <c r="AQ302" s="442" t="s">
        <v>729</v>
      </c>
      <c r="AR302" s="444">
        <v>350000</v>
      </c>
      <c r="AS302" s="442" t="s">
        <v>675</v>
      </c>
      <c r="AT302" s="444">
        <v>0</v>
      </c>
      <c r="AU302" s="442" t="s">
        <v>678</v>
      </c>
      <c r="AV302" s="442" t="s">
        <v>677</v>
      </c>
      <c r="AW302" s="442" t="s">
        <v>676</v>
      </c>
      <c r="AX302" s="442" t="s">
        <v>674</v>
      </c>
      <c r="AY302" s="442"/>
      <c r="AZ302" s="442"/>
      <c r="BA302" s="442" t="s">
        <v>679</v>
      </c>
      <c r="BB302" s="442"/>
      <c r="BC302" s="442"/>
      <c r="BD302" s="442"/>
      <c r="BE302" s="444"/>
      <c r="BF302" s="442" t="s">
        <v>298</v>
      </c>
      <c r="BG302" s="442" t="s">
        <v>680</v>
      </c>
      <c r="BH302" s="442" t="s">
        <v>681</v>
      </c>
      <c r="BI302" s="442"/>
    </row>
    <row r="303" spans="1:61">
      <c r="A303" s="442" t="s">
        <v>821</v>
      </c>
      <c r="B303" s="442" t="s">
        <v>1105</v>
      </c>
      <c r="C303" s="442" t="s">
        <v>1105</v>
      </c>
      <c r="D303" s="442" t="s">
        <v>724</v>
      </c>
      <c r="E303" s="442" t="s">
        <v>3</v>
      </c>
      <c r="F303" s="443" t="s">
        <v>83</v>
      </c>
      <c r="G303" s="443" t="s">
        <v>700</v>
      </c>
      <c r="H303" s="444">
        <v>350000</v>
      </c>
      <c r="I303" s="444">
        <v>350000</v>
      </c>
      <c r="J303" s="444">
        <v>0</v>
      </c>
      <c r="K303" s="444">
        <v>0</v>
      </c>
      <c r="L303" s="444">
        <v>318182</v>
      </c>
      <c r="M303" s="444">
        <v>0</v>
      </c>
      <c r="N303" s="444">
        <v>0</v>
      </c>
      <c r="O303" s="444">
        <v>31818</v>
      </c>
      <c r="P303" s="444">
        <v>0</v>
      </c>
      <c r="Q303" s="444">
        <v>0</v>
      </c>
      <c r="R303" s="444">
        <v>0</v>
      </c>
      <c r="S303" s="444">
        <v>0</v>
      </c>
      <c r="T303" s="444">
        <v>0</v>
      </c>
      <c r="U303" s="444">
        <v>0</v>
      </c>
      <c r="V303" s="444">
        <v>0</v>
      </c>
      <c r="W303" s="444">
        <v>0</v>
      </c>
      <c r="X303" s="442" t="s">
        <v>674</v>
      </c>
      <c r="Y303" s="442" t="s">
        <v>675</v>
      </c>
      <c r="Z303" s="442" t="s">
        <v>675</v>
      </c>
      <c r="AA303" s="442" t="s">
        <v>675</v>
      </c>
      <c r="AB303" s="442" t="s">
        <v>675</v>
      </c>
      <c r="AC303" s="442"/>
      <c r="AD303" s="442"/>
      <c r="AE303" s="442"/>
      <c r="AF303" s="442"/>
      <c r="AG303" s="443" t="s">
        <v>1106</v>
      </c>
      <c r="AH303" s="442"/>
      <c r="AI303" s="443" t="s">
        <v>1106</v>
      </c>
      <c r="AJ303" s="443" t="s">
        <v>1012</v>
      </c>
      <c r="AK303" s="442" t="s">
        <v>677</v>
      </c>
      <c r="AL303" s="442"/>
      <c r="AM303" s="442" t="s">
        <v>726</v>
      </c>
      <c r="AN303" s="442" t="s">
        <v>1159</v>
      </c>
      <c r="AO303" s="442" t="s">
        <v>821</v>
      </c>
      <c r="AP303" s="442" t="s">
        <v>1141</v>
      </c>
      <c r="AQ303" s="442" t="s">
        <v>729</v>
      </c>
      <c r="AR303" s="444">
        <v>350000</v>
      </c>
      <c r="AS303" s="442" t="s">
        <v>675</v>
      </c>
      <c r="AT303" s="444">
        <v>0</v>
      </c>
      <c r="AU303" s="442" t="s">
        <v>678</v>
      </c>
      <c r="AV303" s="442" t="s">
        <v>677</v>
      </c>
      <c r="AW303" s="442" t="s">
        <v>676</v>
      </c>
      <c r="AX303" s="442" t="s">
        <v>674</v>
      </c>
      <c r="AY303" s="442"/>
      <c r="AZ303" s="442"/>
      <c r="BA303" s="442" t="s">
        <v>679</v>
      </c>
      <c r="BB303" s="442"/>
      <c r="BC303" s="442"/>
      <c r="BD303" s="442"/>
      <c r="BE303" s="444"/>
      <c r="BF303" s="442" t="s">
        <v>298</v>
      </c>
      <c r="BG303" s="442" t="s">
        <v>680</v>
      </c>
      <c r="BH303" s="442" t="s">
        <v>681</v>
      </c>
      <c r="BI303" s="442"/>
    </row>
    <row r="304" spans="1:61">
      <c r="A304" s="442" t="s">
        <v>821</v>
      </c>
      <c r="B304" s="442" t="s">
        <v>1105</v>
      </c>
      <c r="C304" s="442" t="s">
        <v>1105</v>
      </c>
      <c r="D304" s="442" t="s">
        <v>724</v>
      </c>
      <c r="E304" s="442" t="s">
        <v>3</v>
      </c>
      <c r="F304" s="443" t="s">
        <v>83</v>
      </c>
      <c r="G304" s="443" t="s">
        <v>700</v>
      </c>
      <c r="H304" s="444">
        <v>350000</v>
      </c>
      <c r="I304" s="444">
        <v>350000</v>
      </c>
      <c r="J304" s="444">
        <v>0</v>
      </c>
      <c r="K304" s="444">
        <v>0</v>
      </c>
      <c r="L304" s="444">
        <v>318182</v>
      </c>
      <c r="M304" s="444">
        <v>0</v>
      </c>
      <c r="N304" s="444">
        <v>0</v>
      </c>
      <c r="O304" s="444">
        <v>31818</v>
      </c>
      <c r="P304" s="444">
        <v>0</v>
      </c>
      <c r="Q304" s="444">
        <v>0</v>
      </c>
      <c r="R304" s="444">
        <v>0</v>
      </c>
      <c r="S304" s="444">
        <v>0</v>
      </c>
      <c r="T304" s="444">
        <v>0</v>
      </c>
      <c r="U304" s="444">
        <v>0</v>
      </c>
      <c r="V304" s="444">
        <v>0</v>
      </c>
      <c r="W304" s="444">
        <v>0</v>
      </c>
      <c r="X304" s="442" t="s">
        <v>674</v>
      </c>
      <c r="Y304" s="442" t="s">
        <v>675</v>
      </c>
      <c r="Z304" s="442" t="s">
        <v>675</v>
      </c>
      <c r="AA304" s="442" t="s">
        <v>675</v>
      </c>
      <c r="AB304" s="442" t="s">
        <v>675</v>
      </c>
      <c r="AC304" s="442"/>
      <c r="AD304" s="442"/>
      <c r="AE304" s="442"/>
      <c r="AF304" s="442"/>
      <c r="AG304" s="443" t="s">
        <v>1106</v>
      </c>
      <c r="AH304" s="442"/>
      <c r="AI304" s="443" t="s">
        <v>1106</v>
      </c>
      <c r="AJ304" s="443" t="s">
        <v>1012</v>
      </c>
      <c r="AK304" s="442" t="s">
        <v>677</v>
      </c>
      <c r="AL304" s="442"/>
      <c r="AM304" s="442" t="s">
        <v>726</v>
      </c>
      <c r="AN304" s="442" t="s">
        <v>1160</v>
      </c>
      <c r="AO304" s="442" t="s">
        <v>821</v>
      </c>
      <c r="AP304" s="442" t="s">
        <v>1141</v>
      </c>
      <c r="AQ304" s="442" t="s">
        <v>729</v>
      </c>
      <c r="AR304" s="444">
        <v>350000</v>
      </c>
      <c r="AS304" s="442" t="s">
        <v>675</v>
      </c>
      <c r="AT304" s="444">
        <v>0</v>
      </c>
      <c r="AU304" s="442" t="s">
        <v>678</v>
      </c>
      <c r="AV304" s="442" t="s">
        <v>677</v>
      </c>
      <c r="AW304" s="442" t="s">
        <v>676</v>
      </c>
      <c r="AX304" s="442" t="s">
        <v>784</v>
      </c>
      <c r="AY304" s="442" t="s">
        <v>785</v>
      </c>
      <c r="AZ304" s="442" t="s">
        <v>1198</v>
      </c>
      <c r="BA304" s="442" t="s">
        <v>679</v>
      </c>
      <c r="BB304" s="442"/>
      <c r="BC304" s="442"/>
      <c r="BD304" s="442"/>
      <c r="BE304" s="444"/>
      <c r="BF304" s="442" t="s">
        <v>298</v>
      </c>
      <c r="BG304" s="442" t="s">
        <v>680</v>
      </c>
      <c r="BH304" s="442" t="s">
        <v>681</v>
      </c>
      <c r="BI304" s="442"/>
    </row>
    <row r="305" spans="1:61">
      <c r="A305" s="442" t="s">
        <v>821</v>
      </c>
      <c r="B305" s="442" t="s">
        <v>1105</v>
      </c>
      <c r="C305" s="442" t="s">
        <v>1105</v>
      </c>
      <c r="D305" s="442" t="s">
        <v>724</v>
      </c>
      <c r="E305" s="442" t="s">
        <v>3</v>
      </c>
      <c r="F305" s="443" t="s">
        <v>83</v>
      </c>
      <c r="G305" s="443" t="s">
        <v>700</v>
      </c>
      <c r="H305" s="444">
        <v>350000</v>
      </c>
      <c r="I305" s="444">
        <v>350000</v>
      </c>
      <c r="J305" s="444">
        <v>0</v>
      </c>
      <c r="K305" s="444">
        <v>0</v>
      </c>
      <c r="L305" s="444">
        <v>318182</v>
      </c>
      <c r="M305" s="444">
        <v>0</v>
      </c>
      <c r="N305" s="444">
        <v>0</v>
      </c>
      <c r="O305" s="444">
        <v>31818</v>
      </c>
      <c r="P305" s="444">
        <v>0</v>
      </c>
      <c r="Q305" s="444">
        <v>0</v>
      </c>
      <c r="R305" s="444">
        <v>0</v>
      </c>
      <c r="S305" s="444">
        <v>0</v>
      </c>
      <c r="T305" s="444">
        <v>0</v>
      </c>
      <c r="U305" s="444">
        <v>0</v>
      </c>
      <c r="V305" s="444">
        <v>0</v>
      </c>
      <c r="W305" s="444">
        <v>0</v>
      </c>
      <c r="X305" s="442" t="s">
        <v>674</v>
      </c>
      <c r="Y305" s="442" t="s">
        <v>675</v>
      </c>
      <c r="Z305" s="442" t="s">
        <v>675</v>
      </c>
      <c r="AA305" s="442" t="s">
        <v>675</v>
      </c>
      <c r="AB305" s="442" t="s">
        <v>675</v>
      </c>
      <c r="AC305" s="442"/>
      <c r="AD305" s="442"/>
      <c r="AE305" s="442"/>
      <c r="AF305" s="442"/>
      <c r="AG305" s="443" t="s">
        <v>1106</v>
      </c>
      <c r="AH305" s="442"/>
      <c r="AI305" s="443" t="s">
        <v>1106</v>
      </c>
      <c r="AJ305" s="443" t="s">
        <v>1012</v>
      </c>
      <c r="AK305" s="442" t="s">
        <v>677</v>
      </c>
      <c r="AL305" s="442"/>
      <c r="AM305" s="442" t="s">
        <v>726</v>
      </c>
      <c r="AN305" s="442" t="s">
        <v>1161</v>
      </c>
      <c r="AO305" s="442" t="s">
        <v>821</v>
      </c>
      <c r="AP305" s="442" t="s">
        <v>1141</v>
      </c>
      <c r="AQ305" s="442" t="s">
        <v>729</v>
      </c>
      <c r="AR305" s="444">
        <v>350000</v>
      </c>
      <c r="AS305" s="442" t="s">
        <v>675</v>
      </c>
      <c r="AT305" s="444">
        <v>0</v>
      </c>
      <c r="AU305" s="442" t="s">
        <v>678</v>
      </c>
      <c r="AV305" s="442" t="s">
        <v>677</v>
      </c>
      <c r="AW305" s="442" t="s">
        <v>676</v>
      </c>
      <c r="AX305" s="442" t="s">
        <v>674</v>
      </c>
      <c r="AY305" s="442"/>
      <c r="AZ305" s="442"/>
      <c r="BA305" s="442" t="s">
        <v>679</v>
      </c>
      <c r="BB305" s="442"/>
      <c r="BC305" s="442"/>
      <c r="BD305" s="442"/>
      <c r="BE305" s="444"/>
      <c r="BF305" s="442" t="s">
        <v>298</v>
      </c>
      <c r="BG305" s="442" t="s">
        <v>680</v>
      </c>
      <c r="BH305" s="442" t="s">
        <v>681</v>
      </c>
      <c r="BI305" s="442"/>
    </row>
    <row r="306" spans="1:61">
      <c r="A306" s="442" t="s">
        <v>821</v>
      </c>
      <c r="B306" s="442" t="s">
        <v>1105</v>
      </c>
      <c r="C306" s="442" t="s">
        <v>1105</v>
      </c>
      <c r="D306" s="442" t="s">
        <v>724</v>
      </c>
      <c r="E306" s="442" t="s">
        <v>3</v>
      </c>
      <c r="F306" s="443" t="s">
        <v>83</v>
      </c>
      <c r="G306" s="443" t="s">
        <v>700</v>
      </c>
      <c r="H306" s="444">
        <v>350000</v>
      </c>
      <c r="I306" s="444">
        <v>350000</v>
      </c>
      <c r="J306" s="444">
        <v>0</v>
      </c>
      <c r="K306" s="444">
        <v>0</v>
      </c>
      <c r="L306" s="444">
        <v>318182</v>
      </c>
      <c r="M306" s="444">
        <v>0</v>
      </c>
      <c r="N306" s="444">
        <v>0</v>
      </c>
      <c r="O306" s="444">
        <v>31818</v>
      </c>
      <c r="P306" s="444">
        <v>0</v>
      </c>
      <c r="Q306" s="444">
        <v>0</v>
      </c>
      <c r="R306" s="444">
        <v>0</v>
      </c>
      <c r="S306" s="444">
        <v>0</v>
      </c>
      <c r="T306" s="444">
        <v>0</v>
      </c>
      <c r="U306" s="444">
        <v>0</v>
      </c>
      <c r="V306" s="444">
        <v>0</v>
      </c>
      <c r="W306" s="444">
        <v>0</v>
      </c>
      <c r="X306" s="442" t="s">
        <v>674</v>
      </c>
      <c r="Y306" s="442" t="s">
        <v>675</v>
      </c>
      <c r="Z306" s="442" t="s">
        <v>675</v>
      </c>
      <c r="AA306" s="442" t="s">
        <v>675</v>
      </c>
      <c r="AB306" s="442" t="s">
        <v>675</v>
      </c>
      <c r="AC306" s="442"/>
      <c r="AD306" s="442"/>
      <c r="AE306" s="442"/>
      <c r="AF306" s="442"/>
      <c r="AG306" s="443" t="s">
        <v>1106</v>
      </c>
      <c r="AH306" s="442"/>
      <c r="AI306" s="443" t="s">
        <v>1106</v>
      </c>
      <c r="AJ306" s="443" t="s">
        <v>1012</v>
      </c>
      <c r="AK306" s="442" t="s">
        <v>677</v>
      </c>
      <c r="AL306" s="442"/>
      <c r="AM306" s="442" t="s">
        <v>726</v>
      </c>
      <c r="AN306" s="442" t="s">
        <v>1162</v>
      </c>
      <c r="AO306" s="442" t="s">
        <v>821</v>
      </c>
      <c r="AP306" s="442" t="s">
        <v>1141</v>
      </c>
      <c r="AQ306" s="442" t="s">
        <v>729</v>
      </c>
      <c r="AR306" s="444">
        <v>350000</v>
      </c>
      <c r="AS306" s="442" t="s">
        <v>675</v>
      </c>
      <c r="AT306" s="444">
        <v>0</v>
      </c>
      <c r="AU306" s="442" t="s">
        <v>678</v>
      </c>
      <c r="AV306" s="442" t="s">
        <v>677</v>
      </c>
      <c r="AW306" s="442" t="s">
        <v>676</v>
      </c>
      <c r="AX306" s="442" t="s">
        <v>674</v>
      </c>
      <c r="AY306" s="442"/>
      <c r="AZ306" s="442"/>
      <c r="BA306" s="442" t="s">
        <v>679</v>
      </c>
      <c r="BB306" s="442"/>
      <c r="BC306" s="442"/>
      <c r="BD306" s="442"/>
      <c r="BE306" s="444"/>
      <c r="BF306" s="442" t="s">
        <v>298</v>
      </c>
      <c r="BG306" s="442" t="s">
        <v>680</v>
      </c>
      <c r="BH306" s="442" t="s">
        <v>681</v>
      </c>
      <c r="BI306" s="442"/>
    </row>
    <row r="307" spans="1:61">
      <c r="A307" s="442" t="s">
        <v>821</v>
      </c>
      <c r="B307" s="442" t="s">
        <v>1105</v>
      </c>
      <c r="C307" s="442" t="s">
        <v>1105</v>
      </c>
      <c r="D307" s="442" t="s">
        <v>724</v>
      </c>
      <c r="E307" s="442" t="s">
        <v>3</v>
      </c>
      <c r="F307" s="443" t="s">
        <v>83</v>
      </c>
      <c r="G307" s="443" t="s">
        <v>700</v>
      </c>
      <c r="H307" s="444">
        <v>350000</v>
      </c>
      <c r="I307" s="444">
        <v>350000</v>
      </c>
      <c r="J307" s="444">
        <v>0</v>
      </c>
      <c r="K307" s="444">
        <v>0</v>
      </c>
      <c r="L307" s="444">
        <v>318182</v>
      </c>
      <c r="M307" s="444">
        <v>0</v>
      </c>
      <c r="N307" s="444">
        <v>0</v>
      </c>
      <c r="O307" s="444">
        <v>31818</v>
      </c>
      <c r="P307" s="444">
        <v>0</v>
      </c>
      <c r="Q307" s="444">
        <v>0</v>
      </c>
      <c r="R307" s="444">
        <v>0</v>
      </c>
      <c r="S307" s="444">
        <v>0</v>
      </c>
      <c r="T307" s="444">
        <v>0</v>
      </c>
      <c r="U307" s="444">
        <v>0</v>
      </c>
      <c r="V307" s="444">
        <v>0</v>
      </c>
      <c r="W307" s="444">
        <v>0</v>
      </c>
      <c r="X307" s="442" t="s">
        <v>674</v>
      </c>
      <c r="Y307" s="442" t="s">
        <v>675</v>
      </c>
      <c r="Z307" s="442" t="s">
        <v>675</v>
      </c>
      <c r="AA307" s="442" t="s">
        <v>675</v>
      </c>
      <c r="AB307" s="442" t="s">
        <v>675</v>
      </c>
      <c r="AC307" s="442"/>
      <c r="AD307" s="442"/>
      <c r="AE307" s="442"/>
      <c r="AF307" s="442"/>
      <c r="AG307" s="443" t="s">
        <v>1106</v>
      </c>
      <c r="AH307" s="442"/>
      <c r="AI307" s="443" t="s">
        <v>1106</v>
      </c>
      <c r="AJ307" s="443" t="s">
        <v>1012</v>
      </c>
      <c r="AK307" s="442" t="s">
        <v>677</v>
      </c>
      <c r="AL307" s="442"/>
      <c r="AM307" s="442" t="s">
        <v>726</v>
      </c>
      <c r="AN307" s="442" t="s">
        <v>1163</v>
      </c>
      <c r="AO307" s="442" t="s">
        <v>821</v>
      </c>
      <c r="AP307" s="442" t="s">
        <v>1141</v>
      </c>
      <c r="AQ307" s="442" t="s">
        <v>729</v>
      </c>
      <c r="AR307" s="444">
        <v>350000</v>
      </c>
      <c r="AS307" s="442" t="s">
        <v>675</v>
      </c>
      <c r="AT307" s="444">
        <v>0</v>
      </c>
      <c r="AU307" s="442" t="s">
        <v>678</v>
      </c>
      <c r="AV307" s="442" t="s">
        <v>677</v>
      </c>
      <c r="AW307" s="442" t="s">
        <v>676</v>
      </c>
      <c r="AX307" s="442" t="s">
        <v>674</v>
      </c>
      <c r="AY307" s="442"/>
      <c r="AZ307" s="442"/>
      <c r="BA307" s="442" t="s">
        <v>679</v>
      </c>
      <c r="BB307" s="442"/>
      <c r="BC307" s="442"/>
      <c r="BD307" s="442"/>
      <c r="BE307" s="444"/>
      <c r="BF307" s="442" t="s">
        <v>298</v>
      </c>
      <c r="BG307" s="442" t="s">
        <v>680</v>
      </c>
      <c r="BH307" s="442" t="s">
        <v>681</v>
      </c>
      <c r="BI307" s="442"/>
    </row>
    <row r="308" spans="1:61">
      <c r="A308" s="442" t="s">
        <v>821</v>
      </c>
      <c r="B308" s="442" t="s">
        <v>1105</v>
      </c>
      <c r="C308" s="442" t="s">
        <v>1105</v>
      </c>
      <c r="D308" s="442" t="s">
        <v>724</v>
      </c>
      <c r="E308" s="442" t="s">
        <v>3</v>
      </c>
      <c r="F308" s="443" t="s">
        <v>83</v>
      </c>
      <c r="G308" s="443" t="s">
        <v>700</v>
      </c>
      <c r="H308" s="444">
        <v>350000</v>
      </c>
      <c r="I308" s="444">
        <v>350000</v>
      </c>
      <c r="J308" s="444">
        <v>0</v>
      </c>
      <c r="K308" s="444">
        <v>0</v>
      </c>
      <c r="L308" s="444">
        <v>318182</v>
      </c>
      <c r="M308" s="444">
        <v>0</v>
      </c>
      <c r="N308" s="444">
        <v>0</v>
      </c>
      <c r="O308" s="444">
        <v>31818</v>
      </c>
      <c r="P308" s="444">
        <v>0</v>
      </c>
      <c r="Q308" s="444">
        <v>0</v>
      </c>
      <c r="R308" s="444">
        <v>0</v>
      </c>
      <c r="S308" s="444">
        <v>0</v>
      </c>
      <c r="T308" s="444">
        <v>0</v>
      </c>
      <c r="U308" s="444">
        <v>0</v>
      </c>
      <c r="V308" s="444">
        <v>0</v>
      </c>
      <c r="W308" s="444">
        <v>0</v>
      </c>
      <c r="X308" s="442" t="s">
        <v>674</v>
      </c>
      <c r="Y308" s="442" t="s">
        <v>675</v>
      </c>
      <c r="Z308" s="442" t="s">
        <v>675</v>
      </c>
      <c r="AA308" s="442" t="s">
        <v>675</v>
      </c>
      <c r="AB308" s="442" t="s">
        <v>675</v>
      </c>
      <c r="AC308" s="442"/>
      <c r="AD308" s="442"/>
      <c r="AE308" s="442"/>
      <c r="AF308" s="442"/>
      <c r="AG308" s="443" t="s">
        <v>1106</v>
      </c>
      <c r="AH308" s="442"/>
      <c r="AI308" s="443" t="s">
        <v>1106</v>
      </c>
      <c r="AJ308" s="443" t="s">
        <v>1012</v>
      </c>
      <c r="AK308" s="442" t="s">
        <v>677</v>
      </c>
      <c r="AL308" s="442"/>
      <c r="AM308" s="442" t="s">
        <v>726</v>
      </c>
      <c r="AN308" s="442" t="s">
        <v>1164</v>
      </c>
      <c r="AO308" s="442" t="s">
        <v>821</v>
      </c>
      <c r="AP308" s="442" t="s">
        <v>1141</v>
      </c>
      <c r="AQ308" s="442" t="s">
        <v>729</v>
      </c>
      <c r="AR308" s="444">
        <v>350000</v>
      </c>
      <c r="AS308" s="442" t="s">
        <v>675</v>
      </c>
      <c r="AT308" s="444">
        <v>0</v>
      </c>
      <c r="AU308" s="442" t="s">
        <v>678</v>
      </c>
      <c r="AV308" s="442" t="s">
        <v>677</v>
      </c>
      <c r="AW308" s="442" t="s">
        <v>676</v>
      </c>
      <c r="AX308" s="442" t="s">
        <v>674</v>
      </c>
      <c r="AY308" s="442"/>
      <c r="AZ308" s="442"/>
      <c r="BA308" s="442" t="s">
        <v>679</v>
      </c>
      <c r="BB308" s="442"/>
      <c r="BC308" s="442"/>
      <c r="BD308" s="442"/>
      <c r="BE308" s="444"/>
      <c r="BF308" s="442" t="s">
        <v>298</v>
      </c>
      <c r="BG308" s="442" t="s">
        <v>680</v>
      </c>
      <c r="BH308" s="442" t="s">
        <v>681</v>
      </c>
      <c r="BI308" s="442"/>
    </row>
    <row r="309" spans="1:61">
      <c r="A309" s="442" t="s">
        <v>821</v>
      </c>
      <c r="B309" s="442" t="s">
        <v>1105</v>
      </c>
      <c r="C309" s="442" t="s">
        <v>1105</v>
      </c>
      <c r="D309" s="442" t="s">
        <v>724</v>
      </c>
      <c r="E309" s="442" t="s">
        <v>3</v>
      </c>
      <c r="F309" s="443" t="s">
        <v>83</v>
      </c>
      <c r="G309" s="443" t="s">
        <v>700</v>
      </c>
      <c r="H309" s="444">
        <v>350000</v>
      </c>
      <c r="I309" s="444">
        <v>350000</v>
      </c>
      <c r="J309" s="444">
        <v>0</v>
      </c>
      <c r="K309" s="444">
        <v>0</v>
      </c>
      <c r="L309" s="444">
        <v>318182</v>
      </c>
      <c r="M309" s="444">
        <v>0</v>
      </c>
      <c r="N309" s="444">
        <v>0</v>
      </c>
      <c r="O309" s="444">
        <v>31818</v>
      </c>
      <c r="P309" s="444">
        <v>0</v>
      </c>
      <c r="Q309" s="444">
        <v>0</v>
      </c>
      <c r="R309" s="444">
        <v>0</v>
      </c>
      <c r="S309" s="444">
        <v>0</v>
      </c>
      <c r="T309" s="444">
        <v>0</v>
      </c>
      <c r="U309" s="444">
        <v>0</v>
      </c>
      <c r="V309" s="444">
        <v>0</v>
      </c>
      <c r="W309" s="444">
        <v>0</v>
      </c>
      <c r="X309" s="442" t="s">
        <v>674</v>
      </c>
      <c r="Y309" s="442" t="s">
        <v>675</v>
      </c>
      <c r="Z309" s="442" t="s">
        <v>675</v>
      </c>
      <c r="AA309" s="442" t="s">
        <v>675</v>
      </c>
      <c r="AB309" s="442" t="s">
        <v>675</v>
      </c>
      <c r="AC309" s="442"/>
      <c r="AD309" s="442"/>
      <c r="AE309" s="442"/>
      <c r="AF309" s="442"/>
      <c r="AG309" s="443" t="s">
        <v>1106</v>
      </c>
      <c r="AH309" s="442"/>
      <c r="AI309" s="443" t="s">
        <v>1106</v>
      </c>
      <c r="AJ309" s="443" t="s">
        <v>1012</v>
      </c>
      <c r="AK309" s="442" t="s">
        <v>677</v>
      </c>
      <c r="AL309" s="442"/>
      <c r="AM309" s="442" t="s">
        <v>726</v>
      </c>
      <c r="AN309" s="442" t="s">
        <v>1165</v>
      </c>
      <c r="AO309" s="442" t="s">
        <v>821</v>
      </c>
      <c r="AP309" s="442" t="s">
        <v>1141</v>
      </c>
      <c r="AQ309" s="442" t="s">
        <v>729</v>
      </c>
      <c r="AR309" s="444">
        <v>350000</v>
      </c>
      <c r="AS309" s="442" t="s">
        <v>675</v>
      </c>
      <c r="AT309" s="444">
        <v>0</v>
      </c>
      <c r="AU309" s="442" t="s">
        <v>678</v>
      </c>
      <c r="AV309" s="442" t="s">
        <v>677</v>
      </c>
      <c r="AW309" s="442" t="s">
        <v>676</v>
      </c>
      <c r="AX309" s="442" t="s">
        <v>674</v>
      </c>
      <c r="AY309" s="442"/>
      <c r="AZ309" s="442"/>
      <c r="BA309" s="442" t="s">
        <v>679</v>
      </c>
      <c r="BB309" s="442"/>
      <c r="BC309" s="442"/>
      <c r="BD309" s="442"/>
      <c r="BE309" s="444"/>
      <c r="BF309" s="442" t="s">
        <v>298</v>
      </c>
      <c r="BG309" s="442" t="s">
        <v>680</v>
      </c>
      <c r="BH309" s="442" t="s">
        <v>681</v>
      </c>
      <c r="BI309" s="442"/>
    </row>
    <row r="310" spans="1:61">
      <c r="A310" s="442" t="s">
        <v>821</v>
      </c>
      <c r="B310" s="442" t="s">
        <v>1105</v>
      </c>
      <c r="C310" s="442" t="s">
        <v>1105</v>
      </c>
      <c r="D310" s="442" t="s">
        <v>724</v>
      </c>
      <c r="E310" s="442" t="s">
        <v>3</v>
      </c>
      <c r="F310" s="443" t="s">
        <v>83</v>
      </c>
      <c r="G310" s="443" t="s">
        <v>700</v>
      </c>
      <c r="H310" s="444">
        <v>350000</v>
      </c>
      <c r="I310" s="444">
        <v>350000</v>
      </c>
      <c r="J310" s="444">
        <v>0</v>
      </c>
      <c r="K310" s="444">
        <v>0</v>
      </c>
      <c r="L310" s="444">
        <v>318182</v>
      </c>
      <c r="M310" s="444">
        <v>0</v>
      </c>
      <c r="N310" s="444">
        <v>0</v>
      </c>
      <c r="O310" s="444">
        <v>31818</v>
      </c>
      <c r="P310" s="444">
        <v>0</v>
      </c>
      <c r="Q310" s="444">
        <v>0</v>
      </c>
      <c r="R310" s="444">
        <v>0</v>
      </c>
      <c r="S310" s="444">
        <v>0</v>
      </c>
      <c r="T310" s="444">
        <v>0</v>
      </c>
      <c r="U310" s="444">
        <v>0</v>
      </c>
      <c r="V310" s="444">
        <v>0</v>
      </c>
      <c r="W310" s="444">
        <v>0</v>
      </c>
      <c r="X310" s="442" t="s">
        <v>674</v>
      </c>
      <c r="Y310" s="442" t="s">
        <v>675</v>
      </c>
      <c r="Z310" s="442" t="s">
        <v>675</v>
      </c>
      <c r="AA310" s="442" t="s">
        <v>675</v>
      </c>
      <c r="AB310" s="442" t="s">
        <v>675</v>
      </c>
      <c r="AC310" s="442"/>
      <c r="AD310" s="442"/>
      <c r="AE310" s="442"/>
      <c r="AF310" s="442"/>
      <c r="AG310" s="443" t="s">
        <v>1106</v>
      </c>
      <c r="AH310" s="442"/>
      <c r="AI310" s="443" t="s">
        <v>1106</v>
      </c>
      <c r="AJ310" s="443" t="s">
        <v>1012</v>
      </c>
      <c r="AK310" s="442" t="s">
        <v>677</v>
      </c>
      <c r="AL310" s="442"/>
      <c r="AM310" s="442" t="s">
        <v>726</v>
      </c>
      <c r="AN310" s="442" t="s">
        <v>1166</v>
      </c>
      <c r="AO310" s="442" t="s">
        <v>821</v>
      </c>
      <c r="AP310" s="442" t="s">
        <v>1141</v>
      </c>
      <c r="AQ310" s="442" t="s">
        <v>729</v>
      </c>
      <c r="AR310" s="444">
        <v>350000</v>
      </c>
      <c r="AS310" s="442" t="s">
        <v>675</v>
      </c>
      <c r="AT310" s="444">
        <v>0</v>
      </c>
      <c r="AU310" s="442" t="s">
        <v>678</v>
      </c>
      <c r="AV310" s="442" t="s">
        <v>677</v>
      </c>
      <c r="AW310" s="442" t="s">
        <v>676</v>
      </c>
      <c r="AX310" s="442" t="s">
        <v>674</v>
      </c>
      <c r="AY310" s="442"/>
      <c r="AZ310" s="442"/>
      <c r="BA310" s="442" t="s">
        <v>679</v>
      </c>
      <c r="BB310" s="442"/>
      <c r="BC310" s="442"/>
      <c r="BD310" s="442"/>
      <c r="BE310" s="444"/>
      <c r="BF310" s="442" t="s">
        <v>298</v>
      </c>
      <c r="BG310" s="442" t="s">
        <v>680</v>
      </c>
      <c r="BH310" s="442" t="s">
        <v>681</v>
      </c>
      <c r="BI310" s="442"/>
    </row>
    <row r="311" spans="1:61">
      <c r="A311" s="442" t="s">
        <v>821</v>
      </c>
      <c r="B311" s="442" t="s">
        <v>1105</v>
      </c>
      <c r="C311" s="442" t="s">
        <v>1105</v>
      </c>
      <c r="D311" s="442" t="s">
        <v>724</v>
      </c>
      <c r="E311" s="442" t="s">
        <v>3</v>
      </c>
      <c r="F311" s="443" t="s">
        <v>83</v>
      </c>
      <c r="G311" s="443" t="s">
        <v>700</v>
      </c>
      <c r="H311" s="444">
        <v>350000</v>
      </c>
      <c r="I311" s="444">
        <v>350000</v>
      </c>
      <c r="J311" s="444">
        <v>0</v>
      </c>
      <c r="K311" s="444">
        <v>0</v>
      </c>
      <c r="L311" s="444">
        <v>318182</v>
      </c>
      <c r="M311" s="444">
        <v>0</v>
      </c>
      <c r="N311" s="444">
        <v>0</v>
      </c>
      <c r="O311" s="444">
        <v>31818</v>
      </c>
      <c r="P311" s="444">
        <v>0</v>
      </c>
      <c r="Q311" s="444">
        <v>0</v>
      </c>
      <c r="R311" s="444">
        <v>0</v>
      </c>
      <c r="S311" s="444">
        <v>0</v>
      </c>
      <c r="T311" s="444">
        <v>0</v>
      </c>
      <c r="U311" s="444">
        <v>0</v>
      </c>
      <c r="V311" s="444">
        <v>0</v>
      </c>
      <c r="W311" s="444">
        <v>0</v>
      </c>
      <c r="X311" s="442" t="s">
        <v>674</v>
      </c>
      <c r="Y311" s="442" t="s">
        <v>675</v>
      </c>
      <c r="Z311" s="442" t="s">
        <v>675</v>
      </c>
      <c r="AA311" s="442" t="s">
        <v>675</v>
      </c>
      <c r="AB311" s="442" t="s">
        <v>675</v>
      </c>
      <c r="AC311" s="442"/>
      <c r="AD311" s="442"/>
      <c r="AE311" s="442"/>
      <c r="AF311" s="442"/>
      <c r="AG311" s="443" t="s">
        <v>1106</v>
      </c>
      <c r="AH311" s="442"/>
      <c r="AI311" s="443" t="s">
        <v>1106</v>
      </c>
      <c r="AJ311" s="443" t="s">
        <v>1012</v>
      </c>
      <c r="AK311" s="442" t="s">
        <v>677</v>
      </c>
      <c r="AL311" s="442"/>
      <c r="AM311" s="442" t="s">
        <v>726</v>
      </c>
      <c r="AN311" s="442" t="s">
        <v>1167</v>
      </c>
      <c r="AO311" s="442" t="s">
        <v>821</v>
      </c>
      <c r="AP311" s="442" t="s">
        <v>1141</v>
      </c>
      <c r="AQ311" s="442" t="s">
        <v>729</v>
      </c>
      <c r="AR311" s="444">
        <v>350000</v>
      </c>
      <c r="AS311" s="442" t="s">
        <v>675</v>
      </c>
      <c r="AT311" s="444">
        <v>0</v>
      </c>
      <c r="AU311" s="442" t="s">
        <v>678</v>
      </c>
      <c r="AV311" s="442" t="s">
        <v>677</v>
      </c>
      <c r="AW311" s="442" t="s">
        <v>676</v>
      </c>
      <c r="AX311" s="442" t="s">
        <v>674</v>
      </c>
      <c r="AY311" s="442"/>
      <c r="AZ311" s="442"/>
      <c r="BA311" s="442" t="s">
        <v>679</v>
      </c>
      <c r="BB311" s="442"/>
      <c r="BC311" s="442"/>
      <c r="BD311" s="442"/>
      <c r="BE311" s="444"/>
      <c r="BF311" s="442" t="s">
        <v>298</v>
      </c>
      <c r="BG311" s="442" t="s">
        <v>680</v>
      </c>
      <c r="BH311" s="442" t="s">
        <v>681</v>
      </c>
      <c r="BI311" s="442"/>
    </row>
    <row r="312" spans="1:61">
      <c r="A312" s="442" t="s">
        <v>821</v>
      </c>
      <c r="B312" s="442" t="s">
        <v>1105</v>
      </c>
      <c r="C312" s="442" t="s">
        <v>1105</v>
      </c>
      <c r="D312" s="442" t="s">
        <v>724</v>
      </c>
      <c r="E312" s="442" t="s">
        <v>3</v>
      </c>
      <c r="F312" s="443" t="s">
        <v>83</v>
      </c>
      <c r="G312" s="443" t="s">
        <v>700</v>
      </c>
      <c r="H312" s="444">
        <v>350000</v>
      </c>
      <c r="I312" s="444">
        <v>350000</v>
      </c>
      <c r="J312" s="444">
        <v>0</v>
      </c>
      <c r="K312" s="444">
        <v>0</v>
      </c>
      <c r="L312" s="444">
        <v>318182</v>
      </c>
      <c r="M312" s="444">
        <v>0</v>
      </c>
      <c r="N312" s="444">
        <v>0</v>
      </c>
      <c r="O312" s="444">
        <v>31818</v>
      </c>
      <c r="P312" s="444">
        <v>0</v>
      </c>
      <c r="Q312" s="444">
        <v>0</v>
      </c>
      <c r="R312" s="444">
        <v>0</v>
      </c>
      <c r="S312" s="444">
        <v>0</v>
      </c>
      <c r="T312" s="444">
        <v>0</v>
      </c>
      <c r="U312" s="444">
        <v>0</v>
      </c>
      <c r="V312" s="444">
        <v>0</v>
      </c>
      <c r="W312" s="444">
        <v>0</v>
      </c>
      <c r="X312" s="442" t="s">
        <v>674</v>
      </c>
      <c r="Y312" s="442" t="s">
        <v>675</v>
      </c>
      <c r="Z312" s="442" t="s">
        <v>675</v>
      </c>
      <c r="AA312" s="442" t="s">
        <v>675</v>
      </c>
      <c r="AB312" s="442" t="s">
        <v>675</v>
      </c>
      <c r="AC312" s="442"/>
      <c r="AD312" s="442"/>
      <c r="AE312" s="442"/>
      <c r="AF312" s="442"/>
      <c r="AG312" s="443" t="s">
        <v>1106</v>
      </c>
      <c r="AH312" s="442"/>
      <c r="AI312" s="443" t="s">
        <v>1106</v>
      </c>
      <c r="AJ312" s="443" t="s">
        <v>1012</v>
      </c>
      <c r="AK312" s="442" t="s">
        <v>677</v>
      </c>
      <c r="AL312" s="442"/>
      <c r="AM312" s="442" t="s">
        <v>726</v>
      </c>
      <c r="AN312" s="442" t="s">
        <v>1168</v>
      </c>
      <c r="AO312" s="442" t="s">
        <v>821</v>
      </c>
      <c r="AP312" s="442" t="s">
        <v>1141</v>
      </c>
      <c r="AQ312" s="442" t="s">
        <v>729</v>
      </c>
      <c r="AR312" s="444">
        <v>350000</v>
      </c>
      <c r="AS312" s="442" t="s">
        <v>675</v>
      </c>
      <c r="AT312" s="444">
        <v>0</v>
      </c>
      <c r="AU312" s="442" t="s">
        <v>678</v>
      </c>
      <c r="AV312" s="442" t="s">
        <v>677</v>
      </c>
      <c r="AW312" s="442" t="s">
        <v>676</v>
      </c>
      <c r="AX312" s="442" t="s">
        <v>674</v>
      </c>
      <c r="AY312" s="442"/>
      <c r="AZ312" s="442"/>
      <c r="BA312" s="442" t="s">
        <v>679</v>
      </c>
      <c r="BB312" s="442"/>
      <c r="BC312" s="442"/>
      <c r="BD312" s="442"/>
      <c r="BE312" s="444"/>
      <c r="BF312" s="442" t="s">
        <v>298</v>
      </c>
      <c r="BG312" s="442" t="s">
        <v>680</v>
      </c>
      <c r="BH312" s="442" t="s">
        <v>681</v>
      </c>
      <c r="BI312" s="442"/>
    </row>
    <row r="313" spans="1:61">
      <c r="A313" s="442" t="s">
        <v>811</v>
      </c>
      <c r="B313" s="442" t="s">
        <v>760</v>
      </c>
      <c r="C313" s="442" t="s">
        <v>760</v>
      </c>
      <c r="D313" s="442" t="s">
        <v>716</v>
      </c>
      <c r="E313" s="442" t="s">
        <v>3</v>
      </c>
      <c r="F313" s="443" t="s">
        <v>71</v>
      </c>
      <c r="G313" s="443" t="s">
        <v>719</v>
      </c>
      <c r="H313" s="444">
        <v>5676000</v>
      </c>
      <c r="I313" s="444">
        <v>5676000</v>
      </c>
      <c r="J313" s="444">
        <v>0</v>
      </c>
      <c r="K313" s="444">
        <v>0</v>
      </c>
      <c r="L313" s="444">
        <v>5160000</v>
      </c>
      <c r="M313" s="444">
        <v>0</v>
      </c>
      <c r="N313" s="444">
        <v>0</v>
      </c>
      <c r="O313" s="444">
        <v>516000</v>
      </c>
      <c r="P313" s="444">
        <v>0</v>
      </c>
      <c r="Q313" s="444">
        <v>0</v>
      </c>
      <c r="R313" s="444">
        <v>0</v>
      </c>
      <c r="S313" s="444">
        <v>0</v>
      </c>
      <c r="T313" s="444">
        <v>0</v>
      </c>
      <c r="U313" s="444">
        <v>0</v>
      </c>
      <c r="V313" s="444">
        <v>0</v>
      </c>
      <c r="W313" s="444">
        <v>0</v>
      </c>
      <c r="X313" s="442" t="s">
        <v>674</v>
      </c>
      <c r="Y313" s="442" t="s">
        <v>675</v>
      </c>
      <c r="Z313" s="442" t="s">
        <v>675</v>
      </c>
      <c r="AA313" s="442" t="s">
        <v>675</v>
      </c>
      <c r="AB313" s="442" t="s">
        <v>675</v>
      </c>
      <c r="AC313" s="442"/>
      <c r="AD313" s="442"/>
      <c r="AE313" s="442"/>
      <c r="AF313" s="442"/>
      <c r="AG313" s="443" t="s">
        <v>812</v>
      </c>
      <c r="AH313" s="442"/>
      <c r="AI313" s="443" t="s">
        <v>812</v>
      </c>
      <c r="AJ313" s="443" t="s">
        <v>813</v>
      </c>
      <c r="AK313" s="442" t="s">
        <v>677</v>
      </c>
      <c r="AL313" s="442"/>
      <c r="AM313" s="442"/>
      <c r="AN313" s="442"/>
      <c r="AO313" s="442"/>
      <c r="AP313" s="442"/>
      <c r="AQ313" s="442"/>
      <c r="AR313" s="444"/>
      <c r="AS313" s="442"/>
      <c r="AT313" s="444"/>
      <c r="AU313" s="442" t="s">
        <v>678</v>
      </c>
      <c r="AV313" s="442" t="s">
        <v>677</v>
      </c>
      <c r="AW313" s="442" t="s">
        <v>676</v>
      </c>
      <c r="AX313" s="442" t="s">
        <v>674</v>
      </c>
      <c r="AY313" s="442"/>
      <c r="AZ313" s="442"/>
      <c r="BA313" s="442" t="s">
        <v>679</v>
      </c>
      <c r="BB313" s="442"/>
      <c r="BC313" s="442"/>
      <c r="BD313" s="442"/>
      <c r="BE313" s="444"/>
      <c r="BF313" s="442" t="s">
        <v>298</v>
      </c>
      <c r="BG313" s="442" t="s">
        <v>680</v>
      </c>
      <c r="BH313" s="442" t="s">
        <v>681</v>
      </c>
      <c r="BI313" s="442"/>
    </row>
    <row r="314" spans="1:61">
      <c r="A314" s="442" t="s">
        <v>753</v>
      </c>
      <c r="B314" s="442" t="s">
        <v>753</v>
      </c>
      <c r="C314" s="442" t="s">
        <v>753</v>
      </c>
      <c r="D314" s="442" t="s">
        <v>716</v>
      </c>
      <c r="E314" s="442" t="s">
        <v>3</v>
      </c>
      <c r="F314" s="443" t="s">
        <v>71</v>
      </c>
      <c r="G314" s="443" t="s">
        <v>719</v>
      </c>
      <c r="H314" s="444">
        <v>822250</v>
      </c>
      <c r="I314" s="444">
        <v>822250</v>
      </c>
      <c r="J314" s="444">
        <v>0</v>
      </c>
      <c r="K314" s="444">
        <v>0</v>
      </c>
      <c r="L314" s="444">
        <v>747500</v>
      </c>
      <c r="M314" s="444">
        <v>0</v>
      </c>
      <c r="N314" s="444">
        <v>0</v>
      </c>
      <c r="O314" s="444">
        <v>74750</v>
      </c>
      <c r="P314" s="444">
        <v>0</v>
      </c>
      <c r="Q314" s="444">
        <v>0</v>
      </c>
      <c r="R314" s="444">
        <v>0</v>
      </c>
      <c r="S314" s="444">
        <v>0</v>
      </c>
      <c r="T314" s="444">
        <v>0</v>
      </c>
      <c r="U314" s="444">
        <v>0</v>
      </c>
      <c r="V314" s="444">
        <v>0</v>
      </c>
      <c r="W314" s="444">
        <v>0</v>
      </c>
      <c r="X314" s="442" t="s">
        <v>674</v>
      </c>
      <c r="Y314" s="442" t="s">
        <v>675</v>
      </c>
      <c r="Z314" s="442" t="s">
        <v>675</v>
      </c>
      <c r="AA314" s="442" t="s">
        <v>675</v>
      </c>
      <c r="AB314" s="442" t="s">
        <v>675</v>
      </c>
      <c r="AC314" s="442"/>
      <c r="AD314" s="442"/>
      <c r="AE314" s="442"/>
      <c r="AF314" s="442"/>
      <c r="AG314" s="443" t="s">
        <v>814</v>
      </c>
      <c r="AH314" s="442"/>
      <c r="AI314" s="443" t="s">
        <v>814</v>
      </c>
      <c r="AJ314" s="443" t="s">
        <v>815</v>
      </c>
      <c r="AK314" s="442" t="s">
        <v>677</v>
      </c>
      <c r="AL314" s="442"/>
      <c r="AM314" s="442"/>
      <c r="AN314" s="442"/>
      <c r="AO314" s="442"/>
      <c r="AP314" s="442"/>
      <c r="AQ314" s="442"/>
      <c r="AR314" s="444"/>
      <c r="AS314" s="442"/>
      <c r="AT314" s="444"/>
      <c r="AU314" s="442" t="s">
        <v>678</v>
      </c>
      <c r="AV314" s="442" t="s">
        <v>677</v>
      </c>
      <c r="AW314" s="442" t="s">
        <v>676</v>
      </c>
      <c r="AX314" s="442" t="s">
        <v>674</v>
      </c>
      <c r="AY314" s="442"/>
      <c r="AZ314" s="442"/>
      <c r="BA314" s="442" t="s">
        <v>679</v>
      </c>
      <c r="BB314" s="442"/>
      <c r="BC314" s="442"/>
      <c r="BD314" s="442"/>
      <c r="BE314" s="444"/>
      <c r="BF314" s="442" t="s">
        <v>298</v>
      </c>
      <c r="BG314" s="442" t="s">
        <v>680</v>
      </c>
      <c r="BH314" s="442" t="s">
        <v>681</v>
      </c>
      <c r="BI314" s="442"/>
    </row>
    <row r="315" spans="1:61">
      <c r="A315" s="442" t="s">
        <v>753</v>
      </c>
      <c r="B315" s="442" t="s">
        <v>753</v>
      </c>
      <c r="C315" s="442" t="s">
        <v>753</v>
      </c>
      <c r="D315" s="442" t="s">
        <v>716</v>
      </c>
      <c r="E315" s="442" t="s">
        <v>3</v>
      </c>
      <c r="F315" s="443" t="s">
        <v>71</v>
      </c>
      <c r="G315" s="443" t="s">
        <v>719</v>
      </c>
      <c r="H315" s="444">
        <v>1925000</v>
      </c>
      <c r="I315" s="444">
        <v>1925000</v>
      </c>
      <c r="J315" s="444">
        <v>0</v>
      </c>
      <c r="K315" s="444">
        <v>0</v>
      </c>
      <c r="L315" s="444">
        <v>1750000</v>
      </c>
      <c r="M315" s="444">
        <v>0</v>
      </c>
      <c r="N315" s="444">
        <v>0</v>
      </c>
      <c r="O315" s="444">
        <v>175000</v>
      </c>
      <c r="P315" s="444">
        <v>0</v>
      </c>
      <c r="Q315" s="444">
        <v>0</v>
      </c>
      <c r="R315" s="444">
        <v>0</v>
      </c>
      <c r="S315" s="444">
        <v>0</v>
      </c>
      <c r="T315" s="444">
        <v>0</v>
      </c>
      <c r="U315" s="444">
        <v>0</v>
      </c>
      <c r="V315" s="444">
        <v>0</v>
      </c>
      <c r="W315" s="444">
        <v>0</v>
      </c>
      <c r="X315" s="442" t="s">
        <v>674</v>
      </c>
      <c r="Y315" s="442" t="s">
        <v>675</v>
      </c>
      <c r="Z315" s="442" t="s">
        <v>675</v>
      </c>
      <c r="AA315" s="442" t="s">
        <v>675</v>
      </c>
      <c r="AB315" s="442" t="s">
        <v>675</v>
      </c>
      <c r="AC315" s="442"/>
      <c r="AD315" s="442"/>
      <c r="AE315" s="442"/>
      <c r="AF315" s="442"/>
      <c r="AG315" s="443" t="s">
        <v>816</v>
      </c>
      <c r="AH315" s="442"/>
      <c r="AI315" s="443" t="s">
        <v>816</v>
      </c>
      <c r="AJ315" s="443" t="s">
        <v>817</v>
      </c>
      <c r="AK315" s="442" t="s">
        <v>677</v>
      </c>
      <c r="AL315" s="442"/>
      <c r="AM315" s="442"/>
      <c r="AN315" s="442"/>
      <c r="AO315" s="442"/>
      <c r="AP315" s="442"/>
      <c r="AQ315" s="442"/>
      <c r="AR315" s="444"/>
      <c r="AS315" s="442"/>
      <c r="AT315" s="444"/>
      <c r="AU315" s="442" t="s">
        <v>678</v>
      </c>
      <c r="AV315" s="442" t="s">
        <v>677</v>
      </c>
      <c r="AW315" s="442" t="s">
        <v>676</v>
      </c>
      <c r="AX315" s="442" t="s">
        <v>674</v>
      </c>
      <c r="AY315" s="442"/>
      <c r="AZ315" s="442"/>
      <c r="BA315" s="442" t="s">
        <v>679</v>
      </c>
      <c r="BB315" s="442"/>
      <c r="BC315" s="442"/>
      <c r="BD315" s="442"/>
      <c r="BE315" s="444"/>
      <c r="BF315" s="442" t="s">
        <v>298</v>
      </c>
      <c r="BG315" s="442" t="s">
        <v>680</v>
      </c>
      <c r="BH315" s="442" t="s">
        <v>681</v>
      </c>
      <c r="BI315" s="442"/>
    </row>
    <row r="316" spans="1:61">
      <c r="A316" s="442" t="s">
        <v>753</v>
      </c>
      <c r="B316" s="442" t="s">
        <v>753</v>
      </c>
      <c r="C316" s="442" t="s">
        <v>753</v>
      </c>
      <c r="D316" s="442" t="s">
        <v>716</v>
      </c>
      <c r="E316" s="442" t="s">
        <v>3</v>
      </c>
      <c r="F316" s="443" t="s">
        <v>71</v>
      </c>
      <c r="G316" s="443" t="s">
        <v>719</v>
      </c>
      <c r="H316" s="444">
        <v>1155000</v>
      </c>
      <c r="I316" s="444">
        <v>1155000</v>
      </c>
      <c r="J316" s="444">
        <v>0</v>
      </c>
      <c r="K316" s="444">
        <v>0</v>
      </c>
      <c r="L316" s="444">
        <v>1050000</v>
      </c>
      <c r="M316" s="444">
        <v>0</v>
      </c>
      <c r="N316" s="444">
        <v>0</v>
      </c>
      <c r="O316" s="444">
        <v>105000</v>
      </c>
      <c r="P316" s="444">
        <v>0</v>
      </c>
      <c r="Q316" s="444">
        <v>0</v>
      </c>
      <c r="R316" s="444">
        <v>0</v>
      </c>
      <c r="S316" s="444">
        <v>0</v>
      </c>
      <c r="T316" s="444">
        <v>0</v>
      </c>
      <c r="U316" s="444">
        <v>0</v>
      </c>
      <c r="V316" s="444">
        <v>0</v>
      </c>
      <c r="W316" s="444">
        <v>0</v>
      </c>
      <c r="X316" s="442" t="s">
        <v>674</v>
      </c>
      <c r="Y316" s="442" t="s">
        <v>675</v>
      </c>
      <c r="Z316" s="442" t="s">
        <v>675</v>
      </c>
      <c r="AA316" s="442" t="s">
        <v>675</v>
      </c>
      <c r="AB316" s="442" t="s">
        <v>675</v>
      </c>
      <c r="AC316" s="442"/>
      <c r="AD316" s="442"/>
      <c r="AE316" s="442"/>
      <c r="AF316" s="442"/>
      <c r="AG316" s="443" t="s">
        <v>818</v>
      </c>
      <c r="AH316" s="442"/>
      <c r="AI316" s="443" t="s">
        <v>818</v>
      </c>
      <c r="AJ316" s="443" t="s">
        <v>819</v>
      </c>
      <c r="AK316" s="442" t="s">
        <v>677</v>
      </c>
      <c r="AL316" s="442"/>
      <c r="AM316" s="442"/>
      <c r="AN316" s="442"/>
      <c r="AO316" s="442"/>
      <c r="AP316" s="442"/>
      <c r="AQ316" s="442"/>
      <c r="AR316" s="444"/>
      <c r="AS316" s="442"/>
      <c r="AT316" s="444"/>
      <c r="AU316" s="442" t="s">
        <v>678</v>
      </c>
      <c r="AV316" s="442" t="s">
        <v>677</v>
      </c>
      <c r="AW316" s="442" t="s">
        <v>676</v>
      </c>
      <c r="AX316" s="442" t="s">
        <v>674</v>
      </c>
      <c r="AY316" s="442"/>
      <c r="AZ316" s="442"/>
      <c r="BA316" s="442" t="s">
        <v>679</v>
      </c>
      <c r="BB316" s="442"/>
      <c r="BC316" s="442"/>
      <c r="BD316" s="442"/>
      <c r="BE316" s="444"/>
      <c r="BF316" s="442" t="s">
        <v>298</v>
      </c>
      <c r="BG316" s="442" t="s">
        <v>680</v>
      </c>
      <c r="BH316" s="442" t="s">
        <v>681</v>
      </c>
      <c r="BI316" s="442"/>
    </row>
    <row r="317" spans="1:61">
      <c r="A317" s="442" t="s">
        <v>820</v>
      </c>
      <c r="B317" s="442" t="s">
        <v>821</v>
      </c>
      <c r="C317" s="442" t="s">
        <v>822</v>
      </c>
      <c r="D317" s="442" t="s">
        <v>716</v>
      </c>
      <c r="E317" s="442" t="s">
        <v>3</v>
      </c>
      <c r="F317" s="443" t="s">
        <v>83</v>
      </c>
      <c r="G317" s="443" t="s">
        <v>134</v>
      </c>
      <c r="H317" s="444">
        <v>265652200</v>
      </c>
      <c r="I317" s="444">
        <v>186772440</v>
      </c>
      <c r="J317" s="444">
        <v>0</v>
      </c>
      <c r="K317" s="444">
        <v>78879760</v>
      </c>
      <c r="L317" s="444">
        <v>169793128</v>
      </c>
      <c r="M317" s="444">
        <v>0</v>
      </c>
      <c r="N317" s="444">
        <v>71708872</v>
      </c>
      <c r="O317" s="444">
        <v>16979312</v>
      </c>
      <c r="P317" s="444">
        <v>0</v>
      </c>
      <c r="Q317" s="444">
        <v>7170888</v>
      </c>
      <c r="R317" s="444">
        <v>0</v>
      </c>
      <c r="S317" s="444">
        <v>0</v>
      </c>
      <c r="T317" s="444">
        <v>0</v>
      </c>
      <c r="U317" s="444">
        <v>0</v>
      </c>
      <c r="V317" s="444">
        <v>0</v>
      </c>
      <c r="W317" s="444">
        <v>0</v>
      </c>
      <c r="X317" s="442" t="s">
        <v>674</v>
      </c>
      <c r="Y317" s="442" t="s">
        <v>675</v>
      </c>
      <c r="Z317" s="442" t="s">
        <v>675</v>
      </c>
      <c r="AA317" s="442" t="s">
        <v>675</v>
      </c>
      <c r="AB317" s="442" t="s">
        <v>675</v>
      </c>
      <c r="AC317" s="442"/>
      <c r="AD317" s="442"/>
      <c r="AE317" s="442"/>
      <c r="AF317" s="442"/>
      <c r="AG317" s="443" t="s">
        <v>576</v>
      </c>
      <c r="AH317" s="442"/>
      <c r="AI317" s="443" t="s">
        <v>576</v>
      </c>
      <c r="AJ317" s="443" t="s">
        <v>823</v>
      </c>
      <c r="AK317" s="442" t="s">
        <v>677</v>
      </c>
      <c r="AL317" s="442"/>
      <c r="AM317" s="442"/>
      <c r="AN317" s="442"/>
      <c r="AO317" s="442"/>
      <c r="AP317" s="442"/>
      <c r="AQ317" s="442"/>
      <c r="AR317" s="444"/>
      <c r="AS317" s="442"/>
      <c r="AT317" s="444"/>
      <c r="AU317" s="442" t="s">
        <v>678</v>
      </c>
      <c r="AV317" s="442" t="s">
        <v>677</v>
      </c>
      <c r="AW317" s="442" t="s">
        <v>676</v>
      </c>
      <c r="AX317" s="442" t="s">
        <v>674</v>
      </c>
      <c r="AY317" s="442"/>
      <c r="AZ317" s="442"/>
      <c r="BA317" s="442" t="s">
        <v>679</v>
      </c>
      <c r="BB317" s="442"/>
      <c r="BC317" s="442"/>
      <c r="BD317" s="442"/>
      <c r="BE317" s="444"/>
      <c r="BF317" s="442" t="s">
        <v>298</v>
      </c>
      <c r="BG317" s="442" t="s">
        <v>680</v>
      </c>
      <c r="BH317" s="442" t="s">
        <v>681</v>
      </c>
      <c r="BI317" s="442"/>
    </row>
    <row r="318" spans="1:61">
      <c r="A318" s="442" t="s">
        <v>824</v>
      </c>
      <c r="B318" s="442" t="s">
        <v>824</v>
      </c>
      <c r="C318" s="442" t="s">
        <v>825</v>
      </c>
      <c r="D318" s="442" t="s">
        <v>673</v>
      </c>
      <c r="E318" s="442" t="s">
        <v>309</v>
      </c>
      <c r="F318" s="443" t="s">
        <v>309</v>
      </c>
      <c r="G318" s="443" t="s">
        <v>826</v>
      </c>
      <c r="H318" s="444">
        <v>7780000</v>
      </c>
      <c r="I318" s="444">
        <v>7780000</v>
      </c>
      <c r="J318" s="444">
        <v>0</v>
      </c>
      <c r="K318" s="444">
        <v>0</v>
      </c>
      <c r="L318" s="444">
        <v>7780000</v>
      </c>
      <c r="M318" s="444">
        <v>0</v>
      </c>
      <c r="N318" s="444">
        <v>0</v>
      </c>
      <c r="O318" s="444">
        <v>0</v>
      </c>
      <c r="P318" s="444">
        <v>0</v>
      </c>
      <c r="Q318" s="444">
        <v>0</v>
      </c>
      <c r="R318" s="444">
        <v>0</v>
      </c>
      <c r="S318" s="444">
        <v>0</v>
      </c>
      <c r="T318" s="444">
        <v>0</v>
      </c>
      <c r="U318" s="444">
        <v>0</v>
      </c>
      <c r="V318" s="444">
        <v>0</v>
      </c>
      <c r="W318" s="444">
        <v>0</v>
      </c>
      <c r="X318" s="442" t="s">
        <v>674</v>
      </c>
      <c r="Y318" s="442" t="s">
        <v>675</v>
      </c>
      <c r="Z318" s="442" t="s">
        <v>675</v>
      </c>
      <c r="AA318" s="442" t="s">
        <v>675</v>
      </c>
      <c r="AB318" s="442" t="s">
        <v>675</v>
      </c>
      <c r="AC318" s="442"/>
      <c r="AD318" s="442"/>
      <c r="AE318" s="442"/>
      <c r="AF318" s="442"/>
      <c r="AG318" s="443" t="s">
        <v>827</v>
      </c>
      <c r="AH318" s="442"/>
      <c r="AI318" s="443" t="s">
        <v>827</v>
      </c>
      <c r="AJ318" s="443" t="s">
        <v>677</v>
      </c>
      <c r="AK318" s="442" t="s">
        <v>677</v>
      </c>
      <c r="AL318" s="442"/>
      <c r="AM318" s="442"/>
      <c r="AN318" s="442"/>
      <c r="AO318" s="442"/>
      <c r="AP318" s="442"/>
      <c r="AQ318" s="442"/>
      <c r="AR318" s="444"/>
      <c r="AS318" s="442"/>
      <c r="AT318" s="444"/>
      <c r="AU318" s="442" t="s">
        <v>678</v>
      </c>
      <c r="AV318" s="442" t="s">
        <v>677</v>
      </c>
      <c r="AW318" s="442" t="s">
        <v>676</v>
      </c>
      <c r="AX318" s="442" t="s">
        <v>674</v>
      </c>
      <c r="AY318" s="442"/>
      <c r="AZ318" s="442"/>
      <c r="BA318" s="442" t="s">
        <v>679</v>
      </c>
      <c r="BB318" s="442"/>
      <c r="BC318" s="442"/>
      <c r="BD318" s="442"/>
      <c r="BE318" s="444"/>
      <c r="BF318" s="442" t="s">
        <v>298</v>
      </c>
      <c r="BG318" s="442" t="s">
        <v>680</v>
      </c>
      <c r="BH318" s="442" t="s">
        <v>681</v>
      </c>
      <c r="BI318" s="442"/>
    </row>
    <row r="319" spans="1:61">
      <c r="A319" s="442" t="s">
        <v>824</v>
      </c>
      <c r="B319" s="442" t="s">
        <v>824</v>
      </c>
      <c r="C319" s="442" t="s">
        <v>825</v>
      </c>
      <c r="D319" s="442" t="s">
        <v>673</v>
      </c>
      <c r="E319" s="442" t="s">
        <v>309</v>
      </c>
      <c r="F319" s="443" t="s">
        <v>309</v>
      </c>
      <c r="G319" s="443" t="s">
        <v>826</v>
      </c>
      <c r="H319" s="444">
        <v>62240000</v>
      </c>
      <c r="I319" s="444">
        <v>62240000</v>
      </c>
      <c r="J319" s="444">
        <v>0</v>
      </c>
      <c r="K319" s="444">
        <v>0</v>
      </c>
      <c r="L319" s="444">
        <v>62240000</v>
      </c>
      <c r="M319" s="444">
        <v>0</v>
      </c>
      <c r="N319" s="444">
        <v>0</v>
      </c>
      <c r="O319" s="444">
        <v>0</v>
      </c>
      <c r="P319" s="444">
        <v>0</v>
      </c>
      <c r="Q319" s="444">
        <v>0</v>
      </c>
      <c r="R319" s="444">
        <v>0</v>
      </c>
      <c r="S319" s="444">
        <v>0</v>
      </c>
      <c r="T319" s="444">
        <v>0</v>
      </c>
      <c r="U319" s="444">
        <v>0</v>
      </c>
      <c r="V319" s="444">
        <v>0</v>
      </c>
      <c r="W319" s="444">
        <v>0</v>
      </c>
      <c r="X319" s="442" t="s">
        <v>674</v>
      </c>
      <c r="Y319" s="442" t="s">
        <v>675</v>
      </c>
      <c r="Z319" s="442" t="s">
        <v>675</v>
      </c>
      <c r="AA319" s="442" t="s">
        <v>675</v>
      </c>
      <c r="AB319" s="442" t="s">
        <v>675</v>
      </c>
      <c r="AC319" s="442"/>
      <c r="AD319" s="442"/>
      <c r="AE319" s="442"/>
      <c r="AF319" s="442"/>
      <c r="AG319" s="443" t="s">
        <v>827</v>
      </c>
      <c r="AH319" s="442"/>
      <c r="AI319" s="443" t="s">
        <v>827</v>
      </c>
      <c r="AJ319" s="443" t="s">
        <v>677</v>
      </c>
      <c r="AK319" s="442" t="s">
        <v>677</v>
      </c>
      <c r="AL319" s="442"/>
      <c r="AM319" s="442"/>
      <c r="AN319" s="442"/>
      <c r="AO319" s="442"/>
      <c r="AP319" s="442"/>
      <c r="AQ319" s="442"/>
      <c r="AR319" s="444"/>
      <c r="AS319" s="442"/>
      <c r="AT319" s="444"/>
      <c r="AU319" s="442" t="s">
        <v>678</v>
      </c>
      <c r="AV319" s="442" t="s">
        <v>677</v>
      </c>
      <c r="AW319" s="442" t="s">
        <v>676</v>
      </c>
      <c r="AX319" s="442" t="s">
        <v>674</v>
      </c>
      <c r="AY319" s="442"/>
      <c r="AZ319" s="442"/>
      <c r="BA319" s="442" t="s">
        <v>679</v>
      </c>
      <c r="BB319" s="442"/>
      <c r="BC319" s="442"/>
      <c r="BD319" s="442"/>
      <c r="BE319" s="444"/>
      <c r="BF319" s="442" t="s">
        <v>298</v>
      </c>
      <c r="BG319" s="442" t="s">
        <v>680</v>
      </c>
      <c r="BH319" s="442" t="s">
        <v>681</v>
      </c>
      <c r="BI319" s="442"/>
    </row>
    <row r="320" spans="1:61">
      <c r="A320" s="442" t="s">
        <v>824</v>
      </c>
      <c r="B320" s="442" t="s">
        <v>824</v>
      </c>
      <c r="C320" s="442" t="s">
        <v>825</v>
      </c>
      <c r="D320" s="442" t="s">
        <v>673</v>
      </c>
      <c r="E320" s="442" t="s">
        <v>309</v>
      </c>
      <c r="F320" s="443" t="s">
        <v>309</v>
      </c>
      <c r="G320" s="443" t="s">
        <v>826</v>
      </c>
      <c r="H320" s="444">
        <v>85580000</v>
      </c>
      <c r="I320" s="444">
        <v>85580000</v>
      </c>
      <c r="J320" s="444">
        <v>0</v>
      </c>
      <c r="K320" s="444">
        <v>0</v>
      </c>
      <c r="L320" s="444">
        <v>85580000</v>
      </c>
      <c r="M320" s="444">
        <v>0</v>
      </c>
      <c r="N320" s="444">
        <v>0</v>
      </c>
      <c r="O320" s="444">
        <v>0</v>
      </c>
      <c r="P320" s="444">
        <v>0</v>
      </c>
      <c r="Q320" s="444">
        <v>0</v>
      </c>
      <c r="R320" s="444">
        <v>0</v>
      </c>
      <c r="S320" s="444">
        <v>0</v>
      </c>
      <c r="T320" s="444">
        <v>0</v>
      </c>
      <c r="U320" s="444">
        <v>0</v>
      </c>
      <c r="V320" s="444">
        <v>0</v>
      </c>
      <c r="W320" s="444">
        <v>0</v>
      </c>
      <c r="X320" s="442" t="s">
        <v>674</v>
      </c>
      <c r="Y320" s="442" t="s">
        <v>675</v>
      </c>
      <c r="Z320" s="442" t="s">
        <v>675</v>
      </c>
      <c r="AA320" s="442" t="s">
        <v>675</v>
      </c>
      <c r="AB320" s="442" t="s">
        <v>675</v>
      </c>
      <c r="AC320" s="442"/>
      <c r="AD320" s="442"/>
      <c r="AE320" s="442"/>
      <c r="AF320" s="442"/>
      <c r="AG320" s="443" t="s">
        <v>827</v>
      </c>
      <c r="AH320" s="442"/>
      <c r="AI320" s="443" t="s">
        <v>827</v>
      </c>
      <c r="AJ320" s="443" t="s">
        <v>677</v>
      </c>
      <c r="AK320" s="442" t="s">
        <v>677</v>
      </c>
      <c r="AL320" s="442"/>
      <c r="AM320" s="442"/>
      <c r="AN320" s="442"/>
      <c r="AO320" s="442"/>
      <c r="AP320" s="442"/>
      <c r="AQ320" s="442"/>
      <c r="AR320" s="444"/>
      <c r="AS320" s="442"/>
      <c r="AT320" s="444"/>
      <c r="AU320" s="442" t="s">
        <v>678</v>
      </c>
      <c r="AV320" s="442" t="s">
        <v>677</v>
      </c>
      <c r="AW320" s="442" t="s">
        <v>676</v>
      </c>
      <c r="AX320" s="442" t="s">
        <v>674</v>
      </c>
      <c r="AY320" s="442"/>
      <c r="AZ320" s="442"/>
      <c r="BA320" s="442" t="s">
        <v>679</v>
      </c>
      <c r="BB320" s="442"/>
      <c r="BC320" s="442"/>
      <c r="BD320" s="442"/>
      <c r="BE320" s="444"/>
      <c r="BF320" s="442" t="s">
        <v>298</v>
      </c>
      <c r="BG320" s="442" t="s">
        <v>680</v>
      </c>
      <c r="BH320" s="442" t="s">
        <v>681</v>
      </c>
      <c r="BI320" s="442"/>
    </row>
    <row r="321" spans="1:61">
      <c r="A321" s="442" t="s">
        <v>828</v>
      </c>
      <c r="B321" s="442" t="s">
        <v>682</v>
      </c>
      <c r="C321" s="442" t="s">
        <v>723</v>
      </c>
      <c r="D321" s="442" t="s">
        <v>724</v>
      </c>
      <c r="E321" s="442" t="s">
        <v>3</v>
      </c>
      <c r="F321" s="443" t="s">
        <v>83</v>
      </c>
      <c r="G321" s="443" t="s">
        <v>829</v>
      </c>
      <c r="H321" s="444">
        <v>5100</v>
      </c>
      <c r="I321" s="444">
        <v>5100</v>
      </c>
      <c r="J321" s="444">
        <v>0</v>
      </c>
      <c r="K321" s="444">
        <v>0</v>
      </c>
      <c r="L321" s="444">
        <v>4637</v>
      </c>
      <c r="M321" s="444">
        <v>0</v>
      </c>
      <c r="N321" s="444">
        <v>0</v>
      </c>
      <c r="O321" s="444">
        <v>463</v>
      </c>
      <c r="P321" s="444">
        <v>0</v>
      </c>
      <c r="Q321" s="444">
        <v>0</v>
      </c>
      <c r="R321" s="444">
        <v>0</v>
      </c>
      <c r="S321" s="444">
        <v>0</v>
      </c>
      <c r="T321" s="444">
        <v>0</v>
      </c>
      <c r="U321" s="444">
        <v>0</v>
      </c>
      <c r="V321" s="444">
        <v>0</v>
      </c>
      <c r="W321" s="444">
        <v>0</v>
      </c>
      <c r="X321" s="442" t="s">
        <v>674</v>
      </c>
      <c r="Y321" s="442" t="s">
        <v>675</v>
      </c>
      <c r="Z321" s="442" t="s">
        <v>675</v>
      </c>
      <c r="AA321" s="442" t="s">
        <v>675</v>
      </c>
      <c r="AB321" s="442" t="s">
        <v>675</v>
      </c>
      <c r="AC321" s="442"/>
      <c r="AD321" s="442"/>
      <c r="AE321" s="442"/>
      <c r="AF321" s="442"/>
      <c r="AG321" s="443" t="s">
        <v>558</v>
      </c>
      <c r="AH321" s="442"/>
      <c r="AI321" s="443" t="s">
        <v>558</v>
      </c>
      <c r="AJ321" s="443" t="s">
        <v>830</v>
      </c>
      <c r="AK321" s="442" t="s">
        <v>677</v>
      </c>
      <c r="AL321" s="442"/>
      <c r="AM321" s="442" t="s">
        <v>726</v>
      </c>
      <c r="AN321" s="442" t="s">
        <v>831</v>
      </c>
      <c r="AO321" s="442" t="s">
        <v>828</v>
      </c>
      <c r="AP321" s="442" t="s">
        <v>832</v>
      </c>
      <c r="AQ321" s="442" t="s">
        <v>729</v>
      </c>
      <c r="AR321" s="444">
        <v>5100</v>
      </c>
      <c r="AS321" s="442" t="s">
        <v>675</v>
      </c>
      <c r="AT321" s="444">
        <v>0</v>
      </c>
      <c r="AU321" s="442" t="s">
        <v>678</v>
      </c>
      <c r="AV321" s="442" t="s">
        <v>677</v>
      </c>
      <c r="AW321" s="442" t="s">
        <v>676</v>
      </c>
      <c r="AX321" s="442" t="s">
        <v>674</v>
      </c>
      <c r="AY321" s="442"/>
      <c r="AZ321" s="442"/>
      <c r="BA321" s="442" t="s">
        <v>679</v>
      </c>
      <c r="BB321" s="442"/>
      <c r="BC321" s="442"/>
      <c r="BD321" s="442"/>
      <c r="BE321" s="444"/>
      <c r="BF321" s="442" t="s">
        <v>298</v>
      </c>
      <c r="BG321" s="442" t="s">
        <v>680</v>
      </c>
      <c r="BH321" s="442" t="s">
        <v>681</v>
      </c>
      <c r="BI321" s="442"/>
    </row>
    <row r="322" spans="1:61">
      <c r="A322" s="442" t="s">
        <v>828</v>
      </c>
      <c r="B322" s="442" t="s">
        <v>821</v>
      </c>
      <c r="C322" s="442" t="s">
        <v>822</v>
      </c>
      <c r="D322" s="442" t="s">
        <v>724</v>
      </c>
      <c r="E322" s="442" t="s">
        <v>3</v>
      </c>
      <c r="F322" s="443" t="s">
        <v>83</v>
      </c>
      <c r="G322" s="443" t="s">
        <v>829</v>
      </c>
      <c r="H322" s="444">
        <v>371600</v>
      </c>
      <c r="I322" s="444">
        <v>311571</v>
      </c>
      <c r="J322" s="444">
        <v>0</v>
      </c>
      <c r="K322" s="444">
        <v>60029</v>
      </c>
      <c r="L322" s="444">
        <v>283248</v>
      </c>
      <c r="M322" s="444">
        <v>0</v>
      </c>
      <c r="N322" s="444">
        <v>54571</v>
      </c>
      <c r="O322" s="444">
        <v>28323</v>
      </c>
      <c r="P322" s="444">
        <v>0</v>
      </c>
      <c r="Q322" s="444">
        <v>5458</v>
      </c>
      <c r="R322" s="444">
        <v>0</v>
      </c>
      <c r="S322" s="444">
        <v>0</v>
      </c>
      <c r="T322" s="444">
        <v>0</v>
      </c>
      <c r="U322" s="444">
        <v>0</v>
      </c>
      <c r="V322" s="444">
        <v>0</v>
      </c>
      <c r="W322" s="444">
        <v>0</v>
      </c>
      <c r="X322" s="442" t="s">
        <v>674</v>
      </c>
      <c r="Y322" s="442" t="s">
        <v>675</v>
      </c>
      <c r="Z322" s="442" t="s">
        <v>675</v>
      </c>
      <c r="AA322" s="442" t="s">
        <v>675</v>
      </c>
      <c r="AB322" s="442" t="s">
        <v>675</v>
      </c>
      <c r="AC322" s="442"/>
      <c r="AD322" s="442"/>
      <c r="AE322" s="442"/>
      <c r="AF322" s="442"/>
      <c r="AG322" s="443" t="s">
        <v>575</v>
      </c>
      <c r="AH322" s="442"/>
      <c r="AI322" s="443" t="s">
        <v>575</v>
      </c>
      <c r="AJ322" s="443" t="s">
        <v>833</v>
      </c>
      <c r="AK322" s="442" t="s">
        <v>677</v>
      </c>
      <c r="AL322" s="442"/>
      <c r="AM322" s="442" t="s">
        <v>763</v>
      </c>
      <c r="AN322" s="442" t="s">
        <v>834</v>
      </c>
      <c r="AO322" s="442" t="s">
        <v>828</v>
      </c>
      <c r="AP322" s="442" t="s">
        <v>825</v>
      </c>
      <c r="AQ322" s="442" t="s">
        <v>835</v>
      </c>
      <c r="AR322" s="444">
        <v>371600</v>
      </c>
      <c r="AS322" s="442" t="s">
        <v>675</v>
      </c>
      <c r="AT322" s="444">
        <v>0</v>
      </c>
      <c r="AU322" s="442" t="s">
        <v>678</v>
      </c>
      <c r="AV322" s="442" t="s">
        <v>677</v>
      </c>
      <c r="AW322" s="442" t="s">
        <v>676</v>
      </c>
      <c r="AX322" s="442" t="s">
        <v>674</v>
      </c>
      <c r="AY322" s="442"/>
      <c r="AZ322" s="442"/>
      <c r="BA322" s="442" t="s">
        <v>679</v>
      </c>
      <c r="BB322" s="442"/>
      <c r="BC322" s="442"/>
      <c r="BD322" s="442"/>
      <c r="BE322" s="444"/>
      <c r="BF322" s="442" t="s">
        <v>298</v>
      </c>
      <c r="BG322" s="442" t="s">
        <v>680</v>
      </c>
      <c r="BH322" s="442" t="s">
        <v>681</v>
      </c>
      <c r="BI322" s="442"/>
    </row>
    <row r="323" spans="1:61">
      <c r="A323" s="442" t="s">
        <v>836</v>
      </c>
      <c r="B323" s="442" t="s">
        <v>836</v>
      </c>
      <c r="C323" s="442" t="s">
        <v>837</v>
      </c>
      <c r="D323" s="442" t="s">
        <v>673</v>
      </c>
      <c r="E323" s="442" t="s">
        <v>3</v>
      </c>
      <c r="F323" s="443" t="s">
        <v>83</v>
      </c>
      <c r="G323" s="443" t="s">
        <v>700</v>
      </c>
      <c r="H323" s="444">
        <v>1824000</v>
      </c>
      <c r="I323" s="444">
        <v>1824000</v>
      </c>
      <c r="J323" s="444">
        <v>0</v>
      </c>
      <c r="K323" s="444">
        <v>0</v>
      </c>
      <c r="L323" s="444">
        <v>1824000</v>
      </c>
      <c r="M323" s="444">
        <v>0</v>
      </c>
      <c r="N323" s="444">
        <v>0</v>
      </c>
      <c r="O323" s="444">
        <v>0</v>
      </c>
      <c r="P323" s="444">
        <v>0</v>
      </c>
      <c r="Q323" s="444">
        <v>0</v>
      </c>
      <c r="R323" s="444">
        <v>0</v>
      </c>
      <c r="S323" s="444">
        <v>0</v>
      </c>
      <c r="T323" s="444">
        <v>0</v>
      </c>
      <c r="U323" s="444">
        <v>0</v>
      </c>
      <c r="V323" s="444">
        <v>0</v>
      </c>
      <c r="W323" s="444">
        <v>0</v>
      </c>
      <c r="X323" s="442" t="s">
        <v>674</v>
      </c>
      <c r="Y323" s="442" t="s">
        <v>675</v>
      </c>
      <c r="Z323" s="442" t="s">
        <v>675</v>
      </c>
      <c r="AA323" s="442" t="s">
        <v>675</v>
      </c>
      <c r="AB323" s="442" t="s">
        <v>675</v>
      </c>
      <c r="AC323" s="442"/>
      <c r="AD323" s="442"/>
      <c r="AE323" s="442"/>
      <c r="AF323" s="442"/>
      <c r="AG323" s="443" t="s">
        <v>838</v>
      </c>
      <c r="AH323" s="442"/>
      <c r="AI323" s="443" t="s">
        <v>838</v>
      </c>
      <c r="AJ323" s="443" t="s">
        <v>677</v>
      </c>
      <c r="AK323" s="442" t="s">
        <v>677</v>
      </c>
      <c r="AL323" s="442"/>
      <c r="AM323" s="442"/>
      <c r="AN323" s="442"/>
      <c r="AO323" s="442"/>
      <c r="AP323" s="442"/>
      <c r="AQ323" s="442"/>
      <c r="AR323" s="444"/>
      <c r="AS323" s="442"/>
      <c r="AT323" s="444"/>
      <c r="AU323" s="442" t="s">
        <v>678</v>
      </c>
      <c r="AV323" s="442" t="s">
        <v>677</v>
      </c>
      <c r="AW323" s="442" t="s">
        <v>676</v>
      </c>
      <c r="AX323" s="442" t="s">
        <v>674</v>
      </c>
      <c r="AY323" s="442"/>
      <c r="AZ323" s="442"/>
      <c r="BA323" s="442" t="s">
        <v>679</v>
      </c>
      <c r="BB323" s="442"/>
      <c r="BC323" s="442"/>
      <c r="BD323" s="442"/>
      <c r="BE323" s="444"/>
      <c r="BF323" s="442" t="s">
        <v>298</v>
      </c>
      <c r="BG323" s="442" t="s">
        <v>680</v>
      </c>
      <c r="BH323" s="442" t="s">
        <v>681</v>
      </c>
      <c r="BI323" s="442"/>
    </row>
    <row r="324" spans="1:61">
      <c r="A324" s="442" t="s">
        <v>836</v>
      </c>
      <c r="B324" s="442" t="s">
        <v>836</v>
      </c>
      <c r="C324" s="442" t="s">
        <v>837</v>
      </c>
      <c r="D324" s="442" t="s">
        <v>673</v>
      </c>
      <c r="E324" s="442" t="s">
        <v>3</v>
      </c>
      <c r="F324" s="443" t="s">
        <v>83</v>
      </c>
      <c r="G324" s="443" t="s">
        <v>700</v>
      </c>
      <c r="H324" s="444">
        <v>176000</v>
      </c>
      <c r="I324" s="444">
        <v>176000</v>
      </c>
      <c r="J324" s="444">
        <v>0</v>
      </c>
      <c r="K324" s="444">
        <v>0</v>
      </c>
      <c r="L324" s="444">
        <v>176000</v>
      </c>
      <c r="M324" s="444">
        <v>0</v>
      </c>
      <c r="N324" s="444">
        <v>0</v>
      </c>
      <c r="O324" s="444">
        <v>0</v>
      </c>
      <c r="P324" s="444">
        <v>0</v>
      </c>
      <c r="Q324" s="444">
        <v>0</v>
      </c>
      <c r="R324" s="444">
        <v>0</v>
      </c>
      <c r="S324" s="444">
        <v>0</v>
      </c>
      <c r="T324" s="444">
        <v>0</v>
      </c>
      <c r="U324" s="444">
        <v>0</v>
      </c>
      <c r="V324" s="444">
        <v>0</v>
      </c>
      <c r="W324" s="444">
        <v>0</v>
      </c>
      <c r="X324" s="442" t="s">
        <v>674</v>
      </c>
      <c r="Y324" s="442" t="s">
        <v>675</v>
      </c>
      <c r="Z324" s="442" t="s">
        <v>675</v>
      </c>
      <c r="AA324" s="442" t="s">
        <v>675</v>
      </c>
      <c r="AB324" s="442" t="s">
        <v>675</v>
      </c>
      <c r="AC324" s="442"/>
      <c r="AD324" s="442"/>
      <c r="AE324" s="442"/>
      <c r="AF324" s="442"/>
      <c r="AG324" s="443" t="s">
        <v>839</v>
      </c>
      <c r="AH324" s="442"/>
      <c r="AI324" s="443" t="s">
        <v>839</v>
      </c>
      <c r="AJ324" s="443" t="s">
        <v>677</v>
      </c>
      <c r="AK324" s="442" t="s">
        <v>677</v>
      </c>
      <c r="AL324" s="442"/>
      <c r="AM324" s="442"/>
      <c r="AN324" s="442"/>
      <c r="AO324" s="442"/>
      <c r="AP324" s="442"/>
      <c r="AQ324" s="442"/>
      <c r="AR324" s="444"/>
      <c r="AS324" s="442"/>
      <c r="AT324" s="444"/>
      <c r="AU324" s="442" t="s">
        <v>678</v>
      </c>
      <c r="AV324" s="442" t="s">
        <v>677</v>
      </c>
      <c r="AW324" s="442" t="s">
        <v>676</v>
      </c>
      <c r="AX324" s="442" t="s">
        <v>674</v>
      </c>
      <c r="AY324" s="442"/>
      <c r="AZ324" s="442"/>
      <c r="BA324" s="442" t="s">
        <v>679</v>
      </c>
      <c r="BB324" s="442"/>
      <c r="BC324" s="442"/>
      <c r="BD324" s="442"/>
      <c r="BE324" s="444"/>
      <c r="BF324" s="442" t="s">
        <v>298</v>
      </c>
      <c r="BG324" s="442" t="s">
        <v>680</v>
      </c>
      <c r="BH324" s="442" t="s">
        <v>681</v>
      </c>
      <c r="BI324" s="442"/>
    </row>
    <row r="325" spans="1:61">
      <c r="A325" s="442" t="s">
        <v>840</v>
      </c>
      <c r="B325" s="442" t="s">
        <v>805</v>
      </c>
      <c r="C325" s="442" t="s">
        <v>806</v>
      </c>
      <c r="D325" s="442" t="s">
        <v>716</v>
      </c>
      <c r="E325" s="442" t="s">
        <v>3</v>
      </c>
      <c r="F325" s="443" t="s">
        <v>71</v>
      </c>
      <c r="G325" s="443" t="s">
        <v>719</v>
      </c>
      <c r="H325" s="444">
        <v>1531200</v>
      </c>
      <c r="I325" s="444">
        <v>1531200</v>
      </c>
      <c r="J325" s="444">
        <v>0</v>
      </c>
      <c r="K325" s="444">
        <v>0</v>
      </c>
      <c r="L325" s="444">
        <v>1392000</v>
      </c>
      <c r="M325" s="444">
        <v>0</v>
      </c>
      <c r="N325" s="444">
        <v>0</v>
      </c>
      <c r="O325" s="444">
        <v>139200</v>
      </c>
      <c r="P325" s="444">
        <v>0</v>
      </c>
      <c r="Q325" s="444">
        <v>0</v>
      </c>
      <c r="R325" s="444">
        <v>0</v>
      </c>
      <c r="S325" s="444">
        <v>0</v>
      </c>
      <c r="T325" s="444">
        <v>0</v>
      </c>
      <c r="U325" s="444">
        <v>0</v>
      </c>
      <c r="V325" s="444">
        <v>0</v>
      </c>
      <c r="W325" s="444">
        <v>0</v>
      </c>
      <c r="X325" s="442" t="s">
        <v>674</v>
      </c>
      <c r="Y325" s="442" t="s">
        <v>675</v>
      </c>
      <c r="Z325" s="442" t="s">
        <v>675</v>
      </c>
      <c r="AA325" s="442" t="s">
        <v>675</v>
      </c>
      <c r="AB325" s="442" t="s">
        <v>675</v>
      </c>
      <c r="AC325" s="442"/>
      <c r="AD325" s="442"/>
      <c r="AE325" s="442"/>
      <c r="AF325" s="442"/>
      <c r="AG325" s="443" t="s">
        <v>841</v>
      </c>
      <c r="AH325" s="442"/>
      <c r="AI325" s="443" t="s">
        <v>841</v>
      </c>
      <c r="AJ325" s="443" t="s">
        <v>842</v>
      </c>
      <c r="AK325" s="442" t="s">
        <v>677</v>
      </c>
      <c r="AL325" s="442"/>
      <c r="AM325" s="442"/>
      <c r="AN325" s="442"/>
      <c r="AO325" s="442"/>
      <c r="AP325" s="442"/>
      <c r="AQ325" s="442"/>
      <c r="AR325" s="444"/>
      <c r="AS325" s="442"/>
      <c r="AT325" s="444"/>
      <c r="AU325" s="442" t="s">
        <v>678</v>
      </c>
      <c r="AV325" s="442" t="s">
        <v>677</v>
      </c>
      <c r="AW325" s="442" t="s">
        <v>676</v>
      </c>
      <c r="AX325" s="442" t="s">
        <v>674</v>
      </c>
      <c r="AY325" s="442"/>
      <c r="AZ325" s="442"/>
      <c r="BA325" s="442" t="s">
        <v>679</v>
      </c>
      <c r="BB325" s="442"/>
      <c r="BC325" s="442"/>
      <c r="BD325" s="442"/>
      <c r="BE325" s="444"/>
      <c r="BF325" s="442" t="s">
        <v>298</v>
      </c>
      <c r="BG325" s="442" t="s">
        <v>680</v>
      </c>
      <c r="BH325" s="442" t="s">
        <v>681</v>
      </c>
      <c r="BI325" s="442"/>
    </row>
    <row r="326" spans="1:61">
      <c r="A326" s="442" t="s">
        <v>843</v>
      </c>
      <c r="B326" s="442" t="s">
        <v>843</v>
      </c>
      <c r="C326" s="442" t="s">
        <v>843</v>
      </c>
      <c r="D326" s="442" t="s">
        <v>673</v>
      </c>
      <c r="E326" s="442" t="s">
        <v>3</v>
      </c>
      <c r="F326" s="443" t="s">
        <v>83</v>
      </c>
      <c r="G326" s="443" t="s">
        <v>700</v>
      </c>
      <c r="H326" s="444">
        <v>73333</v>
      </c>
      <c r="I326" s="444">
        <v>73333</v>
      </c>
      <c r="J326" s="444">
        <v>0</v>
      </c>
      <c r="K326" s="444">
        <v>0</v>
      </c>
      <c r="L326" s="444">
        <v>73333</v>
      </c>
      <c r="M326" s="444">
        <v>0</v>
      </c>
      <c r="N326" s="444">
        <v>0</v>
      </c>
      <c r="O326" s="444">
        <v>0</v>
      </c>
      <c r="P326" s="444">
        <v>0</v>
      </c>
      <c r="Q326" s="444">
        <v>0</v>
      </c>
      <c r="R326" s="444">
        <v>0</v>
      </c>
      <c r="S326" s="444">
        <v>0</v>
      </c>
      <c r="T326" s="444">
        <v>0</v>
      </c>
      <c r="U326" s="444">
        <v>0</v>
      </c>
      <c r="V326" s="444">
        <v>0</v>
      </c>
      <c r="W326" s="444">
        <v>0</v>
      </c>
      <c r="X326" s="442" t="s">
        <v>674</v>
      </c>
      <c r="Y326" s="442" t="s">
        <v>675</v>
      </c>
      <c r="Z326" s="442" t="s">
        <v>675</v>
      </c>
      <c r="AA326" s="442" t="s">
        <v>675</v>
      </c>
      <c r="AB326" s="442" t="s">
        <v>675</v>
      </c>
      <c r="AC326" s="442"/>
      <c r="AD326" s="442"/>
      <c r="AE326" s="442"/>
      <c r="AF326" s="442"/>
      <c r="AG326" s="443" t="s">
        <v>844</v>
      </c>
      <c r="AH326" s="442"/>
      <c r="AI326" s="443" t="s">
        <v>844</v>
      </c>
      <c r="AJ326" s="443" t="s">
        <v>677</v>
      </c>
      <c r="AK326" s="442" t="s">
        <v>677</v>
      </c>
      <c r="AL326" s="442"/>
      <c r="AM326" s="442"/>
      <c r="AN326" s="442"/>
      <c r="AO326" s="442"/>
      <c r="AP326" s="442"/>
      <c r="AQ326" s="442"/>
      <c r="AR326" s="444"/>
      <c r="AS326" s="442"/>
      <c r="AT326" s="444"/>
      <c r="AU326" s="442" t="s">
        <v>678</v>
      </c>
      <c r="AV326" s="442" t="s">
        <v>677</v>
      </c>
      <c r="AW326" s="442" t="s">
        <v>676</v>
      </c>
      <c r="AX326" s="442" t="s">
        <v>674</v>
      </c>
      <c r="AY326" s="442"/>
      <c r="AZ326" s="442"/>
      <c r="BA326" s="442" t="s">
        <v>679</v>
      </c>
      <c r="BB326" s="442"/>
      <c r="BC326" s="442"/>
      <c r="BD326" s="442"/>
      <c r="BE326" s="444"/>
      <c r="BF326" s="442" t="s">
        <v>298</v>
      </c>
      <c r="BG326" s="442" t="s">
        <v>680</v>
      </c>
      <c r="BH326" s="442" t="s">
        <v>681</v>
      </c>
      <c r="BI326" s="442"/>
    </row>
    <row r="327" spans="1:61">
      <c r="A327" s="442" t="s">
        <v>843</v>
      </c>
      <c r="B327" s="442" t="s">
        <v>843</v>
      </c>
      <c r="C327" s="442" t="s">
        <v>843</v>
      </c>
      <c r="D327" s="442" t="s">
        <v>673</v>
      </c>
      <c r="E327" s="442" t="s">
        <v>3</v>
      </c>
      <c r="F327" s="443" t="s">
        <v>83</v>
      </c>
      <c r="G327" s="443" t="s">
        <v>700</v>
      </c>
      <c r="H327" s="444">
        <v>73333</v>
      </c>
      <c r="I327" s="444">
        <v>73333</v>
      </c>
      <c r="J327" s="444">
        <v>0</v>
      </c>
      <c r="K327" s="444">
        <v>0</v>
      </c>
      <c r="L327" s="444">
        <v>73333</v>
      </c>
      <c r="M327" s="444">
        <v>0</v>
      </c>
      <c r="N327" s="444">
        <v>0</v>
      </c>
      <c r="O327" s="444">
        <v>0</v>
      </c>
      <c r="P327" s="444">
        <v>0</v>
      </c>
      <c r="Q327" s="444">
        <v>0</v>
      </c>
      <c r="R327" s="444">
        <v>0</v>
      </c>
      <c r="S327" s="444">
        <v>0</v>
      </c>
      <c r="T327" s="444">
        <v>0</v>
      </c>
      <c r="U327" s="444">
        <v>0</v>
      </c>
      <c r="V327" s="444">
        <v>0</v>
      </c>
      <c r="W327" s="444">
        <v>0</v>
      </c>
      <c r="X327" s="442" t="s">
        <v>674</v>
      </c>
      <c r="Y327" s="442" t="s">
        <v>675</v>
      </c>
      <c r="Z327" s="442" t="s">
        <v>675</v>
      </c>
      <c r="AA327" s="442" t="s">
        <v>675</v>
      </c>
      <c r="AB327" s="442" t="s">
        <v>675</v>
      </c>
      <c r="AC327" s="442"/>
      <c r="AD327" s="442"/>
      <c r="AE327" s="442"/>
      <c r="AF327" s="442"/>
      <c r="AG327" s="443" t="s">
        <v>844</v>
      </c>
      <c r="AH327" s="442"/>
      <c r="AI327" s="443" t="s">
        <v>844</v>
      </c>
      <c r="AJ327" s="443" t="s">
        <v>677</v>
      </c>
      <c r="AK327" s="442" t="s">
        <v>677</v>
      </c>
      <c r="AL327" s="442"/>
      <c r="AM327" s="442"/>
      <c r="AN327" s="442"/>
      <c r="AO327" s="442"/>
      <c r="AP327" s="442"/>
      <c r="AQ327" s="442"/>
      <c r="AR327" s="444"/>
      <c r="AS327" s="442"/>
      <c r="AT327" s="444"/>
      <c r="AU327" s="442" t="s">
        <v>678</v>
      </c>
      <c r="AV327" s="442" t="s">
        <v>677</v>
      </c>
      <c r="AW327" s="442" t="s">
        <v>676</v>
      </c>
      <c r="AX327" s="442" t="s">
        <v>674</v>
      </c>
      <c r="AY327" s="442"/>
      <c r="AZ327" s="442"/>
      <c r="BA327" s="442" t="s">
        <v>679</v>
      </c>
      <c r="BB327" s="442"/>
      <c r="BC327" s="442"/>
      <c r="BD327" s="442"/>
      <c r="BE327" s="444"/>
      <c r="BF327" s="442" t="s">
        <v>298</v>
      </c>
      <c r="BG327" s="442" t="s">
        <v>680</v>
      </c>
      <c r="BH327" s="442" t="s">
        <v>681</v>
      </c>
      <c r="BI327" s="442"/>
    </row>
    <row r="328" spans="1:61">
      <c r="A328" s="442" t="s">
        <v>843</v>
      </c>
      <c r="B328" s="442" t="s">
        <v>843</v>
      </c>
      <c r="C328" s="442" t="s">
        <v>843</v>
      </c>
      <c r="D328" s="442" t="s">
        <v>673</v>
      </c>
      <c r="E328" s="442" t="s">
        <v>3</v>
      </c>
      <c r="F328" s="443" t="s">
        <v>83</v>
      </c>
      <c r="G328" s="443" t="s">
        <v>700</v>
      </c>
      <c r="H328" s="444">
        <v>73334</v>
      </c>
      <c r="I328" s="444">
        <v>73334</v>
      </c>
      <c r="J328" s="444">
        <v>0</v>
      </c>
      <c r="K328" s="444">
        <v>0</v>
      </c>
      <c r="L328" s="444">
        <v>73334</v>
      </c>
      <c r="M328" s="444">
        <v>0</v>
      </c>
      <c r="N328" s="444">
        <v>0</v>
      </c>
      <c r="O328" s="444">
        <v>0</v>
      </c>
      <c r="P328" s="444">
        <v>0</v>
      </c>
      <c r="Q328" s="444">
        <v>0</v>
      </c>
      <c r="R328" s="444">
        <v>0</v>
      </c>
      <c r="S328" s="444">
        <v>0</v>
      </c>
      <c r="T328" s="444">
        <v>0</v>
      </c>
      <c r="U328" s="444">
        <v>0</v>
      </c>
      <c r="V328" s="444">
        <v>0</v>
      </c>
      <c r="W328" s="444">
        <v>0</v>
      </c>
      <c r="X328" s="442" t="s">
        <v>674</v>
      </c>
      <c r="Y328" s="442" t="s">
        <v>675</v>
      </c>
      <c r="Z328" s="442" t="s">
        <v>675</v>
      </c>
      <c r="AA328" s="442" t="s">
        <v>675</v>
      </c>
      <c r="AB328" s="442" t="s">
        <v>675</v>
      </c>
      <c r="AC328" s="442"/>
      <c r="AD328" s="442"/>
      <c r="AE328" s="442"/>
      <c r="AF328" s="442"/>
      <c r="AG328" s="443" t="s">
        <v>844</v>
      </c>
      <c r="AH328" s="442"/>
      <c r="AI328" s="443" t="s">
        <v>844</v>
      </c>
      <c r="AJ328" s="443" t="s">
        <v>677</v>
      </c>
      <c r="AK328" s="442" t="s">
        <v>677</v>
      </c>
      <c r="AL328" s="442"/>
      <c r="AM328" s="442"/>
      <c r="AN328" s="442"/>
      <c r="AO328" s="442"/>
      <c r="AP328" s="442"/>
      <c r="AQ328" s="442"/>
      <c r="AR328" s="444"/>
      <c r="AS328" s="442"/>
      <c r="AT328" s="444"/>
      <c r="AU328" s="442" t="s">
        <v>678</v>
      </c>
      <c r="AV328" s="442" t="s">
        <v>677</v>
      </c>
      <c r="AW328" s="442" t="s">
        <v>676</v>
      </c>
      <c r="AX328" s="442" t="s">
        <v>674</v>
      </c>
      <c r="AY328" s="442"/>
      <c r="AZ328" s="442"/>
      <c r="BA328" s="442" t="s">
        <v>679</v>
      </c>
      <c r="BB328" s="442"/>
      <c r="BC328" s="442"/>
      <c r="BD328" s="442"/>
      <c r="BE328" s="444"/>
      <c r="BF328" s="442" t="s">
        <v>298</v>
      </c>
      <c r="BG328" s="442" t="s">
        <v>680</v>
      </c>
      <c r="BH328" s="442" t="s">
        <v>681</v>
      </c>
      <c r="BI328" s="442"/>
    </row>
    <row r="329" spans="1:61">
      <c r="A329" s="442" t="s">
        <v>843</v>
      </c>
      <c r="B329" s="442" t="s">
        <v>843</v>
      </c>
      <c r="C329" s="442" t="s">
        <v>843</v>
      </c>
      <c r="D329" s="442" t="s">
        <v>673</v>
      </c>
      <c r="E329" s="442" t="s">
        <v>3</v>
      </c>
      <c r="F329" s="443" t="s">
        <v>83</v>
      </c>
      <c r="G329" s="443" t="s">
        <v>700</v>
      </c>
      <c r="H329" s="444">
        <v>73333</v>
      </c>
      <c r="I329" s="444">
        <v>73333</v>
      </c>
      <c r="J329" s="444">
        <v>0</v>
      </c>
      <c r="K329" s="444">
        <v>0</v>
      </c>
      <c r="L329" s="444">
        <v>73333</v>
      </c>
      <c r="M329" s="444">
        <v>0</v>
      </c>
      <c r="N329" s="444">
        <v>0</v>
      </c>
      <c r="O329" s="444">
        <v>0</v>
      </c>
      <c r="P329" s="444">
        <v>0</v>
      </c>
      <c r="Q329" s="444">
        <v>0</v>
      </c>
      <c r="R329" s="444">
        <v>0</v>
      </c>
      <c r="S329" s="444">
        <v>0</v>
      </c>
      <c r="T329" s="444">
        <v>0</v>
      </c>
      <c r="U329" s="444">
        <v>0</v>
      </c>
      <c r="V329" s="444">
        <v>0</v>
      </c>
      <c r="W329" s="444">
        <v>0</v>
      </c>
      <c r="X329" s="442" t="s">
        <v>674</v>
      </c>
      <c r="Y329" s="442" t="s">
        <v>675</v>
      </c>
      <c r="Z329" s="442" t="s">
        <v>675</v>
      </c>
      <c r="AA329" s="442" t="s">
        <v>675</v>
      </c>
      <c r="AB329" s="442" t="s">
        <v>675</v>
      </c>
      <c r="AC329" s="442"/>
      <c r="AD329" s="442"/>
      <c r="AE329" s="442"/>
      <c r="AF329" s="442"/>
      <c r="AG329" s="443" t="s">
        <v>844</v>
      </c>
      <c r="AH329" s="442"/>
      <c r="AI329" s="443" t="s">
        <v>844</v>
      </c>
      <c r="AJ329" s="443" t="s">
        <v>677</v>
      </c>
      <c r="AK329" s="442" t="s">
        <v>677</v>
      </c>
      <c r="AL329" s="442"/>
      <c r="AM329" s="442"/>
      <c r="AN329" s="442"/>
      <c r="AO329" s="442"/>
      <c r="AP329" s="442"/>
      <c r="AQ329" s="442"/>
      <c r="AR329" s="444"/>
      <c r="AS329" s="442"/>
      <c r="AT329" s="444"/>
      <c r="AU329" s="442" t="s">
        <v>678</v>
      </c>
      <c r="AV329" s="442" t="s">
        <v>677</v>
      </c>
      <c r="AW329" s="442" t="s">
        <v>676</v>
      </c>
      <c r="AX329" s="442" t="s">
        <v>674</v>
      </c>
      <c r="AY329" s="442"/>
      <c r="AZ329" s="442"/>
      <c r="BA329" s="442" t="s">
        <v>679</v>
      </c>
      <c r="BB329" s="442"/>
      <c r="BC329" s="442"/>
      <c r="BD329" s="442"/>
      <c r="BE329" s="444"/>
      <c r="BF329" s="442" t="s">
        <v>298</v>
      </c>
      <c r="BG329" s="442" t="s">
        <v>680</v>
      </c>
      <c r="BH329" s="442" t="s">
        <v>681</v>
      </c>
      <c r="BI329" s="442"/>
    </row>
    <row r="330" spans="1:61">
      <c r="A330" s="442" t="s">
        <v>843</v>
      </c>
      <c r="B330" s="442" t="s">
        <v>843</v>
      </c>
      <c r="C330" s="442" t="s">
        <v>843</v>
      </c>
      <c r="D330" s="442" t="s">
        <v>673</v>
      </c>
      <c r="E330" s="442" t="s">
        <v>3</v>
      </c>
      <c r="F330" s="443" t="s">
        <v>83</v>
      </c>
      <c r="G330" s="443" t="s">
        <v>700</v>
      </c>
      <c r="H330" s="444">
        <v>73333</v>
      </c>
      <c r="I330" s="444">
        <v>73333</v>
      </c>
      <c r="J330" s="444">
        <v>0</v>
      </c>
      <c r="K330" s="444">
        <v>0</v>
      </c>
      <c r="L330" s="444">
        <v>73333</v>
      </c>
      <c r="M330" s="444">
        <v>0</v>
      </c>
      <c r="N330" s="444">
        <v>0</v>
      </c>
      <c r="O330" s="444">
        <v>0</v>
      </c>
      <c r="P330" s="444">
        <v>0</v>
      </c>
      <c r="Q330" s="444">
        <v>0</v>
      </c>
      <c r="R330" s="444">
        <v>0</v>
      </c>
      <c r="S330" s="444">
        <v>0</v>
      </c>
      <c r="T330" s="444">
        <v>0</v>
      </c>
      <c r="U330" s="444">
        <v>0</v>
      </c>
      <c r="V330" s="444">
        <v>0</v>
      </c>
      <c r="W330" s="444">
        <v>0</v>
      </c>
      <c r="X330" s="442" t="s">
        <v>674</v>
      </c>
      <c r="Y330" s="442" t="s">
        <v>675</v>
      </c>
      <c r="Z330" s="442" t="s">
        <v>675</v>
      </c>
      <c r="AA330" s="442" t="s">
        <v>675</v>
      </c>
      <c r="AB330" s="442" t="s">
        <v>675</v>
      </c>
      <c r="AC330" s="442"/>
      <c r="AD330" s="442"/>
      <c r="AE330" s="442"/>
      <c r="AF330" s="442"/>
      <c r="AG330" s="443" t="s">
        <v>844</v>
      </c>
      <c r="AH330" s="442"/>
      <c r="AI330" s="443" t="s">
        <v>844</v>
      </c>
      <c r="AJ330" s="443" t="s">
        <v>677</v>
      </c>
      <c r="AK330" s="442" t="s">
        <v>677</v>
      </c>
      <c r="AL330" s="442"/>
      <c r="AM330" s="442"/>
      <c r="AN330" s="442"/>
      <c r="AO330" s="442"/>
      <c r="AP330" s="442"/>
      <c r="AQ330" s="442"/>
      <c r="AR330" s="444"/>
      <c r="AS330" s="442"/>
      <c r="AT330" s="444"/>
      <c r="AU330" s="442" t="s">
        <v>678</v>
      </c>
      <c r="AV330" s="442" t="s">
        <v>677</v>
      </c>
      <c r="AW330" s="442" t="s">
        <v>676</v>
      </c>
      <c r="AX330" s="442" t="s">
        <v>674</v>
      </c>
      <c r="AY330" s="442"/>
      <c r="AZ330" s="442"/>
      <c r="BA330" s="442" t="s">
        <v>679</v>
      </c>
      <c r="BB330" s="442"/>
      <c r="BC330" s="442"/>
      <c r="BD330" s="442"/>
      <c r="BE330" s="444"/>
      <c r="BF330" s="442" t="s">
        <v>298</v>
      </c>
      <c r="BG330" s="442" t="s">
        <v>680</v>
      </c>
      <c r="BH330" s="442" t="s">
        <v>681</v>
      </c>
      <c r="BI330" s="442"/>
    </row>
    <row r="331" spans="1:61">
      <c r="A331" s="442" t="s">
        <v>843</v>
      </c>
      <c r="B331" s="442" t="s">
        <v>843</v>
      </c>
      <c r="C331" s="442" t="s">
        <v>843</v>
      </c>
      <c r="D331" s="442" t="s">
        <v>673</v>
      </c>
      <c r="E331" s="442" t="s">
        <v>3</v>
      </c>
      <c r="F331" s="443" t="s">
        <v>83</v>
      </c>
      <c r="G331" s="443" t="s">
        <v>700</v>
      </c>
      <c r="H331" s="444">
        <v>73334</v>
      </c>
      <c r="I331" s="444">
        <v>73334</v>
      </c>
      <c r="J331" s="444">
        <v>0</v>
      </c>
      <c r="K331" s="444">
        <v>0</v>
      </c>
      <c r="L331" s="444">
        <v>73334</v>
      </c>
      <c r="M331" s="444">
        <v>0</v>
      </c>
      <c r="N331" s="444">
        <v>0</v>
      </c>
      <c r="O331" s="444">
        <v>0</v>
      </c>
      <c r="P331" s="444">
        <v>0</v>
      </c>
      <c r="Q331" s="444">
        <v>0</v>
      </c>
      <c r="R331" s="444">
        <v>0</v>
      </c>
      <c r="S331" s="444">
        <v>0</v>
      </c>
      <c r="T331" s="444">
        <v>0</v>
      </c>
      <c r="U331" s="444">
        <v>0</v>
      </c>
      <c r="V331" s="444">
        <v>0</v>
      </c>
      <c r="W331" s="444">
        <v>0</v>
      </c>
      <c r="X331" s="442" t="s">
        <v>674</v>
      </c>
      <c r="Y331" s="442" t="s">
        <v>675</v>
      </c>
      <c r="Z331" s="442" t="s">
        <v>675</v>
      </c>
      <c r="AA331" s="442" t="s">
        <v>675</v>
      </c>
      <c r="AB331" s="442" t="s">
        <v>675</v>
      </c>
      <c r="AC331" s="442"/>
      <c r="AD331" s="442"/>
      <c r="AE331" s="442"/>
      <c r="AF331" s="442"/>
      <c r="AG331" s="443" t="s">
        <v>844</v>
      </c>
      <c r="AH331" s="442"/>
      <c r="AI331" s="443" t="s">
        <v>844</v>
      </c>
      <c r="AJ331" s="443" t="s">
        <v>677</v>
      </c>
      <c r="AK331" s="442" t="s">
        <v>677</v>
      </c>
      <c r="AL331" s="442"/>
      <c r="AM331" s="442"/>
      <c r="AN331" s="442"/>
      <c r="AO331" s="442"/>
      <c r="AP331" s="442"/>
      <c r="AQ331" s="442"/>
      <c r="AR331" s="444"/>
      <c r="AS331" s="442"/>
      <c r="AT331" s="444"/>
      <c r="AU331" s="442" t="s">
        <v>678</v>
      </c>
      <c r="AV331" s="442" t="s">
        <v>677</v>
      </c>
      <c r="AW331" s="442" t="s">
        <v>676</v>
      </c>
      <c r="AX331" s="442" t="s">
        <v>674</v>
      </c>
      <c r="AY331" s="442"/>
      <c r="AZ331" s="442"/>
      <c r="BA331" s="442" t="s">
        <v>679</v>
      </c>
      <c r="BB331" s="442"/>
      <c r="BC331" s="442"/>
      <c r="BD331" s="442"/>
      <c r="BE331" s="444"/>
      <c r="BF331" s="442" t="s">
        <v>298</v>
      </c>
      <c r="BG331" s="442" t="s">
        <v>680</v>
      </c>
      <c r="BH331" s="442" t="s">
        <v>681</v>
      </c>
      <c r="BI331" s="442"/>
    </row>
    <row r="332" spans="1:61">
      <c r="A332" s="442" t="s">
        <v>843</v>
      </c>
      <c r="B332" s="442" t="s">
        <v>843</v>
      </c>
      <c r="C332" s="442" t="s">
        <v>843</v>
      </c>
      <c r="D332" s="442" t="s">
        <v>673</v>
      </c>
      <c r="E332" s="442" t="s">
        <v>3</v>
      </c>
      <c r="F332" s="443" t="s">
        <v>83</v>
      </c>
      <c r="G332" s="443" t="s">
        <v>700</v>
      </c>
      <c r="H332" s="444">
        <v>73333</v>
      </c>
      <c r="I332" s="444">
        <v>73333</v>
      </c>
      <c r="J332" s="444">
        <v>0</v>
      </c>
      <c r="K332" s="444">
        <v>0</v>
      </c>
      <c r="L332" s="444">
        <v>73333</v>
      </c>
      <c r="M332" s="444">
        <v>0</v>
      </c>
      <c r="N332" s="444">
        <v>0</v>
      </c>
      <c r="O332" s="444">
        <v>0</v>
      </c>
      <c r="P332" s="444">
        <v>0</v>
      </c>
      <c r="Q332" s="444">
        <v>0</v>
      </c>
      <c r="R332" s="444">
        <v>0</v>
      </c>
      <c r="S332" s="444">
        <v>0</v>
      </c>
      <c r="T332" s="444">
        <v>0</v>
      </c>
      <c r="U332" s="444">
        <v>0</v>
      </c>
      <c r="V332" s="444">
        <v>0</v>
      </c>
      <c r="W332" s="444">
        <v>0</v>
      </c>
      <c r="X332" s="442" t="s">
        <v>674</v>
      </c>
      <c r="Y332" s="442" t="s">
        <v>675</v>
      </c>
      <c r="Z332" s="442" t="s">
        <v>675</v>
      </c>
      <c r="AA332" s="442" t="s">
        <v>675</v>
      </c>
      <c r="AB332" s="442" t="s">
        <v>675</v>
      </c>
      <c r="AC332" s="442"/>
      <c r="AD332" s="442"/>
      <c r="AE332" s="442"/>
      <c r="AF332" s="442"/>
      <c r="AG332" s="443" t="s">
        <v>844</v>
      </c>
      <c r="AH332" s="442"/>
      <c r="AI332" s="443" t="s">
        <v>844</v>
      </c>
      <c r="AJ332" s="443" t="s">
        <v>677</v>
      </c>
      <c r="AK332" s="442" t="s">
        <v>677</v>
      </c>
      <c r="AL332" s="442"/>
      <c r="AM332" s="442"/>
      <c r="AN332" s="442"/>
      <c r="AO332" s="442"/>
      <c r="AP332" s="442"/>
      <c r="AQ332" s="442"/>
      <c r="AR332" s="444"/>
      <c r="AS332" s="442"/>
      <c r="AT332" s="444"/>
      <c r="AU332" s="442" t="s">
        <v>678</v>
      </c>
      <c r="AV332" s="442" t="s">
        <v>677</v>
      </c>
      <c r="AW332" s="442" t="s">
        <v>676</v>
      </c>
      <c r="AX332" s="442" t="s">
        <v>674</v>
      </c>
      <c r="AY332" s="442"/>
      <c r="AZ332" s="442"/>
      <c r="BA332" s="442" t="s">
        <v>679</v>
      </c>
      <c r="BB332" s="442"/>
      <c r="BC332" s="442"/>
      <c r="BD332" s="442"/>
      <c r="BE332" s="444"/>
      <c r="BF332" s="442" t="s">
        <v>298</v>
      </c>
      <c r="BG332" s="442" t="s">
        <v>680</v>
      </c>
      <c r="BH332" s="442" t="s">
        <v>681</v>
      </c>
      <c r="BI332" s="442"/>
    </row>
    <row r="333" spans="1:61">
      <c r="A333" s="442" t="s">
        <v>843</v>
      </c>
      <c r="B333" s="442" t="s">
        <v>843</v>
      </c>
      <c r="C333" s="442" t="s">
        <v>843</v>
      </c>
      <c r="D333" s="442" t="s">
        <v>673</v>
      </c>
      <c r="E333" s="442" t="s">
        <v>3</v>
      </c>
      <c r="F333" s="443" t="s">
        <v>83</v>
      </c>
      <c r="G333" s="443" t="s">
        <v>700</v>
      </c>
      <c r="H333" s="444">
        <v>73334</v>
      </c>
      <c r="I333" s="444">
        <v>73334</v>
      </c>
      <c r="J333" s="444">
        <v>0</v>
      </c>
      <c r="K333" s="444">
        <v>0</v>
      </c>
      <c r="L333" s="444">
        <v>73334</v>
      </c>
      <c r="M333" s="444">
        <v>0</v>
      </c>
      <c r="N333" s="444">
        <v>0</v>
      </c>
      <c r="O333" s="444">
        <v>0</v>
      </c>
      <c r="P333" s="444">
        <v>0</v>
      </c>
      <c r="Q333" s="444">
        <v>0</v>
      </c>
      <c r="R333" s="444">
        <v>0</v>
      </c>
      <c r="S333" s="444">
        <v>0</v>
      </c>
      <c r="T333" s="444">
        <v>0</v>
      </c>
      <c r="U333" s="444">
        <v>0</v>
      </c>
      <c r="V333" s="444">
        <v>0</v>
      </c>
      <c r="W333" s="444">
        <v>0</v>
      </c>
      <c r="X333" s="442" t="s">
        <v>674</v>
      </c>
      <c r="Y333" s="442" t="s">
        <v>675</v>
      </c>
      <c r="Z333" s="442" t="s">
        <v>675</v>
      </c>
      <c r="AA333" s="442" t="s">
        <v>675</v>
      </c>
      <c r="AB333" s="442" t="s">
        <v>675</v>
      </c>
      <c r="AC333" s="442"/>
      <c r="AD333" s="442"/>
      <c r="AE333" s="442"/>
      <c r="AF333" s="442"/>
      <c r="AG333" s="443" t="s">
        <v>844</v>
      </c>
      <c r="AH333" s="442"/>
      <c r="AI333" s="443" t="s">
        <v>844</v>
      </c>
      <c r="AJ333" s="443" t="s">
        <v>677</v>
      </c>
      <c r="AK333" s="442" t="s">
        <v>677</v>
      </c>
      <c r="AL333" s="442"/>
      <c r="AM333" s="442"/>
      <c r="AN333" s="442"/>
      <c r="AO333" s="442"/>
      <c r="AP333" s="442"/>
      <c r="AQ333" s="442"/>
      <c r="AR333" s="444"/>
      <c r="AS333" s="442"/>
      <c r="AT333" s="444"/>
      <c r="AU333" s="442" t="s">
        <v>678</v>
      </c>
      <c r="AV333" s="442" t="s">
        <v>677</v>
      </c>
      <c r="AW333" s="442" t="s">
        <v>676</v>
      </c>
      <c r="AX333" s="442" t="s">
        <v>674</v>
      </c>
      <c r="AY333" s="442"/>
      <c r="AZ333" s="442"/>
      <c r="BA333" s="442" t="s">
        <v>679</v>
      </c>
      <c r="BB333" s="442"/>
      <c r="BC333" s="442"/>
      <c r="BD333" s="442"/>
      <c r="BE333" s="444"/>
      <c r="BF333" s="442" t="s">
        <v>298</v>
      </c>
      <c r="BG333" s="442" t="s">
        <v>680</v>
      </c>
      <c r="BH333" s="442" t="s">
        <v>681</v>
      </c>
      <c r="BI333" s="442"/>
    </row>
    <row r="334" spans="1:61">
      <c r="A334" s="442" t="s">
        <v>843</v>
      </c>
      <c r="B334" s="442" t="s">
        <v>843</v>
      </c>
      <c r="C334" s="442" t="s">
        <v>843</v>
      </c>
      <c r="D334" s="442" t="s">
        <v>673</v>
      </c>
      <c r="E334" s="442" t="s">
        <v>3</v>
      </c>
      <c r="F334" s="443" t="s">
        <v>83</v>
      </c>
      <c r="G334" s="443" t="s">
        <v>700</v>
      </c>
      <c r="H334" s="444">
        <v>73333</v>
      </c>
      <c r="I334" s="444">
        <v>73333</v>
      </c>
      <c r="J334" s="444">
        <v>0</v>
      </c>
      <c r="K334" s="444">
        <v>0</v>
      </c>
      <c r="L334" s="444">
        <v>73333</v>
      </c>
      <c r="M334" s="444">
        <v>0</v>
      </c>
      <c r="N334" s="444">
        <v>0</v>
      </c>
      <c r="O334" s="444">
        <v>0</v>
      </c>
      <c r="P334" s="444">
        <v>0</v>
      </c>
      <c r="Q334" s="444">
        <v>0</v>
      </c>
      <c r="R334" s="444">
        <v>0</v>
      </c>
      <c r="S334" s="444">
        <v>0</v>
      </c>
      <c r="T334" s="444">
        <v>0</v>
      </c>
      <c r="U334" s="444">
        <v>0</v>
      </c>
      <c r="V334" s="444">
        <v>0</v>
      </c>
      <c r="W334" s="444">
        <v>0</v>
      </c>
      <c r="X334" s="442" t="s">
        <v>674</v>
      </c>
      <c r="Y334" s="442" t="s">
        <v>675</v>
      </c>
      <c r="Z334" s="442" t="s">
        <v>675</v>
      </c>
      <c r="AA334" s="442" t="s">
        <v>675</v>
      </c>
      <c r="AB334" s="442" t="s">
        <v>675</v>
      </c>
      <c r="AC334" s="442"/>
      <c r="AD334" s="442"/>
      <c r="AE334" s="442"/>
      <c r="AF334" s="442"/>
      <c r="AG334" s="443" t="s">
        <v>844</v>
      </c>
      <c r="AH334" s="442"/>
      <c r="AI334" s="443" t="s">
        <v>844</v>
      </c>
      <c r="AJ334" s="443" t="s">
        <v>677</v>
      </c>
      <c r="AK334" s="442" t="s">
        <v>677</v>
      </c>
      <c r="AL334" s="442"/>
      <c r="AM334" s="442"/>
      <c r="AN334" s="442"/>
      <c r="AO334" s="442"/>
      <c r="AP334" s="442"/>
      <c r="AQ334" s="442"/>
      <c r="AR334" s="444"/>
      <c r="AS334" s="442"/>
      <c r="AT334" s="444"/>
      <c r="AU334" s="442" t="s">
        <v>678</v>
      </c>
      <c r="AV334" s="442" t="s">
        <v>677</v>
      </c>
      <c r="AW334" s="442" t="s">
        <v>676</v>
      </c>
      <c r="AX334" s="442" t="s">
        <v>674</v>
      </c>
      <c r="AY334" s="442"/>
      <c r="AZ334" s="442"/>
      <c r="BA334" s="442" t="s">
        <v>679</v>
      </c>
      <c r="BB334" s="442"/>
      <c r="BC334" s="442"/>
      <c r="BD334" s="442"/>
      <c r="BE334" s="444"/>
      <c r="BF334" s="442" t="s">
        <v>298</v>
      </c>
      <c r="BG334" s="442" t="s">
        <v>680</v>
      </c>
      <c r="BH334" s="442" t="s">
        <v>681</v>
      </c>
      <c r="BI334" s="442"/>
    </row>
    <row r="335" spans="1:61">
      <c r="A335" s="442" t="s">
        <v>843</v>
      </c>
      <c r="B335" s="442" t="s">
        <v>843</v>
      </c>
      <c r="C335" s="442" t="s">
        <v>843</v>
      </c>
      <c r="D335" s="442" t="s">
        <v>673</v>
      </c>
      <c r="E335" s="442" t="s">
        <v>3</v>
      </c>
      <c r="F335" s="443" t="s">
        <v>83</v>
      </c>
      <c r="G335" s="443" t="s">
        <v>700</v>
      </c>
      <c r="H335" s="444">
        <v>73334</v>
      </c>
      <c r="I335" s="444">
        <v>73334</v>
      </c>
      <c r="J335" s="444">
        <v>0</v>
      </c>
      <c r="K335" s="444">
        <v>0</v>
      </c>
      <c r="L335" s="444">
        <v>73334</v>
      </c>
      <c r="M335" s="444">
        <v>0</v>
      </c>
      <c r="N335" s="444">
        <v>0</v>
      </c>
      <c r="O335" s="444">
        <v>0</v>
      </c>
      <c r="P335" s="444">
        <v>0</v>
      </c>
      <c r="Q335" s="444">
        <v>0</v>
      </c>
      <c r="R335" s="444">
        <v>0</v>
      </c>
      <c r="S335" s="444">
        <v>0</v>
      </c>
      <c r="T335" s="444">
        <v>0</v>
      </c>
      <c r="U335" s="444">
        <v>0</v>
      </c>
      <c r="V335" s="444">
        <v>0</v>
      </c>
      <c r="W335" s="444">
        <v>0</v>
      </c>
      <c r="X335" s="442" t="s">
        <v>674</v>
      </c>
      <c r="Y335" s="442" t="s">
        <v>675</v>
      </c>
      <c r="Z335" s="442" t="s">
        <v>675</v>
      </c>
      <c r="AA335" s="442" t="s">
        <v>675</v>
      </c>
      <c r="AB335" s="442" t="s">
        <v>675</v>
      </c>
      <c r="AC335" s="442"/>
      <c r="AD335" s="442"/>
      <c r="AE335" s="442"/>
      <c r="AF335" s="442"/>
      <c r="AG335" s="443" t="s">
        <v>844</v>
      </c>
      <c r="AH335" s="442"/>
      <c r="AI335" s="443" t="s">
        <v>844</v>
      </c>
      <c r="AJ335" s="443" t="s">
        <v>677</v>
      </c>
      <c r="AK335" s="442" t="s">
        <v>677</v>
      </c>
      <c r="AL335" s="442"/>
      <c r="AM335" s="442"/>
      <c r="AN335" s="442"/>
      <c r="AO335" s="442"/>
      <c r="AP335" s="442"/>
      <c r="AQ335" s="442"/>
      <c r="AR335" s="444"/>
      <c r="AS335" s="442"/>
      <c r="AT335" s="444"/>
      <c r="AU335" s="442" t="s">
        <v>678</v>
      </c>
      <c r="AV335" s="442" t="s">
        <v>677</v>
      </c>
      <c r="AW335" s="442" t="s">
        <v>676</v>
      </c>
      <c r="AX335" s="442" t="s">
        <v>674</v>
      </c>
      <c r="AY335" s="442"/>
      <c r="AZ335" s="442"/>
      <c r="BA335" s="442" t="s">
        <v>679</v>
      </c>
      <c r="BB335" s="442"/>
      <c r="BC335" s="442"/>
      <c r="BD335" s="442"/>
      <c r="BE335" s="444"/>
      <c r="BF335" s="442" t="s">
        <v>298</v>
      </c>
      <c r="BG335" s="442" t="s">
        <v>680</v>
      </c>
      <c r="BH335" s="442" t="s">
        <v>681</v>
      </c>
      <c r="BI335" s="442"/>
    </row>
    <row r="336" spans="1:61">
      <c r="A336" s="442" t="s">
        <v>843</v>
      </c>
      <c r="B336" s="442" t="s">
        <v>843</v>
      </c>
      <c r="C336" s="442" t="s">
        <v>843</v>
      </c>
      <c r="D336" s="442" t="s">
        <v>673</v>
      </c>
      <c r="E336" s="442" t="s">
        <v>3</v>
      </c>
      <c r="F336" s="443" t="s">
        <v>83</v>
      </c>
      <c r="G336" s="443" t="s">
        <v>700</v>
      </c>
      <c r="H336" s="444">
        <v>73333</v>
      </c>
      <c r="I336" s="444">
        <v>73333</v>
      </c>
      <c r="J336" s="444">
        <v>0</v>
      </c>
      <c r="K336" s="444">
        <v>0</v>
      </c>
      <c r="L336" s="444">
        <v>73333</v>
      </c>
      <c r="M336" s="444">
        <v>0</v>
      </c>
      <c r="N336" s="444">
        <v>0</v>
      </c>
      <c r="O336" s="444">
        <v>0</v>
      </c>
      <c r="P336" s="444">
        <v>0</v>
      </c>
      <c r="Q336" s="444">
        <v>0</v>
      </c>
      <c r="R336" s="444">
        <v>0</v>
      </c>
      <c r="S336" s="444">
        <v>0</v>
      </c>
      <c r="T336" s="444">
        <v>0</v>
      </c>
      <c r="U336" s="444">
        <v>0</v>
      </c>
      <c r="V336" s="444">
        <v>0</v>
      </c>
      <c r="W336" s="444">
        <v>0</v>
      </c>
      <c r="X336" s="442" t="s">
        <v>674</v>
      </c>
      <c r="Y336" s="442" t="s">
        <v>675</v>
      </c>
      <c r="Z336" s="442" t="s">
        <v>675</v>
      </c>
      <c r="AA336" s="442" t="s">
        <v>675</v>
      </c>
      <c r="AB336" s="442" t="s">
        <v>675</v>
      </c>
      <c r="AC336" s="442"/>
      <c r="AD336" s="442"/>
      <c r="AE336" s="442"/>
      <c r="AF336" s="442"/>
      <c r="AG336" s="443" t="s">
        <v>844</v>
      </c>
      <c r="AH336" s="442"/>
      <c r="AI336" s="443" t="s">
        <v>844</v>
      </c>
      <c r="AJ336" s="443" t="s">
        <v>677</v>
      </c>
      <c r="AK336" s="442" t="s">
        <v>677</v>
      </c>
      <c r="AL336" s="442"/>
      <c r="AM336" s="442"/>
      <c r="AN336" s="442"/>
      <c r="AO336" s="442"/>
      <c r="AP336" s="442"/>
      <c r="AQ336" s="442"/>
      <c r="AR336" s="444"/>
      <c r="AS336" s="442"/>
      <c r="AT336" s="444"/>
      <c r="AU336" s="442" t="s">
        <v>678</v>
      </c>
      <c r="AV336" s="442" t="s">
        <v>677</v>
      </c>
      <c r="AW336" s="442" t="s">
        <v>676</v>
      </c>
      <c r="AX336" s="442" t="s">
        <v>674</v>
      </c>
      <c r="AY336" s="442"/>
      <c r="AZ336" s="442"/>
      <c r="BA336" s="442" t="s">
        <v>679</v>
      </c>
      <c r="BB336" s="442"/>
      <c r="BC336" s="442"/>
      <c r="BD336" s="442"/>
      <c r="BE336" s="444"/>
      <c r="BF336" s="442" t="s">
        <v>298</v>
      </c>
      <c r="BG336" s="442" t="s">
        <v>680</v>
      </c>
      <c r="BH336" s="442" t="s">
        <v>681</v>
      </c>
      <c r="BI336" s="442"/>
    </row>
    <row r="337" spans="1:61">
      <c r="A337" s="442" t="s">
        <v>843</v>
      </c>
      <c r="B337" s="442" t="s">
        <v>843</v>
      </c>
      <c r="C337" s="442" t="s">
        <v>843</v>
      </c>
      <c r="D337" s="442" t="s">
        <v>673</v>
      </c>
      <c r="E337" s="442" t="s">
        <v>3</v>
      </c>
      <c r="F337" s="443" t="s">
        <v>83</v>
      </c>
      <c r="G337" s="443" t="s">
        <v>700</v>
      </c>
      <c r="H337" s="444">
        <v>73333</v>
      </c>
      <c r="I337" s="444">
        <v>73333</v>
      </c>
      <c r="J337" s="444">
        <v>0</v>
      </c>
      <c r="K337" s="444">
        <v>0</v>
      </c>
      <c r="L337" s="444">
        <v>73333</v>
      </c>
      <c r="M337" s="444">
        <v>0</v>
      </c>
      <c r="N337" s="444">
        <v>0</v>
      </c>
      <c r="O337" s="444">
        <v>0</v>
      </c>
      <c r="P337" s="444">
        <v>0</v>
      </c>
      <c r="Q337" s="444">
        <v>0</v>
      </c>
      <c r="R337" s="444">
        <v>0</v>
      </c>
      <c r="S337" s="444">
        <v>0</v>
      </c>
      <c r="T337" s="444">
        <v>0</v>
      </c>
      <c r="U337" s="444">
        <v>0</v>
      </c>
      <c r="V337" s="444">
        <v>0</v>
      </c>
      <c r="W337" s="444">
        <v>0</v>
      </c>
      <c r="X337" s="442" t="s">
        <v>674</v>
      </c>
      <c r="Y337" s="442" t="s">
        <v>675</v>
      </c>
      <c r="Z337" s="442" t="s">
        <v>675</v>
      </c>
      <c r="AA337" s="442" t="s">
        <v>675</v>
      </c>
      <c r="AB337" s="442" t="s">
        <v>675</v>
      </c>
      <c r="AC337" s="442"/>
      <c r="AD337" s="442"/>
      <c r="AE337" s="442"/>
      <c r="AF337" s="442"/>
      <c r="AG337" s="443" t="s">
        <v>844</v>
      </c>
      <c r="AH337" s="442"/>
      <c r="AI337" s="443" t="s">
        <v>844</v>
      </c>
      <c r="AJ337" s="443" t="s">
        <v>677</v>
      </c>
      <c r="AK337" s="442" t="s">
        <v>677</v>
      </c>
      <c r="AL337" s="442"/>
      <c r="AM337" s="442"/>
      <c r="AN337" s="442"/>
      <c r="AO337" s="442"/>
      <c r="AP337" s="442"/>
      <c r="AQ337" s="442"/>
      <c r="AR337" s="444"/>
      <c r="AS337" s="442"/>
      <c r="AT337" s="444"/>
      <c r="AU337" s="442" t="s">
        <v>678</v>
      </c>
      <c r="AV337" s="442" t="s">
        <v>677</v>
      </c>
      <c r="AW337" s="442" t="s">
        <v>676</v>
      </c>
      <c r="AX337" s="442" t="s">
        <v>674</v>
      </c>
      <c r="AY337" s="442"/>
      <c r="AZ337" s="442"/>
      <c r="BA337" s="442" t="s">
        <v>679</v>
      </c>
      <c r="BB337" s="442"/>
      <c r="BC337" s="442"/>
      <c r="BD337" s="442"/>
      <c r="BE337" s="444"/>
      <c r="BF337" s="442" t="s">
        <v>298</v>
      </c>
      <c r="BG337" s="442" t="s">
        <v>680</v>
      </c>
      <c r="BH337" s="442" t="s">
        <v>681</v>
      </c>
      <c r="BI337" s="442"/>
    </row>
    <row r="338" spans="1:61">
      <c r="A338" s="442" t="s">
        <v>843</v>
      </c>
      <c r="B338" s="442" t="s">
        <v>843</v>
      </c>
      <c r="C338" s="442" t="s">
        <v>843</v>
      </c>
      <c r="D338" s="442" t="s">
        <v>673</v>
      </c>
      <c r="E338" s="442" t="s">
        <v>3</v>
      </c>
      <c r="F338" s="443" t="s">
        <v>83</v>
      </c>
      <c r="G338" s="443" t="s">
        <v>700</v>
      </c>
      <c r="H338" s="444">
        <v>73333</v>
      </c>
      <c r="I338" s="444">
        <v>73333</v>
      </c>
      <c r="J338" s="444">
        <v>0</v>
      </c>
      <c r="K338" s="444">
        <v>0</v>
      </c>
      <c r="L338" s="444">
        <v>73333</v>
      </c>
      <c r="M338" s="444">
        <v>0</v>
      </c>
      <c r="N338" s="444">
        <v>0</v>
      </c>
      <c r="O338" s="444">
        <v>0</v>
      </c>
      <c r="P338" s="444">
        <v>0</v>
      </c>
      <c r="Q338" s="444">
        <v>0</v>
      </c>
      <c r="R338" s="444">
        <v>0</v>
      </c>
      <c r="S338" s="444">
        <v>0</v>
      </c>
      <c r="T338" s="444">
        <v>0</v>
      </c>
      <c r="U338" s="444">
        <v>0</v>
      </c>
      <c r="V338" s="444">
        <v>0</v>
      </c>
      <c r="W338" s="444">
        <v>0</v>
      </c>
      <c r="X338" s="442" t="s">
        <v>674</v>
      </c>
      <c r="Y338" s="442" t="s">
        <v>675</v>
      </c>
      <c r="Z338" s="442" t="s">
        <v>675</v>
      </c>
      <c r="AA338" s="442" t="s">
        <v>675</v>
      </c>
      <c r="AB338" s="442" t="s">
        <v>675</v>
      </c>
      <c r="AC338" s="442"/>
      <c r="AD338" s="442"/>
      <c r="AE338" s="442"/>
      <c r="AF338" s="442"/>
      <c r="AG338" s="443" t="s">
        <v>844</v>
      </c>
      <c r="AH338" s="442"/>
      <c r="AI338" s="443" t="s">
        <v>844</v>
      </c>
      <c r="AJ338" s="443" t="s">
        <v>677</v>
      </c>
      <c r="AK338" s="442" t="s">
        <v>677</v>
      </c>
      <c r="AL338" s="442"/>
      <c r="AM338" s="442"/>
      <c r="AN338" s="442"/>
      <c r="AO338" s="442"/>
      <c r="AP338" s="442"/>
      <c r="AQ338" s="442"/>
      <c r="AR338" s="444"/>
      <c r="AS338" s="442"/>
      <c r="AT338" s="444"/>
      <c r="AU338" s="442" t="s">
        <v>678</v>
      </c>
      <c r="AV338" s="442" t="s">
        <v>677</v>
      </c>
      <c r="AW338" s="442" t="s">
        <v>676</v>
      </c>
      <c r="AX338" s="442" t="s">
        <v>674</v>
      </c>
      <c r="AY338" s="442"/>
      <c r="AZ338" s="442"/>
      <c r="BA338" s="442" t="s">
        <v>679</v>
      </c>
      <c r="BB338" s="442"/>
      <c r="BC338" s="442"/>
      <c r="BD338" s="442"/>
      <c r="BE338" s="444"/>
      <c r="BF338" s="442" t="s">
        <v>298</v>
      </c>
      <c r="BG338" s="442" t="s">
        <v>680</v>
      </c>
      <c r="BH338" s="442" t="s">
        <v>681</v>
      </c>
      <c r="BI338" s="442"/>
    </row>
    <row r="339" spans="1:61">
      <c r="A339" s="442" t="s">
        <v>843</v>
      </c>
      <c r="B339" s="442" t="s">
        <v>843</v>
      </c>
      <c r="C339" s="442" t="s">
        <v>843</v>
      </c>
      <c r="D339" s="442" t="s">
        <v>673</v>
      </c>
      <c r="E339" s="442" t="s">
        <v>3</v>
      </c>
      <c r="F339" s="443" t="s">
        <v>83</v>
      </c>
      <c r="G339" s="443" t="s">
        <v>700</v>
      </c>
      <c r="H339" s="444">
        <v>73333</v>
      </c>
      <c r="I339" s="444">
        <v>73333</v>
      </c>
      <c r="J339" s="444">
        <v>0</v>
      </c>
      <c r="K339" s="444">
        <v>0</v>
      </c>
      <c r="L339" s="444">
        <v>73333</v>
      </c>
      <c r="M339" s="444">
        <v>0</v>
      </c>
      <c r="N339" s="444">
        <v>0</v>
      </c>
      <c r="O339" s="444">
        <v>0</v>
      </c>
      <c r="P339" s="444">
        <v>0</v>
      </c>
      <c r="Q339" s="444">
        <v>0</v>
      </c>
      <c r="R339" s="444">
        <v>0</v>
      </c>
      <c r="S339" s="444">
        <v>0</v>
      </c>
      <c r="T339" s="444">
        <v>0</v>
      </c>
      <c r="U339" s="444">
        <v>0</v>
      </c>
      <c r="V339" s="444">
        <v>0</v>
      </c>
      <c r="W339" s="444">
        <v>0</v>
      </c>
      <c r="X339" s="442" t="s">
        <v>674</v>
      </c>
      <c r="Y339" s="442" t="s">
        <v>675</v>
      </c>
      <c r="Z339" s="442" t="s">
        <v>675</v>
      </c>
      <c r="AA339" s="442" t="s">
        <v>675</v>
      </c>
      <c r="AB339" s="442" t="s">
        <v>675</v>
      </c>
      <c r="AC339" s="442"/>
      <c r="AD339" s="442"/>
      <c r="AE339" s="442"/>
      <c r="AF339" s="442"/>
      <c r="AG339" s="443" t="s">
        <v>844</v>
      </c>
      <c r="AH339" s="442"/>
      <c r="AI339" s="443" t="s">
        <v>844</v>
      </c>
      <c r="AJ339" s="443" t="s">
        <v>677</v>
      </c>
      <c r="AK339" s="442" t="s">
        <v>677</v>
      </c>
      <c r="AL339" s="442"/>
      <c r="AM339" s="442"/>
      <c r="AN339" s="442"/>
      <c r="AO339" s="442"/>
      <c r="AP339" s="442"/>
      <c r="AQ339" s="442"/>
      <c r="AR339" s="444"/>
      <c r="AS339" s="442"/>
      <c r="AT339" s="444"/>
      <c r="AU339" s="442" t="s">
        <v>678</v>
      </c>
      <c r="AV339" s="442" t="s">
        <v>677</v>
      </c>
      <c r="AW339" s="442" t="s">
        <v>676</v>
      </c>
      <c r="AX339" s="442" t="s">
        <v>674</v>
      </c>
      <c r="AY339" s="442"/>
      <c r="AZ339" s="442"/>
      <c r="BA339" s="442" t="s">
        <v>679</v>
      </c>
      <c r="BB339" s="442"/>
      <c r="BC339" s="442"/>
      <c r="BD339" s="442"/>
      <c r="BE339" s="444"/>
      <c r="BF339" s="442" t="s">
        <v>298</v>
      </c>
      <c r="BG339" s="442" t="s">
        <v>680</v>
      </c>
      <c r="BH339" s="442" t="s">
        <v>681</v>
      </c>
      <c r="BI339" s="442"/>
    </row>
    <row r="340" spans="1:61">
      <c r="A340" s="442" t="s">
        <v>843</v>
      </c>
      <c r="B340" s="442" t="s">
        <v>843</v>
      </c>
      <c r="C340" s="442" t="s">
        <v>843</v>
      </c>
      <c r="D340" s="442" t="s">
        <v>673</v>
      </c>
      <c r="E340" s="442" t="s">
        <v>3</v>
      </c>
      <c r="F340" s="443" t="s">
        <v>83</v>
      </c>
      <c r="G340" s="443" t="s">
        <v>700</v>
      </c>
      <c r="H340" s="444">
        <v>73333</v>
      </c>
      <c r="I340" s="444">
        <v>73333</v>
      </c>
      <c r="J340" s="444">
        <v>0</v>
      </c>
      <c r="K340" s="444">
        <v>0</v>
      </c>
      <c r="L340" s="444">
        <v>73333</v>
      </c>
      <c r="M340" s="444">
        <v>0</v>
      </c>
      <c r="N340" s="444">
        <v>0</v>
      </c>
      <c r="O340" s="444">
        <v>0</v>
      </c>
      <c r="P340" s="444">
        <v>0</v>
      </c>
      <c r="Q340" s="444">
        <v>0</v>
      </c>
      <c r="R340" s="444">
        <v>0</v>
      </c>
      <c r="S340" s="444">
        <v>0</v>
      </c>
      <c r="T340" s="444">
        <v>0</v>
      </c>
      <c r="U340" s="444">
        <v>0</v>
      </c>
      <c r="V340" s="444">
        <v>0</v>
      </c>
      <c r="W340" s="444">
        <v>0</v>
      </c>
      <c r="X340" s="442" t="s">
        <v>674</v>
      </c>
      <c r="Y340" s="442" t="s">
        <v>675</v>
      </c>
      <c r="Z340" s="442" t="s">
        <v>675</v>
      </c>
      <c r="AA340" s="442" t="s">
        <v>675</v>
      </c>
      <c r="AB340" s="442" t="s">
        <v>675</v>
      </c>
      <c r="AC340" s="442"/>
      <c r="AD340" s="442"/>
      <c r="AE340" s="442"/>
      <c r="AF340" s="442"/>
      <c r="AG340" s="443" t="s">
        <v>844</v>
      </c>
      <c r="AH340" s="442"/>
      <c r="AI340" s="443" t="s">
        <v>844</v>
      </c>
      <c r="AJ340" s="443" t="s">
        <v>677</v>
      </c>
      <c r="AK340" s="442" t="s">
        <v>677</v>
      </c>
      <c r="AL340" s="442"/>
      <c r="AM340" s="442"/>
      <c r="AN340" s="442"/>
      <c r="AO340" s="442"/>
      <c r="AP340" s="442"/>
      <c r="AQ340" s="442"/>
      <c r="AR340" s="444"/>
      <c r="AS340" s="442"/>
      <c r="AT340" s="444"/>
      <c r="AU340" s="442" t="s">
        <v>678</v>
      </c>
      <c r="AV340" s="442" t="s">
        <v>677</v>
      </c>
      <c r="AW340" s="442" t="s">
        <v>676</v>
      </c>
      <c r="AX340" s="442" t="s">
        <v>674</v>
      </c>
      <c r="AY340" s="442"/>
      <c r="AZ340" s="442"/>
      <c r="BA340" s="442" t="s">
        <v>679</v>
      </c>
      <c r="BB340" s="442"/>
      <c r="BC340" s="442"/>
      <c r="BD340" s="442"/>
      <c r="BE340" s="444"/>
      <c r="BF340" s="442" t="s">
        <v>298</v>
      </c>
      <c r="BG340" s="442" t="s">
        <v>680</v>
      </c>
      <c r="BH340" s="442" t="s">
        <v>681</v>
      </c>
      <c r="BI340" s="442"/>
    </row>
    <row r="341" spans="1:61">
      <c r="A341" s="442" t="s">
        <v>843</v>
      </c>
      <c r="B341" s="442" t="s">
        <v>843</v>
      </c>
      <c r="C341" s="442" t="s">
        <v>843</v>
      </c>
      <c r="D341" s="442" t="s">
        <v>673</v>
      </c>
      <c r="E341" s="442" t="s">
        <v>3</v>
      </c>
      <c r="F341" s="443" t="s">
        <v>83</v>
      </c>
      <c r="G341" s="443" t="s">
        <v>700</v>
      </c>
      <c r="H341" s="444">
        <v>73333</v>
      </c>
      <c r="I341" s="444">
        <v>73333</v>
      </c>
      <c r="J341" s="444">
        <v>0</v>
      </c>
      <c r="K341" s="444">
        <v>0</v>
      </c>
      <c r="L341" s="444">
        <v>73333</v>
      </c>
      <c r="M341" s="444">
        <v>0</v>
      </c>
      <c r="N341" s="444">
        <v>0</v>
      </c>
      <c r="O341" s="444">
        <v>0</v>
      </c>
      <c r="P341" s="444">
        <v>0</v>
      </c>
      <c r="Q341" s="444">
        <v>0</v>
      </c>
      <c r="R341" s="444">
        <v>0</v>
      </c>
      <c r="S341" s="444">
        <v>0</v>
      </c>
      <c r="T341" s="444">
        <v>0</v>
      </c>
      <c r="U341" s="444">
        <v>0</v>
      </c>
      <c r="V341" s="444">
        <v>0</v>
      </c>
      <c r="W341" s="444">
        <v>0</v>
      </c>
      <c r="X341" s="442" t="s">
        <v>674</v>
      </c>
      <c r="Y341" s="442" t="s">
        <v>675</v>
      </c>
      <c r="Z341" s="442" t="s">
        <v>675</v>
      </c>
      <c r="AA341" s="442" t="s">
        <v>675</v>
      </c>
      <c r="AB341" s="442" t="s">
        <v>675</v>
      </c>
      <c r="AC341" s="442"/>
      <c r="AD341" s="442"/>
      <c r="AE341" s="442"/>
      <c r="AF341" s="442"/>
      <c r="AG341" s="443" t="s">
        <v>844</v>
      </c>
      <c r="AH341" s="442"/>
      <c r="AI341" s="443" t="s">
        <v>844</v>
      </c>
      <c r="AJ341" s="443" t="s">
        <v>677</v>
      </c>
      <c r="AK341" s="442" t="s">
        <v>677</v>
      </c>
      <c r="AL341" s="442"/>
      <c r="AM341" s="442"/>
      <c r="AN341" s="442"/>
      <c r="AO341" s="442"/>
      <c r="AP341" s="442"/>
      <c r="AQ341" s="442"/>
      <c r="AR341" s="444"/>
      <c r="AS341" s="442"/>
      <c r="AT341" s="444"/>
      <c r="AU341" s="442" t="s">
        <v>678</v>
      </c>
      <c r="AV341" s="442" t="s">
        <v>677</v>
      </c>
      <c r="AW341" s="442" t="s">
        <v>676</v>
      </c>
      <c r="AX341" s="442" t="s">
        <v>674</v>
      </c>
      <c r="AY341" s="442"/>
      <c r="AZ341" s="442"/>
      <c r="BA341" s="442" t="s">
        <v>679</v>
      </c>
      <c r="BB341" s="442"/>
      <c r="BC341" s="442"/>
      <c r="BD341" s="442"/>
      <c r="BE341" s="444"/>
      <c r="BF341" s="442" t="s">
        <v>298</v>
      </c>
      <c r="BG341" s="442" t="s">
        <v>680</v>
      </c>
      <c r="BH341" s="442" t="s">
        <v>681</v>
      </c>
      <c r="BI341" s="442"/>
    </row>
    <row r="342" spans="1:61">
      <c r="A342" s="442" t="s">
        <v>843</v>
      </c>
      <c r="B342" s="442" t="s">
        <v>843</v>
      </c>
      <c r="C342" s="442" t="s">
        <v>843</v>
      </c>
      <c r="D342" s="442" t="s">
        <v>673</v>
      </c>
      <c r="E342" s="442" t="s">
        <v>3</v>
      </c>
      <c r="F342" s="443" t="s">
        <v>83</v>
      </c>
      <c r="G342" s="443" t="s">
        <v>700</v>
      </c>
      <c r="H342" s="444">
        <v>73334</v>
      </c>
      <c r="I342" s="444">
        <v>73334</v>
      </c>
      <c r="J342" s="444">
        <v>0</v>
      </c>
      <c r="K342" s="444">
        <v>0</v>
      </c>
      <c r="L342" s="444">
        <v>73334</v>
      </c>
      <c r="M342" s="444">
        <v>0</v>
      </c>
      <c r="N342" s="444">
        <v>0</v>
      </c>
      <c r="O342" s="444">
        <v>0</v>
      </c>
      <c r="P342" s="444">
        <v>0</v>
      </c>
      <c r="Q342" s="444">
        <v>0</v>
      </c>
      <c r="R342" s="444">
        <v>0</v>
      </c>
      <c r="S342" s="444">
        <v>0</v>
      </c>
      <c r="T342" s="444">
        <v>0</v>
      </c>
      <c r="U342" s="444">
        <v>0</v>
      </c>
      <c r="V342" s="444">
        <v>0</v>
      </c>
      <c r="W342" s="444">
        <v>0</v>
      </c>
      <c r="X342" s="442" t="s">
        <v>674</v>
      </c>
      <c r="Y342" s="442" t="s">
        <v>675</v>
      </c>
      <c r="Z342" s="442" t="s">
        <v>675</v>
      </c>
      <c r="AA342" s="442" t="s">
        <v>675</v>
      </c>
      <c r="AB342" s="442" t="s">
        <v>675</v>
      </c>
      <c r="AC342" s="442"/>
      <c r="AD342" s="442"/>
      <c r="AE342" s="442"/>
      <c r="AF342" s="442"/>
      <c r="AG342" s="443" t="s">
        <v>844</v>
      </c>
      <c r="AH342" s="442"/>
      <c r="AI342" s="443" t="s">
        <v>844</v>
      </c>
      <c r="AJ342" s="443" t="s">
        <v>677</v>
      </c>
      <c r="AK342" s="442" t="s">
        <v>677</v>
      </c>
      <c r="AL342" s="442"/>
      <c r="AM342" s="442"/>
      <c r="AN342" s="442"/>
      <c r="AO342" s="442"/>
      <c r="AP342" s="442"/>
      <c r="AQ342" s="442"/>
      <c r="AR342" s="444"/>
      <c r="AS342" s="442"/>
      <c r="AT342" s="444"/>
      <c r="AU342" s="442" t="s">
        <v>678</v>
      </c>
      <c r="AV342" s="442" t="s">
        <v>677</v>
      </c>
      <c r="AW342" s="442" t="s">
        <v>676</v>
      </c>
      <c r="AX342" s="442" t="s">
        <v>674</v>
      </c>
      <c r="AY342" s="442"/>
      <c r="AZ342" s="442"/>
      <c r="BA342" s="442" t="s">
        <v>679</v>
      </c>
      <c r="BB342" s="442"/>
      <c r="BC342" s="442"/>
      <c r="BD342" s="442"/>
      <c r="BE342" s="444"/>
      <c r="BF342" s="442" t="s">
        <v>298</v>
      </c>
      <c r="BG342" s="442" t="s">
        <v>680</v>
      </c>
      <c r="BH342" s="442" t="s">
        <v>681</v>
      </c>
      <c r="BI342" s="442"/>
    </row>
    <row r="343" spans="1:61">
      <c r="A343" s="442" t="s">
        <v>843</v>
      </c>
      <c r="B343" s="442" t="s">
        <v>843</v>
      </c>
      <c r="C343" s="442" t="s">
        <v>843</v>
      </c>
      <c r="D343" s="442" t="s">
        <v>673</v>
      </c>
      <c r="E343" s="442" t="s">
        <v>3</v>
      </c>
      <c r="F343" s="443" t="s">
        <v>83</v>
      </c>
      <c r="G343" s="443" t="s">
        <v>700</v>
      </c>
      <c r="H343" s="444">
        <v>73333</v>
      </c>
      <c r="I343" s="444">
        <v>73333</v>
      </c>
      <c r="J343" s="444">
        <v>0</v>
      </c>
      <c r="K343" s="444">
        <v>0</v>
      </c>
      <c r="L343" s="444">
        <v>73333</v>
      </c>
      <c r="M343" s="444">
        <v>0</v>
      </c>
      <c r="N343" s="444">
        <v>0</v>
      </c>
      <c r="O343" s="444">
        <v>0</v>
      </c>
      <c r="P343" s="444">
        <v>0</v>
      </c>
      <c r="Q343" s="444">
        <v>0</v>
      </c>
      <c r="R343" s="444">
        <v>0</v>
      </c>
      <c r="S343" s="444">
        <v>0</v>
      </c>
      <c r="T343" s="444">
        <v>0</v>
      </c>
      <c r="U343" s="444">
        <v>0</v>
      </c>
      <c r="V343" s="444">
        <v>0</v>
      </c>
      <c r="W343" s="444">
        <v>0</v>
      </c>
      <c r="X343" s="442" t="s">
        <v>674</v>
      </c>
      <c r="Y343" s="442" t="s">
        <v>675</v>
      </c>
      <c r="Z343" s="442" t="s">
        <v>675</v>
      </c>
      <c r="AA343" s="442" t="s">
        <v>675</v>
      </c>
      <c r="AB343" s="442" t="s">
        <v>675</v>
      </c>
      <c r="AC343" s="442"/>
      <c r="AD343" s="442"/>
      <c r="AE343" s="442"/>
      <c r="AF343" s="442"/>
      <c r="AG343" s="443" t="s">
        <v>844</v>
      </c>
      <c r="AH343" s="442"/>
      <c r="AI343" s="443" t="s">
        <v>844</v>
      </c>
      <c r="AJ343" s="443" t="s">
        <v>677</v>
      </c>
      <c r="AK343" s="442" t="s">
        <v>677</v>
      </c>
      <c r="AL343" s="442"/>
      <c r="AM343" s="442"/>
      <c r="AN343" s="442"/>
      <c r="AO343" s="442"/>
      <c r="AP343" s="442"/>
      <c r="AQ343" s="442"/>
      <c r="AR343" s="444"/>
      <c r="AS343" s="442"/>
      <c r="AT343" s="444"/>
      <c r="AU343" s="442" t="s">
        <v>678</v>
      </c>
      <c r="AV343" s="442" t="s">
        <v>677</v>
      </c>
      <c r="AW343" s="442" t="s">
        <v>676</v>
      </c>
      <c r="AX343" s="442" t="s">
        <v>674</v>
      </c>
      <c r="AY343" s="442"/>
      <c r="AZ343" s="442"/>
      <c r="BA343" s="442" t="s">
        <v>679</v>
      </c>
      <c r="BB343" s="442"/>
      <c r="BC343" s="442"/>
      <c r="BD343" s="442"/>
      <c r="BE343" s="444"/>
      <c r="BF343" s="442" t="s">
        <v>298</v>
      </c>
      <c r="BG343" s="442" t="s">
        <v>680</v>
      </c>
      <c r="BH343" s="442" t="s">
        <v>681</v>
      </c>
      <c r="BI343" s="442"/>
    </row>
    <row r="344" spans="1:61">
      <c r="A344" s="442" t="s">
        <v>843</v>
      </c>
      <c r="B344" s="442" t="s">
        <v>843</v>
      </c>
      <c r="C344" s="442" t="s">
        <v>843</v>
      </c>
      <c r="D344" s="442" t="s">
        <v>673</v>
      </c>
      <c r="E344" s="442" t="s">
        <v>3</v>
      </c>
      <c r="F344" s="443" t="s">
        <v>83</v>
      </c>
      <c r="G344" s="443" t="s">
        <v>700</v>
      </c>
      <c r="H344" s="444">
        <v>73334</v>
      </c>
      <c r="I344" s="444">
        <v>73334</v>
      </c>
      <c r="J344" s="444">
        <v>0</v>
      </c>
      <c r="K344" s="444">
        <v>0</v>
      </c>
      <c r="L344" s="444">
        <v>73334</v>
      </c>
      <c r="M344" s="444">
        <v>0</v>
      </c>
      <c r="N344" s="444">
        <v>0</v>
      </c>
      <c r="O344" s="444">
        <v>0</v>
      </c>
      <c r="P344" s="444">
        <v>0</v>
      </c>
      <c r="Q344" s="444">
        <v>0</v>
      </c>
      <c r="R344" s="444">
        <v>0</v>
      </c>
      <c r="S344" s="444">
        <v>0</v>
      </c>
      <c r="T344" s="444">
        <v>0</v>
      </c>
      <c r="U344" s="444">
        <v>0</v>
      </c>
      <c r="V344" s="444">
        <v>0</v>
      </c>
      <c r="W344" s="444">
        <v>0</v>
      </c>
      <c r="X344" s="442" t="s">
        <v>674</v>
      </c>
      <c r="Y344" s="442" t="s">
        <v>675</v>
      </c>
      <c r="Z344" s="442" t="s">
        <v>675</v>
      </c>
      <c r="AA344" s="442" t="s">
        <v>675</v>
      </c>
      <c r="AB344" s="442" t="s">
        <v>675</v>
      </c>
      <c r="AC344" s="442"/>
      <c r="AD344" s="442"/>
      <c r="AE344" s="442"/>
      <c r="AF344" s="442"/>
      <c r="AG344" s="443" t="s">
        <v>844</v>
      </c>
      <c r="AH344" s="442"/>
      <c r="AI344" s="443" t="s">
        <v>844</v>
      </c>
      <c r="AJ344" s="443" t="s">
        <v>677</v>
      </c>
      <c r="AK344" s="442" t="s">
        <v>677</v>
      </c>
      <c r="AL344" s="442"/>
      <c r="AM344" s="442"/>
      <c r="AN344" s="442"/>
      <c r="AO344" s="442"/>
      <c r="AP344" s="442"/>
      <c r="AQ344" s="442"/>
      <c r="AR344" s="444"/>
      <c r="AS344" s="442"/>
      <c r="AT344" s="444"/>
      <c r="AU344" s="442" t="s">
        <v>678</v>
      </c>
      <c r="AV344" s="442" t="s">
        <v>677</v>
      </c>
      <c r="AW344" s="442" t="s">
        <v>676</v>
      </c>
      <c r="AX344" s="442" t="s">
        <v>674</v>
      </c>
      <c r="AY344" s="442"/>
      <c r="AZ344" s="442"/>
      <c r="BA344" s="442" t="s">
        <v>679</v>
      </c>
      <c r="BB344" s="442"/>
      <c r="BC344" s="442"/>
      <c r="BD344" s="442"/>
      <c r="BE344" s="444"/>
      <c r="BF344" s="442" t="s">
        <v>298</v>
      </c>
      <c r="BG344" s="442" t="s">
        <v>680</v>
      </c>
      <c r="BH344" s="442" t="s">
        <v>681</v>
      </c>
      <c r="BI344" s="442"/>
    </row>
    <row r="345" spans="1:61">
      <c r="A345" s="442" t="s">
        <v>843</v>
      </c>
      <c r="B345" s="442" t="s">
        <v>843</v>
      </c>
      <c r="C345" s="442" t="s">
        <v>843</v>
      </c>
      <c r="D345" s="442" t="s">
        <v>673</v>
      </c>
      <c r="E345" s="442" t="s">
        <v>3</v>
      </c>
      <c r="F345" s="443" t="s">
        <v>83</v>
      </c>
      <c r="G345" s="443" t="s">
        <v>700</v>
      </c>
      <c r="H345" s="444">
        <v>73333</v>
      </c>
      <c r="I345" s="444">
        <v>73333</v>
      </c>
      <c r="J345" s="444">
        <v>0</v>
      </c>
      <c r="K345" s="444">
        <v>0</v>
      </c>
      <c r="L345" s="444">
        <v>73333</v>
      </c>
      <c r="M345" s="444">
        <v>0</v>
      </c>
      <c r="N345" s="444">
        <v>0</v>
      </c>
      <c r="O345" s="444">
        <v>0</v>
      </c>
      <c r="P345" s="444">
        <v>0</v>
      </c>
      <c r="Q345" s="444">
        <v>0</v>
      </c>
      <c r="R345" s="444">
        <v>0</v>
      </c>
      <c r="S345" s="444">
        <v>0</v>
      </c>
      <c r="T345" s="444">
        <v>0</v>
      </c>
      <c r="U345" s="444">
        <v>0</v>
      </c>
      <c r="V345" s="444">
        <v>0</v>
      </c>
      <c r="W345" s="444">
        <v>0</v>
      </c>
      <c r="X345" s="442" t="s">
        <v>674</v>
      </c>
      <c r="Y345" s="442" t="s">
        <v>675</v>
      </c>
      <c r="Z345" s="442" t="s">
        <v>675</v>
      </c>
      <c r="AA345" s="442" t="s">
        <v>675</v>
      </c>
      <c r="AB345" s="442" t="s">
        <v>675</v>
      </c>
      <c r="AC345" s="442"/>
      <c r="AD345" s="442"/>
      <c r="AE345" s="442"/>
      <c r="AF345" s="442"/>
      <c r="AG345" s="443" t="s">
        <v>844</v>
      </c>
      <c r="AH345" s="442"/>
      <c r="AI345" s="443" t="s">
        <v>844</v>
      </c>
      <c r="AJ345" s="443" t="s">
        <v>677</v>
      </c>
      <c r="AK345" s="442" t="s">
        <v>677</v>
      </c>
      <c r="AL345" s="442"/>
      <c r="AM345" s="442"/>
      <c r="AN345" s="442"/>
      <c r="AO345" s="442"/>
      <c r="AP345" s="442"/>
      <c r="AQ345" s="442"/>
      <c r="AR345" s="444"/>
      <c r="AS345" s="442"/>
      <c r="AT345" s="444"/>
      <c r="AU345" s="442" t="s">
        <v>678</v>
      </c>
      <c r="AV345" s="442" t="s">
        <v>677</v>
      </c>
      <c r="AW345" s="442" t="s">
        <v>676</v>
      </c>
      <c r="AX345" s="442" t="s">
        <v>674</v>
      </c>
      <c r="AY345" s="442"/>
      <c r="AZ345" s="442"/>
      <c r="BA345" s="442" t="s">
        <v>679</v>
      </c>
      <c r="BB345" s="442"/>
      <c r="BC345" s="442"/>
      <c r="BD345" s="442"/>
      <c r="BE345" s="444"/>
      <c r="BF345" s="442" t="s">
        <v>298</v>
      </c>
      <c r="BG345" s="442" t="s">
        <v>680</v>
      </c>
      <c r="BH345" s="442" t="s">
        <v>681</v>
      </c>
      <c r="BI345" s="442"/>
    </row>
    <row r="346" spans="1:61">
      <c r="A346" s="442" t="s">
        <v>843</v>
      </c>
      <c r="B346" s="442" t="s">
        <v>843</v>
      </c>
      <c r="C346" s="442" t="s">
        <v>843</v>
      </c>
      <c r="D346" s="442" t="s">
        <v>673</v>
      </c>
      <c r="E346" s="442" t="s">
        <v>3</v>
      </c>
      <c r="F346" s="443" t="s">
        <v>83</v>
      </c>
      <c r="G346" s="443" t="s">
        <v>700</v>
      </c>
      <c r="H346" s="444">
        <v>193333</v>
      </c>
      <c r="I346" s="444">
        <v>193333</v>
      </c>
      <c r="J346" s="444">
        <v>0</v>
      </c>
      <c r="K346" s="444">
        <v>0</v>
      </c>
      <c r="L346" s="444">
        <v>193333</v>
      </c>
      <c r="M346" s="444">
        <v>0</v>
      </c>
      <c r="N346" s="444">
        <v>0</v>
      </c>
      <c r="O346" s="444">
        <v>0</v>
      </c>
      <c r="P346" s="444">
        <v>0</v>
      </c>
      <c r="Q346" s="444">
        <v>0</v>
      </c>
      <c r="R346" s="444">
        <v>0</v>
      </c>
      <c r="S346" s="444">
        <v>0</v>
      </c>
      <c r="T346" s="444">
        <v>0</v>
      </c>
      <c r="U346" s="444">
        <v>0</v>
      </c>
      <c r="V346" s="444">
        <v>0</v>
      </c>
      <c r="W346" s="444">
        <v>0</v>
      </c>
      <c r="X346" s="442" t="s">
        <v>674</v>
      </c>
      <c r="Y346" s="442" t="s">
        <v>675</v>
      </c>
      <c r="Z346" s="442" t="s">
        <v>675</v>
      </c>
      <c r="AA346" s="442" t="s">
        <v>675</v>
      </c>
      <c r="AB346" s="442" t="s">
        <v>675</v>
      </c>
      <c r="AC346" s="442"/>
      <c r="AD346" s="442"/>
      <c r="AE346" s="442"/>
      <c r="AF346" s="442"/>
      <c r="AG346" s="443" t="s">
        <v>844</v>
      </c>
      <c r="AH346" s="442"/>
      <c r="AI346" s="443" t="s">
        <v>844</v>
      </c>
      <c r="AJ346" s="443" t="s">
        <v>677</v>
      </c>
      <c r="AK346" s="442" t="s">
        <v>677</v>
      </c>
      <c r="AL346" s="442"/>
      <c r="AM346" s="442"/>
      <c r="AN346" s="442"/>
      <c r="AO346" s="442"/>
      <c r="AP346" s="442"/>
      <c r="AQ346" s="442"/>
      <c r="AR346" s="444"/>
      <c r="AS346" s="442"/>
      <c r="AT346" s="444"/>
      <c r="AU346" s="442" t="s">
        <v>678</v>
      </c>
      <c r="AV346" s="442" t="s">
        <v>677</v>
      </c>
      <c r="AW346" s="442" t="s">
        <v>676</v>
      </c>
      <c r="AX346" s="442" t="s">
        <v>674</v>
      </c>
      <c r="AY346" s="442"/>
      <c r="AZ346" s="442"/>
      <c r="BA346" s="442" t="s">
        <v>679</v>
      </c>
      <c r="BB346" s="442"/>
      <c r="BC346" s="442"/>
      <c r="BD346" s="442"/>
      <c r="BE346" s="444"/>
      <c r="BF346" s="442" t="s">
        <v>298</v>
      </c>
      <c r="BG346" s="442" t="s">
        <v>680</v>
      </c>
      <c r="BH346" s="442" t="s">
        <v>681</v>
      </c>
      <c r="BI346" s="442"/>
    </row>
    <row r="347" spans="1:61">
      <c r="A347" s="442" t="s">
        <v>843</v>
      </c>
      <c r="B347" s="442" t="s">
        <v>843</v>
      </c>
      <c r="C347" s="442" t="s">
        <v>843</v>
      </c>
      <c r="D347" s="442" t="s">
        <v>673</v>
      </c>
      <c r="E347" s="442" t="s">
        <v>3</v>
      </c>
      <c r="F347" s="443" t="s">
        <v>83</v>
      </c>
      <c r="G347" s="443" t="s">
        <v>700</v>
      </c>
      <c r="H347" s="444">
        <v>193333</v>
      </c>
      <c r="I347" s="444">
        <v>193333</v>
      </c>
      <c r="J347" s="444">
        <v>0</v>
      </c>
      <c r="K347" s="444">
        <v>0</v>
      </c>
      <c r="L347" s="444">
        <v>193333</v>
      </c>
      <c r="M347" s="444">
        <v>0</v>
      </c>
      <c r="N347" s="444">
        <v>0</v>
      </c>
      <c r="O347" s="444">
        <v>0</v>
      </c>
      <c r="P347" s="444">
        <v>0</v>
      </c>
      <c r="Q347" s="444">
        <v>0</v>
      </c>
      <c r="R347" s="444">
        <v>0</v>
      </c>
      <c r="S347" s="444">
        <v>0</v>
      </c>
      <c r="T347" s="444">
        <v>0</v>
      </c>
      <c r="U347" s="444">
        <v>0</v>
      </c>
      <c r="V347" s="444">
        <v>0</v>
      </c>
      <c r="W347" s="444">
        <v>0</v>
      </c>
      <c r="X347" s="442" t="s">
        <v>674</v>
      </c>
      <c r="Y347" s="442" t="s">
        <v>675</v>
      </c>
      <c r="Z347" s="442" t="s">
        <v>675</v>
      </c>
      <c r="AA347" s="442" t="s">
        <v>675</v>
      </c>
      <c r="AB347" s="442" t="s">
        <v>675</v>
      </c>
      <c r="AC347" s="442"/>
      <c r="AD347" s="442"/>
      <c r="AE347" s="442"/>
      <c r="AF347" s="442"/>
      <c r="AG347" s="443" t="s">
        <v>844</v>
      </c>
      <c r="AH347" s="442"/>
      <c r="AI347" s="443" t="s">
        <v>844</v>
      </c>
      <c r="AJ347" s="443" t="s">
        <v>677</v>
      </c>
      <c r="AK347" s="442" t="s">
        <v>677</v>
      </c>
      <c r="AL347" s="442"/>
      <c r="AM347" s="442"/>
      <c r="AN347" s="442"/>
      <c r="AO347" s="442"/>
      <c r="AP347" s="442"/>
      <c r="AQ347" s="442"/>
      <c r="AR347" s="444"/>
      <c r="AS347" s="442"/>
      <c r="AT347" s="444"/>
      <c r="AU347" s="442" t="s">
        <v>678</v>
      </c>
      <c r="AV347" s="442" t="s">
        <v>677</v>
      </c>
      <c r="AW347" s="442" t="s">
        <v>676</v>
      </c>
      <c r="AX347" s="442" t="s">
        <v>674</v>
      </c>
      <c r="AY347" s="442"/>
      <c r="AZ347" s="442"/>
      <c r="BA347" s="442" t="s">
        <v>679</v>
      </c>
      <c r="BB347" s="442"/>
      <c r="BC347" s="442"/>
      <c r="BD347" s="442"/>
      <c r="BE347" s="444"/>
      <c r="BF347" s="442" t="s">
        <v>298</v>
      </c>
      <c r="BG347" s="442" t="s">
        <v>680</v>
      </c>
      <c r="BH347" s="442" t="s">
        <v>681</v>
      </c>
      <c r="BI347" s="442"/>
    </row>
    <row r="348" spans="1:61">
      <c r="A348" s="442" t="s">
        <v>845</v>
      </c>
      <c r="B348" s="442" t="s">
        <v>753</v>
      </c>
      <c r="C348" s="442" t="s">
        <v>759</v>
      </c>
      <c r="D348" s="442" t="s">
        <v>716</v>
      </c>
      <c r="E348" s="442" t="s">
        <v>3</v>
      </c>
      <c r="F348" s="443" t="s">
        <v>71</v>
      </c>
      <c r="G348" s="443" t="s">
        <v>719</v>
      </c>
      <c r="H348" s="444">
        <v>2332000</v>
      </c>
      <c r="I348" s="444">
        <v>2332000</v>
      </c>
      <c r="J348" s="444">
        <v>0</v>
      </c>
      <c r="K348" s="444">
        <v>0</v>
      </c>
      <c r="L348" s="444">
        <v>2120000</v>
      </c>
      <c r="M348" s="444">
        <v>0</v>
      </c>
      <c r="N348" s="444">
        <v>0</v>
      </c>
      <c r="O348" s="444">
        <v>212000</v>
      </c>
      <c r="P348" s="444">
        <v>0</v>
      </c>
      <c r="Q348" s="444">
        <v>0</v>
      </c>
      <c r="R348" s="444">
        <v>0</v>
      </c>
      <c r="S348" s="444">
        <v>0</v>
      </c>
      <c r="T348" s="444">
        <v>0</v>
      </c>
      <c r="U348" s="444">
        <v>0</v>
      </c>
      <c r="V348" s="444">
        <v>0</v>
      </c>
      <c r="W348" s="444">
        <v>0</v>
      </c>
      <c r="X348" s="442" t="s">
        <v>674</v>
      </c>
      <c r="Y348" s="442" t="s">
        <v>675</v>
      </c>
      <c r="Z348" s="442" t="s">
        <v>675</v>
      </c>
      <c r="AA348" s="442" t="s">
        <v>675</v>
      </c>
      <c r="AB348" s="442" t="s">
        <v>675</v>
      </c>
      <c r="AC348" s="442"/>
      <c r="AD348" s="442"/>
      <c r="AE348" s="442"/>
      <c r="AF348" s="442"/>
      <c r="AG348" s="443" t="s">
        <v>846</v>
      </c>
      <c r="AH348" s="442"/>
      <c r="AI348" s="443" t="s">
        <v>846</v>
      </c>
      <c r="AJ348" s="443" t="s">
        <v>721</v>
      </c>
      <c r="AK348" s="442" t="s">
        <v>677</v>
      </c>
      <c r="AL348" s="442"/>
      <c r="AM348" s="442"/>
      <c r="AN348" s="442"/>
      <c r="AO348" s="442"/>
      <c r="AP348" s="442"/>
      <c r="AQ348" s="442"/>
      <c r="AR348" s="444"/>
      <c r="AS348" s="442"/>
      <c r="AT348" s="444"/>
      <c r="AU348" s="442" t="s">
        <v>678</v>
      </c>
      <c r="AV348" s="442" t="s">
        <v>677</v>
      </c>
      <c r="AW348" s="442" t="s">
        <v>676</v>
      </c>
      <c r="AX348" s="442" t="s">
        <v>674</v>
      </c>
      <c r="AY348" s="442"/>
      <c r="AZ348" s="442"/>
      <c r="BA348" s="442" t="s">
        <v>679</v>
      </c>
      <c r="BB348" s="442"/>
      <c r="BC348" s="442"/>
      <c r="BD348" s="442"/>
      <c r="BE348" s="444"/>
      <c r="BF348" s="442" t="s">
        <v>298</v>
      </c>
      <c r="BG348" s="442" t="s">
        <v>680</v>
      </c>
      <c r="BH348" s="442" t="s">
        <v>681</v>
      </c>
      <c r="BI348" s="442"/>
    </row>
    <row r="349" spans="1:61">
      <c r="A349" s="442" t="s">
        <v>845</v>
      </c>
      <c r="B349" s="442" t="s">
        <v>753</v>
      </c>
      <c r="C349" s="442" t="s">
        <v>759</v>
      </c>
      <c r="D349" s="442" t="s">
        <v>716</v>
      </c>
      <c r="E349" s="442" t="s">
        <v>3</v>
      </c>
      <c r="F349" s="443" t="s">
        <v>71</v>
      </c>
      <c r="G349" s="443" t="s">
        <v>719</v>
      </c>
      <c r="H349" s="444">
        <v>1496000</v>
      </c>
      <c r="I349" s="444">
        <v>1496000</v>
      </c>
      <c r="J349" s="444">
        <v>0</v>
      </c>
      <c r="K349" s="444">
        <v>0</v>
      </c>
      <c r="L349" s="444">
        <v>1360000</v>
      </c>
      <c r="M349" s="444">
        <v>0</v>
      </c>
      <c r="N349" s="444">
        <v>0</v>
      </c>
      <c r="O349" s="444">
        <v>136000</v>
      </c>
      <c r="P349" s="444">
        <v>0</v>
      </c>
      <c r="Q349" s="444">
        <v>0</v>
      </c>
      <c r="R349" s="444">
        <v>0</v>
      </c>
      <c r="S349" s="444">
        <v>0</v>
      </c>
      <c r="T349" s="444">
        <v>0</v>
      </c>
      <c r="U349" s="444">
        <v>0</v>
      </c>
      <c r="V349" s="444">
        <v>0</v>
      </c>
      <c r="W349" s="444">
        <v>0</v>
      </c>
      <c r="X349" s="442" t="s">
        <v>674</v>
      </c>
      <c r="Y349" s="442" t="s">
        <v>675</v>
      </c>
      <c r="Z349" s="442" t="s">
        <v>675</v>
      </c>
      <c r="AA349" s="442" t="s">
        <v>675</v>
      </c>
      <c r="AB349" s="442" t="s">
        <v>675</v>
      </c>
      <c r="AC349" s="442"/>
      <c r="AD349" s="442"/>
      <c r="AE349" s="442"/>
      <c r="AF349" s="442"/>
      <c r="AG349" s="443" t="s">
        <v>847</v>
      </c>
      <c r="AH349" s="442"/>
      <c r="AI349" s="443" t="s">
        <v>847</v>
      </c>
      <c r="AJ349" s="443" t="s">
        <v>721</v>
      </c>
      <c r="AK349" s="442" t="s">
        <v>677</v>
      </c>
      <c r="AL349" s="442"/>
      <c r="AM349" s="442"/>
      <c r="AN349" s="442"/>
      <c r="AO349" s="442"/>
      <c r="AP349" s="442"/>
      <c r="AQ349" s="442"/>
      <c r="AR349" s="444"/>
      <c r="AS349" s="442"/>
      <c r="AT349" s="444"/>
      <c r="AU349" s="442" t="s">
        <v>678</v>
      </c>
      <c r="AV349" s="442" t="s">
        <v>677</v>
      </c>
      <c r="AW349" s="442" t="s">
        <v>676</v>
      </c>
      <c r="AX349" s="442" t="s">
        <v>674</v>
      </c>
      <c r="AY349" s="442"/>
      <c r="AZ349" s="442"/>
      <c r="BA349" s="442" t="s">
        <v>679</v>
      </c>
      <c r="BB349" s="442"/>
      <c r="BC349" s="442"/>
      <c r="BD349" s="442"/>
      <c r="BE349" s="444"/>
      <c r="BF349" s="442" t="s">
        <v>298</v>
      </c>
      <c r="BG349" s="442" t="s">
        <v>680</v>
      </c>
      <c r="BH349" s="442" t="s">
        <v>681</v>
      </c>
      <c r="BI349" s="442"/>
    </row>
    <row r="350" spans="1:61">
      <c r="A350" s="442" t="s">
        <v>848</v>
      </c>
      <c r="B350" s="442" t="s">
        <v>848</v>
      </c>
      <c r="C350" s="442" t="s">
        <v>848</v>
      </c>
      <c r="D350" s="442" t="s">
        <v>673</v>
      </c>
      <c r="E350" s="442" t="s">
        <v>3</v>
      </c>
      <c r="F350" s="443" t="s">
        <v>7</v>
      </c>
      <c r="G350" s="443" t="s">
        <v>684</v>
      </c>
      <c r="H350" s="444">
        <v>326410</v>
      </c>
      <c r="I350" s="444">
        <v>326410</v>
      </c>
      <c r="J350" s="444">
        <v>0</v>
      </c>
      <c r="K350" s="444">
        <v>0</v>
      </c>
      <c r="L350" s="444">
        <v>326410</v>
      </c>
      <c r="M350" s="444">
        <v>0</v>
      </c>
      <c r="N350" s="444">
        <v>0</v>
      </c>
      <c r="O350" s="444">
        <v>0</v>
      </c>
      <c r="P350" s="444">
        <v>0</v>
      </c>
      <c r="Q350" s="444">
        <v>0</v>
      </c>
      <c r="R350" s="444">
        <v>0</v>
      </c>
      <c r="S350" s="444">
        <v>0</v>
      </c>
      <c r="T350" s="444">
        <v>0</v>
      </c>
      <c r="U350" s="444">
        <v>0</v>
      </c>
      <c r="V350" s="444">
        <v>0</v>
      </c>
      <c r="W350" s="444">
        <v>0</v>
      </c>
      <c r="X350" s="442" t="s">
        <v>674</v>
      </c>
      <c r="Y350" s="442" t="s">
        <v>675</v>
      </c>
      <c r="Z350" s="442" t="s">
        <v>675</v>
      </c>
      <c r="AA350" s="442" t="s">
        <v>675</v>
      </c>
      <c r="AB350" s="442" t="s">
        <v>675</v>
      </c>
      <c r="AC350" s="442"/>
      <c r="AD350" s="442"/>
      <c r="AE350" s="442"/>
      <c r="AF350" s="442"/>
      <c r="AG350" s="443" t="s">
        <v>849</v>
      </c>
      <c r="AH350" s="442"/>
      <c r="AI350" s="443" t="s">
        <v>849</v>
      </c>
      <c r="AJ350" s="443" t="s">
        <v>677</v>
      </c>
      <c r="AK350" s="442" t="s">
        <v>677</v>
      </c>
      <c r="AL350" s="442"/>
      <c r="AM350" s="442"/>
      <c r="AN350" s="442"/>
      <c r="AO350" s="442"/>
      <c r="AP350" s="442"/>
      <c r="AQ350" s="442"/>
      <c r="AR350" s="444"/>
      <c r="AS350" s="442"/>
      <c r="AT350" s="444"/>
      <c r="AU350" s="442" t="s">
        <v>678</v>
      </c>
      <c r="AV350" s="442" t="s">
        <v>677</v>
      </c>
      <c r="AW350" s="442" t="s">
        <v>676</v>
      </c>
      <c r="AX350" s="442" t="s">
        <v>674</v>
      </c>
      <c r="AY350" s="442"/>
      <c r="AZ350" s="442"/>
      <c r="BA350" s="442" t="s">
        <v>679</v>
      </c>
      <c r="BB350" s="442"/>
      <c r="BC350" s="442"/>
      <c r="BD350" s="442"/>
      <c r="BE350" s="444"/>
      <c r="BF350" s="442" t="s">
        <v>298</v>
      </c>
      <c r="BG350" s="442" t="s">
        <v>680</v>
      </c>
      <c r="BH350" s="442" t="s">
        <v>681</v>
      </c>
      <c r="BI350" s="442"/>
    </row>
    <row r="351" spans="1:61">
      <c r="A351" s="442" t="s">
        <v>848</v>
      </c>
      <c r="B351" s="442" t="s">
        <v>848</v>
      </c>
      <c r="C351" s="442" t="s">
        <v>848</v>
      </c>
      <c r="D351" s="442" t="s">
        <v>673</v>
      </c>
      <c r="E351" s="442" t="s">
        <v>3</v>
      </c>
      <c r="F351" s="443" t="s">
        <v>7</v>
      </c>
      <c r="G351" s="443" t="s">
        <v>684</v>
      </c>
      <c r="H351" s="444">
        <v>425360</v>
      </c>
      <c r="I351" s="444">
        <v>425360</v>
      </c>
      <c r="J351" s="444">
        <v>0</v>
      </c>
      <c r="K351" s="444">
        <v>0</v>
      </c>
      <c r="L351" s="444">
        <v>425360</v>
      </c>
      <c r="M351" s="444">
        <v>0</v>
      </c>
      <c r="N351" s="444">
        <v>0</v>
      </c>
      <c r="O351" s="444">
        <v>0</v>
      </c>
      <c r="P351" s="444">
        <v>0</v>
      </c>
      <c r="Q351" s="444">
        <v>0</v>
      </c>
      <c r="R351" s="444">
        <v>0</v>
      </c>
      <c r="S351" s="444">
        <v>0</v>
      </c>
      <c r="T351" s="444">
        <v>0</v>
      </c>
      <c r="U351" s="444">
        <v>0</v>
      </c>
      <c r="V351" s="444">
        <v>0</v>
      </c>
      <c r="W351" s="444">
        <v>0</v>
      </c>
      <c r="X351" s="442" t="s">
        <v>674</v>
      </c>
      <c r="Y351" s="442" t="s">
        <v>675</v>
      </c>
      <c r="Z351" s="442" t="s">
        <v>675</v>
      </c>
      <c r="AA351" s="442" t="s">
        <v>675</v>
      </c>
      <c r="AB351" s="442" t="s">
        <v>675</v>
      </c>
      <c r="AC351" s="442"/>
      <c r="AD351" s="442"/>
      <c r="AE351" s="442"/>
      <c r="AF351" s="442"/>
      <c r="AG351" s="443" t="s">
        <v>850</v>
      </c>
      <c r="AH351" s="442"/>
      <c r="AI351" s="443" t="s">
        <v>850</v>
      </c>
      <c r="AJ351" s="443" t="s">
        <v>677</v>
      </c>
      <c r="AK351" s="442" t="s">
        <v>677</v>
      </c>
      <c r="AL351" s="442"/>
      <c r="AM351" s="442"/>
      <c r="AN351" s="442"/>
      <c r="AO351" s="442"/>
      <c r="AP351" s="442"/>
      <c r="AQ351" s="442"/>
      <c r="AR351" s="444"/>
      <c r="AS351" s="442"/>
      <c r="AT351" s="444"/>
      <c r="AU351" s="442" t="s">
        <v>678</v>
      </c>
      <c r="AV351" s="442" t="s">
        <v>677</v>
      </c>
      <c r="AW351" s="442" t="s">
        <v>676</v>
      </c>
      <c r="AX351" s="442" t="s">
        <v>674</v>
      </c>
      <c r="AY351" s="442"/>
      <c r="AZ351" s="442"/>
      <c r="BA351" s="442" t="s">
        <v>679</v>
      </c>
      <c r="BB351" s="442"/>
      <c r="BC351" s="442"/>
      <c r="BD351" s="442"/>
      <c r="BE351" s="444"/>
      <c r="BF351" s="442" t="s">
        <v>298</v>
      </c>
      <c r="BG351" s="442" t="s">
        <v>680</v>
      </c>
      <c r="BH351" s="442" t="s">
        <v>681</v>
      </c>
      <c r="BI351" s="442"/>
    </row>
    <row r="352" spans="1:61">
      <c r="A352" s="442" t="s">
        <v>848</v>
      </c>
      <c r="B352" s="442" t="s">
        <v>848</v>
      </c>
      <c r="C352" s="442" t="s">
        <v>848</v>
      </c>
      <c r="D352" s="442" t="s">
        <v>673</v>
      </c>
      <c r="E352" s="442" t="s">
        <v>3</v>
      </c>
      <c r="F352" s="443" t="s">
        <v>7</v>
      </c>
      <c r="G352" s="443" t="s">
        <v>684</v>
      </c>
      <c r="H352" s="444">
        <v>200870</v>
      </c>
      <c r="I352" s="444">
        <v>200870</v>
      </c>
      <c r="J352" s="444">
        <v>0</v>
      </c>
      <c r="K352" s="444">
        <v>0</v>
      </c>
      <c r="L352" s="444">
        <v>200870</v>
      </c>
      <c r="M352" s="444">
        <v>0</v>
      </c>
      <c r="N352" s="444">
        <v>0</v>
      </c>
      <c r="O352" s="444">
        <v>0</v>
      </c>
      <c r="P352" s="444">
        <v>0</v>
      </c>
      <c r="Q352" s="444">
        <v>0</v>
      </c>
      <c r="R352" s="444">
        <v>0</v>
      </c>
      <c r="S352" s="444">
        <v>0</v>
      </c>
      <c r="T352" s="444">
        <v>0</v>
      </c>
      <c r="U352" s="444">
        <v>0</v>
      </c>
      <c r="V352" s="444">
        <v>0</v>
      </c>
      <c r="W352" s="444">
        <v>0</v>
      </c>
      <c r="X352" s="442" t="s">
        <v>674</v>
      </c>
      <c r="Y352" s="442" t="s">
        <v>675</v>
      </c>
      <c r="Z352" s="442" t="s">
        <v>675</v>
      </c>
      <c r="AA352" s="442" t="s">
        <v>675</v>
      </c>
      <c r="AB352" s="442" t="s">
        <v>675</v>
      </c>
      <c r="AC352" s="442"/>
      <c r="AD352" s="442"/>
      <c r="AE352" s="442"/>
      <c r="AF352" s="442"/>
      <c r="AG352" s="443" t="s">
        <v>851</v>
      </c>
      <c r="AH352" s="442"/>
      <c r="AI352" s="443" t="s">
        <v>851</v>
      </c>
      <c r="AJ352" s="443" t="s">
        <v>677</v>
      </c>
      <c r="AK352" s="442" t="s">
        <v>677</v>
      </c>
      <c r="AL352" s="442"/>
      <c r="AM352" s="442"/>
      <c r="AN352" s="442"/>
      <c r="AO352" s="442"/>
      <c r="AP352" s="442"/>
      <c r="AQ352" s="442"/>
      <c r="AR352" s="444"/>
      <c r="AS352" s="442"/>
      <c r="AT352" s="444"/>
      <c r="AU352" s="442" t="s">
        <v>678</v>
      </c>
      <c r="AV352" s="442" t="s">
        <v>677</v>
      </c>
      <c r="AW352" s="442" t="s">
        <v>676</v>
      </c>
      <c r="AX352" s="442" t="s">
        <v>674</v>
      </c>
      <c r="AY352" s="442"/>
      <c r="AZ352" s="442"/>
      <c r="BA352" s="442" t="s">
        <v>679</v>
      </c>
      <c r="BB352" s="442"/>
      <c r="BC352" s="442"/>
      <c r="BD352" s="442"/>
      <c r="BE352" s="444"/>
      <c r="BF352" s="442" t="s">
        <v>298</v>
      </c>
      <c r="BG352" s="442" t="s">
        <v>680</v>
      </c>
      <c r="BH352" s="442" t="s">
        <v>681</v>
      </c>
      <c r="BI352" s="442"/>
    </row>
    <row r="353" spans="1:61">
      <c r="A353" s="442" t="s">
        <v>848</v>
      </c>
      <c r="B353" s="442" t="s">
        <v>848</v>
      </c>
      <c r="C353" s="442" t="s">
        <v>848</v>
      </c>
      <c r="D353" s="442" t="s">
        <v>673</v>
      </c>
      <c r="E353" s="442" t="s">
        <v>3</v>
      </c>
      <c r="F353" s="443" t="s">
        <v>7</v>
      </c>
      <c r="G353" s="443" t="s">
        <v>684</v>
      </c>
      <c r="H353" s="444">
        <v>3347790</v>
      </c>
      <c r="I353" s="444">
        <v>3347790</v>
      </c>
      <c r="J353" s="444">
        <v>0</v>
      </c>
      <c r="K353" s="444">
        <v>0</v>
      </c>
      <c r="L353" s="444">
        <v>3347790</v>
      </c>
      <c r="M353" s="444">
        <v>0</v>
      </c>
      <c r="N353" s="444">
        <v>0</v>
      </c>
      <c r="O353" s="444">
        <v>0</v>
      </c>
      <c r="P353" s="444">
        <v>0</v>
      </c>
      <c r="Q353" s="444">
        <v>0</v>
      </c>
      <c r="R353" s="444">
        <v>0</v>
      </c>
      <c r="S353" s="444">
        <v>0</v>
      </c>
      <c r="T353" s="444">
        <v>0</v>
      </c>
      <c r="U353" s="444">
        <v>0</v>
      </c>
      <c r="V353" s="444">
        <v>0</v>
      </c>
      <c r="W353" s="444">
        <v>0</v>
      </c>
      <c r="X353" s="442" t="s">
        <v>674</v>
      </c>
      <c r="Y353" s="442" t="s">
        <v>675</v>
      </c>
      <c r="Z353" s="442" t="s">
        <v>675</v>
      </c>
      <c r="AA353" s="442" t="s">
        <v>675</v>
      </c>
      <c r="AB353" s="442" t="s">
        <v>675</v>
      </c>
      <c r="AC353" s="442"/>
      <c r="AD353" s="442"/>
      <c r="AE353" s="442"/>
      <c r="AF353" s="442"/>
      <c r="AG353" s="443" t="s">
        <v>852</v>
      </c>
      <c r="AH353" s="442"/>
      <c r="AI353" s="443" t="s">
        <v>852</v>
      </c>
      <c r="AJ353" s="443" t="s">
        <v>677</v>
      </c>
      <c r="AK353" s="442" t="s">
        <v>677</v>
      </c>
      <c r="AL353" s="442"/>
      <c r="AM353" s="442"/>
      <c r="AN353" s="442"/>
      <c r="AO353" s="442"/>
      <c r="AP353" s="442"/>
      <c r="AQ353" s="442"/>
      <c r="AR353" s="444"/>
      <c r="AS353" s="442"/>
      <c r="AT353" s="444"/>
      <c r="AU353" s="442" t="s">
        <v>678</v>
      </c>
      <c r="AV353" s="442" t="s">
        <v>677</v>
      </c>
      <c r="AW353" s="442" t="s">
        <v>676</v>
      </c>
      <c r="AX353" s="442" t="s">
        <v>674</v>
      </c>
      <c r="AY353" s="442"/>
      <c r="AZ353" s="442"/>
      <c r="BA353" s="442" t="s">
        <v>679</v>
      </c>
      <c r="BB353" s="442"/>
      <c r="BC353" s="442"/>
      <c r="BD353" s="442"/>
      <c r="BE353" s="444"/>
      <c r="BF353" s="442" t="s">
        <v>298</v>
      </c>
      <c r="BG353" s="442" t="s">
        <v>680</v>
      </c>
      <c r="BH353" s="442" t="s">
        <v>681</v>
      </c>
      <c r="BI353" s="442"/>
    </row>
    <row r="354" spans="1:61">
      <c r="A354" s="442" t="s">
        <v>848</v>
      </c>
      <c r="B354" s="442" t="s">
        <v>848</v>
      </c>
      <c r="C354" s="442" t="s">
        <v>848</v>
      </c>
      <c r="D354" s="442" t="s">
        <v>673</v>
      </c>
      <c r="E354" s="442" t="s">
        <v>3</v>
      </c>
      <c r="F354" s="443" t="s">
        <v>7</v>
      </c>
      <c r="G354" s="443" t="s">
        <v>684</v>
      </c>
      <c r="H354" s="444">
        <v>368340</v>
      </c>
      <c r="I354" s="444">
        <v>368340</v>
      </c>
      <c r="J354" s="444">
        <v>0</v>
      </c>
      <c r="K354" s="444">
        <v>0</v>
      </c>
      <c r="L354" s="444">
        <v>368340</v>
      </c>
      <c r="M354" s="444">
        <v>0</v>
      </c>
      <c r="N354" s="444">
        <v>0</v>
      </c>
      <c r="O354" s="444">
        <v>0</v>
      </c>
      <c r="P354" s="444">
        <v>0</v>
      </c>
      <c r="Q354" s="444">
        <v>0</v>
      </c>
      <c r="R354" s="444">
        <v>0</v>
      </c>
      <c r="S354" s="444">
        <v>0</v>
      </c>
      <c r="T354" s="444">
        <v>0</v>
      </c>
      <c r="U354" s="444">
        <v>0</v>
      </c>
      <c r="V354" s="444">
        <v>0</v>
      </c>
      <c r="W354" s="444">
        <v>0</v>
      </c>
      <c r="X354" s="442" t="s">
        <v>674</v>
      </c>
      <c r="Y354" s="442" t="s">
        <v>675</v>
      </c>
      <c r="Z354" s="442" t="s">
        <v>675</v>
      </c>
      <c r="AA354" s="442" t="s">
        <v>675</v>
      </c>
      <c r="AB354" s="442" t="s">
        <v>675</v>
      </c>
      <c r="AC354" s="442"/>
      <c r="AD354" s="442"/>
      <c r="AE354" s="442"/>
      <c r="AF354" s="442"/>
      <c r="AG354" s="443" t="s">
        <v>853</v>
      </c>
      <c r="AH354" s="442"/>
      <c r="AI354" s="443" t="s">
        <v>853</v>
      </c>
      <c r="AJ354" s="443" t="s">
        <v>677</v>
      </c>
      <c r="AK354" s="442" t="s">
        <v>677</v>
      </c>
      <c r="AL354" s="442"/>
      <c r="AM354" s="442"/>
      <c r="AN354" s="442"/>
      <c r="AO354" s="442"/>
      <c r="AP354" s="442"/>
      <c r="AQ354" s="442"/>
      <c r="AR354" s="444"/>
      <c r="AS354" s="442"/>
      <c r="AT354" s="444"/>
      <c r="AU354" s="442" t="s">
        <v>678</v>
      </c>
      <c r="AV354" s="442" t="s">
        <v>677</v>
      </c>
      <c r="AW354" s="442" t="s">
        <v>676</v>
      </c>
      <c r="AX354" s="442" t="s">
        <v>674</v>
      </c>
      <c r="AY354" s="442"/>
      <c r="AZ354" s="442"/>
      <c r="BA354" s="442" t="s">
        <v>679</v>
      </c>
      <c r="BB354" s="442"/>
      <c r="BC354" s="442"/>
      <c r="BD354" s="442"/>
      <c r="BE354" s="444"/>
      <c r="BF354" s="442" t="s">
        <v>298</v>
      </c>
      <c r="BG354" s="442" t="s">
        <v>680</v>
      </c>
      <c r="BH354" s="442" t="s">
        <v>681</v>
      </c>
      <c r="BI354" s="442"/>
    </row>
    <row r="355" spans="1:61">
      <c r="A355" s="442" t="s">
        <v>854</v>
      </c>
      <c r="B355" s="442" t="s">
        <v>843</v>
      </c>
      <c r="C355" s="442" t="s">
        <v>843</v>
      </c>
      <c r="D355" s="442" t="s">
        <v>724</v>
      </c>
      <c r="E355" s="442" t="s">
        <v>3</v>
      </c>
      <c r="F355" s="443" t="s">
        <v>83</v>
      </c>
      <c r="G355" s="443" t="s">
        <v>700</v>
      </c>
      <c r="H355" s="444">
        <v>264000</v>
      </c>
      <c r="I355" s="444">
        <v>264000</v>
      </c>
      <c r="J355" s="444">
        <v>0</v>
      </c>
      <c r="K355" s="444">
        <v>0</v>
      </c>
      <c r="L355" s="444">
        <v>240000</v>
      </c>
      <c r="M355" s="444">
        <v>0</v>
      </c>
      <c r="N355" s="444">
        <v>0</v>
      </c>
      <c r="O355" s="444">
        <v>24000</v>
      </c>
      <c r="P355" s="444">
        <v>0</v>
      </c>
      <c r="Q355" s="444">
        <v>0</v>
      </c>
      <c r="R355" s="444">
        <v>0</v>
      </c>
      <c r="S355" s="444">
        <v>0</v>
      </c>
      <c r="T355" s="444">
        <v>0</v>
      </c>
      <c r="U355" s="444">
        <v>0</v>
      </c>
      <c r="V355" s="444">
        <v>0</v>
      </c>
      <c r="W355" s="444">
        <v>0</v>
      </c>
      <c r="X355" s="442" t="s">
        <v>674</v>
      </c>
      <c r="Y355" s="442" t="s">
        <v>675</v>
      </c>
      <c r="Z355" s="442" t="s">
        <v>675</v>
      </c>
      <c r="AA355" s="442" t="s">
        <v>675</v>
      </c>
      <c r="AB355" s="442" t="s">
        <v>675</v>
      </c>
      <c r="AC355" s="442"/>
      <c r="AD355" s="442"/>
      <c r="AE355" s="442"/>
      <c r="AF355" s="442"/>
      <c r="AG355" s="443" t="s">
        <v>580</v>
      </c>
      <c r="AH355" s="442"/>
      <c r="AI355" s="443" t="s">
        <v>580</v>
      </c>
      <c r="AJ355" s="443" t="s">
        <v>855</v>
      </c>
      <c r="AK355" s="442" t="s">
        <v>677</v>
      </c>
      <c r="AL355" s="442"/>
      <c r="AM355" s="442" t="s">
        <v>726</v>
      </c>
      <c r="AN355" s="442" t="s">
        <v>856</v>
      </c>
      <c r="AO355" s="442" t="s">
        <v>854</v>
      </c>
      <c r="AP355" s="442" t="s">
        <v>857</v>
      </c>
      <c r="AQ355" s="442" t="s">
        <v>821</v>
      </c>
      <c r="AR355" s="444">
        <v>264000</v>
      </c>
      <c r="AS355" s="442" t="s">
        <v>675</v>
      </c>
      <c r="AT355" s="444">
        <v>0</v>
      </c>
      <c r="AU355" s="442" t="s">
        <v>678</v>
      </c>
      <c r="AV355" s="442" t="s">
        <v>677</v>
      </c>
      <c r="AW355" s="442" t="s">
        <v>676</v>
      </c>
      <c r="AX355" s="442" t="s">
        <v>674</v>
      </c>
      <c r="AY355" s="442"/>
      <c r="AZ355" s="442"/>
      <c r="BA355" s="442" t="s">
        <v>679</v>
      </c>
      <c r="BB355" s="442"/>
      <c r="BC355" s="442"/>
      <c r="BD355" s="442"/>
      <c r="BE355" s="444"/>
      <c r="BF355" s="442" t="s">
        <v>298</v>
      </c>
      <c r="BG355" s="442" t="s">
        <v>680</v>
      </c>
      <c r="BH355" s="442" t="s">
        <v>681</v>
      </c>
      <c r="BI355" s="442"/>
    </row>
    <row r="356" spans="1:61">
      <c r="A356" s="442" t="s">
        <v>854</v>
      </c>
      <c r="B356" s="442" t="s">
        <v>854</v>
      </c>
      <c r="C356" s="442" t="s">
        <v>858</v>
      </c>
      <c r="D356" s="442" t="s">
        <v>673</v>
      </c>
      <c r="E356" s="442" t="s">
        <v>3</v>
      </c>
      <c r="F356" s="443" t="s">
        <v>7</v>
      </c>
      <c r="G356" s="443" t="s">
        <v>684</v>
      </c>
      <c r="H356" s="444">
        <v>171354</v>
      </c>
      <c r="I356" s="444">
        <v>171354</v>
      </c>
      <c r="J356" s="444">
        <v>0</v>
      </c>
      <c r="K356" s="444">
        <v>0</v>
      </c>
      <c r="L356" s="444">
        <v>171354</v>
      </c>
      <c r="M356" s="444">
        <v>0</v>
      </c>
      <c r="N356" s="444">
        <v>0</v>
      </c>
      <c r="O356" s="444">
        <v>0</v>
      </c>
      <c r="P356" s="444">
        <v>0</v>
      </c>
      <c r="Q356" s="444">
        <v>0</v>
      </c>
      <c r="R356" s="444">
        <v>0</v>
      </c>
      <c r="S356" s="444">
        <v>0</v>
      </c>
      <c r="T356" s="444">
        <v>0</v>
      </c>
      <c r="U356" s="444">
        <v>0</v>
      </c>
      <c r="V356" s="444">
        <v>0</v>
      </c>
      <c r="W356" s="444">
        <v>0</v>
      </c>
      <c r="X356" s="442" t="s">
        <v>674</v>
      </c>
      <c r="Y356" s="442" t="s">
        <v>675</v>
      </c>
      <c r="Z356" s="442" t="s">
        <v>675</v>
      </c>
      <c r="AA356" s="442" t="s">
        <v>675</v>
      </c>
      <c r="AB356" s="442" t="s">
        <v>675</v>
      </c>
      <c r="AC356" s="442"/>
      <c r="AD356" s="442"/>
      <c r="AE356" s="442"/>
      <c r="AF356" s="442"/>
      <c r="AG356" s="443" t="s">
        <v>859</v>
      </c>
      <c r="AH356" s="442"/>
      <c r="AI356" s="443" t="s">
        <v>859</v>
      </c>
      <c r="AJ356" s="443" t="s">
        <v>677</v>
      </c>
      <c r="AK356" s="442" t="s">
        <v>677</v>
      </c>
      <c r="AL356" s="442"/>
      <c r="AM356" s="442"/>
      <c r="AN356" s="442"/>
      <c r="AO356" s="442"/>
      <c r="AP356" s="442"/>
      <c r="AQ356" s="442"/>
      <c r="AR356" s="444"/>
      <c r="AS356" s="442"/>
      <c r="AT356" s="444"/>
      <c r="AU356" s="442" t="s">
        <v>678</v>
      </c>
      <c r="AV356" s="442" t="s">
        <v>677</v>
      </c>
      <c r="AW356" s="442" t="s">
        <v>676</v>
      </c>
      <c r="AX356" s="442" t="s">
        <v>674</v>
      </c>
      <c r="AY356" s="442"/>
      <c r="AZ356" s="442"/>
      <c r="BA356" s="442" t="s">
        <v>679</v>
      </c>
      <c r="BB356" s="442"/>
      <c r="BC356" s="442"/>
      <c r="BD356" s="442"/>
      <c r="BE356" s="444"/>
      <c r="BF356" s="442" t="s">
        <v>298</v>
      </c>
      <c r="BG356" s="442" t="s">
        <v>680</v>
      </c>
      <c r="BH356" s="442" t="s">
        <v>681</v>
      </c>
      <c r="BI356" s="442"/>
    </row>
    <row r="357" spans="1:61">
      <c r="A357" s="442" t="s">
        <v>854</v>
      </c>
      <c r="B357" s="442" t="s">
        <v>854</v>
      </c>
      <c r="C357" s="442" t="s">
        <v>858</v>
      </c>
      <c r="D357" s="442" t="s">
        <v>673</v>
      </c>
      <c r="E357" s="442" t="s">
        <v>3</v>
      </c>
      <c r="F357" s="443" t="s">
        <v>7</v>
      </c>
      <c r="G357" s="443" t="s">
        <v>684</v>
      </c>
      <c r="H357" s="444">
        <v>223280</v>
      </c>
      <c r="I357" s="444">
        <v>223280</v>
      </c>
      <c r="J357" s="444">
        <v>0</v>
      </c>
      <c r="K357" s="444">
        <v>0</v>
      </c>
      <c r="L357" s="444">
        <v>223280</v>
      </c>
      <c r="M357" s="444">
        <v>0</v>
      </c>
      <c r="N357" s="444">
        <v>0</v>
      </c>
      <c r="O357" s="444">
        <v>0</v>
      </c>
      <c r="P357" s="444">
        <v>0</v>
      </c>
      <c r="Q357" s="444">
        <v>0</v>
      </c>
      <c r="R357" s="444">
        <v>0</v>
      </c>
      <c r="S357" s="444">
        <v>0</v>
      </c>
      <c r="T357" s="444">
        <v>0</v>
      </c>
      <c r="U357" s="444">
        <v>0</v>
      </c>
      <c r="V357" s="444">
        <v>0</v>
      </c>
      <c r="W357" s="444">
        <v>0</v>
      </c>
      <c r="X357" s="442" t="s">
        <v>674</v>
      </c>
      <c r="Y357" s="442" t="s">
        <v>675</v>
      </c>
      <c r="Z357" s="442" t="s">
        <v>675</v>
      </c>
      <c r="AA357" s="442" t="s">
        <v>675</v>
      </c>
      <c r="AB357" s="442" t="s">
        <v>675</v>
      </c>
      <c r="AC357" s="442"/>
      <c r="AD357" s="442"/>
      <c r="AE357" s="442"/>
      <c r="AF357" s="442"/>
      <c r="AG357" s="443" t="s">
        <v>860</v>
      </c>
      <c r="AH357" s="442"/>
      <c r="AI357" s="443" t="s">
        <v>860</v>
      </c>
      <c r="AJ357" s="443" t="s">
        <v>677</v>
      </c>
      <c r="AK357" s="442" t="s">
        <v>677</v>
      </c>
      <c r="AL357" s="442"/>
      <c r="AM357" s="442"/>
      <c r="AN357" s="442"/>
      <c r="AO357" s="442"/>
      <c r="AP357" s="442"/>
      <c r="AQ357" s="442"/>
      <c r="AR357" s="444"/>
      <c r="AS357" s="442"/>
      <c r="AT357" s="444"/>
      <c r="AU357" s="442" t="s">
        <v>678</v>
      </c>
      <c r="AV357" s="442" t="s">
        <v>677</v>
      </c>
      <c r="AW357" s="442" t="s">
        <v>676</v>
      </c>
      <c r="AX357" s="442" t="s">
        <v>674</v>
      </c>
      <c r="AY357" s="442"/>
      <c r="AZ357" s="442"/>
      <c r="BA357" s="442" t="s">
        <v>679</v>
      </c>
      <c r="BB357" s="442"/>
      <c r="BC357" s="442"/>
      <c r="BD357" s="442"/>
      <c r="BE357" s="444"/>
      <c r="BF357" s="442" t="s">
        <v>298</v>
      </c>
      <c r="BG357" s="442" t="s">
        <v>680</v>
      </c>
      <c r="BH357" s="442" t="s">
        <v>681</v>
      </c>
      <c r="BI357" s="442"/>
    </row>
    <row r="358" spans="1:61">
      <c r="A358" s="442" t="s">
        <v>854</v>
      </c>
      <c r="B358" s="442" t="s">
        <v>854</v>
      </c>
      <c r="C358" s="442" t="s">
        <v>858</v>
      </c>
      <c r="D358" s="442" t="s">
        <v>673</v>
      </c>
      <c r="E358" s="442" t="s">
        <v>3</v>
      </c>
      <c r="F358" s="443" t="s">
        <v>7</v>
      </c>
      <c r="G358" s="443" t="s">
        <v>684</v>
      </c>
      <c r="H358" s="444">
        <v>193340</v>
      </c>
      <c r="I358" s="444">
        <v>193340</v>
      </c>
      <c r="J358" s="444">
        <v>0</v>
      </c>
      <c r="K358" s="444">
        <v>0</v>
      </c>
      <c r="L358" s="444">
        <v>193340</v>
      </c>
      <c r="M358" s="444">
        <v>0</v>
      </c>
      <c r="N358" s="444">
        <v>0</v>
      </c>
      <c r="O358" s="444">
        <v>0</v>
      </c>
      <c r="P358" s="444">
        <v>0</v>
      </c>
      <c r="Q358" s="444">
        <v>0</v>
      </c>
      <c r="R358" s="444">
        <v>0</v>
      </c>
      <c r="S358" s="444">
        <v>0</v>
      </c>
      <c r="T358" s="444">
        <v>0</v>
      </c>
      <c r="U358" s="444">
        <v>0</v>
      </c>
      <c r="V358" s="444">
        <v>0</v>
      </c>
      <c r="W358" s="444">
        <v>0</v>
      </c>
      <c r="X358" s="442" t="s">
        <v>674</v>
      </c>
      <c r="Y358" s="442" t="s">
        <v>675</v>
      </c>
      <c r="Z358" s="442" t="s">
        <v>675</v>
      </c>
      <c r="AA358" s="442" t="s">
        <v>675</v>
      </c>
      <c r="AB358" s="442" t="s">
        <v>675</v>
      </c>
      <c r="AC358" s="442"/>
      <c r="AD358" s="442"/>
      <c r="AE358" s="442"/>
      <c r="AF358" s="442"/>
      <c r="AG358" s="443" t="s">
        <v>861</v>
      </c>
      <c r="AH358" s="442"/>
      <c r="AI358" s="443" t="s">
        <v>861</v>
      </c>
      <c r="AJ358" s="443" t="s">
        <v>677</v>
      </c>
      <c r="AK358" s="442" t="s">
        <v>677</v>
      </c>
      <c r="AL358" s="442"/>
      <c r="AM358" s="442"/>
      <c r="AN358" s="442"/>
      <c r="AO358" s="442"/>
      <c r="AP358" s="442"/>
      <c r="AQ358" s="442"/>
      <c r="AR358" s="444"/>
      <c r="AS358" s="442"/>
      <c r="AT358" s="444"/>
      <c r="AU358" s="442" t="s">
        <v>678</v>
      </c>
      <c r="AV358" s="442" t="s">
        <v>677</v>
      </c>
      <c r="AW358" s="442" t="s">
        <v>676</v>
      </c>
      <c r="AX358" s="442" t="s">
        <v>674</v>
      </c>
      <c r="AY358" s="442"/>
      <c r="AZ358" s="442"/>
      <c r="BA358" s="442" t="s">
        <v>679</v>
      </c>
      <c r="BB358" s="442"/>
      <c r="BC358" s="442"/>
      <c r="BD358" s="442"/>
      <c r="BE358" s="444"/>
      <c r="BF358" s="442" t="s">
        <v>298</v>
      </c>
      <c r="BG358" s="442" t="s">
        <v>680</v>
      </c>
      <c r="BH358" s="442" t="s">
        <v>681</v>
      </c>
      <c r="BI358" s="442"/>
    </row>
    <row r="359" spans="1:61">
      <c r="A359" s="442" t="s">
        <v>854</v>
      </c>
      <c r="B359" s="442" t="s">
        <v>854</v>
      </c>
      <c r="C359" s="442" t="s">
        <v>858</v>
      </c>
      <c r="D359" s="442" t="s">
        <v>673</v>
      </c>
      <c r="E359" s="442" t="s">
        <v>3</v>
      </c>
      <c r="F359" s="443" t="s">
        <v>7</v>
      </c>
      <c r="G359" s="443" t="s">
        <v>684</v>
      </c>
      <c r="H359" s="444">
        <v>23240</v>
      </c>
      <c r="I359" s="444">
        <v>23240</v>
      </c>
      <c r="J359" s="444">
        <v>0</v>
      </c>
      <c r="K359" s="444">
        <v>0</v>
      </c>
      <c r="L359" s="444">
        <v>23240</v>
      </c>
      <c r="M359" s="444">
        <v>0</v>
      </c>
      <c r="N359" s="444">
        <v>0</v>
      </c>
      <c r="O359" s="444">
        <v>0</v>
      </c>
      <c r="P359" s="444">
        <v>0</v>
      </c>
      <c r="Q359" s="444">
        <v>0</v>
      </c>
      <c r="R359" s="444">
        <v>0</v>
      </c>
      <c r="S359" s="444">
        <v>0</v>
      </c>
      <c r="T359" s="444">
        <v>0</v>
      </c>
      <c r="U359" s="444">
        <v>0</v>
      </c>
      <c r="V359" s="444">
        <v>0</v>
      </c>
      <c r="W359" s="444">
        <v>0</v>
      </c>
      <c r="X359" s="442" t="s">
        <v>674</v>
      </c>
      <c r="Y359" s="442" t="s">
        <v>675</v>
      </c>
      <c r="Z359" s="442" t="s">
        <v>675</v>
      </c>
      <c r="AA359" s="442" t="s">
        <v>675</v>
      </c>
      <c r="AB359" s="442" t="s">
        <v>675</v>
      </c>
      <c r="AC359" s="442"/>
      <c r="AD359" s="442"/>
      <c r="AE359" s="442"/>
      <c r="AF359" s="442"/>
      <c r="AG359" s="443" t="s">
        <v>862</v>
      </c>
      <c r="AH359" s="442"/>
      <c r="AI359" s="443" t="s">
        <v>862</v>
      </c>
      <c r="AJ359" s="443" t="s">
        <v>677</v>
      </c>
      <c r="AK359" s="442" t="s">
        <v>677</v>
      </c>
      <c r="AL359" s="442"/>
      <c r="AM359" s="442"/>
      <c r="AN359" s="442"/>
      <c r="AO359" s="442"/>
      <c r="AP359" s="442"/>
      <c r="AQ359" s="442"/>
      <c r="AR359" s="444"/>
      <c r="AS359" s="442"/>
      <c r="AT359" s="444"/>
      <c r="AU359" s="442" t="s">
        <v>678</v>
      </c>
      <c r="AV359" s="442" t="s">
        <v>677</v>
      </c>
      <c r="AW359" s="442" t="s">
        <v>676</v>
      </c>
      <c r="AX359" s="442" t="s">
        <v>674</v>
      </c>
      <c r="AY359" s="442"/>
      <c r="AZ359" s="442"/>
      <c r="BA359" s="442" t="s">
        <v>679</v>
      </c>
      <c r="BB359" s="442"/>
      <c r="BC359" s="442"/>
      <c r="BD359" s="442"/>
      <c r="BE359" s="444"/>
      <c r="BF359" s="442" t="s">
        <v>298</v>
      </c>
      <c r="BG359" s="442" t="s">
        <v>680</v>
      </c>
      <c r="BH359" s="442" t="s">
        <v>681</v>
      </c>
      <c r="BI359" s="442"/>
    </row>
    <row r="360" spans="1:61">
      <c r="A360" s="442" t="s">
        <v>854</v>
      </c>
      <c r="B360" s="442" t="s">
        <v>854</v>
      </c>
      <c r="C360" s="442" t="s">
        <v>858</v>
      </c>
      <c r="D360" s="442" t="s">
        <v>673</v>
      </c>
      <c r="E360" s="442" t="s">
        <v>3</v>
      </c>
      <c r="F360" s="443" t="s">
        <v>7</v>
      </c>
      <c r="G360" s="443" t="s">
        <v>684</v>
      </c>
      <c r="H360" s="444">
        <v>326417</v>
      </c>
      <c r="I360" s="444">
        <v>326417</v>
      </c>
      <c r="J360" s="444">
        <v>0</v>
      </c>
      <c r="K360" s="444">
        <v>0</v>
      </c>
      <c r="L360" s="444">
        <v>326417</v>
      </c>
      <c r="M360" s="444">
        <v>0</v>
      </c>
      <c r="N360" s="444">
        <v>0</v>
      </c>
      <c r="O360" s="444">
        <v>0</v>
      </c>
      <c r="P360" s="444">
        <v>0</v>
      </c>
      <c r="Q360" s="444">
        <v>0</v>
      </c>
      <c r="R360" s="444">
        <v>0</v>
      </c>
      <c r="S360" s="444">
        <v>0</v>
      </c>
      <c r="T360" s="444">
        <v>0</v>
      </c>
      <c r="U360" s="444">
        <v>0</v>
      </c>
      <c r="V360" s="444">
        <v>0</v>
      </c>
      <c r="W360" s="444">
        <v>0</v>
      </c>
      <c r="X360" s="442" t="s">
        <v>674</v>
      </c>
      <c r="Y360" s="442" t="s">
        <v>675</v>
      </c>
      <c r="Z360" s="442" t="s">
        <v>675</v>
      </c>
      <c r="AA360" s="442" t="s">
        <v>675</v>
      </c>
      <c r="AB360" s="442" t="s">
        <v>675</v>
      </c>
      <c r="AC360" s="442"/>
      <c r="AD360" s="442"/>
      <c r="AE360" s="442"/>
      <c r="AF360" s="442"/>
      <c r="AG360" s="443" t="s">
        <v>863</v>
      </c>
      <c r="AH360" s="442"/>
      <c r="AI360" s="443" t="s">
        <v>863</v>
      </c>
      <c r="AJ360" s="443" t="s">
        <v>677</v>
      </c>
      <c r="AK360" s="442" t="s">
        <v>677</v>
      </c>
      <c r="AL360" s="442"/>
      <c r="AM360" s="442"/>
      <c r="AN360" s="442"/>
      <c r="AO360" s="442"/>
      <c r="AP360" s="442"/>
      <c r="AQ360" s="442"/>
      <c r="AR360" s="444"/>
      <c r="AS360" s="442"/>
      <c r="AT360" s="444"/>
      <c r="AU360" s="442" t="s">
        <v>678</v>
      </c>
      <c r="AV360" s="442" t="s">
        <v>677</v>
      </c>
      <c r="AW360" s="442" t="s">
        <v>676</v>
      </c>
      <c r="AX360" s="442" t="s">
        <v>674</v>
      </c>
      <c r="AY360" s="442"/>
      <c r="AZ360" s="442"/>
      <c r="BA360" s="442" t="s">
        <v>679</v>
      </c>
      <c r="BB360" s="442"/>
      <c r="BC360" s="442"/>
      <c r="BD360" s="442"/>
      <c r="BE360" s="444"/>
      <c r="BF360" s="442" t="s">
        <v>298</v>
      </c>
      <c r="BG360" s="442" t="s">
        <v>680</v>
      </c>
      <c r="BH360" s="442" t="s">
        <v>681</v>
      </c>
      <c r="BI360" s="442"/>
    </row>
    <row r="361" spans="1:61">
      <c r="A361" s="442" t="s">
        <v>854</v>
      </c>
      <c r="B361" s="442" t="s">
        <v>854</v>
      </c>
      <c r="C361" s="442" t="s">
        <v>858</v>
      </c>
      <c r="D361" s="442" t="s">
        <v>673</v>
      </c>
      <c r="E361" s="442" t="s">
        <v>3</v>
      </c>
      <c r="F361" s="443" t="s">
        <v>7</v>
      </c>
      <c r="G361" s="443" t="s">
        <v>684</v>
      </c>
      <c r="H361" s="444">
        <v>425360</v>
      </c>
      <c r="I361" s="444">
        <v>425360</v>
      </c>
      <c r="J361" s="444">
        <v>0</v>
      </c>
      <c r="K361" s="444">
        <v>0</v>
      </c>
      <c r="L361" s="444">
        <v>425360</v>
      </c>
      <c r="M361" s="444">
        <v>0</v>
      </c>
      <c r="N361" s="444">
        <v>0</v>
      </c>
      <c r="O361" s="444">
        <v>0</v>
      </c>
      <c r="P361" s="444">
        <v>0</v>
      </c>
      <c r="Q361" s="444">
        <v>0</v>
      </c>
      <c r="R361" s="444">
        <v>0</v>
      </c>
      <c r="S361" s="444">
        <v>0</v>
      </c>
      <c r="T361" s="444">
        <v>0</v>
      </c>
      <c r="U361" s="444">
        <v>0</v>
      </c>
      <c r="V361" s="444">
        <v>0</v>
      </c>
      <c r="W361" s="444">
        <v>0</v>
      </c>
      <c r="X361" s="442" t="s">
        <v>674</v>
      </c>
      <c r="Y361" s="442" t="s">
        <v>675</v>
      </c>
      <c r="Z361" s="442" t="s">
        <v>675</v>
      </c>
      <c r="AA361" s="442" t="s">
        <v>675</v>
      </c>
      <c r="AB361" s="442" t="s">
        <v>675</v>
      </c>
      <c r="AC361" s="442"/>
      <c r="AD361" s="442"/>
      <c r="AE361" s="442"/>
      <c r="AF361" s="442"/>
      <c r="AG361" s="443" t="s">
        <v>864</v>
      </c>
      <c r="AH361" s="442"/>
      <c r="AI361" s="443" t="s">
        <v>864</v>
      </c>
      <c r="AJ361" s="443" t="s">
        <v>677</v>
      </c>
      <c r="AK361" s="442" t="s">
        <v>677</v>
      </c>
      <c r="AL361" s="442"/>
      <c r="AM361" s="442"/>
      <c r="AN361" s="442"/>
      <c r="AO361" s="442"/>
      <c r="AP361" s="442"/>
      <c r="AQ361" s="442"/>
      <c r="AR361" s="444"/>
      <c r="AS361" s="442"/>
      <c r="AT361" s="444"/>
      <c r="AU361" s="442" t="s">
        <v>678</v>
      </c>
      <c r="AV361" s="442" t="s">
        <v>677</v>
      </c>
      <c r="AW361" s="442" t="s">
        <v>676</v>
      </c>
      <c r="AX361" s="442" t="s">
        <v>674</v>
      </c>
      <c r="AY361" s="442"/>
      <c r="AZ361" s="442"/>
      <c r="BA361" s="442" t="s">
        <v>679</v>
      </c>
      <c r="BB361" s="442"/>
      <c r="BC361" s="442"/>
      <c r="BD361" s="442"/>
      <c r="BE361" s="444"/>
      <c r="BF361" s="442" t="s">
        <v>298</v>
      </c>
      <c r="BG361" s="442" t="s">
        <v>680</v>
      </c>
      <c r="BH361" s="442" t="s">
        <v>681</v>
      </c>
      <c r="BI361" s="442"/>
    </row>
    <row r="362" spans="1:61">
      <c r="A362" s="442" t="s">
        <v>854</v>
      </c>
      <c r="B362" s="442" t="s">
        <v>854</v>
      </c>
      <c r="C362" s="442" t="s">
        <v>858</v>
      </c>
      <c r="D362" s="442" t="s">
        <v>673</v>
      </c>
      <c r="E362" s="442" t="s">
        <v>3</v>
      </c>
      <c r="F362" s="443" t="s">
        <v>7</v>
      </c>
      <c r="G362" s="443" t="s">
        <v>684</v>
      </c>
      <c r="H362" s="444">
        <v>368340</v>
      </c>
      <c r="I362" s="444">
        <v>368340</v>
      </c>
      <c r="J362" s="444">
        <v>0</v>
      </c>
      <c r="K362" s="444">
        <v>0</v>
      </c>
      <c r="L362" s="444">
        <v>368340</v>
      </c>
      <c r="M362" s="444">
        <v>0</v>
      </c>
      <c r="N362" s="444">
        <v>0</v>
      </c>
      <c r="O362" s="444">
        <v>0</v>
      </c>
      <c r="P362" s="444">
        <v>0</v>
      </c>
      <c r="Q362" s="444">
        <v>0</v>
      </c>
      <c r="R362" s="444">
        <v>0</v>
      </c>
      <c r="S362" s="444">
        <v>0</v>
      </c>
      <c r="T362" s="444">
        <v>0</v>
      </c>
      <c r="U362" s="444">
        <v>0</v>
      </c>
      <c r="V362" s="444">
        <v>0</v>
      </c>
      <c r="W362" s="444">
        <v>0</v>
      </c>
      <c r="X362" s="442" t="s">
        <v>674</v>
      </c>
      <c r="Y362" s="442" t="s">
        <v>675</v>
      </c>
      <c r="Z362" s="442" t="s">
        <v>675</v>
      </c>
      <c r="AA362" s="442" t="s">
        <v>675</v>
      </c>
      <c r="AB362" s="442" t="s">
        <v>675</v>
      </c>
      <c r="AC362" s="442"/>
      <c r="AD362" s="442"/>
      <c r="AE362" s="442"/>
      <c r="AF362" s="442"/>
      <c r="AG362" s="443" t="s">
        <v>865</v>
      </c>
      <c r="AH362" s="442"/>
      <c r="AI362" s="443" t="s">
        <v>865</v>
      </c>
      <c r="AJ362" s="443" t="s">
        <v>677</v>
      </c>
      <c r="AK362" s="442" t="s">
        <v>677</v>
      </c>
      <c r="AL362" s="442"/>
      <c r="AM362" s="442"/>
      <c r="AN362" s="442"/>
      <c r="AO362" s="442"/>
      <c r="AP362" s="442"/>
      <c r="AQ362" s="442"/>
      <c r="AR362" s="444"/>
      <c r="AS362" s="442"/>
      <c r="AT362" s="444"/>
      <c r="AU362" s="442" t="s">
        <v>678</v>
      </c>
      <c r="AV362" s="442" t="s">
        <v>677</v>
      </c>
      <c r="AW362" s="442" t="s">
        <v>676</v>
      </c>
      <c r="AX362" s="442" t="s">
        <v>674</v>
      </c>
      <c r="AY362" s="442"/>
      <c r="AZ362" s="442"/>
      <c r="BA362" s="442" t="s">
        <v>679</v>
      </c>
      <c r="BB362" s="442"/>
      <c r="BC362" s="442"/>
      <c r="BD362" s="442"/>
      <c r="BE362" s="444"/>
      <c r="BF362" s="442" t="s">
        <v>298</v>
      </c>
      <c r="BG362" s="442" t="s">
        <v>680</v>
      </c>
      <c r="BH362" s="442" t="s">
        <v>681</v>
      </c>
      <c r="BI362" s="442"/>
    </row>
    <row r="363" spans="1:61">
      <c r="A363" s="442" t="s">
        <v>854</v>
      </c>
      <c r="B363" s="442" t="s">
        <v>854</v>
      </c>
      <c r="C363" s="442" t="s">
        <v>858</v>
      </c>
      <c r="D363" s="442" t="s">
        <v>673</v>
      </c>
      <c r="E363" s="442" t="s">
        <v>3</v>
      </c>
      <c r="F363" s="443" t="s">
        <v>7</v>
      </c>
      <c r="G363" s="443" t="s">
        <v>684</v>
      </c>
      <c r="H363" s="444">
        <v>3347790</v>
      </c>
      <c r="I363" s="444">
        <v>3347790</v>
      </c>
      <c r="J363" s="444">
        <v>0</v>
      </c>
      <c r="K363" s="444">
        <v>0</v>
      </c>
      <c r="L363" s="444">
        <v>3347790</v>
      </c>
      <c r="M363" s="444">
        <v>0</v>
      </c>
      <c r="N363" s="444">
        <v>0</v>
      </c>
      <c r="O363" s="444">
        <v>0</v>
      </c>
      <c r="P363" s="444">
        <v>0</v>
      </c>
      <c r="Q363" s="444">
        <v>0</v>
      </c>
      <c r="R363" s="444">
        <v>0</v>
      </c>
      <c r="S363" s="444">
        <v>0</v>
      </c>
      <c r="T363" s="444">
        <v>0</v>
      </c>
      <c r="U363" s="444">
        <v>0</v>
      </c>
      <c r="V363" s="444">
        <v>0</v>
      </c>
      <c r="W363" s="444">
        <v>0</v>
      </c>
      <c r="X363" s="442" t="s">
        <v>674</v>
      </c>
      <c r="Y363" s="442" t="s">
        <v>675</v>
      </c>
      <c r="Z363" s="442" t="s">
        <v>675</v>
      </c>
      <c r="AA363" s="442" t="s">
        <v>675</v>
      </c>
      <c r="AB363" s="442" t="s">
        <v>675</v>
      </c>
      <c r="AC363" s="442"/>
      <c r="AD363" s="442"/>
      <c r="AE363" s="442"/>
      <c r="AF363" s="442"/>
      <c r="AG363" s="443" t="s">
        <v>866</v>
      </c>
      <c r="AH363" s="442"/>
      <c r="AI363" s="443" t="s">
        <v>866</v>
      </c>
      <c r="AJ363" s="443" t="s">
        <v>677</v>
      </c>
      <c r="AK363" s="442" t="s">
        <v>677</v>
      </c>
      <c r="AL363" s="442"/>
      <c r="AM363" s="442"/>
      <c r="AN363" s="442"/>
      <c r="AO363" s="442"/>
      <c r="AP363" s="442"/>
      <c r="AQ363" s="442"/>
      <c r="AR363" s="444"/>
      <c r="AS363" s="442"/>
      <c r="AT363" s="444"/>
      <c r="AU363" s="442" t="s">
        <v>678</v>
      </c>
      <c r="AV363" s="442" t="s">
        <v>677</v>
      </c>
      <c r="AW363" s="442" t="s">
        <v>676</v>
      </c>
      <c r="AX363" s="442" t="s">
        <v>674</v>
      </c>
      <c r="AY363" s="442"/>
      <c r="AZ363" s="442"/>
      <c r="BA363" s="442" t="s">
        <v>679</v>
      </c>
      <c r="BB363" s="442"/>
      <c r="BC363" s="442"/>
      <c r="BD363" s="442"/>
      <c r="BE363" s="444"/>
      <c r="BF363" s="442" t="s">
        <v>298</v>
      </c>
      <c r="BG363" s="442" t="s">
        <v>680</v>
      </c>
      <c r="BH363" s="442" t="s">
        <v>681</v>
      </c>
      <c r="BI363" s="442"/>
    </row>
    <row r="364" spans="1:61">
      <c r="A364" s="442" t="s">
        <v>854</v>
      </c>
      <c r="B364" s="442" t="s">
        <v>854</v>
      </c>
      <c r="C364" s="442" t="s">
        <v>858</v>
      </c>
      <c r="D364" s="442" t="s">
        <v>673</v>
      </c>
      <c r="E364" s="442" t="s">
        <v>3</v>
      </c>
      <c r="F364" s="443" t="s">
        <v>7</v>
      </c>
      <c r="G364" s="443" t="s">
        <v>684</v>
      </c>
      <c r="H364" s="444">
        <v>200870</v>
      </c>
      <c r="I364" s="444">
        <v>200870</v>
      </c>
      <c r="J364" s="444">
        <v>0</v>
      </c>
      <c r="K364" s="444">
        <v>0</v>
      </c>
      <c r="L364" s="444">
        <v>200870</v>
      </c>
      <c r="M364" s="444">
        <v>0</v>
      </c>
      <c r="N364" s="444">
        <v>0</v>
      </c>
      <c r="O364" s="444">
        <v>0</v>
      </c>
      <c r="P364" s="444">
        <v>0</v>
      </c>
      <c r="Q364" s="444">
        <v>0</v>
      </c>
      <c r="R364" s="444">
        <v>0</v>
      </c>
      <c r="S364" s="444">
        <v>0</v>
      </c>
      <c r="T364" s="444">
        <v>0</v>
      </c>
      <c r="U364" s="444">
        <v>0</v>
      </c>
      <c r="V364" s="444">
        <v>0</v>
      </c>
      <c r="W364" s="444">
        <v>0</v>
      </c>
      <c r="X364" s="442" t="s">
        <v>674</v>
      </c>
      <c r="Y364" s="442" t="s">
        <v>675</v>
      </c>
      <c r="Z364" s="442" t="s">
        <v>675</v>
      </c>
      <c r="AA364" s="442" t="s">
        <v>675</v>
      </c>
      <c r="AB364" s="442" t="s">
        <v>675</v>
      </c>
      <c r="AC364" s="442"/>
      <c r="AD364" s="442"/>
      <c r="AE364" s="442"/>
      <c r="AF364" s="442"/>
      <c r="AG364" s="443" t="s">
        <v>867</v>
      </c>
      <c r="AH364" s="442"/>
      <c r="AI364" s="443" t="s">
        <v>867</v>
      </c>
      <c r="AJ364" s="443" t="s">
        <v>677</v>
      </c>
      <c r="AK364" s="442" t="s">
        <v>677</v>
      </c>
      <c r="AL364" s="442"/>
      <c r="AM364" s="442"/>
      <c r="AN364" s="442"/>
      <c r="AO364" s="442"/>
      <c r="AP364" s="442"/>
      <c r="AQ364" s="442"/>
      <c r="AR364" s="444"/>
      <c r="AS364" s="442"/>
      <c r="AT364" s="444"/>
      <c r="AU364" s="442" t="s">
        <v>678</v>
      </c>
      <c r="AV364" s="442" t="s">
        <v>677</v>
      </c>
      <c r="AW364" s="442" t="s">
        <v>676</v>
      </c>
      <c r="AX364" s="442" t="s">
        <v>674</v>
      </c>
      <c r="AY364" s="442"/>
      <c r="AZ364" s="442"/>
      <c r="BA364" s="442" t="s">
        <v>679</v>
      </c>
      <c r="BB364" s="442"/>
      <c r="BC364" s="442"/>
      <c r="BD364" s="442"/>
      <c r="BE364" s="444"/>
      <c r="BF364" s="442" t="s">
        <v>298</v>
      </c>
      <c r="BG364" s="442" t="s">
        <v>680</v>
      </c>
      <c r="BH364" s="442" t="s">
        <v>681</v>
      </c>
      <c r="BI364" s="442"/>
    </row>
    <row r="365" spans="1:61">
      <c r="A365" s="442" t="s">
        <v>854</v>
      </c>
      <c r="B365" s="442" t="s">
        <v>854</v>
      </c>
      <c r="C365" s="442" t="s">
        <v>858</v>
      </c>
      <c r="D365" s="442" t="s">
        <v>673</v>
      </c>
      <c r="E365" s="442" t="s">
        <v>3</v>
      </c>
      <c r="F365" s="443" t="s">
        <v>7</v>
      </c>
      <c r="G365" s="443" t="s">
        <v>684</v>
      </c>
      <c r="H365" s="444">
        <v>1839670</v>
      </c>
      <c r="I365" s="444">
        <v>1839670</v>
      </c>
      <c r="J365" s="444">
        <v>0</v>
      </c>
      <c r="K365" s="444">
        <v>0</v>
      </c>
      <c r="L365" s="444">
        <v>1839670</v>
      </c>
      <c r="M365" s="444">
        <v>0</v>
      </c>
      <c r="N365" s="444">
        <v>0</v>
      </c>
      <c r="O365" s="444">
        <v>0</v>
      </c>
      <c r="P365" s="444">
        <v>0</v>
      </c>
      <c r="Q365" s="444">
        <v>0</v>
      </c>
      <c r="R365" s="444">
        <v>0</v>
      </c>
      <c r="S365" s="444">
        <v>0</v>
      </c>
      <c r="T365" s="444">
        <v>0</v>
      </c>
      <c r="U365" s="444">
        <v>0</v>
      </c>
      <c r="V365" s="444">
        <v>0</v>
      </c>
      <c r="W365" s="444">
        <v>0</v>
      </c>
      <c r="X365" s="442" t="s">
        <v>674</v>
      </c>
      <c r="Y365" s="442" t="s">
        <v>675</v>
      </c>
      <c r="Z365" s="442" t="s">
        <v>675</v>
      </c>
      <c r="AA365" s="442" t="s">
        <v>675</v>
      </c>
      <c r="AB365" s="442" t="s">
        <v>675</v>
      </c>
      <c r="AC365" s="442"/>
      <c r="AD365" s="442"/>
      <c r="AE365" s="442"/>
      <c r="AF365" s="442"/>
      <c r="AG365" s="443" t="s">
        <v>868</v>
      </c>
      <c r="AH365" s="442"/>
      <c r="AI365" s="443" t="s">
        <v>868</v>
      </c>
      <c r="AJ365" s="443" t="s">
        <v>677</v>
      </c>
      <c r="AK365" s="442" t="s">
        <v>677</v>
      </c>
      <c r="AL365" s="442"/>
      <c r="AM365" s="442"/>
      <c r="AN365" s="442"/>
      <c r="AO365" s="442"/>
      <c r="AP365" s="442"/>
      <c r="AQ365" s="442"/>
      <c r="AR365" s="444"/>
      <c r="AS365" s="442"/>
      <c r="AT365" s="444"/>
      <c r="AU365" s="442" t="s">
        <v>678</v>
      </c>
      <c r="AV365" s="442" t="s">
        <v>677</v>
      </c>
      <c r="AW365" s="442" t="s">
        <v>676</v>
      </c>
      <c r="AX365" s="442" t="s">
        <v>674</v>
      </c>
      <c r="AY365" s="442"/>
      <c r="AZ365" s="442"/>
      <c r="BA365" s="442" t="s">
        <v>679</v>
      </c>
      <c r="BB365" s="442"/>
      <c r="BC365" s="442"/>
      <c r="BD365" s="442"/>
      <c r="BE365" s="444"/>
      <c r="BF365" s="442" t="s">
        <v>298</v>
      </c>
      <c r="BG365" s="442" t="s">
        <v>680</v>
      </c>
      <c r="BH365" s="442" t="s">
        <v>681</v>
      </c>
      <c r="BI365" s="442"/>
    </row>
    <row r="366" spans="1:61">
      <c r="A366" s="442" t="s">
        <v>858</v>
      </c>
      <c r="B366" s="442" t="s">
        <v>858</v>
      </c>
      <c r="C366" s="442" t="s">
        <v>869</v>
      </c>
      <c r="D366" s="442" t="s">
        <v>673</v>
      </c>
      <c r="E366" s="442" t="s">
        <v>3</v>
      </c>
      <c r="F366" s="443" t="s">
        <v>83</v>
      </c>
      <c r="G366" s="443" t="s">
        <v>691</v>
      </c>
      <c r="H366" s="444">
        <v>158400</v>
      </c>
      <c r="I366" s="444">
        <v>158400</v>
      </c>
      <c r="J366" s="444">
        <v>0</v>
      </c>
      <c r="K366" s="444">
        <v>0</v>
      </c>
      <c r="L366" s="444">
        <v>158400</v>
      </c>
      <c r="M366" s="444">
        <v>0</v>
      </c>
      <c r="N366" s="444">
        <v>0</v>
      </c>
      <c r="O366" s="444">
        <v>0</v>
      </c>
      <c r="P366" s="444">
        <v>0</v>
      </c>
      <c r="Q366" s="444">
        <v>0</v>
      </c>
      <c r="R366" s="444">
        <v>0</v>
      </c>
      <c r="S366" s="444">
        <v>0</v>
      </c>
      <c r="T366" s="444">
        <v>0</v>
      </c>
      <c r="U366" s="444">
        <v>0</v>
      </c>
      <c r="V366" s="444">
        <v>0</v>
      </c>
      <c r="W366" s="444">
        <v>0</v>
      </c>
      <c r="X366" s="442" t="s">
        <v>674</v>
      </c>
      <c r="Y366" s="442" t="s">
        <v>675</v>
      </c>
      <c r="Z366" s="442" t="s">
        <v>675</v>
      </c>
      <c r="AA366" s="442" t="s">
        <v>675</v>
      </c>
      <c r="AB366" s="442" t="s">
        <v>675</v>
      </c>
      <c r="AC366" s="442"/>
      <c r="AD366" s="442"/>
      <c r="AE366" s="442" t="s">
        <v>676</v>
      </c>
      <c r="AF366" s="442"/>
      <c r="AG366" s="443" t="s">
        <v>870</v>
      </c>
      <c r="AH366" s="442"/>
      <c r="AI366" s="443" t="s">
        <v>870</v>
      </c>
      <c r="AJ366" s="443" t="s">
        <v>677</v>
      </c>
      <c r="AK366" s="442" t="s">
        <v>677</v>
      </c>
      <c r="AL366" s="442"/>
      <c r="AM366" s="442"/>
      <c r="AN366" s="442"/>
      <c r="AO366" s="442"/>
      <c r="AP366" s="442"/>
      <c r="AQ366" s="442"/>
      <c r="AR366" s="444"/>
      <c r="AS366" s="442"/>
      <c r="AT366" s="444"/>
      <c r="AU366" s="442" t="s">
        <v>678</v>
      </c>
      <c r="AV366" s="442" t="s">
        <v>677</v>
      </c>
      <c r="AW366" s="442" t="s">
        <v>676</v>
      </c>
      <c r="AX366" s="442" t="s">
        <v>674</v>
      </c>
      <c r="AY366" s="442"/>
      <c r="AZ366" s="442"/>
      <c r="BA366" s="442" t="s">
        <v>679</v>
      </c>
      <c r="BB366" s="442"/>
      <c r="BC366" s="442"/>
      <c r="BD366" s="442"/>
      <c r="BE366" s="444"/>
      <c r="BF366" s="442" t="s">
        <v>298</v>
      </c>
      <c r="BG366" s="442" t="s">
        <v>680</v>
      </c>
      <c r="BH366" s="442" t="s">
        <v>681</v>
      </c>
      <c r="BI366" s="442"/>
    </row>
    <row r="367" spans="1:61">
      <c r="A367" s="442" t="s">
        <v>858</v>
      </c>
      <c r="B367" s="442" t="s">
        <v>858</v>
      </c>
      <c r="C367" s="442" t="s">
        <v>869</v>
      </c>
      <c r="D367" s="442" t="s">
        <v>673</v>
      </c>
      <c r="E367" s="442" t="s">
        <v>3</v>
      </c>
      <c r="F367" s="443" t="s">
        <v>83</v>
      </c>
      <c r="G367" s="443" t="s">
        <v>691</v>
      </c>
      <c r="H367" s="444">
        <v>1641600</v>
      </c>
      <c r="I367" s="444">
        <v>1641600</v>
      </c>
      <c r="J367" s="444">
        <v>0</v>
      </c>
      <c r="K367" s="444">
        <v>0</v>
      </c>
      <c r="L367" s="444">
        <v>1641600</v>
      </c>
      <c r="M367" s="444">
        <v>0</v>
      </c>
      <c r="N367" s="444">
        <v>0</v>
      </c>
      <c r="O367" s="444">
        <v>0</v>
      </c>
      <c r="P367" s="444">
        <v>0</v>
      </c>
      <c r="Q367" s="444">
        <v>0</v>
      </c>
      <c r="R367" s="444">
        <v>0</v>
      </c>
      <c r="S367" s="444">
        <v>0</v>
      </c>
      <c r="T367" s="444">
        <v>0</v>
      </c>
      <c r="U367" s="444">
        <v>0</v>
      </c>
      <c r="V367" s="444">
        <v>0</v>
      </c>
      <c r="W367" s="444">
        <v>0</v>
      </c>
      <c r="X367" s="442" t="s">
        <v>674</v>
      </c>
      <c r="Y367" s="442" t="s">
        <v>675</v>
      </c>
      <c r="Z367" s="442" t="s">
        <v>675</v>
      </c>
      <c r="AA367" s="442" t="s">
        <v>675</v>
      </c>
      <c r="AB367" s="442" t="s">
        <v>675</v>
      </c>
      <c r="AC367" s="442"/>
      <c r="AD367" s="442"/>
      <c r="AE367" s="442" t="s">
        <v>676</v>
      </c>
      <c r="AF367" s="442"/>
      <c r="AG367" s="443" t="s">
        <v>871</v>
      </c>
      <c r="AH367" s="442"/>
      <c r="AI367" s="443" t="s">
        <v>871</v>
      </c>
      <c r="AJ367" s="443" t="s">
        <v>677</v>
      </c>
      <c r="AK367" s="442" t="s">
        <v>677</v>
      </c>
      <c r="AL367" s="442"/>
      <c r="AM367" s="442"/>
      <c r="AN367" s="442"/>
      <c r="AO367" s="442"/>
      <c r="AP367" s="442"/>
      <c r="AQ367" s="442"/>
      <c r="AR367" s="444"/>
      <c r="AS367" s="442"/>
      <c r="AT367" s="444"/>
      <c r="AU367" s="442" t="s">
        <v>678</v>
      </c>
      <c r="AV367" s="442" t="s">
        <v>677</v>
      </c>
      <c r="AW367" s="442" t="s">
        <v>676</v>
      </c>
      <c r="AX367" s="442" t="s">
        <v>674</v>
      </c>
      <c r="AY367" s="442"/>
      <c r="AZ367" s="442"/>
      <c r="BA367" s="442" t="s">
        <v>679</v>
      </c>
      <c r="BB367" s="442"/>
      <c r="BC367" s="442"/>
      <c r="BD367" s="442"/>
      <c r="BE367" s="444"/>
      <c r="BF367" s="442" t="s">
        <v>298</v>
      </c>
      <c r="BG367" s="442" t="s">
        <v>680</v>
      </c>
      <c r="BH367" s="442" t="s">
        <v>681</v>
      </c>
      <c r="BI367" s="442"/>
    </row>
    <row r="368" spans="1:61">
      <c r="A368" s="442" t="s">
        <v>858</v>
      </c>
      <c r="B368" s="442" t="s">
        <v>858</v>
      </c>
      <c r="C368" s="442" t="s">
        <v>869</v>
      </c>
      <c r="D368" s="442" t="s">
        <v>673</v>
      </c>
      <c r="E368" s="442" t="s">
        <v>3</v>
      </c>
      <c r="F368" s="443" t="s">
        <v>83</v>
      </c>
      <c r="G368" s="443" t="s">
        <v>691</v>
      </c>
      <c r="H368" s="444">
        <v>912000</v>
      </c>
      <c r="I368" s="444">
        <v>912000</v>
      </c>
      <c r="J368" s="444">
        <v>0</v>
      </c>
      <c r="K368" s="444">
        <v>0</v>
      </c>
      <c r="L368" s="444">
        <v>912000</v>
      </c>
      <c r="M368" s="444">
        <v>0</v>
      </c>
      <c r="N368" s="444">
        <v>0</v>
      </c>
      <c r="O368" s="444">
        <v>0</v>
      </c>
      <c r="P368" s="444">
        <v>0</v>
      </c>
      <c r="Q368" s="444">
        <v>0</v>
      </c>
      <c r="R368" s="444">
        <v>0</v>
      </c>
      <c r="S368" s="444">
        <v>0</v>
      </c>
      <c r="T368" s="444">
        <v>0</v>
      </c>
      <c r="U368" s="444">
        <v>0</v>
      </c>
      <c r="V368" s="444">
        <v>0</v>
      </c>
      <c r="W368" s="444">
        <v>0</v>
      </c>
      <c r="X368" s="442" t="s">
        <v>674</v>
      </c>
      <c r="Y368" s="442" t="s">
        <v>675</v>
      </c>
      <c r="Z368" s="442" t="s">
        <v>675</v>
      </c>
      <c r="AA368" s="442" t="s">
        <v>675</v>
      </c>
      <c r="AB368" s="442" t="s">
        <v>675</v>
      </c>
      <c r="AC368" s="442"/>
      <c r="AD368" s="442"/>
      <c r="AE368" s="442" t="s">
        <v>676</v>
      </c>
      <c r="AF368" s="442"/>
      <c r="AG368" s="443" t="s">
        <v>872</v>
      </c>
      <c r="AH368" s="442"/>
      <c r="AI368" s="443" t="s">
        <v>872</v>
      </c>
      <c r="AJ368" s="443" t="s">
        <v>677</v>
      </c>
      <c r="AK368" s="442" t="s">
        <v>677</v>
      </c>
      <c r="AL368" s="442"/>
      <c r="AM368" s="442"/>
      <c r="AN368" s="442"/>
      <c r="AO368" s="442"/>
      <c r="AP368" s="442"/>
      <c r="AQ368" s="442"/>
      <c r="AR368" s="444"/>
      <c r="AS368" s="442"/>
      <c r="AT368" s="444"/>
      <c r="AU368" s="442" t="s">
        <v>678</v>
      </c>
      <c r="AV368" s="442" t="s">
        <v>677</v>
      </c>
      <c r="AW368" s="442" t="s">
        <v>676</v>
      </c>
      <c r="AX368" s="442" t="s">
        <v>674</v>
      </c>
      <c r="AY368" s="442"/>
      <c r="AZ368" s="442"/>
      <c r="BA368" s="442" t="s">
        <v>679</v>
      </c>
      <c r="BB368" s="442"/>
      <c r="BC368" s="442"/>
      <c r="BD368" s="442"/>
      <c r="BE368" s="444"/>
      <c r="BF368" s="442" t="s">
        <v>298</v>
      </c>
      <c r="BG368" s="442" t="s">
        <v>680</v>
      </c>
      <c r="BH368" s="442" t="s">
        <v>681</v>
      </c>
      <c r="BI368" s="442"/>
    </row>
    <row r="369" spans="1:61">
      <c r="A369" s="442" t="s">
        <v>858</v>
      </c>
      <c r="B369" s="442" t="s">
        <v>858</v>
      </c>
      <c r="C369" s="442" t="s">
        <v>869</v>
      </c>
      <c r="D369" s="442" t="s">
        <v>673</v>
      </c>
      <c r="E369" s="442" t="s">
        <v>3</v>
      </c>
      <c r="F369" s="443" t="s">
        <v>83</v>
      </c>
      <c r="G369" s="443" t="s">
        <v>691</v>
      </c>
      <c r="H369" s="444">
        <v>88000</v>
      </c>
      <c r="I369" s="444">
        <v>88000</v>
      </c>
      <c r="J369" s="444">
        <v>0</v>
      </c>
      <c r="K369" s="444">
        <v>0</v>
      </c>
      <c r="L369" s="444">
        <v>88000</v>
      </c>
      <c r="M369" s="444">
        <v>0</v>
      </c>
      <c r="N369" s="444">
        <v>0</v>
      </c>
      <c r="O369" s="444">
        <v>0</v>
      </c>
      <c r="P369" s="444">
        <v>0</v>
      </c>
      <c r="Q369" s="444">
        <v>0</v>
      </c>
      <c r="R369" s="444">
        <v>0</v>
      </c>
      <c r="S369" s="444">
        <v>0</v>
      </c>
      <c r="T369" s="444">
        <v>0</v>
      </c>
      <c r="U369" s="444">
        <v>0</v>
      </c>
      <c r="V369" s="444">
        <v>0</v>
      </c>
      <c r="W369" s="444">
        <v>0</v>
      </c>
      <c r="X369" s="442" t="s">
        <v>674</v>
      </c>
      <c r="Y369" s="442" t="s">
        <v>675</v>
      </c>
      <c r="Z369" s="442" t="s">
        <v>675</v>
      </c>
      <c r="AA369" s="442" t="s">
        <v>675</v>
      </c>
      <c r="AB369" s="442" t="s">
        <v>675</v>
      </c>
      <c r="AC369" s="442"/>
      <c r="AD369" s="442"/>
      <c r="AE369" s="442" t="s">
        <v>676</v>
      </c>
      <c r="AF369" s="442"/>
      <c r="AG369" s="443" t="s">
        <v>870</v>
      </c>
      <c r="AH369" s="442"/>
      <c r="AI369" s="443" t="s">
        <v>870</v>
      </c>
      <c r="AJ369" s="443" t="s">
        <v>677</v>
      </c>
      <c r="AK369" s="442" t="s">
        <v>677</v>
      </c>
      <c r="AL369" s="442"/>
      <c r="AM369" s="442"/>
      <c r="AN369" s="442"/>
      <c r="AO369" s="442"/>
      <c r="AP369" s="442"/>
      <c r="AQ369" s="442"/>
      <c r="AR369" s="444"/>
      <c r="AS369" s="442"/>
      <c r="AT369" s="444"/>
      <c r="AU369" s="442" t="s">
        <v>678</v>
      </c>
      <c r="AV369" s="442" t="s">
        <v>677</v>
      </c>
      <c r="AW369" s="442" t="s">
        <v>676</v>
      </c>
      <c r="AX369" s="442" t="s">
        <v>674</v>
      </c>
      <c r="AY369" s="442"/>
      <c r="AZ369" s="442"/>
      <c r="BA369" s="442" t="s">
        <v>679</v>
      </c>
      <c r="BB369" s="442"/>
      <c r="BC369" s="442"/>
      <c r="BD369" s="442"/>
      <c r="BE369" s="444"/>
      <c r="BF369" s="442" t="s">
        <v>298</v>
      </c>
      <c r="BG369" s="442" t="s">
        <v>680</v>
      </c>
      <c r="BH369" s="442" t="s">
        <v>681</v>
      </c>
      <c r="BI369" s="442"/>
    </row>
    <row r="370" spans="1:61">
      <c r="A370" s="442" t="s">
        <v>858</v>
      </c>
      <c r="B370" s="442" t="s">
        <v>858</v>
      </c>
      <c r="C370" s="442" t="s">
        <v>869</v>
      </c>
      <c r="D370" s="442" t="s">
        <v>673</v>
      </c>
      <c r="E370" s="442" t="s">
        <v>3</v>
      </c>
      <c r="F370" s="443" t="s">
        <v>83</v>
      </c>
      <c r="G370" s="443" t="s">
        <v>691</v>
      </c>
      <c r="H370" s="444">
        <v>912000</v>
      </c>
      <c r="I370" s="444">
        <v>912000</v>
      </c>
      <c r="J370" s="444">
        <v>0</v>
      </c>
      <c r="K370" s="444">
        <v>0</v>
      </c>
      <c r="L370" s="444">
        <v>912000</v>
      </c>
      <c r="M370" s="444">
        <v>0</v>
      </c>
      <c r="N370" s="444">
        <v>0</v>
      </c>
      <c r="O370" s="444">
        <v>0</v>
      </c>
      <c r="P370" s="444">
        <v>0</v>
      </c>
      <c r="Q370" s="444">
        <v>0</v>
      </c>
      <c r="R370" s="444">
        <v>0</v>
      </c>
      <c r="S370" s="444">
        <v>0</v>
      </c>
      <c r="T370" s="444">
        <v>0</v>
      </c>
      <c r="U370" s="444">
        <v>0</v>
      </c>
      <c r="V370" s="444">
        <v>0</v>
      </c>
      <c r="W370" s="444">
        <v>0</v>
      </c>
      <c r="X370" s="442" t="s">
        <v>674</v>
      </c>
      <c r="Y370" s="442" t="s">
        <v>675</v>
      </c>
      <c r="Z370" s="442" t="s">
        <v>675</v>
      </c>
      <c r="AA370" s="442" t="s">
        <v>675</v>
      </c>
      <c r="AB370" s="442" t="s">
        <v>675</v>
      </c>
      <c r="AC370" s="442"/>
      <c r="AD370" s="442"/>
      <c r="AE370" s="442" t="s">
        <v>676</v>
      </c>
      <c r="AF370" s="442"/>
      <c r="AG370" s="443" t="s">
        <v>872</v>
      </c>
      <c r="AH370" s="442"/>
      <c r="AI370" s="443" t="s">
        <v>872</v>
      </c>
      <c r="AJ370" s="443" t="s">
        <v>677</v>
      </c>
      <c r="AK370" s="442" t="s">
        <v>677</v>
      </c>
      <c r="AL370" s="442"/>
      <c r="AM370" s="442"/>
      <c r="AN370" s="442"/>
      <c r="AO370" s="442"/>
      <c r="AP370" s="442"/>
      <c r="AQ370" s="442"/>
      <c r="AR370" s="444"/>
      <c r="AS370" s="442"/>
      <c r="AT370" s="444"/>
      <c r="AU370" s="442" t="s">
        <v>678</v>
      </c>
      <c r="AV370" s="442" t="s">
        <v>677</v>
      </c>
      <c r="AW370" s="442" t="s">
        <v>676</v>
      </c>
      <c r="AX370" s="442" t="s">
        <v>674</v>
      </c>
      <c r="AY370" s="442"/>
      <c r="AZ370" s="442"/>
      <c r="BA370" s="442" t="s">
        <v>679</v>
      </c>
      <c r="BB370" s="442"/>
      <c r="BC370" s="442"/>
      <c r="BD370" s="442"/>
      <c r="BE370" s="444"/>
      <c r="BF370" s="442" t="s">
        <v>298</v>
      </c>
      <c r="BG370" s="442" t="s">
        <v>680</v>
      </c>
      <c r="BH370" s="442" t="s">
        <v>681</v>
      </c>
      <c r="BI370" s="442"/>
    </row>
    <row r="371" spans="1:61">
      <c r="A371" s="442" t="s">
        <v>858</v>
      </c>
      <c r="B371" s="442" t="s">
        <v>858</v>
      </c>
      <c r="C371" s="442" t="s">
        <v>869</v>
      </c>
      <c r="D371" s="442" t="s">
        <v>673</v>
      </c>
      <c r="E371" s="442" t="s">
        <v>3</v>
      </c>
      <c r="F371" s="443" t="s">
        <v>83</v>
      </c>
      <c r="G371" s="443" t="s">
        <v>691</v>
      </c>
      <c r="H371" s="444">
        <v>88000</v>
      </c>
      <c r="I371" s="444">
        <v>88000</v>
      </c>
      <c r="J371" s="444">
        <v>0</v>
      </c>
      <c r="K371" s="444">
        <v>0</v>
      </c>
      <c r="L371" s="444">
        <v>88000</v>
      </c>
      <c r="M371" s="444">
        <v>0</v>
      </c>
      <c r="N371" s="444">
        <v>0</v>
      </c>
      <c r="O371" s="444">
        <v>0</v>
      </c>
      <c r="P371" s="444">
        <v>0</v>
      </c>
      <c r="Q371" s="444">
        <v>0</v>
      </c>
      <c r="R371" s="444">
        <v>0</v>
      </c>
      <c r="S371" s="444">
        <v>0</v>
      </c>
      <c r="T371" s="444">
        <v>0</v>
      </c>
      <c r="U371" s="444">
        <v>0</v>
      </c>
      <c r="V371" s="444">
        <v>0</v>
      </c>
      <c r="W371" s="444">
        <v>0</v>
      </c>
      <c r="X371" s="442" t="s">
        <v>674</v>
      </c>
      <c r="Y371" s="442" t="s">
        <v>675</v>
      </c>
      <c r="Z371" s="442" t="s">
        <v>675</v>
      </c>
      <c r="AA371" s="442" t="s">
        <v>675</v>
      </c>
      <c r="AB371" s="442" t="s">
        <v>675</v>
      </c>
      <c r="AC371" s="442"/>
      <c r="AD371" s="442"/>
      <c r="AE371" s="442" t="s">
        <v>676</v>
      </c>
      <c r="AF371" s="442"/>
      <c r="AG371" s="443" t="s">
        <v>870</v>
      </c>
      <c r="AH371" s="442"/>
      <c r="AI371" s="443" t="s">
        <v>870</v>
      </c>
      <c r="AJ371" s="443" t="s">
        <v>677</v>
      </c>
      <c r="AK371" s="442" t="s">
        <v>677</v>
      </c>
      <c r="AL371" s="442"/>
      <c r="AM371" s="442"/>
      <c r="AN371" s="442"/>
      <c r="AO371" s="442"/>
      <c r="AP371" s="442"/>
      <c r="AQ371" s="442"/>
      <c r="AR371" s="444"/>
      <c r="AS371" s="442"/>
      <c r="AT371" s="444"/>
      <c r="AU371" s="442" t="s">
        <v>678</v>
      </c>
      <c r="AV371" s="442" t="s">
        <v>677</v>
      </c>
      <c r="AW371" s="442" t="s">
        <v>676</v>
      </c>
      <c r="AX371" s="442" t="s">
        <v>674</v>
      </c>
      <c r="AY371" s="442"/>
      <c r="AZ371" s="442"/>
      <c r="BA371" s="442" t="s">
        <v>679</v>
      </c>
      <c r="BB371" s="442"/>
      <c r="BC371" s="442"/>
      <c r="BD371" s="442"/>
      <c r="BE371" s="444"/>
      <c r="BF371" s="442" t="s">
        <v>298</v>
      </c>
      <c r="BG371" s="442" t="s">
        <v>680</v>
      </c>
      <c r="BH371" s="442" t="s">
        <v>681</v>
      </c>
      <c r="BI371" s="442"/>
    </row>
    <row r="372" spans="1:61">
      <c r="A372" s="442" t="s">
        <v>840</v>
      </c>
      <c r="B372" s="442" t="s">
        <v>805</v>
      </c>
      <c r="C372" s="442" t="s">
        <v>806</v>
      </c>
      <c r="D372" s="442" t="s">
        <v>716</v>
      </c>
      <c r="E372" s="442" t="s">
        <v>3</v>
      </c>
      <c r="F372" s="443" t="s">
        <v>71</v>
      </c>
      <c r="G372" s="443" t="s">
        <v>719</v>
      </c>
      <c r="H372" s="444">
        <v>935000</v>
      </c>
      <c r="I372" s="444">
        <v>935000</v>
      </c>
      <c r="J372" s="444">
        <v>0</v>
      </c>
      <c r="K372" s="444">
        <v>0</v>
      </c>
      <c r="L372" s="444">
        <v>850000</v>
      </c>
      <c r="M372" s="444">
        <v>0</v>
      </c>
      <c r="N372" s="444">
        <v>0</v>
      </c>
      <c r="O372" s="444">
        <v>85000</v>
      </c>
      <c r="P372" s="444">
        <v>0</v>
      </c>
      <c r="Q372" s="444">
        <v>0</v>
      </c>
      <c r="R372" s="444">
        <v>0</v>
      </c>
      <c r="S372" s="444">
        <v>0</v>
      </c>
      <c r="T372" s="444">
        <v>0</v>
      </c>
      <c r="U372" s="444">
        <v>0</v>
      </c>
      <c r="V372" s="444">
        <v>0</v>
      </c>
      <c r="W372" s="444">
        <v>0</v>
      </c>
      <c r="X372" s="442" t="s">
        <v>674</v>
      </c>
      <c r="Y372" s="442" t="s">
        <v>675</v>
      </c>
      <c r="Z372" s="442" t="s">
        <v>675</v>
      </c>
      <c r="AA372" s="442" t="s">
        <v>675</v>
      </c>
      <c r="AB372" s="442" t="s">
        <v>675</v>
      </c>
      <c r="AC372" s="442"/>
      <c r="AD372" s="442"/>
      <c r="AE372" s="442"/>
      <c r="AF372" s="442"/>
      <c r="AG372" s="443" t="s">
        <v>873</v>
      </c>
      <c r="AH372" s="442"/>
      <c r="AI372" s="443" t="s">
        <v>873</v>
      </c>
      <c r="AJ372" s="443" t="s">
        <v>874</v>
      </c>
      <c r="AK372" s="442" t="s">
        <v>677</v>
      </c>
      <c r="AL372" s="442"/>
      <c r="AM372" s="442"/>
      <c r="AN372" s="442"/>
      <c r="AO372" s="442"/>
      <c r="AP372" s="442"/>
      <c r="AQ372" s="442"/>
      <c r="AR372" s="444"/>
      <c r="AS372" s="442"/>
      <c r="AT372" s="444"/>
      <c r="AU372" s="442" t="s">
        <v>678</v>
      </c>
      <c r="AV372" s="442" t="s">
        <v>677</v>
      </c>
      <c r="AW372" s="442" t="s">
        <v>676</v>
      </c>
      <c r="AX372" s="442" t="s">
        <v>674</v>
      </c>
      <c r="AY372" s="442"/>
      <c r="AZ372" s="442"/>
      <c r="BA372" s="442" t="s">
        <v>679</v>
      </c>
      <c r="BB372" s="442"/>
      <c r="BC372" s="442"/>
      <c r="BD372" s="442"/>
      <c r="BE372" s="444"/>
      <c r="BF372" s="442" t="s">
        <v>298</v>
      </c>
      <c r="BG372" s="442" t="s">
        <v>680</v>
      </c>
      <c r="BH372" s="442" t="s">
        <v>681</v>
      </c>
      <c r="BI372" s="442"/>
    </row>
    <row r="373" spans="1:61">
      <c r="A373" s="442" t="s">
        <v>875</v>
      </c>
      <c r="B373" s="442" t="s">
        <v>820</v>
      </c>
      <c r="C373" s="442" t="s">
        <v>875</v>
      </c>
      <c r="D373" s="442" t="s">
        <v>716</v>
      </c>
      <c r="E373" s="442" t="s">
        <v>3</v>
      </c>
      <c r="F373" s="443" t="s">
        <v>308</v>
      </c>
      <c r="G373" s="443" t="s">
        <v>780</v>
      </c>
      <c r="H373" s="444">
        <v>8030000</v>
      </c>
      <c r="I373" s="444">
        <v>8030000</v>
      </c>
      <c r="J373" s="444">
        <v>0</v>
      </c>
      <c r="K373" s="444">
        <v>0</v>
      </c>
      <c r="L373" s="444">
        <v>7300000</v>
      </c>
      <c r="M373" s="444">
        <v>0</v>
      </c>
      <c r="N373" s="444">
        <v>0</v>
      </c>
      <c r="O373" s="444">
        <v>730000</v>
      </c>
      <c r="P373" s="444">
        <v>0</v>
      </c>
      <c r="Q373" s="444">
        <v>0</v>
      </c>
      <c r="R373" s="444">
        <v>0</v>
      </c>
      <c r="S373" s="444">
        <v>0</v>
      </c>
      <c r="T373" s="444">
        <v>0</v>
      </c>
      <c r="U373" s="444">
        <v>0</v>
      </c>
      <c r="V373" s="444">
        <v>0</v>
      </c>
      <c r="W373" s="444">
        <v>0</v>
      </c>
      <c r="X373" s="442" t="s">
        <v>674</v>
      </c>
      <c r="Y373" s="442" t="s">
        <v>675</v>
      </c>
      <c r="Z373" s="442" t="s">
        <v>675</v>
      </c>
      <c r="AA373" s="442" t="s">
        <v>675</v>
      </c>
      <c r="AB373" s="442" t="s">
        <v>675</v>
      </c>
      <c r="AC373" s="442"/>
      <c r="AD373" s="442" t="s">
        <v>807</v>
      </c>
      <c r="AE373" s="442"/>
      <c r="AF373" s="442"/>
      <c r="AG373" s="443" t="s">
        <v>876</v>
      </c>
      <c r="AH373" s="442"/>
      <c r="AI373" s="443" t="s">
        <v>876</v>
      </c>
      <c r="AJ373" s="443" t="s">
        <v>877</v>
      </c>
      <c r="AK373" s="442" t="s">
        <v>677</v>
      </c>
      <c r="AL373" s="442"/>
      <c r="AM373" s="442"/>
      <c r="AN373" s="442"/>
      <c r="AO373" s="442"/>
      <c r="AP373" s="442"/>
      <c r="AQ373" s="442"/>
      <c r="AR373" s="444"/>
      <c r="AS373" s="442"/>
      <c r="AT373" s="444"/>
      <c r="AU373" s="442" t="s">
        <v>678</v>
      </c>
      <c r="AV373" s="442" t="s">
        <v>677</v>
      </c>
      <c r="AW373" s="442" t="s">
        <v>676</v>
      </c>
      <c r="AX373" s="442" t="s">
        <v>674</v>
      </c>
      <c r="AY373" s="442"/>
      <c r="AZ373" s="442"/>
      <c r="BA373" s="442" t="s">
        <v>679</v>
      </c>
      <c r="BB373" s="442"/>
      <c r="BC373" s="442"/>
      <c r="BD373" s="442"/>
      <c r="BE373" s="444"/>
      <c r="BF373" s="442" t="s">
        <v>298</v>
      </c>
      <c r="BG373" s="442" t="s">
        <v>680</v>
      </c>
      <c r="BH373" s="442" t="s">
        <v>681</v>
      </c>
      <c r="BI373" s="442"/>
    </row>
    <row r="374" spans="1:61">
      <c r="A374" s="442" t="s">
        <v>878</v>
      </c>
      <c r="B374" s="442" t="s">
        <v>878</v>
      </c>
      <c r="C374" s="442" t="s">
        <v>878</v>
      </c>
      <c r="D374" s="442" t="s">
        <v>673</v>
      </c>
      <c r="E374" s="442" t="s">
        <v>3</v>
      </c>
      <c r="F374" s="443" t="s">
        <v>7</v>
      </c>
      <c r="G374" s="443" t="s">
        <v>684</v>
      </c>
      <c r="H374" s="444">
        <v>10000</v>
      </c>
      <c r="I374" s="444">
        <v>10000</v>
      </c>
      <c r="J374" s="444">
        <v>0</v>
      </c>
      <c r="K374" s="444">
        <v>0</v>
      </c>
      <c r="L374" s="444">
        <v>10000</v>
      </c>
      <c r="M374" s="444">
        <v>0</v>
      </c>
      <c r="N374" s="444">
        <v>0</v>
      </c>
      <c r="O374" s="444">
        <v>0</v>
      </c>
      <c r="P374" s="444">
        <v>0</v>
      </c>
      <c r="Q374" s="444">
        <v>0</v>
      </c>
      <c r="R374" s="444">
        <v>0</v>
      </c>
      <c r="S374" s="444">
        <v>0</v>
      </c>
      <c r="T374" s="444">
        <v>0</v>
      </c>
      <c r="U374" s="444">
        <v>0</v>
      </c>
      <c r="V374" s="444">
        <v>0</v>
      </c>
      <c r="W374" s="444">
        <v>0</v>
      </c>
      <c r="X374" s="442" t="s">
        <v>674</v>
      </c>
      <c r="Y374" s="442" t="s">
        <v>675</v>
      </c>
      <c r="Z374" s="442" t="s">
        <v>675</v>
      </c>
      <c r="AA374" s="442" t="s">
        <v>675</v>
      </c>
      <c r="AB374" s="442" t="s">
        <v>675</v>
      </c>
      <c r="AC374" s="442"/>
      <c r="AD374" s="442"/>
      <c r="AE374" s="442"/>
      <c r="AF374" s="442"/>
      <c r="AG374" s="443" t="s">
        <v>879</v>
      </c>
      <c r="AH374" s="442"/>
      <c r="AI374" s="443" t="s">
        <v>879</v>
      </c>
      <c r="AJ374" s="443" t="s">
        <v>677</v>
      </c>
      <c r="AK374" s="442" t="s">
        <v>677</v>
      </c>
      <c r="AL374" s="442"/>
      <c r="AM374" s="442"/>
      <c r="AN374" s="442"/>
      <c r="AO374" s="442"/>
      <c r="AP374" s="442"/>
      <c r="AQ374" s="442"/>
      <c r="AR374" s="444"/>
      <c r="AS374" s="442"/>
      <c r="AT374" s="444"/>
      <c r="AU374" s="442" t="s">
        <v>678</v>
      </c>
      <c r="AV374" s="442" t="s">
        <v>677</v>
      </c>
      <c r="AW374" s="442" t="s">
        <v>676</v>
      </c>
      <c r="AX374" s="442" t="s">
        <v>674</v>
      </c>
      <c r="AY374" s="442"/>
      <c r="AZ374" s="442"/>
      <c r="BA374" s="442" t="s">
        <v>679</v>
      </c>
      <c r="BB374" s="442"/>
      <c r="BC374" s="442"/>
      <c r="BD374" s="442"/>
      <c r="BE374" s="444"/>
      <c r="BF374" s="442" t="s">
        <v>298</v>
      </c>
      <c r="BG374" s="442" t="s">
        <v>680</v>
      </c>
      <c r="BH374" s="442" t="s">
        <v>681</v>
      </c>
      <c r="BI374" s="442"/>
    </row>
    <row r="375" spans="1:61">
      <c r="A375" s="442" t="s">
        <v>878</v>
      </c>
      <c r="B375" s="442" t="s">
        <v>878</v>
      </c>
      <c r="C375" s="442" t="s">
        <v>878</v>
      </c>
      <c r="D375" s="442" t="s">
        <v>673</v>
      </c>
      <c r="E375" s="442" t="s">
        <v>3</v>
      </c>
      <c r="F375" s="443" t="s">
        <v>7</v>
      </c>
      <c r="G375" s="443" t="s">
        <v>684</v>
      </c>
      <c r="H375" s="444">
        <v>425360</v>
      </c>
      <c r="I375" s="444">
        <v>425360</v>
      </c>
      <c r="J375" s="444">
        <v>0</v>
      </c>
      <c r="K375" s="444">
        <v>0</v>
      </c>
      <c r="L375" s="444">
        <v>425360</v>
      </c>
      <c r="M375" s="444">
        <v>0</v>
      </c>
      <c r="N375" s="444">
        <v>0</v>
      </c>
      <c r="O375" s="444">
        <v>0</v>
      </c>
      <c r="P375" s="444">
        <v>0</v>
      </c>
      <c r="Q375" s="444">
        <v>0</v>
      </c>
      <c r="R375" s="444">
        <v>0</v>
      </c>
      <c r="S375" s="444">
        <v>0</v>
      </c>
      <c r="T375" s="444">
        <v>0</v>
      </c>
      <c r="U375" s="444">
        <v>0</v>
      </c>
      <c r="V375" s="444">
        <v>0</v>
      </c>
      <c r="W375" s="444">
        <v>0</v>
      </c>
      <c r="X375" s="442" t="s">
        <v>674</v>
      </c>
      <c r="Y375" s="442" t="s">
        <v>675</v>
      </c>
      <c r="Z375" s="442" t="s">
        <v>675</v>
      </c>
      <c r="AA375" s="442" t="s">
        <v>675</v>
      </c>
      <c r="AB375" s="442" t="s">
        <v>675</v>
      </c>
      <c r="AC375" s="442"/>
      <c r="AD375" s="442"/>
      <c r="AE375" s="442"/>
      <c r="AF375" s="442"/>
      <c r="AG375" s="443" t="s">
        <v>880</v>
      </c>
      <c r="AH375" s="442"/>
      <c r="AI375" s="443" t="s">
        <v>880</v>
      </c>
      <c r="AJ375" s="443" t="s">
        <v>677</v>
      </c>
      <c r="AK375" s="442" t="s">
        <v>677</v>
      </c>
      <c r="AL375" s="442"/>
      <c r="AM375" s="442"/>
      <c r="AN375" s="442"/>
      <c r="AO375" s="442"/>
      <c r="AP375" s="442"/>
      <c r="AQ375" s="442"/>
      <c r="AR375" s="444"/>
      <c r="AS375" s="442"/>
      <c r="AT375" s="444"/>
      <c r="AU375" s="442" t="s">
        <v>678</v>
      </c>
      <c r="AV375" s="442" t="s">
        <v>677</v>
      </c>
      <c r="AW375" s="442" t="s">
        <v>676</v>
      </c>
      <c r="AX375" s="442" t="s">
        <v>674</v>
      </c>
      <c r="AY375" s="442"/>
      <c r="AZ375" s="442"/>
      <c r="BA375" s="442" t="s">
        <v>679</v>
      </c>
      <c r="BB375" s="442"/>
      <c r="BC375" s="442"/>
      <c r="BD375" s="442"/>
      <c r="BE375" s="444"/>
      <c r="BF375" s="442" t="s">
        <v>298</v>
      </c>
      <c r="BG375" s="442" t="s">
        <v>680</v>
      </c>
      <c r="BH375" s="442" t="s">
        <v>681</v>
      </c>
      <c r="BI375" s="442"/>
    </row>
    <row r="376" spans="1:61">
      <c r="A376" s="442" t="s">
        <v>878</v>
      </c>
      <c r="B376" s="442" t="s">
        <v>878</v>
      </c>
      <c r="C376" s="442" t="s">
        <v>878</v>
      </c>
      <c r="D376" s="442" t="s">
        <v>673</v>
      </c>
      <c r="E376" s="442" t="s">
        <v>3</v>
      </c>
      <c r="F376" s="443" t="s">
        <v>7</v>
      </c>
      <c r="G376" s="443" t="s">
        <v>684</v>
      </c>
      <c r="H376" s="444">
        <v>368340</v>
      </c>
      <c r="I376" s="444">
        <v>368340</v>
      </c>
      <c r="J376" s="444">
        <v>0</v>
      </c>
      <c r="K376" s="444">
        <v>0</v>
      </c>
      <c r="L376" s="444">
        <v>368340</v>
      </c>
      <c r="M376" s="444">
        <v>0</v>
      </c>
      <c r="N376" s="444">
        <v>0</v>
      </c>
      <c r="O376" s="444">
        <v>0</v>
      </c>
      <c r="P376" s="444">
        <v>0</v>
      </c>
      <c r="Q376" s="444">
        <v>0</v>
      </c>
      <c r="R376" s="444">
        <v>0</v>
      </c>
      <c r="S376" s="444">
        <v>0</v>
      </c>
      <c r="T376" s="444">
        <v>0</v>
      </c>
      <c r="U376" s="444">
        <v>0</v>
      </c>
      <c r="V376" s="444">
        <v>0</v>
      </c>
      <c r="W376" s="444">
        <v>0</v>
      </c>
      <c r="X376" s="442" t="s">
        <v>674</v>
      </c>
      <c r="Y376" s="442" t="s">
        <v>675</v>
      </c>
      <c r="Z376" s="442" t="s">
        <v>675</v>
      </c>
      <c r="AA376" s="442" t="s">
        <v>675</v>
      </c>
      <c r="AB376" s="442" t="s">
        <v>675</v>
      </c>
      <c r="AC376" s="442"/>
      <c r="AD376" s="442"/>
      <c r="AE376" s="442"/>
      <c r="AF376" s="442"/>
      <c r="AG376" s="443" t="s">
        <v>881</v>
      </c>
      <c r="AH376" s="442"/>
      <c r="AI376" s="443" t="s">
        <v>881</v>
      </c>
      <c r="AJ376" s="443" t="s">
        <v>677</v>
      </c>
      <c r="AK376" s="442" t="s">
        <v>677</v>
      </c>
      <c r="AL376" s="442"/>
      <c r="AM376" s="442"/>
      <c r="AN376" s="442"/>
      <c r="AO376" s="442"/>
      <c r="AP376" s="442"/>
      <c r="AQ376" s="442"/>
      <c r="AR376" s="444"/>
      <c r="AS376" s="442"/>
      <c r="AT376" s="444"/>
      <c r="AU376" s="442" t="s">
        <v>678</v>
      </c>
      <c r="AV376" s="442" t="s">
        <v>677</v>
      </c>
      <c r="AW376" s="442" t="s">
        <v>676</v>
      </c>
      <c r="AX376" s="442" t="s">
        <v>674</v>
      </c>
      <c r="AY376" s="442"/>
      <c r="AZ376" s="442"/>
      <c r="BA376" s="442" t="s">
        <v>679</v>
      </c>
      <c r="BB376" s="442"/>
      <c r="BC376" s="442"/>
      <c r="BD376" s="442"/>
      <c r="BE376" s="444"/>
      <c r="BF376" s="442" t="s">
        <v>298</v>
      </c>
      <c r="BG376" s="442" t="s">
        <v>680</v>
      </c>
      <c r="BH376" s="442" t="s">
        <v>681</v>
      </c>
      <c r="BI376" s="442"/>
    </row>
    <row r="377" spans="1:61">
      <c r="A377" s="442" t="s">
        <v>878</v>
      </c>
      <c r="B377" s="442" t="s">
        <v>878</v>
      </c>
      <c r="C377" s="442" t="s">
        <v>878</v>
      </c>
      <c r="D377" s="442" t="s">
        <v>673</v>
      </c>
      <c r="E377" s="442" t="s">
        <v>3</v>
      </c>
      <c r="F377" s="443" t="s">
        <v>7</v>
      </c>
      <c r="G377" s="443" t="s">
        <v>684</v>
      </c>
      <c r="H377" s="444">
        <v>3347790</v>
      </c>
      <c r="I377" s="444">
        <v>3347790</v>
      </c>
      <c r="J377" s="444">
        <v>0</v>
      </c>
      <c r="K377" s="444">
        <v>0</v>
      </c>
      <c r="L377" s="444">
        <v>3347790</v>
      </c>
      <c r="M377" s="444">
        <v>0</v>
      </c>
      <c r="N377" s="444">
        <v>0</v>
      </c>
      <c r="O377" s="444">
        <v>0</v>
      </c>
      <c r="P377" s="444">
        <v>0</v>
      </c>
      <c r="Q377" s="444">
        <v>0</v>
      </c>
      <c r="R377" s="444">
        <v>0</v>
      </c>
      <c r="S377" s="444">
        <v>0</v>
      </c>
      <c r="T377" s="444">
        <v>0</v>
      </c>
      <c r="U377" s="444">
        <v>0</v>
      </c>
      <c r="V377" s="444">
        <v>0</v>
      </c>
      <c r="W377" s="444">
        <v>0</v>
      </c>
      <c r="X377" s="442" t="s">
        <v>674</v>
      </c>
      <c r="Y377" s="442" t="s">
        <v>675</v>
      </c>
      <c r="Z377" s="442" t="s">
        <v>675</v>
      </c>
      <c r="AA377" s="442" t="s">
        <v>675</v>
      </c>
      <c r="AB377" s="442" t="s">
        <v>675</v>
      </c>
      <c r="AC377" s="442"/>
      <c r="AD377" s="442"/>
      <c r="AE377" s="442"/>
      <c r="AF377" s="442"/>
      <c r="AG377" s="443" t="s">
        <v>882</v>
      </c>
      <c r="AH377" s="442"/>
      <c r="AI377" s="443" t="s">
        <v>882</v>
      </c>
      <c r="AJ377" s="443" t="s">
        <v>677</v>
      </c>
      <c r="AK377" s="442" t="s">
        <v>677</v>
      </c>
      <c r="AL377" s="442"/>
      <c r="AM377" s="442"/>
      <c r="AN377" s="442"/>
      <c r="AO377" s="442"/>
      <c r="AP377" s="442"/>
      <c r="AQ377" s="442"/>
      <c r="AR377" s="444"/>
      <c r="AS377" s="442"/>
      <c r="AT377" s="444"/>
      <c r="AU377" s="442" t="s">
        <v>678</v>
      </c>
      <c r="AV377" s="442" t="s">
        <v>677</v>
      </c>
      <c r="AW377" s="442" t="s">
        <v>676</v>
      </c>
      <c r="AX377" s="442" t="s">
        <v>674</v>
      </c>
      <c r="AY377" s="442"/>
      <c r="AZ377" s="442"/>
      <c r="BA377" s="442" t="s">
        <v>679</v>
      </c>
      <c r="BB377" s="442"/>
      <c r="BC377" s="442"/>
      <c r="BD377" s="442"/>
      <c r="BE377" s="444"/>
      <c r="BF377" s="442" t="s">
        <v>298</v>
      </c>
      <c r="BG377" s="442" t="s">
        <v>680</v>
      </c>
      <c r="BH377" s="442" t="s">
        <v>681</v>
      </c>
      <c r="BI377" s="442"/>
    </row>
    <row r="378" spans="1:61">
      <c r="A378" s="442" t="s">
        <v>878</v>
      </c>
      <c r="B378" s="442" t="s">
        <v>878</v>
      </c>
      <c r="C378" s="442" t="s">
        <v>878</v>
      </c>
      <c r="D378" s="442" t="s">
        <v>673</v>
      </c>
      <c r="E378" s="442" t="s">
        <v>3</v>
      </c>
      <c r="F378" s="443" t="s">
        <v>7</v>
      </c>
      <c r="G378" s="443" t="s">
        <v>684</v>
      </c>
      <c r="H378" s="444">
        <v>316417</v>
      </c>
      <c r="I378" s="444">
        <v>316417</v>
      </c>
      <c r="J378" s="444">
        <v>0</v>
      </c>
      <c r="K378" s="444">
        <v>0</v>
      </c>
      <c r="L378" s="444">
        <v>316417</v>
      </c>
      <c r="M378" s="444">
        <v>0</v>
      </c>
      <c r="N378" s="444">
        <v>0</v>
      </c>
      <c r="O378" s="444">
        <v>0</v>
      </c>
      <c r="P378" s="444">
        <v>0</v>
      </c>
      <c r="Q378" s="444">
        <v>0</v>
      </c>
      <c r="R378" s="444">
        <v>0</v>
      </c>
      <c r="S378" s="444">
        <v>0</v>
      </c>
      <c r="T378" s="444">
        <v>0</v>
      </c>
      <c r="U378" s="444">
        <v>0</v>
      </c>
      <c r="V378" s="444">
        <v>0</v>
      </c>
      <c r="W378" s="444">
        <v>0</v>
      </c>
      <c r="X378" s="442" t="s">
        <v>674</v>
      </c>
      <c r="Y378" s="442" t="s">
        <v>675</v>
      </c>
      <c r="Z378" s="442" t="s">
        <v>675</v>
      </c>
      <c r="AA378" s="442" t="s">
        <v>675</v>
      </c>
      <c r="AB378" s="442" t="s">
        <v>675</v>
      </c>
      <c r="AC378" s="442"/>
      <c r="AD378" s="442"/>
      <c r="AE378" s="442"/>
      <c r="AF378" s="442"/>
      <c r="AG378" s="443" t="s">
        <v>883</v>
      </c>
      <c r="AH378" s="442"/>
      <c r="AI378" s="443" t="s">
        <v>883</v>
      </c>
      <c r="AJ378" s="443" t="s">
        <v>677</v>
      </c>
      <c r="AK378" s="442" t="s">
        <v>677</v>
      </c>
      <c r="AL378" s="442"/>
      <c r="AM378" s="442"/>
      <c r="AN378" s="442"/>
      <c r="AO378" s="442"/>
      <c r="AP378" s="442"/>
      <c r="AQ378" s="442"/>
      <c r="AR378" s="444"/>
      <c r="AS378" s="442"/>
      <c r="AT378" s="444"/>
      <c r="AU378" s="442" t="s">
        <v>678</v>
      </c>
      <c r="AV378" s="442" t="s">
        <v>677</v>
      </c>
      <c r="AW378" s="442" t="s">
        <v>676</v>
      </c>
      <c r="AX378" s="442" t="s">
        <v>674</v>
      </c>
      <c r="AY378" s="442"/>
      <c r="AZ378" s="442"/>
      <c r="BA378" s="442" t="s">
        <v>679</v>
      </c>
      <c r="BB378" s="442"/>
      <c r="BC378" s="442"/>
      <c r="BD378" s="442"/>
      <c r="BE378" s="444"/>
      <c r="BF378" s="442" t="s">
        <v>298</v>
      </c>
      <c r="BG378" s="442" t="s">
        <v>680</v>
      </c>
      <c r="BH378" s="442" t="s">
        <v>681</v>
      </c>
      <c r="BI378" s="442"/>
    </row>
    <row r="379" spans="1:61">
      <c r="A379" s="442" t="s">
        <v>878</v>
      </c>
      <c r="B379" s="442" t="s">
        <v>878</v>
      </c>
      <c r="C379" s="442" t="s">
        <v>878</v>
      </c>
      <c r="D379" s="442" t="s">
        <v>673</v>
      </c>
      <c r="E379" s="442" t="s">
        <v>3</v>
      </c>
      <c r="F379" s="443" t="s">
        <v>7</v>
      </c>
      <c r="G379" s="443" t="s">
        <v>684</v>
      </c>
      <c r="H379" s="444">
        <v>200870</v>
      </c>
      <c r="I379" s="444">
        <v>200870</v>
      </c>
      <c r="J379" s="444">
        <v>0</v>
      </c>
      <c r="K379" s="444">
        <v>0</v>
      </c>
      <c r="L379" s="444">
        <v>200870</v>
      </c>
      <c r="M379" s="444">
        <v>0</v>
      </c>
      <c r="N379" s="444">
        <v>0</v>
      </c>
      <c r="O379" s="444">
        <v>0</v>
      </c>
      <c r="P379" s="444">
        <v>0</v>
      </c>
      <c r="Q379" s="444">
        <v>0</v>
      </c>
      <c r="R379" s="444">
        <v>0</v>
      </c>
      <c r="S379" s="444">
        <v>0</v>
      </c>
      <c r="T379" s="444">
        <v>0</v>
      </c>
      <c r="U379" s="444">
        <v>0</v>
      </c>
      <c r="V379" s="444">
        <v>0</v>
      </c>
      <c r="W379" s="444">
        <v>0</v>
      </c>
      <c r="X379" s="442" t="s">
        <v>674</v>
      </c>
      <c r="Y379" s="442" t="s">
        <v>675</v>
      </c>
      <c r="Z379" s="442" t="s">
        <v>675</v>
      </c>
      <c r="AA379" s="442" t="s">
        <v>675</v>
      </c>
      <c r="AB379" s="442" t="s">
        <v>675</v>
      </c>
      <c r="AC379" s="442"/>
      <c r="AD379" s="442"/>
      <c r="AE379" s="442"/>
      <c r="AF379" s="442"/>
      <c r="AG379" s="443" t="s">
        <v>884</v>
      </c>
      <c r="AH379" s="442"/>
      <c r="AI379" s="443" t="s">
        <v>884</v>
      </c>
      <c r="AJ379" s="443" t="s">
        <v>677</v>
      </c>
      <c r="AK379" s="442" t="s">
        <v>677</v>
      </c>
      <c r="AL379" s="442"/>
      <c r="AM379" s="442"/>
      <c r="AN379" s="442"/>
      <c r="AO379" s="442"/>
      <c r="AP379" s="442"/>
      <c r="AQ379" s="442"/>
      <c r="AR379" s="444"/>
      <c r="AS379" s="442"/>
      <c r="AT379" s="444"/>
      <c r="AU379" s="442" t="s">
        <v>678</v>
      </c>
      <c r="AV379" s="442" t="s">
        <v>677</v>
      </c>
      <c r="AW379" s="442" t="s">
        <v>676</v>
      </c>
      <c r="AX379" s="442" t="s">
        <v>674</v>
      </c>
      <c r="AY379" s="442"/>
      <c r="AZ379" s="442"/>
      <c r="BA379" s="442" t="s">
        <v>679</v>
      </c>
      <c r="BB379" s="442"/>
      <c r="BC379" s="442"/>
      <c r="BD379" s="442"/>
      <c r="BE379" s="444"/>
      <c r="BF379" s="442" t="s">
        <v>298</v>
      </c>
      <c r="BG379" s="442" t="s">
        <v>680</v>
      </c>
      <c r="BH379" s="442" t="s">
        <v>681</v>
      </c>
      <c r="BI379" s="442"/>
    </row>
    <row r="380" spans="1:61">
      <c r="A380" s="442" t="s">
        <v>885</v>
      </c>
      <c r="B380" s="442" t="s">
        <v>886</v>
      </c>
      <c r="C380" s="442" t="s">
        <v>682</v>
      </c>
      <c r="D380" s="442" t="s">
        <v>716</v>
      </c>
      <c r="E380" s="442" t="s">
        <v>3</v>
      </c>
      <c r="F380" s="443" t="s">
        <v>71</v>
      </c>
      <c r="G380" s="443" t="s">
        <v>719</v>
      </c>
      <c r="H380" s="444">
        <v>1873300</v>
      </c>
      <c r="I380" s="444">
        <v>1873300</v>
      </c>
      <c r="J380" s="444">
        <v>0</v>
      </c>
      <c r="K380" s="444">
        <v>0</v>
      </c>
      <c r="L380" s="444">
        <v>1703000</v>
      </c>
      <c r="M380" s="444">
        <v>0</v>
      </c>
      <c r="N380" s="444">
        <v>0</v>
      </c>
      <c r="O380" s="444">
        <v>170300</v>
      </c>
      <c r="P380" s="444">
        <v>0</v>
      </c>
      <c r="Q380" s="444">
        <v>0</v>
      </c>
      <c r="R380" s="444">
        <v>0</v>
      </c>
      <c r="S380" s="444">
        <v>0</v>
      </c>
      <c r="T380" s="444">
        <v>0</v>
      </c>
      <c r="U380" s="444">
        <v>0</v>
      </c>
      <c r="V380" s="444">
        <v>0</v>
      </c>
      <c r="W380" s="444">
        <v>0</v>
      </c>
      <c r="X380" s="442" t="s">
        <v>674</v>
      </c>
      <c r="Y380" s="442" t="s">
        <v>675</v>
      </c>
      <c r="Z380" s="442" t="s">
        <v>675</v>
      </c>
      <c r="AA380" s="442" t="s">
        <v>675</v>
      </c>
      <c r="AB380" s="442" t="s">
        <v>675</v>
      </c>
      <c r="AC380" s="442"/>
      <c r="AD380" s="442"/>
      <c r="AE380" s="442"/>
      <c r="AF380" s="442"/>
      <c r="AG380" s="443" t="s">
        <v>887</v>
      </c>
      <c r="AH380" s="442"/>
      <c r="AI380" s="443" t="s">
        <v>887</v>
      </c>
      <c r="AJ380" s="443" t="s">
        <v>888</v>
      </c>
      <c r="AK380" s="442" t="s">
        <v>677</v>
      </c>
      <c r="AL380" s="442"/>
      <c r="AM380" s="442"/>
      <c r="AN380" s="442"/>
      <c r="AO380" s="442"/>
      <c r="AP380" s="442"/>
      <c r="AQ380" s="442"/>
      <c r="AR380" s="444"/>
      <c r="AS380" s="442"/>
      <c r="AT380" s="444"/>
      <c r="AU380" s="442" t="s">
        <v>678</v>
      </c>
      <c r="AV380" s="442" t="s">
        <v>677</v>
      </c>
      <c r="AW380" s="442" t="s">
        <v>676</v>
      </c>
      <c r="AX380" s="442" t="s">
        <v>674</v>
      </c>
      <c r="AY380" s="442"/>
      <c r="AZ380" s="442"/>
      <c r="BA380" s="442" t="s">
        <v>679</v>
      </c>
      <c r="BB380" s="442"/>
      <c r="BC380" s="442"/>
      <c r="BD380" s="442"/>
      <c r="BE380" s="444"/>
      <c r="BF380" s="442" t="s">
        <v>298</v>
      </c>
      <c r="BG380" s="442" t="s">
        <v>680</v>
      </c>
      <c r="BH380" s="442" t="s">
        <v>681</v>
      </c>
      <c r="BI380" s="442"/>
    </row>
    <row r="381" spans="1:61">
      <c r="A381" s="442" t="s">
        <v>889</v>
      </c>
      <c r="B381" s="442" t="s">
        <v>728</v>
      </c>
      <c r="C381" s="442" t="s">
        <v>722</v>
      </c>
      <c r="D381" s="442" t="s">
        <v>724</v>
      </c>
      <c r="E381" s="442" t="s">
        <v>3</v>
      </c>
      <c r="F381" s="443" t="s">
        <v>83</v>
      </c>
      <c r="G381" s="443" t="s">
        <v>700</v>
      </c>
      <c r="H381" s="444">
        <v>1526000</v>
      </c>
      <c r="I381" s="444">
        <v>1526000</v>
      </c>
      <c r="J381" s="444">
        <v>0</v>
      </c>
      <c r="K381" s="444">
        <v>0</v>
      </c>
      <c r="L381" s="444">
        <v>1387273</v>
      </c>
      <c r="M381" s="444">
        <v>0</v>
      </c>
      <c r="N381" s="444">
        <v>0</v>
      </c>
      <c r="O381" s="444">
        <v>138727</v>
      </c>
      <c r="P381" s="444">
        <v>0</v>
      </c>
      <c r="Q381" s="444">
        <v>0</v>
      </c>
      <c r="R381" s="444">
        <v>0</v>
      </c>
      <c r="S381" s="444">
        <v>0</v>
      </c>
      <c r="T381" s="444">
        <v>0</v>
      </c>
      <c r="U381" s="444">
        <v>0</v>
      </c>
      <c r="V381" s="444">
        <v>0</v>
      </c>
      <c r="W381" s="444">
        <v>0</v>
      </c>
      <c r="X381" s="442" t="s">
        <v>674</v>
      </c>
      <c r="Y381" s="442" t="s">
        <v>675</v>
      </c>
      <c r="Z381" s="442" t="s">
        <v>675</v>
      </c>
      <c r="AA381" s="442" t="s">
        <v>675</v>
      </c>
      <c r="AB381" s="442" t="s">
        <v>675</v>
      </c>
      <c r="AC381" s="442"/>
      <c r="AD381" s="442"/>
      <c r="AE381" s="442"/>
      <c r="AF381" s="442"/>
      <c r="AG381" s="443" t="s">
        <v>761</v>
      </c>
      <c r="AH381" s="442"/>
      <c r="AI381" s="443" t="s">
        <v>761</v>
      </c>
      <c r="AJ381" s="443" t="s">
        <v>890</v>
      </c>
      <c r="AK381" s="442" t="s">
        <v>677</v>
      </c>
      <c r="AL381" s="442"/>
      <c r="AM381" s="442" t="s">
        <v>726</v>
      </c>
      <c r="AN381" s="442" t="s">
        <v>891</v>
      </c>
      <c r="AO381" s="442" t="s">
        <v>889</v>
      </c>
      <c r="AP381" s="442" t="s">
        <v>892</v>
      </c>
      <c r="AQ381" s="442" t="s">
        <v>757</v>
      </c>
      <c r="AR381" s="444">
        <v>1526000</v>
      </c>
      <c r="AS381" s="442" t="s">
        <v>675</v>
      </c>
      <c r="AT381" s="444">
        <v>0</v>
      </c>
      <c r="AU381" s="442" t="s">
        <v>678</v>
      </c>
      <c r="AV381" s="442" t="s">
        <v>677</v>
      </c>
      <c r="AW381" s="442" t="s">
        <v>676</v>
      </c>
      <c r="AX381" s="442" t="s">
        <v>674</v>
      </c>
      <c r="AY381" s="442"/>
      <c r="AZ381" s="442"/>
      <c r="BA381" s="442" t="s">
        <v>679</v>
      </c>
      <c r="BB381" s="442"/>
      <c r="BC381" s="442"/>
      <c r="BD381" s="442"/>
      <c r="BE381" s="444"/>
      <c r="BF381" s="442" t="s">
        <v>298</v>
      </c>
      <c r="BG381" s="442" t="s">
        <v>680</v>
      </c>
      <c r="BH381" s="442" t="s">
        <v>681</v>
      </c>
      <c r="BI381" s="442"/>
    </row>
    <row r="382" spans="1:61">
      <c r="A382" s="442" t="s">
        <v>893</v>
      </c>
      <c r="B382" s="442" t="s">
        <v>894</v>
      </c>
      <c r="C382" s="442" t="s">
        <v>893</v>
      </c>
      <c r="D382" s="442" t="s">
        <v>716</v>
      </c>
      <c r="E382" s="442" t="s">
        <v>3</v>
      </c>
      <c r="F382" s="443" t="s">
        <v>83</v>
      </c>
      <c r="G382" s="443" t="s">
        <v>700</v>
      </c>
      <c r="H382" s="444">
        <v>592500</v>
      </c>
      <c r="I382" s="444">
        <v>592500</v>
      </c>
      <c r="J382" s="444">
        <v>0</v>
      </c>
      <c r="K382" s="444">
        <v>0</v>
      </c>
      <c r="L382" s="444">
        <v>592500</v>
      </c>
      <c r="M382" s="444">
        <v>0</v>
      </c>
      <c r="N382" s="444">
        <v>0</v>
      </c>
      <c r="O382" s="444">
        <v>0</v>
      </c>
      <c r="P382" s="444">
        <v>0</v>
      </c>
      <c r="Q382" s="444">
        <v>0</v>
      </c>
      <c r="R382" s="444">
        <v>0</v>
      </c>
      <c r="S382" s="444">
        <v>0</v>
      </c>
      <c r="T382" s="444">
        <v>0</v>
      </c>
      <c r="U382" s="444">
        <v>0</v>
      </c>
      <c r="V382" s="444">
        <v>0</v>
      </c>
      <c r="W382" s="444">
        <v>0</v>
      </c>
      <c r="X382" s="442" t="s">
        <v>674</v>
      </c>
      <c r="Y382" s="442" t="s">
        <v>675</v>
      </c>
      <c r="Z382" s="442" t="s">
        <v>675</v>
      </c>
      <c r="AA382" s="442" t="s">
        <v>675</v>
      </c>
      <c r="AB382" s="442" t="s">
        <v>675</v>
      </c>
      <c r="AC382" s="442"/>
      <c r="AD382" s="442"/>
      <c r="AE382" s="442"/>
      <c r="AF382" s="442"/>
      <c r="AG382" s="443" t="s">
        <v>583</v>
      </c>
      <c r="AH382" s="442"/>
      <c r="AI382" s="443" t="s">
        <v>583</v>
      </c>
      <c r="AJ382" s="443" t="s">
        <v>895</v>
      </c>
      <c r="AK382" s="442" t="s">
        <v>677</v>
      </c>
      <c r="AL382" s="442"/>
      <c r="AM382" s="442"/>
      <c r="AN382" s="442"/>
      <c r="AO382" s="442"/>
      <c r="AP382" s="442"/>
      <c r="AQ382" s="442"/>
      <c r="AR382" s="444"/>
      <c r="AS382" s="442"/>
      <c r="AT382" s="444"/>
      <c r="AU382" s="442" t="s">
        <v>678</v>
      </c>
      <c r="AV382" s="442" t="s">
        <v>677</v>
      </c>
      <c r="AW382" s="442" t="s">
        <v>676</v>
      </c>
      <c r="AX382" s="442" t="s">
        <v>674</v>
      </c>
      <c r="AY382" s="442"/>
      <c r="AZ382" s="442"/>
      <c r="BA382" s="442" t="s">
        <v>679</v>
      </c>
      <c r="BB382" s="442"/>
      <c r="BC382" s="442"/>
      <c r="BD382" s="442"/>
      <c r="BE382" s="444"/>
      <c r="BF382" s="442" t="s">
        <v>298</v>
      </c>
      <c r="BG382" s="442" t="s">
        <v>680</v>
      </c>
      <c r="BH382" s="442" t="s">
        <v>681</v>
      </c>
      <c r="BI382" s="442"/>
    </row>
    <row r="383" spans="1:61">
      <c r="A383" s="442" t="s">
        <v>896</v>
      </c>
      <c r="B383" s="442" t="s">
        <v>728</v>
      </c>
      <c r="C383" s="442" t="s">
        <v>722</v>
      </c>
      <c r="D383" s="442" t="s">
        <v>724</v>
      </c>
      <c r="E383" s="442" t="s">
        <v>3</v>
      </c>
      <c r="F383" s="443" t="s">
        <v>83</v>
      </c>
      <c r="G383" s="443" t="s">
        <v>700</v>
      </c>
      <c r="H383" s="444">
        <v>500000</v>
      </c>
      <c r="I383" s="444">
        <v>500000</v>
      </c>
      <c r="J383" s="444">
        <v>0</v>
      </c>
      <c r="K383" s="444">
        <v>0</v>
      </c>
      <c r="L383" s="444">
        <v>454546</v>
      </c>
      <c r="M383" s="444">
        <v>0</v>
      </c>
      <c r="N383" s="444">
        <v>0</v>
      </c>
      <c r="O383" s="444">
        <v>45454</v>
      </c>
      <c r="P383" s="444">
        <v>0</v>
      </c>
      <c r="Q383" s="444">
        <v>0</v>
      </c>
      <c r="R383" s="444">
        <v>0</v>
      </c>
      <c r="S383" s="444">
        <v>0</v>
      </c>
      <c r="T383" s="444">
        <v>0</v>
      </c>
      <c r="U383" s="444">
        <v>0</v>
      </c>
      <c r="V383" s="444">
        <v>0</v>
      </c>
      <c r="W383" s="444">
        <v>0</v>
      </c>
      <c r="X383" s="442" t="s">
        <v>674</v>
      </c>
      <c r="Y383" s="442" t="s">
        <v>675</v>
      </c>
      <c r="Z383" s="442" t="s">
        <v>675</v>
      </c>
      <c r="AA383" s="442" t="s">
        <v>675</v>
      </c>
      <c r="AB383" s="442" t="s">
        <v>675</v>
      </c>
      <c r="AC383" s="442"/>
      <c r="AD383" s="442"/>
      <c r="AE383" s="442"/>
      <c r="AF383" s="442"/>
      <c r="AG383" s="443" t="s">
        <v>567</v>
      </c>
      <c r="AH383" s="442"/>
      <c r="AI383" s="443" t="s">
        <v>567</v>
      </c>
      <c r="AJ383" s="443" t="s">
        <v>890</v>
      </c>
      <c r="AK383" s="442" t="s">
        <v>677</v>
      </c>
      <c r="AL383" s="442"/>
      <c r="AM383" s="442" t="s">
        <v>726</v>
      </c>
      <c r="AN383" s="442" t="s">
        <v>897</v>
      </c>
      <c r="AO383" s="442" t="s">
        <v>896</v>
      </c>
      <c r="AP383" s="442" t="s">
        <v>898</v>
      </c>
      <c r="AQ383" s="442" t="s">
        <v>757</v>
      </c>
      <c r="AR383" s="444">
        <v>500000</v>
      </c>
      <c r="AS383" s="442" t="s">
        <v>675</v>
      </c>
      <c r="AT383" s="444">
        <v>0</v>
      </c>
      <c r="AU383" s="442" t="s">
        <v>678</v>
      </c>
      <c r="AV383" s="442" t="s">
        <v>677</v>
      </c>
      <c r="AW383" s="442" t="s">
        <v>676</v>
      </c>
      <c r="AX383" s="442" t="s">
        <v>674</v>
      </c>
      <c r="AY383" s="442"/>
      <c r="AZ383" s="442"/>
      <c r="BA383" s="442" t="s">
        <v>679</v>
      </c>
      <c r="BB383" s="442"/>
      <c r="BC383" s="442"/>
      <c r="BD383" s="442"/>
      <c r="BE383" s="444"/>
      <c r="BF383" s="442" t="s">
        <v>298</v>
      </c>
      <c r="BG383" s="442" t="s">
        <v>680</v>
      </c>
      <c r="BH383" s="442" t="s">
        <v>681</v>
      </c>
      <c r="BI383" s="442"/>
    </row>
    <row r="384" spans="1:61">
      <c r="A384" s="442" t="s">
        <v>898</v>
      </c>
      <c r="B384" s="442" t="s">
        <v>898</v>
      </c>
      <c r="C384" s="442" t="s">
        <v>896</v>
      </c>
      <c r="D384" s="442" t="s">
        <v>673</v>
      </c>
      <c r="E384" s="442" t="s">
        <v>3</v>
      </c>
      <c r="F384" s="443" t="s">
        <v>7</v>
      </c>
      <c r="G384" s="443" t="s">
        <v>684</v>
      </c>
      <c r="H384" s="444">
        <v>23240</v>
      </c>
      <c r="I384" s="444">
        <v>23240</v>
      </c>
      <c r="J384" s="444">
        <v>0</v>
      </c>
      <c r="K384" s="444">
        <v>0</v>
      </c>
      <c r="L384" s="444">
        <v>23240</v>
      </c>
      <c r="M384" s="444">
        <v>0</v>
      </c>
      <c r="N384" s="444">
        <v>0</v>
      </c>
      <c r="O384" s="444">
        <v>0</v>
      </c>
      <c r="P384" s="444">
        <v>0</v>
      </c>
      <c r="Q384" s="444">
        <v>0</v>
      </c>
      <c r="R384" s="444">
        <v>0</v>
      </c>
      <c r="S384" s="444">
        <v>0</v>
      </c>
      <c r="T384" s="444">
        <v>0</v>
      </c>
      <c r="U384" s="444">
        <v>0</v>
      </c>
      <c r="V384" s="444">
        <v>0</v>
      </c>
      <c r="W384" s="444">
        <v>0</v>
      </c>
      <c r="X384" s="442" t="s">
        <v>674</v>
      </c>
      <c r="Y384" s="442" t="s">
        <v>675</v>
      </c>
      <c r="Z384" s="442" t="s">
        <v>675</v>
      </c>
      <c r="AA384" s="442" t="s">
        <v>675</v>
      </c>
      <c r="AB384" s="442" t="s">
        <v>675</v>
      </c>
      <c r="AC384" s="442"/>
      <c r="AD384" s="442"/>
      <c r="AE384" s="442"/>
      <c r="AF384" s="442"/>
      <c r="AG384" s="443" t="s">
        <v>899</v>
      </c>
      <c r="AH384" s="442"/>
      <c r="AI384" s="443" t="s">
        <v>899</v>
      </c>
      <c r="AJ384" s="443" t="s">
        <v>677</v>
      </c>
      <c r="AK384" s="442" t="s">
        <v>677</v>
      </c>
      <c r="AL384" s="442"/>
      <c r="AM384" s="442"/>
      <c r="AN384" s="442"/>
      <c r="AO384" s="442"/>
      <c r="AP384" s="442"/>
      <c r="AQ384" s="442"/>
      <c r="AR384" s="444"/>
      <c r="AS384" s="442"/>
      <c r="AT384" s="444"/>
      <c r="AU384" s="442" t="s">
        <v>678</v>
      </c>
      <c r="AV384" s="442" t="s">
        <v>677</v>
      </c>
      <c r="AW384" s="442" t="s">
        <v>676</v>
      </c>
      <c r="AX384" s="442" t="s">
        <v>674</v>
      </c>
      <c r="AY384" s="442"/>
      <c r="AZ384" s="442"/>
      <c r="BA384" s="442" t="s">
        <v>679</v>
      </c>
      <c r="BB384" s="442"/>
      <c r="BC384" s="442"/>
      <c r="BD384" s="442"/>
      <c r="BE384" s="444"/>
      <c r="BF384" s="442" t="s">
        <v>298</v>
      </c>
      <c r="BG384" s="442" t="s">
        <v>680</v>
      </c>
      <c r="BH384" s="442" t="s">
        <v>681</v>
      </c>
      <c r="BI384" s="442"/>
    </row>
    <row r="385" spans="1:61">
      <c r="A385" s="442" t="s">
        <v>898</v>
      </c>
      <c r="B385" s="442" t="s">
        <v>898</v>
      </c>
      <c r="C385" s="442" t="s">
        <v>896</v>
      </c>
      <c r="D385" s="442" t="s">
        <v>673</v>
      </c>
      <c r="E385" s="442" t="s">
        <v>3</v>
      </c>
      <c r="F385" s="443" t="s">
        <v>83</v>
      </c>
      <c r="G385" s="443" t="s">
        <v>691</v>
      </c>
      <c r="H385" s="444">
        <v>1368000</v>
      </c>
      <c r="I385" s="444">
        <v>1368000</v>
      </c>
      <c r="J385" s="444">
        <v>0</v>
      </c>
      <c r="K385" s="444">
        <v>0</v>
      </c>
      <c r="L385" s="444">
        <v>1368000</v>
      </c>
      <c r="M385" s="444">
        <v>0</v>
      </c>
      <c r="N385" s="444">
        <v>0</v>
      </c>
      <c r="O385" s="444">
        <v>0</v>
      </c>
      <c r="P385" s="444">
        <v>0</v>
      </c>
      <c r="Q385" s="444">
        <v>0</v>
      </c>
      <c r="R385" s="444">
        <v>0</v>
      </c>
      <c r="S385" s="444">
        <v>0</v>
      </c>
      <c r="T385" s="444">
        <v>0</v>
      </c>
      <c r="U385" s="444">
        <v>0</v>
      </c>
      <c r="V385" s="444">
        <v>0</v>
      </c>
      <c r="W385" s="444">
        <v>0</v>
      </c>
      <c r="X385" s="442" t="s">
        <v>674</v>
      </c>
      <c r="Y385" s="442" t="s">
        <v>675</v>
      </c>
      <c r="Z385" s="442" t="s">
        <v>675</v>
      </c>
      <c r="AA385" s="442" t="s">
        <v>675</v>
      </c>
      <c r="AB385" s="442" t="s">
        <v>675</v>
      </c>
      <c r="AC385" s="442"/>
      <c r="AD385" s="442"/>
      <c r="AE385" s="442" t="s">
        <v>694</v>
      </c>
      <c r="AF385" s="442"/>
      <c r="AG385" s="443" t="s">
        <v>900</v>
      </c>
      <c r="AH385" s="442"/>
      <c r="AI385" s="443" t="s">
        <v>900</v>
      </c>
      <c r="AJ385" s="443" t="s">
        <v>677</v>
      </c>
      <c r="AK385" s="442" t="s">
        <v>677</v>
      </c>
      <c r="AL385" s="442"/>
      <c r="AM385" s="442"/>
      <c r="AN385" s="442"/>
      <c r="AO385" s="442"/>
      <c r="AP385" s="442"/>
      <c r="AQ385" s="442"/>
      <c r="AR385" s="444"/>
      <c r="AS385" s="442"/>
      <c r="AT385" s="444"/>
      <c r="AU385" s="442" t="s">
        <v>678</v>
      </c>
      <c r="AV385" s="442" t="s">
        <v>677</v>
      </c>
      <c r="AW385" s="442" t="s">
        <v>676</v>
      </c>
      <c r="AX385" s="442" t="s">
        <v>674</v>
      </c>
      <c r="AY385" s="442"/>
      <c r="AZ385" s="442"/>
      <c r="BA385" s="442" t="s">
        <v>679</v>
      </c>
      <c r="BB385" s="442"/>
      <c r="BC385" s="442"/>
      <c r="BD385" s="442"/>
      <c r="BE385" s="444"/>
      <c r="BF385" s="442" t="s">
        <v>298</v>
      </c>
      <c r="BG385" s="442" t="s">
        <v>680</v>
      </c>
      <c r="BH385" s="442" t="s">
        <v>681</v>
      </c>
      <c r="BI385" s="442"/>
    </row>
    <row r="386" spans="1:61">
      <c r="A386" s="442" t="s">
        <v>898</v>
      </c>
      <c r="B386" s="442" t="s">
        <v>898</v>
      </c>
      <c r="C386" s="442" t="s">
        <v>896</v>
      </c>
      <c r="D386" s="442" t="s">
        <v>673</v>
      </c>
      <c r="E386" s="442" t="s">
        <v>3</v>
      </c>
      <c r="F386" s="443" t="s">
        <v>7</v>
      </c>
      <c r="G386" s="443" t="s">
        <v>684</v>
      </c>
      <c r="H386" s="444">
        <v>171354</v>
      </c>
      <c r="I386" s="444">
        <v>171354</v>
      </c>
      <c r="J386" s="444">
        <v>0</v>
      </c>
      <c r="K386" s="444">
        <v>0</v>
      </c>
      <c r="L386" s="444">
        <v>171354</v>
      </c>
      <c r="M386" s="444">
        <v>0</v>
      </c>
      <c r="N386" s="444">
        <v>0</v>
      </c>
      <c r="O386" s="444">
        <v>0</v>
      </c>
      <c r="P386" s="444">
        <v>0</v>
      </c>
      <c r="Q386" s="444">
        <v>0</v>
      </c>
      <c r="R386" s="444">
        <v>0</v>
      </c>
      <c r="S386" s="444">
        <v>0</v>
      </c>
      <c r="T386" s="444">
        <v>0</v>
      </c>
      <c r="U386" s="444">
        <v>0</v>
      </c>
      <c r="V386" s="444">
        <v>0</v>
      </c>
      <c r="W386" s="444">
        <v>0</v>
      </c>
      <c r="X386" s="442" t="s">
        <v>674</v>
      </c>
      <c r="Y386" s="442" t="s">
        <v>675</v>
      </c>
      <c r="Z386" s="442" t="s">
        <v>675</v>
      </c>
      <c r="AA386" s="442" t="s">
        <v>675</v>
      </c>
      <c r="AB386" s="442" t="s">
        <v>675</v>
      </c>
      <c r="AC386" s="442"/>
      <c r="AD386" s="442"/>
      <c r="AE386" s="442"/>
      <c r="AF386" s="442"/>
      <c r="AG386" s="443" t="s">
        <v>901</v>
      </c>
      <c r="AH386" s="442"/>
      <c r="AI386" s="443" t="s">
        <v>901</v>
      </c>
      <c r="AJ386" s="443" t="s">
        <v>677</v>
      </c>
      <c r="AK386" s="442" t="s">
        <v>677</v>
      </c>
      <c r="AL386" s="442"/>
      <c r="AM386" s="442"/>
      <c r="AN386" s="442"/>
      <c r="AO386" s="442"/>
      <c r="AP386" s="442"/>
      <c r="AQ386" s="442"/>
      <c r="AR386" s="444"/>
      <c r="AS386" s="442"/>
      <c r="AT386" s="444"/>
      <c r="AU386" s="442" t="s">
        <v>678</v>
      </c>
      <c r="AV386" s="442" t="s">
        <v>677</v>
      </c>
      <c r="AW386" s="442" t="s">
        <v>676</v>
      </c>
      <c r="AX386" s="442" t="s">
        <v>674</v>
      </c>
      <c r="AY386" s="442"/>
      <c r="AZ386" s="442"/>
      <c r="BA386" s="442" t="s">
        <v>679</v>
      </c>
      <c r="BB386" s="442"/>
      <c r="BC386" s="442"/>
      <c r="BD386" s="442"/>
      <c r="BE386" s="444"/>
      <c r="BF386" s="442" t="s">
        <v>298</v>
      </c>
      <c r="BG386" s="442" t="s">
        <v>680</v>
      </c>
      <c r="BH386" s="442" t="s">
        <v>681</v>
      </c>
      <c r="BI386" s="442"/>
    </row>
    <row r="387" spans="1:61">
      <c r="A387" s="442" t="s">
        <v>898</v>
      </c>
      <c r="B387" s="442" t="s">
        <v>898</v>
      </c>
      <c r="C387" s="442" t="s">
        <v>896</v>
      </c>
      <c r="D387" s="442" t="s">
        <v>673</v>
      </c>
      <c r="E387" s="442" t="s">
        <v>3</v>
      </c>
      <c r="F387" s="443" t="s">
        <v>7</v>
      </c>
      <c r="G387" s="443" t="s">
        <v>684</v>
      </c>
      <c r="H387" s="444">
        <v>223280</v>
      </c>
      <c r="I387" s="444">
        <v>223280</v>
      </c>
      <c r="J387" s="444">
        <v>0</v>
      </c>
      <c r="K387" s="444">
        <v>0</v>
      </c>
      <c r="L387" s="444">
        <v>223280</v>
      </c>
      <c r="M387" s="444">
        <v>0</v>
      </c>
      <c r="N387" s="444">
        <v>0</v>
      </c>
      <c r="O387" s="444">
        <v>0</v>
      </c>
      <c r="P387" s="444">
        <v>0</v>
      </c>
      <c r="Q387" s="444">
        <v>0</v>
      </c>
      <c r="R387" s="444">
        <v>0</v>
      </c>
      <c r="S387" s="444">
        <v>0</v>
      </c>
      <c r="T387" s="444">
        <v>0</v>
      </c>
      <c r="U387" s="444">
        <v>0</v>
      </c>
      <c r="V387" s="444">
        <v>0</v>
      </c>
      <c r="W387" s="444">
        <v>0</v>
      </c>
      <c r="X387" s="442" t="s">
        <v>674</v>
      </c>
      <c r="Y387" s="442" t="s">
        <v>675</v>
      </c>
      <c r="Z387" s="442" t="s">
        <v>675</v>
      </c>
      <c r="AA387" s="442" t="s">
        <v>675</v>
      </c>
      <c r="AB387" s="442" t="s">
        <v>675</v>
      </c>
      <c r="AC387" s="442"/>
      <c r="AD387" s="442"/>
      <c r="AE387" s="442"/>
      <c r="AF387" s="442"/>
      <c r="AG387" s="443" t="s">
        <v>902</v>
      </c>
      <c r="AH387" s="442"/>
      <c r="AI387" s="443" t="s">
        <v>902</v>
      </c>
      <c r="AJ387" s="443" t="s">
        <v>677</v>
      </c>
      <c r="AK387" s="442" t="s">
        <v>677</v>
      </c>
      <c r="AL387" s="442"/>
      <c r="AM387" s="442"/>
      <c r="AN387" s="442"/>
      <c r="AO387" s="442"/>
      <c r="AP387" s="442"/>
      <c r="AQ387" s="442"/>
      <c r="AR387" s="444"/>
      <c r="AS387" s="442"/>
      <c r="AT387" s="444"/>
      <c r="AU387" s="442" t="s">
        <v>678</v>
      </c>
      <c r="AV387" s="442" t="s">
        <v>677</v>
      </c>
      <c r="AW387" s="442" t="s">
        <v>676</v>
      </c>
      <c r="AX387" s="442" t="s">
        <v>674</v>
      </c>
      <c r="AY387" s="442"/>
      <c r="AZ387" s="442"/>
      <c r="BA387" s="442" t="s">
        <v>679</v>
      </c>
      <c r="BB387" s="442"/>
      <c r="BC387" s="442"/>
      <c r="BD387" s="442"/>
      <c r="BE387" s="444"/>
      <c r="BF387" s="442" t="s">
        <v>298</v>
      </c>
      <c r="BG387" s="442" t="s">
        <v>680</v>
      </c>
      <c r="BH387" s="442" t="s">
        <v>681</v>
      </c>
      <c r="BI387" s="442"/>
    </row>
    <row r="388" spans="1:61">
      <c r="A388" s="442" t="s">
        <v>898</v>
      </c>
      <c r="B388" s="442" t="s">
        <v>898</v>
      </c>
      <c r="C388" s="442" t="s">
        <v>896</v>
      </c>
      <c r="D388" s="442" t="s">
        <v>673</v>
      </c>
      <c r="E388" s="442" t="s">
        <v>3</v>
      </c>
      <c r="F388" s="443" t="s">
        <v>7</v>
      </c>
      <c r="G388" s="443" t="s">
        <v>684</v>
      </c>
      <c r="H388" s="444">
        <v>1839670</v>
      </c>
      <c r="I388" s="444">
        <v>1839670</v>
      </c>
      <c r="J388" s="444">
        <v>0</v>
      </c>
      <c r="K388" s="444">
        <v>0</v>
      </c>
      <c r="L388" s="444">
        <v>1839670</v>
      </c>
      <c r="M388" s="444">
        <v>0</v>
      </c>
      <c r="N388" s="444">
        <v>0</v>
      </c>
      <c r="O388" s="444">
        <v>0</v>
      </c>
      <c r="P388" s="444">
        <v>0</v>
      </c>
      <c r="Q388" s="444">
        <v>0</v>
      </c>
      <c r="R388" s="444">
        <v>0</v>
      </c>
      <c r="S388" s="444">
        <v>0</v>
      </c>
      <c r="T388" s="444">
        <v>0</v>
      </c>
      <c r="U388" s="444">
        <v>0</v>
      </c>
      <c r="V388" s="444">
        <v>0</v>
      </c>
      <c r="W388" s="444">
        <v>0</v>
      </c>
      <c r="X388" s="442" t="s">
        <v>674</v>
      </c>
      <c r="Y388" s="442" t="s">
        <v>675</v>
      </c>
      <c r="Z388" s="442" t="s">
        <v>675</v>
      </c>
      <c r="AA388" s="442" t="s">
        <v>675</v>
      </c>
      <c r="AB388" s="442" t="s">
        <v>675</v>
      </c>
      <c r="AC388" s="442"/>
      <c r="AD388" s="442"/>
      <c r="AE388" s="442"/>
      <c r="AF388" s="442"/>
      <c r="AG388" s="443" t="s">
        <v>903</v>
      </c>
      <c r="AH388" s="442"/>
      <c r="AI388" s="443" t="s">
        <v>903</v>
      </c>
      <c r="AJ388" s="443" t="s">
        <v>677</v>
      </c>
      <c r="AK388" s="442" t="s">
        <v>677</v>
      </c>
      <c r="AL388" s="442"/>
      <c r="AM388" s="442"/>
      <c r="AN388" s="442"/>
      <c r="AO388" s="442"/>
      <c r="AP388" s="442"/>
      <c r="AQ388" s="442"/>
      <c r="AR388" s="444"/>
      <c r="AS388" s="442"/>
      <c r="AT388" s="444"/>
      <c r="AU388" s="442" t="s">
        <v>678</v>
      </c>
      <c r="AV388" s="442" t="s">
        <v>677</v>
      </c>
      <c r="AW388" s="442" t="s">
        <v>676</v>
      </c>
      <c r="AX388" s="442" t="s">
        <v>674</v>
      </c>
      <c r="AY388" s="442"/>
      <c r="AZ388" s="442"/>
      <c r="BA388" s="442" t="s">
        <v>679</v>
      </c>
      <c r="BB388" s="442"/>
      <c r="BC388" s="442"/>
      <c r="BD388" s="442"/>
      <c r="BE388" s="444"/>
      <c r="BF388" s="442" t="s">
        <v>298</v>
      </c>
      <c r="BG388" s="442" t="s">
        <v>680</v>
      </c>
      <c r="BH388" s="442" t="s">
        <v>681</v>
      </c>
      <c r="BI388" s="442"/>
    </row>
    <row r="389" spans="1:61">
      <c r="A389" s="442" t="s">
        <v>898</v>
      </c>
      <c r="B389" s="442" t="s">
        <v>898</v>
      </c>
      <c r="C389" s="442" t="s">
        <v>896</v>
      </c>
      <c r="D389" s="442" t="s">
        <v>673</v>
      </c>
      <c r="E389" s="442" t="s">
        <v>3</v>
      </c>
      <c r="F389" s="443" t="s">
        <v>7</v>
      </c>
      <c r="G389" s="443" t="s">
        <v>684</v>
      </c>
      <c r="H389" s="444">
        <v>193340</v>
      </c>
      <c r="I389" s="444">
        <v>193340</v>
      </c>
      <c r="J389" s="444">
        <v>0</v>
      </c>
      <c r="K389" s="444">
        <v>0</v>
      </c>
      <c r="L389" s="444">
        <v>193340</v>
      </c>
      <c r="M389" s="444">
        <v>0</v>
      </c>
      <c r="N389" s="444">
        <v>0</v>
      </c>
      <c r="O389" s="444">
        <v>0</v>
      </c>
      <c r="P389" s="444">
        <v>0</v>
      </c>
      <c r="Q389" s="444">
        <v>0</v>
      </c>
      <c r="R389" s="444">
        <v>0</v>
      </c>
      <c r="S389" s="444">
        <v>0</v>
      </c>
      <c r="T389" s="444">
        <v>0</v>
      </c>
      <c r="U389" s="444">
        <v>0</v>
      </c>
      <c r="V389" s="444">
        <v>0</v>
      </c>
      <c r="W389" s="444">
        <v>0</v>
      </c>
      <c r="X389" s="442" t="s">
        <v>674</v>
      </c>
      <c r="Y389" s="442" t="s">
        <v>675</v>
      </c>
      <c r="Z389" s="442" t="s">
        <v>675</v>
      </c>
      <c r="AA389" s="442" t="s">
        <v>675</v>
      </c>
      <c r="AB389" s="442" t="s">
        <v>675</v>
      </c>
      <c r="AC389" s="442"/>
      <c r="AD389" s="442"/>
      <c r="AE389" s="442"/>
      <c r="AF389" s="442"/>
      <c r="AG389" s="443" t="s">
        <v>904</v>
      </c>
      <c r="AH389" s="442"/>
      <c r="AI389" s="443" t="s">
        <v>904</v>
      </c>
      <c r="AJ389" s="443" t="s">
        <v>677</v>
      </c>
      <c r="AK389" s="442" t="s">
        <v>677</v>
      </c>
      <c r="AL389" s="442"/>
      <c r="AM389" s="442"/>
      <c r="AN389" s="442"/>
      <c r="AO389" s="442"/>
      <c r="AP389" s="442"/>
      <c r="AQ389" s="442"/>
      <c r="AR389" s="444"/>
      <c r="AS389" s="442"/>
      <c r="AT389" s="444"/>
      <c r="AU389" s="442" t="s">
        <v>678</v>
      </c>
      <c r="AV389" s="442" t="s">
        <v>677</v>
      </c>
      <c r="AW389" s="442" t="s">
        <v>676</v>
      </c>
      <c r="AX389" s="442" t="s">
        <v>674</v>
      </c>
      <c r="AY389" s="442"/>
      <c r="AZ389" s="442"/>
      <c r="BA389" s="442" t="s">
        <v>679</v>
      </c>
      <c r="BB389" s="442"/>
      <c r="BC389" s="442"/>
      <c r="BD389" s="442"/>
      <c r="BE389" s="444"/>
      <c r="BF389" s="442" t="s">
        <v>298</v>
      </c>
      <c r="BG389" s="442" t="s">
        <v>680</v>
      </c>
      <c r="BH389" s="442" t="s">
        <v>681</v>
      </c>
      <c r="BI389" s="442"/>
    </row>
    <row r="390" spans="1:61">
      <c r="A390" s="442" t="s">
        <v>898</v>
      </c>
      <c r="B390" s="442" t="s">
        <v>898</v>
      </c>
      <c r="C390" s="442" t="s">
        <v>896</v>
      </c>
      <c r="D390" s="442" t="s">
        <v>673</v>
      </c>
      <c r="E390" s="442" t="s">
        <v>3</v>
      </c>
      <c r="F390" s="443" t="s">
        <v>83</v>
      </c>
      <c r="G390" s="443" t="s">
        <v>691</v>
      </c>
      <c r="H390" s="444">
        <v>105600</v>
      </c>
      <c r="I390" s="444">
        <v>105600</v>
      </c>
      <c r="J390" s="444">
        <v>0</v>
      </c>
      <c r="K390" s="444">
        <v>0</v>
      </c>
      <c r="L390" s="444">
        <v>105600</v>
      </c>
      <c r="M390" s="444">
        <v>0</v>
      </c>
      <c r="N390" s="444">
        <v>0</v>
      </c>
      <c r="O390" s="444">
        <v>0</v>
      </c>
      <c r="P390" s="444">
        <v>0</v>
      </c>
      <c r="Q390" s="444">
        <v>0</v>
      </c>
      <c r="R390" s="444">
        <v>0</v>
      </c>
      <c r="S390" s="444">
        <v>0</v>
      </c>
      <c r="T390" s="444">
        <v>0</v>
      </c>
      <c r="U390" s="444">
        <v>0</v>
      </c>
      <c r="V390" s="444">
        <v>0</v>
      </c>
      <c r="W390" s="444">
        <v>0</v>
      </c>
      <c r="X390" s="442" t="s">
        <v>674</v>
      </c>
      <c r="Y390" s="442" t="s">
        <v>675</v>
      </c>
      <c r="Z390" s="442" t="s">
        <v>675</v>
      </c>
      <c r="AA390" s="442" t="s">
        <v>675</v>
      </c>
      <c r="AB390" s="442" t="s">
        <v>675</v>
      </c>
      <c r="AC390" s="442"/>
      <c r="AD390" s="442"/>
      <c r="AE390" s="442" t="s">
        <v>694</v>
      </c>
      <c r="AF390" s="442"/>
      <c r="AG390" s="443" t="s">
        <v>905</v>
      </c>
      <c r="AH390" s="442"/>
      <c r="AI390" s="443" t="s">
        <v>905</v>
      </c>
      <c r="AJ390" s="443" t="s">
        <v>677</v>
      </c>
      <c r="AK390" s="442" t="s">
        <v>677</v>
      </c>
      <c r="AL390" s="442"/>
      <c r="AM390" s="442"/>
      <c r="AN390" s="442"/>
      <c r="AO390" s="442"/>
      <c r="AP390" s="442"/>
      <c r="AQ390" s="442"/>
      <c r="AR390" s="444"/>
      <c r="AS390" s="442"/>
      <c r="AT390" s="444"/>
      <c r="AU390" s="442" t="s">
        <v>678</v>
      </c>
      <c r="AV390" s="442" t="s">
        <v>677</v>
      </c>
      <c r="AW390" s="442" t="s">
        <v>676</v>
      </c>
      <c r="AX390" s="442" t="s">
        <v>674</v>
      </c>
      <c r="AY390" s="442"/>
      <c r="AZ390" s="442"/>
      <c r="BA390" s="442" t="s">
        <v>679</v>
      </c>
      <c r="BB390" s="442"/>
      <c r="BC390" s="442"/>
      <c r="BD390" s="442"/>
      <c r="BE390" s="444"/>
      <c r="BF390" s="442" t="s">
        <v>298</v>
      </c>
      <c r="BG390" s="442" t="s">
        <v>680</v>
      </c>
      <c r="BH390" s="442" t="s">
        <v>681</v>
      </c>
      <c r="BI390" s="442"/>
    </row>
    <row r="391" spans="1:61">
      <c r="A391" s="442" t="s">
        <v>898</v>
      </c>
      <c r="B391" s="442" t="s">
        <v>898</v>
      </c>
      <c r="C391" s="442" t="s">
        <v>896</v>
      </c>
      <c r="D391" s="442" t="s">
        <v>673</v>
      </c>
      <c r="E391" s="442" t="s">
        <v>3</v>
      </c>
      <c r="F391" s="443" t="s">
        <v>83</v>
      </c>
      <c r="G391" s="443" t="s">
        <v>691</v>
      </c>
      <c r="H391" s="444">
        <v>1094400</v>
      </c>
      <c r="I391" s="444">
        <v>1094400</v>
      </c>
      <c r="J391" s="444">
        <v>0</v>
      </c>
      <c r="K391" s="444">
        <v>0</v>
      </c>
      <c r="L391" s="444">
        <v>1094400</v>
      </c>
      <c r="M391" s="444">
        <v>0</v>
      </c>
      <c r="N391" s="444">
        <v>0</v>
      </c>
      <c r="O391" s="444">
        <v>0</v>
      </c>
      <c r="P391" s="444">
        <v>0</v>
      </c>
      <c r="Q391" s="444">
        <v>0</v>
      </c>
      <c r="R391" s="444">
        <v>0</v>
      </c>
      <c r="S391" s="444">
        <v>0</v>
      </c>
      <c r="T391" s="444">
        <v>0</v>
      </c>
      <c r="U391" s="444">
        <v>0</v>
      </c>
      <c r="V391" s="444">
        <v>0</v>
      </c>
      <c r="W391" s="444">
        <v>0</v>
      </c>
      <c r="X391" s="442" t="s">
        <v>674</v>
      </c>
      <c r="Y391" s="442" t="s">
        <v>675</v>
      </c>
      <c r="Z391" s="442" t="s">
        <v>675</v>
      </c>
      <c r="AA391" s="442" t="s">
        <v>675</v>
      </c>
      <c r="AB391" s="442" t="s">
        <v>675</v>
      </c>
      <c r="AC391" s="442"/>
      <c r="AD391" s="442"/>
      <c r="AE391" s="442" t="s">
        <v>694</v>
      </c>
      <c r="AF391" s="442"/>
      <c r="AG391" s="443" t="s">
        <v>900</v>
      </c>
      <c r="AH391" s="442"/>
      <c r="AI391" s="443" t="s">
        <v>900</v>
      </c>
      <c r="AJ391" s="443" t="s">
        <v>677</v>
      </c>
      <c r="AK391" s="442" t="s">
        <v>677</v>
      </c>
      <c r="AL391" s="442"/>
      <c r="AM391" s="442"/>
      <c r="AN391" s="442"/>
      <c r="AO391" s="442"/>
      <c r="AP391" s="442"/>
      <c r="AQ391" s="442"/>
      <c r="AR391" s="444"/>
      <c r="AS391" s="442"/>
      <c r="AT391" s="444"/>
      <c r="AU391" s="442" t="s">
        <v>678</v>
      </c>
      <c r="AV391" s="442" t="s">
        <v>677</v>
      </c>
      <c r="AW391" s="442" t="s">
        <v>676</v>
      </c>
      <c r="AX391" s="442" t="s">
        <v>674</v>
      </c>
      <c r="AY391" s="442"/>
      <c r="AZ391" s="442"/>
      <c r="BA391" s="442" t="s">
        <v>679</v>
      </c>
      <c r="BB391" s="442"/>
      <c r="BC391" s="442"/>
      <c r="BD391" s="442"/>
      <c r="BE391" s="444"/>
      <c r="BF391" s="442" t="s">
        <v>298</v>
      </c>
      <c r="BG391" s="442" t="s">
        <v>680</v>
      </c>
      <c r="BH391" s="442" t="s">
        <v>681</v>
      </c>
      <c r="BI391" s="442"/>
    </row>
    <row r="392" spans="1:61">
      <c r="A392" s="442" t="s">
        <v>898</v>
      </c>
      <c r="B392" s="442" t="s">
        <v>898</v>
      </c>
      <c r="C392" s="442" t="s">
        <v>896</v>
      </c>
      <c r="D392" s="442" t="s">
        <v>673</v>
      </c>
      <c r="E392" s="442" t="s">
        <v>3</v>
      </c>
      <c r="F392" s="443" t="s">
        <v>83</v>
      </c>
      <c r="G392" s="443" t="s">
        <v>691</v>
      </c>
      <c r="H392" s="444">
        <v>132000</v>
      </c>
      <c r="I392" s="444">
        <v>132000</v>
      </c>
      <c r="J392" s="444">
        <v>0</v>
      </c>
      <c r="K392" s="444">
        <v>0</v>
      </c>
      <c r="L392" s="444">
        <v>132000</v>
      </c>
      <c r="M392" s="444">
        <v>0</v>
      </c>
      <c r="N392" s="444">
        <v>0</v>
      </c>
      <c r="O392" s="444">
        <v>0</v>
      </c>
      <c r="P392" s="444">
        <v>0</v>
      </c>
      <c r="Q392" s="444">
        <v>0</v>
      </c>
      <c r="R392" s="444">
        <v>0</v>
      </c>
      <c r="S392" s="444">
        <v>0</v>
      </c>
      <c r="T392" s="444">
        <v>0</v>
      </c>
      <c r="U392" s="444">
        <v>0</v>
      </c>
      <c r="V392" s="444">
        <v>0</v>
      </c>
      <c r="W392" s="444">
        <v>0</v>
      </c>
      <c r="X392" s="442" t="s">
        <v>674</v>
      </c>
      <c r="Y392" s="442" t="s">
        <v>675</v>
      </c>
      <c r="Z392" s="442" t="s">
        <v>675</v>
      </c>
      <c r="AA392" s="442" t="s">
        <v>675</v>
      </c>
      <c r="AB392" s="442" t="s">
        <v>675</v>
      </c>
      <c r="AC392" s="442"/>
      <c r="AD392" s="442"/>
      <c r="AE392" s="442" t="s">
        <v>694</v>
      </c>
      <c r="AF392" s="442"/>
      <c r="AG392" s="443" t="s">
        <v>905</v>
      </c>
      <c r="AH392" s="442"/>
      <c r="AI392" s="443" t="s">
        <v>905</v>
      </c>
      <c r="AJ392" s="443" t="s">
        <v>677</v>
      </c>
      <c r="AK392" s="442" t="s">
        <v>677</v>
      </c>
      <c r="AL392" s="442"/>
      <c r="AM392" s="442"/>
      <c r="AN392" s="442"/>
      <c r="AO392" s="442"/>
      <c r="AP392" s="442"/>
      <c r="AQ392" s="442"/>
      <c r="AR392" s="444"/>
      <c r="AS392" s="442"/>
      <c r="AT392" s="444"/>
      <c r="AU392" s="442" t="s">
        <v>678</v>
      </c>
      <c r="AV392" s="442" t="s">
        <v>677</v>
      </c>
      <c r="AW392" s="442" t="s">
        <v>676</v>
      </c>
      <c r="AX392" s="442" t="s">
        <v>674</v>
      </c>
      <c r="AY392" s="442"/>
      <c r="AZ392" s="442"/>
      <c r="BA392" s="442" t="s">
        <v>679</v>
      </c>
      <c r="BB392" s="442"/>
      <c r="BC392" s="442"/>
      <c r="BD392" s="442"/>
      <c r="BE392" s="444"/>
      <c r="BF392" s="442" t="s">
        <v>298</v>
      </c>
      <c r="BG392" s="442" t="s">
        <v>680</v>
      </c>
      <c r="BH392" s="442" t="s">
        <v>681</v>
      </c>
      <c r="BI392" s="442"/>
    </row>
    <row r="393" spans="1:61">
      <c r="A393" s="442" t="s">
        <v>898</v>
      </c>
      <c r="B393" s="442" t="s">
        <v>898</v>
      </c>
      <c r="C393" s="442" t="s">
        <v>896</v>
      </c>
      <c r="D393" s="442" t="s">
        <v>673</v>
      </c>
      <c r="E393" s="442" t="s">
        <v>3</v>
      </c>
      <c r="F393" s="443" t="s">
        <v>83</v>
      </c>
      <c r="G393" s="443" t="s">
        <v>691</v>
      </c>
      <c r="H393" s="444">
        <v>18480</v>
      </c>
      <c r="I393" s="444">
        <v>18480</v>
      </c>
      <c r="J393" s="444">
        <v>0</v>
      </c>
      <c r="K393" s="444">
        <v>0</v>
      </c>
      <c r="L393" s="444">
        <v>18480</v>
      </c>
      <c r="M393" s="444">
        <v>0</v>
      </c>
      <c r="N393" s="444">
        <v>0</v>
      </c>
      <c r="O393" s="444">
        <v>0</v>
      </c>
      <c r="P393" s="444">
        <v>0</v>
      </c>
      <c r="Q393" s="444">
        <v>0</v>
      </c>
      <c r="R393" s="444">
        <v>0</v>
      </c>
      <c r="S393" s="444">
        <v>0</v>
      </c>
      <c r="T393" s="444">
        <v>0</v>
      </c>
      <c r="U393" s="444">
        <v>0</v>
      </c>
      <c r="V393" s="444">
        <v>0</v>
      </c>
      <c r="W393" s="444">
        <v>0</v>
      </c>
      <c r="X393" s="442" t="s">
        <v>674</v>
      </c>
      <c r="Y393" s="442" t="s">
        <v>675</v>
      </c>
      <c r="Z393" s="442" t="s">
        <v>675</v>
      </c>
      <c r="AA393" s="442" t="s">
        <v>675</v>
      </c>
      <c r="AB393" s="442" t="s">
        <v>675</v>
      </c>
      <c r="AC393" s="442"/>
      <c r="AD393" s="442"/>
      <c r="AE393" s="442" t="s">
        <v>694</v>
      </c>
      <c r="AF393" s="442"/>
      <c r="AG393" s="443" t="s">
        <v>906</v>
      </c>
      <c r="AH393" s="442"/>
      <c r="AI393" s="443" t="s">
        <v>906</v>
      </c>
      <c r="AJ393" s="443" t="s">
        <v>677</v>
      </c>
      <c r="AK393" s="442" t="s">
        <v>677</v>
      </c>
      <c r="AL393" s="442"/>
      <c r="AM393" s="442"/>
      <c r="AN393" s="442"/>
      <c r="AO393" s="442"/>
      <c r="AP393" s="442"/>
      <c r="AQ393" s="442"/>
      <c r="AR393" s="444"/>
      <c r="AS393" s="442"/>
      <c r="AT393" s="444"/>
      <c r="AU393" s="442" t="s">
        <v>678</v>
      </c>
      <c r="AV393" s="442" t="s">
        <v>677</v>
      </c>
      <c r="AW393" s="442" t="s">
        <v>676</v>
      </c>
      <c r="AX393" s="442" t="s">
        <v>674</v>
      </c>
      <c r="AY393" s="442"/>
      <c r="AZ393" s="442"/>
      <c r="BA393" s="442" t="s">
        <v>679</v>
      </c>
      <c r="BB393" s="442"/>
      <c r="BC393" s="442"/>
      <c r="BD393" s="442"/>
      <c r="BE393" s="444"/>
      <c r="BF393" s="442" t="s">
        <v>298</v>
      </c>
      <c r="BG393" s="442" t="s">
        <v>680</v>
      </c>
      <c r="BH393" s="442" t="s">
        <v>681</v>
      </c>
      <c r="BI393" s="442"/>
    </row>
    <row r="394" spans="1:61">
      <c r="A394" s="442" t="s">
        <v>898</v>
      </c>
      <c r="B394" s="442" t="s">
        <v>898</v>
      </c>
      <c r="C394" s="442" t="s">
        <v>896</v>
      </c>
      <c r="D394" s="442" t="s">
        <v>673</v>
      </c>
      <c r="E394" s="442" t="s">
        <v>3</v>
      </c>
      <c r="F394" s="443" t="s">
        <v>83</v>
      </c>
      <c r="G394" s="443" t="s">
        <v>691</v>
      </c>
      <c r="H394" s="444">
        <v>191520</v>
      </c>
      <c r="I394" s="444">
        <v>191520</v>
      </c>
      <c r="J394" s="444">
        <v>0</v>
      </c>
      <c r="K394" s="444">
        <v>0</v>
      </c>
      <c r="L394" s="444">
        <v>191520</v>
      </c>
      <c r="M394" s="444">
        <v>0</v>
      </c>
      <c r="N394" s="444">
        <v>0</v>
      </c>
      <c r="O394" s="444">
        <v>0</v>
      </c>
      <c r="P394" s="444">
        <v>0</v>
      </c>
      <c r="Q394" s="444">
        <v>0</v>
      </c>
      <c r="R394" s="444">
        <v>0</v>
      </c>
      <c r="S394" s="444">
        <v>0</v>
      </c>
      <c r="T394" s="444">
        <v>0</v>
      </c>
      <c r="U394" s="444">
        <v>0</v>
      </c>
      <c r="V394" s="444">
        <v>0</v>
      </c>
      <c r="W394" s="444">
        <v>0</v>
      </c>
      <c r="X394" s="442" t="s">
        <v>674</v>
      </c>
      <c r="Y394" s="442" t="s">
        <v>675</v>
      </c>
      <c r="Z394" s="442" t="s">
        <v>675</v>
      </c>
      <c r="AA394" s="442" t="s">
        <v>675</v>
      </c>
      <c r="AB394" s="442" t="s">
        <v>675</v>
      </c>
      <c r="AC394" s="442"/>
      <c r="AD394" s="442"/>
      <c r="AE394" s="442" t="s">
        <v>694</v>
      </c>
      <c r="AF394" s="442"/>
      <c r="AG394" s="443" t="s">
        <v>907</v>
      </c>
      <c r="AH394" s="442"/>
      <c r="AI394" s="443" t="s">
        <v>907</v>
      </c>
      <c r="AJ394" s="443" t="s">
        <v>677</v>
      </c>
      <c r="AK394" s="442" t="s">
        <v>677</v>
      </c>
      <c r="AL394" s="442"/>
      <c r="AM394" s="442"/>
      <c r="AN394" s="442"/>
      <c r="AO394" s="442"/>
      <c r="AP394" s="442"/>
      <c r="AQ394" s="442"/>
      <c r="AR394" s="444"/>
      <c r="AS394" s="442"/>
      <c r="AT394" s="444"/>
      <c r="AU394" s="442" t="s">
        <v>678</v>
      </c>
      <c r="AV394" s="442" t="s">
        <v>677</v>
      </c>
      <c r="AW394" s="442" t="s">
        <v>676</v>
      </c>
      <c r="AX394" s="442" t="s">
        <v>784</v>
      </c>
      <c r="AY394" s="442" t="s">
        <v>785</v>
      </c>
      <c r="AZ394" s="442" t="s">
        <v>908</v>
      </c>
      <c r="BA394" s="442" t="s">
        <v>679</v>
      </c>
      <c r="BB394" s="442"/>
      <c r="BC394" s="442"/>
      <c r="BD394" s="442"/>
      <c r="BE394" s="444"/>
      <c r="BF394" s="442" t="s">
        <v>298</v>
      </c>
      <c r="BG394" s="442" t="s">
        <v>680</v>
      </c>
      <c r="BH394" s="442" t="s">
        <v>681</v>
      </c>
      <c r="BI394" s="442"/>
    </row>
    <row r="395" spans="1:61">
      <c r="A395" s="442" t="s">
        <v>898</v>
      </c>
      <c r="B395" s="442" t="s">
        <v>898</v>
      </c>
      <c r="C395" s="442" t="s">
        <v>896</v>
      </c>
      <c r="D395" s="442" t="s">
        <v>673</v>
      </c>
      <c r="E395" s="442" t="s">
        <v>3</v>
      </c>
      <c r="F395" s="443" t="s">
        <v>83</v>
      </c>
      <c r="G395" s="443" t="s">
        <v>691</v>
      </c>
      <c r="H395" s="444">
        <v>17600</v>
      </c>
      <c r="I395" s="444">
        <v>17600</v>
      </c>
      <c r="J395" s="444">
        <v>0</v>
      </c>
      <c r="K395" s="444">
        <v>0</v>
      </c>
      <c r="L395" s="444">
        <v>17600</v>
      </c>
      <c r="M395" s="444">
        <v>0</v>
      </c>
      <c r="N395" s="444">
        <v>0</v>
      </c>
      <c r="O395" s="444">
        <v>0</v>
      </c>
      <c r="P395" s="444">
        <v>0</v>
      </c>
      <c r="Q395" s="444">
        <v>0</v>
      </c>
      <c r="R395" s="444">
        <v>0</v>
      </c>
      <c r="S395" s="444">
        <v>0</v>
      </c>
      <c r="T395" s="444">
        <v>0</v>
      </c>
      <c r="U395" s="444">
        <v>0</v>
      </c>
      <c r="V395" s="444">
        <v>0</v>
      </c>
      <c r="W395" s="444">
        <v>0</v>
      </c>
      <c r="X395" s="442" t="s">
        <v>674</v>
      </c>
      <c r="Y395" s="442" t="s">
        <v>675</v>
      </c>
      <c r="Z395" s="442" t="s">
        <v>675</v>
      </c>
      <c r="AA395" s="442" t="s">
        <v>675</v>
      </c>
      <c r="AB395" s="442" t="s">
        <v>675</v>
      </c>
      <c r="AC395" s="442"/>
      <c r="AD395" s="442"/>
      <c r="AE395" s="442" t="s">
        <v>694</v>
      </c>
      <c r="AF395" s="442"/>
      <c r="AG395" s="443" t="s">
        <v>906</v>
      </c>
      <c r="AH395" s="442"/>
      <c r="AI395" s="443" t="s">
        <v>906</v>
      </c>
      <c r="AJ395" s="443" t="s">
        <v>677</v>
      </c>
      <c r="AK395" s="442" t="s">
        <v>677</v>
      </c>
      <c r="AL395" s="442"/>
      <c r="AM395" s="442"/>
      <c r="AN395" s="442"/>
      <c r="AO395" s="442"/>
      <c r="AP395" s="442"/>
      <c r="AQ395" s="442"/>
      <c r="AR395" s="444"/>
      <c r="AS395" s="442"/>
      <c r="AT395" s="444"/>
      <c r="AU395" s="442" t="s">
        <v>678</v>
      </c>
      <c r="AV395" s="442" t="s">
        <v>677</v>
      </c>
      <c r="AW395" s="442" t="s">
        <v>676</v>
      </c>
      <c r="AX395" s="442" t="s">
        <v>674</v>
      </c>
      <c r="AY395" s="442"/>
      <c r="AZ395" s="442"/>
      <c r="BA395" s="442" t="s">
        <v>679</v>
      </c>
      <c r="BB395" s="442"/>
      <c r="BC395" s="442"/>
      <c r="BD395" s="442"/>
      <c r="BE395" s="444"/>
      <c r="BF395" s="442" t="s">
        <v>298</v>
      </c>
      <c r="BG395" s="442" t="s">
        <v>680</v>
      </c>
      <c r="BH395" s="442" t="s">
        <v>681</v>
      </c>
      <c r="BI395" s="442"/>
    </row>
    <row r="396" spans="1:61">
      <c r="A396" s="442" t="s">
        <v>898</v>
      </c>
      <c r="B396" s="442" t="s">
        <v>898</v>
      </c>
      <c r="C396" s="442" t="s">
        <v>896</v>
      </c>
      <c r="D396" s="442" t="s">
        <v>673</v>
      </c>
      <c r="E396" s="442" t="s">
        <v>3</v>
      </c>
      <c r="F396" s="443" t="s">
        <v>83</v>
      </c>
      <c r="G396" s="443" t="s">
        <v>691</v>
      </c>
      <c r="H396" s="444">
        <v>182400</v>
      </c>
      <c r="I396" s="444">
        <v>182400</v>
      </c>
      <c r="J396" s="444">
        <v>0</v>
      </c>
      <c r="K396" s="444">
        <v>0</v>
      </c>
      <c r="L396" s="444">
        <v>182400</v>
      </c>
      <c r="M396" s="444">
        <v>0</v>
      </c>
      <c r="N396" s="444">
        <v>0</v>
      </c>
      <c r="O396" s="444">
        <v>0</v>
      </c>
      <c r="P396" s="444">
        <v>0</v>
      </c>
      <c r="Q396" s="444">
        <v>0</v>
      </c>
      <c r="R396" s="444">
        <v>0</v>
      </c>
      <c r="S396" s="444">
        <v>0</v>
      </c>
      <c r="T396" s="444">
        <v>0</v>
      </c>
      <c r="U396" s="444">
        <v>0</v>
      </c>
      <c r="V396" s="444">
        <v>0</v>
      </c>
      <c r="W396" s="444">
        <v>0</v>
      </c>
      <c r="X396" s="442" t="s">
        <v>674</v>
      </c>
      <c r="Y396" s="442" t="s">
        <v>675</v>
      </c>
      <c r="Z396" s="442" t="s">
        <v>675</v>
      </c>
      <c r="AA396" s="442" t="s">
        <v>675</v>
      </c>
      <c r="AB396" s="442" t="s">
        <v>675</v>
      </c>
      <c r="AC396" s="442"/>
      <c r="AD396" s="442"/>
      <c r="AE396" s="442" t="s">
        <v>694</v>
      </c>
      <c r="AF396" s="442"/>
      <c r="AG396" s="443" t="s">
        <v>907</v>
      </c>
      <c r="AH396" s="442"/>
      <c r="AI396" s="443" t="s">
        <v>907</v>
      </c>
      <c r="AJ396" s="443" t="s">
        <v>677</v>
      </c>
      <c r="AK396" s="442" t="s">
        <v>677</v>
      </c>
      <c r="AL396" s="442"/>
      <c r="AM396" s="442"/>
      <c r="AN396" s="442"/>
      <c r="AO396" s="442"/>
      <c r="AP396" s="442"/>
      <c r="AQ396" s="442"/>
      <c r="AR396" s="444"/>
      <c r="AS396" s="442"/>
      <c r="AT396" s="444"/>
      <c r="AU396" s="442" t="s">
        <v>678</v>
      </c>
      <c r="AV396" s="442" t="s">
        <v>677</v>
      </c>
      <c r="AW396" s="442" t="s">
        <v>676</v>
      </c>
      <c r="AX396" s="442" t="s">
        <v>784</v>
      </c>
      <c r="AY396" s="442" t="s">
        <v>785</v>
      </c>
      <c r="AZ396" s="442" t="s">
        <v>908</v>
      </c>
      <c r="BA396" s="442" t="s">
        <v>679</v>
      </c>
      <c r="BB396" s="442"/>
      <c r="BC396" s="442"/>
      <c r="BD396" s="442"/>
      <c r="BE396" s="444"/>
      <c r="BF396" s="442" t="s">
        <v>298</v>
      </c>
      <c r="BG396" s="442" t="s">
        <v>680</v>
      </c>
      <c r="BH396" s="442" t="s">
        <v>681</v>
      </c>
      <c r="BI396" s="442"/>
    </row>
    <row r="397" spans="1:61">
      <c r="A397" s="442" t="s">
        <v>898</v>
      </c>
      <c r="B397" s="442" t="s">
        <v>898</v>
      </c>
      <c r="C397" s="442" t="s">
        <v>896</v>
      </c>
      <c r="D397" s="442" t="s">
        <v>673</v>
      </c>
      <c r="E397" s="442" t="s">
        <v>3</v>
      </c>
      <c r="F397" s="443" t="s">
        <v>83</v>
      </c>
      <c r="G397" s="443" t="s">
        <v>691</v>
      </c>
      <c r="H397" s="444">
        <v>90000</v>
      </c>
      <c r="I397" s="444">
        <v>90000</v>
      </c>
      <c r="J397" s="444">
        <v>0</v>
      </c>
      <c r="K397" s="444">
        <v>0</v>
      </c>
      <c r="L397" s="444">
        <v>90000</v>
      </c>
      <c r="M397" s="444">
        <v>0</v>
      </c>
      <c r="N397" s="444">
        <v>0</v>
      </c>
      <c r="O397" s="444">
        <v>0</v>
      </c>
      <c r="P397" s="444">
        <v>0</v>
      </c>
      <c r="Q397" s="444">
        <v>0</v>
      </c>
      <c r="R397" s="444">
        <v>0</v>
      </c>
      <c r="S397" s="444">
        <v>0</v>
      </c>
      <c r="T397" s="444">
        <v>0</v>
      </c>
      <c r="U397" s="444">
        <v>0</v>
      </c>
      <c r="V397" s="444">
        <v>0</v>
      </c>
      <c r="W397" s="444">
        <v>0</v>
      </c>
      <c r="X397" s="442" t="s">
        <v>674</v>
      </c>
      <c r="Y397" s="442" t="s">
        <v>675</v>
      </c>
      <c r="Z397" s="442" t="s">
        <v>675</v>
      </c>
      <c r="AA397" s="442" t="s">
        <v>675</v>
      </c>
      <c r="AB397" s="442" t="s">
        <v>675</v>
      </c>
      <c r="AC397" s="442"/>
      <c r="AD397" s="442"/>
      <c r="AE397" s="442" t="s">
        <v>694</v>
      </c>
      <c r="AF397" s="442"/>
      <c r="AG397" s="443" t="s">
        <v>907</v>
      </c>
      <c r="AH397" s="442"/>
      <c r="AI397" s="443" t="s">
        <v>907</v>
      </c>
      <c r="AJ397" s="443" t="s">
        <v>677</v>
      </c>
      <c r="AK397" s="442" t="s">
        <v>677</v>
      </c>
      <c r="AL397" s="442"/>
      <c r="AM397" s="442"/>
      <c r="AN397" s="442"/>
      <c r="AO397" s="442"/>
      <c r="AP397" s="442"/>
      <c r="AQ397" s="442"/>
      <c r="AR397" s="444"/>
      <c r="AS397" s="442"/>
      <c r="AT397" s="444"/>
      <c r="AU397" s="442" t="s">
        <v>678</v>
      </c>
      <c r="AV397" s="442" t="s">
        <v>677</v>
      </c>
      <c r="AW397" s="442" t="s">
        <v>676</v>
      </c>
      <c r="AX397" s="442" t="s">
        <v>784</v>
      </c>
      <c r="AY397" s="442" t="s">
        <v>785</v>
      </c>
      <c r="AZ397" s="442" t="s">
        <v>908</v>
      </c>
      <c r="BA397" s="442" t="s">
        <v>679</v>
      </c>
      <c r="BB397" s="442"/>
      <c r="BC397" s="442"/>
      <c r="BD397" s="442"/>
      <c r="BE397" s="444"/>
      <c r="BF397" s="442" t="s">
        <v>298</v>
      </c>
      <c r="BG397" s="442" t="s">
        <v>680</v>
      </c>
      <c r="BH397" s="442" t="s">
        <v>681</v>
      </c>
      <c r="BI397" s="442"/>
    </row>
    <row r="398" spans="1:61">
      <c r="A398" s="442" t="s">
        <v>896</v>
      </c>
      <c r="B398" s="442" t="s">
        <v>896</v>
      </c>
      <c r="C398" s="442" t="s">
        <v>909</v>
      </c>
      <c r="D398" s="442" t="s">
        <v>673</v>
      </c>
      <c r="E398" s="442" t="s">
        <v>3</v>
      </c>
      <c r="F398" s="443" t="s">
        <v>83</v>
      </c>
      <c r="G398" s="443" t="s">
        <v>691</v>
      </c>
      <c r="H398" s="444">
        <v>110880</v>
      </c>
      <c r="I398" s="444">
        <v>110880</v>
      </c>
      <c r="J398" s="444">
        <v>0</v>
      </c>
      <c r="K398" s="444">
        <v>0</v>
      </c>
      <c r="L398" s="444">
        <v>110880</v>
      </c>
      <c r="M398" s="444">
        <v>0</v>
      </c>
      <c r="N398" s="444">
        <v>0</v>
      </c>
      <c r="O398" s="444">
        <v>0</v>
      </c>
      <c r="P398" s="444">
        <v>0</v>
      </c>
      <c r="Q398" s="444">
        <v>0</v>
      </c>
      <c r="R398" s="444">
        <v>0</v>
      </c>
      <c r="S398" s="444">
        <v>0</v>
      </c>
      <c r="T398" s="444">
        <v>0</v>
      </c>
      <c r="U398" s="444">
        <v>0</v>
      </c>
      <c r="V398" s="444">
        <v>0</v>
      </c>
      <c r="W398" s="444">
        <v>0</v>
      </c>
      <c r="X398" s="442" t="s">
        <v>674</v>
      </c>
      <c r="Y398" s="442" t="s">
        <v>675</v>
      </c>
      <c r="Z398" s="442" t="s">
        <v>675</v>
      </c>
      <c r="AA398" s="442" t="s">
        <v>675</v>
      </c>
      <c r="AB398" s="442" t="s">
        <v>675</v>
      </c>
      <c r="AC398" s="442"/>
      <c r="AD398" s="442"/>
      <c r="AE398" s="442" t="s">
        <v>694</v>
      </c>
      <c r="AF398" s="442"/>
      <c r="AG398" s="443" t="s">
        <v>910</v>
      </c>
      <c r="AH398" s="442"/>
      <c r="AI398" s="443" t="s">
        <v>910</v>
      </c>
      <c r="AJ398" s="443" t="s">
        <v>677</v>
      </c>
      <c r="AK398" s="442" t="s">
        <v>677</v>
      </c>
      <c r="AL398" s="442"/>
      <c r="AM398" s="442"/>
      <c r="AN398" s="442"/>
      <c r="AO398" s="442"/>
      <c r="AP398" s="442"/>
      <c r="AQ398" s="442"/>
      <c r="AR398" s="444"/>
      <c r="AS398" s="442"/>
      <c r="AT398" s="444"/>
      <c r="AU398" s="442" t="s">
        <v>678</v>
      </c>
      <c r="AV398" s="442" t="s">
        <v>677</v>
      </c>
      <c r="AW398" s="442" t="s">
        <v>676</v>
      </c>
      <c r="AX398" s="442" t="s">
        <v>674</v>
      </c>
      <c r="AY398" s="442"/>
      <c r="AZ398" s="442"/>
      <c r="BA398" s="442" t="s">
        <v>679</v>
      </c>
      <c r="BB398" s="442"/>
      <c r="BC398" s="442"/>
      <c r="BD398" s="442"/>
      <c r="BE398" s="444"/>
      <c r="BF398" s="442" t="s">
        <v>298</v>
      </c>
      <c r="BG398" s="442" t="s">
        <v>680</v>
      </c>
      <c r="BH398" s="442" t="s">
        <v>681</v>
      </c>
      <c r="BI398" s="442"/>
    </row>
    <row r="399" spans="1:61">
      <c r="A399" s="442" t="s">
        <v>896</v>
      </c>
      <c r="B399" s="442" t="s">
        <v>896</v>
      </c>
      <c r="C399" s="442" t="s">
        <v>909</v>
      </c>
      <c r="D399" s="442" t="s">
        <v>673</v>
      </c>
      <c r="E399" s="442" t="s">
        <v>3</v>
      </c>
      <c r="F399" s="443" t="s">
        <v>83</v>
      </c>
      <c r="G399" s="443" t="s">
        <v>691</v>
      </c>
      <c r="H399" s="444">
        <v>17600</v>
      </c>
      <c r="I399" s="444">
        <v>17600</v>
      </c>
      <c r="J399" s="444">
        <v>0</v>
      </c>
      <c r="K399" s="444">
        <v>0</v>
      </c>
      <c r="L399" s="444">
        <v>17600</v>
      </c>
      <c r="M399" s="444">
        <v>0</v>
      </c>
      <c r="N399" s="444">
        <v>0</v>
      </c>
      <c r="O399" s="444">
        <v>0</v>
      </c>
      <c r="P399" s="444">
        <v>0</v>
      </c>
      <c r="Q399" s="444">
        <v>0</v>
      </c>
      <c r="R399" s="444">
        <v>0</v>
      </c>
      <c r="S399" s="444">
        <v>0</v>
      </c>
      <c r="T399" s="444">
        <v>0</v>
      </c>
      <c r="U399" s="444">
        <v>0</v>
      </c>
      <c r="V399" s="444">
        <v>0</v>
      </c>
      <c r="W399" s="444">
        <v>0</v>
      </c>
      <c r="X399" s="442" t="s">
        <v>674</v>
      </c>
      <c r="Y399" s="442" t="s">
        <v>675</v>
      </c>
      <c r="Z399" s="442" t="s">
        <v>675</v>
      </c>
      <c r="AA399" s="442" t="s">
        <v>675</v>
      </c>
      <c r="AB399" s="442" t="s">
        <v>675</v>
      </c>
      <c r="AC399" s="442"/>
      <c r="AD399" s="442"/>
      <c r="AE399" s="442" t="s">
        <v>694</v>
      </c>
      <c r="AF399" s="442"/>
      <c r="AG399" s="443" t="s">
        <v>906</v>
      </c>
      <c r="AH399" s="442"/>
      <c r="AI399" s="443" t="s">
        <v>906</v>
      </c>
      <c r="AJ399" s="443" t="s">
        <v>677</v>
      </c>
      <c r="AK399" s="442" t="s">
        <v>677</v>
      </c>
      <c r="AL399" s="442"/>
      <c r="AM399" s="442"/>
      <c r="AN399" s="442"/>
      <c r="AO399" s="442"/>
      <c r="AP399" s="442"/>
      <c r="AQ399" s="442"/>
      <c r="AR399" s="444"/>
      <c r="AS399" s="442"/>
      <c r="AT399" s="444"/>
      <c r="AU399" s="442" t="s">
        <v>678</v>
      </c>
      <c r="AV399" s="442" t="s">
        <v>677</v>
      </c>
      <c r="AW399" s="442" t="s">
        <v>676</v>
      </c>
      <c r="AX399" s="442" t="s">
        <v>674</v>
      </c>
      <c r="AY399" s="442"/>
      <c r="AZ399" s="442"/>
      <c r="BA399" s="442" t="s">
        <v>679</v>
      </c>
      <c r="BB399" s="442"/>
      <c r="BC399" s="442"/>
      <c r="BD399" s="442"/>
      <c r="BE399" s="444"/>
      <c r="BF399" s="442" t="s">
        <v>298</v>
      </c>
      <c r="BG399" s="442" t="s">
        <v>680</v>
      </c>
      <c r="BH399" s="442" t="s">
        <v>681</v>
      </c>
      <c r="BI399" s="442"/>
    </row>
    <row r="400" spans="1:61">
      <c r="A400" s="442" t="s">
        <v>896</v>
      </c>
      <c r="B400" s="442" t="s">
        <v>896</v>
      </c>
      <c r="C400" s="442" t="s">
        <v>909</v>
      </c>
      <c r="D400" s="442" t="s">
        <v>673</v>
      </c>
      <c r="E400" s="442" t="s">
        <v>3</v>
      </c>
      <c r="F400" s="443" t="s">
        <v>83</v>
      </c>
      <c r="G400" s="443" t="s">
        <v>691</v>
      </c>
      <c r="H400" s="444">
        <v>182400</v>
      </c>
      <c r="I400" s="444">
        <v>182400</v>
      </c>
      <c r="J400" s="444">
        <v>0</v>
      </c>
      <c r="K400" s="444">
        <v>0</v>
      </c>
      <c r="L400" s="444">
        <v>182400</v>
      </c>
      <c r="M400" s="444">
        <v>0</v>
      </c>
      <c r="N400" s="444">
        <v>0</v>
      </c>
      <c r="O400" s="444">
        <v>0</v>
      </c>
      <c r="P400" s="444">
        <v>0</v>
      </c>
      <c r="Q400" s="444">
        <v>0</v>
      </c>
      <c r="R400" s="444">
        <v>0</v>
      </c>
      <c r="S400" s="444">
        <v>0</v>
      </c>
      <c r="T400" s="444">
        <v>0</v>
      </c>
      <c r="U400" s="444">
        <v>0</v>
      </c>
      <c r="V400" s="444">
        <v>0</v>
      </c>
      <c r="W400" s="444">
        <v>0</v>
      </c>
      <c r="X400" s="442" t="s">
        <v>674</v>
      </c>
      <c r="Y400" s="442" t="s">
        <v>675</v>
      </c>
      <c r="Z400" s="442" t="s">
        <v>675</v>
      </c>
      <c r="AA400" s="442" t="s">
        <v>675</v>
      </c>
      <c r="AB400" s="442" t="s">
        <v>675</v>
      </c>
      <c r="AC400" s="442"/>
      <c r="AD400" s="442"/>
      <c r="AE400" s="442" t="s">
        <v>694</v>
      </c>
      <c r="AF400" s="442"/>
      <c r="AG400" s="443" t="s">
        <v>907</v>
      </c>
      <c r="AH400" s="442"/>
      <c r="AI400" s="443" t="s">
        <v>907</v>
      </c>
      <c r="AJ400" s="443" t="s">
        <v>677</v>
      </c>
      <c r="AK400" s="442" t="s">
        <v>677</v>
      </c>
      <c r="AL400" s="442"/>
      <c r="AM400" s="442"/>
      <c r="AN400" s="442"/>
      <c r="AO400" s="442"/>
      <c r="AP400" s="442"/>
      <c r="AQ400" s="442"/>
      <c r="AR400" s="444"/>
      <c r="AS400" s="442"/>
      <c r="AT400" s="444"/>
      <c r="AU400" s="442" t="s">
        <v>678</v>
      </c>
      <c r="AV400" s="442" t="s">
        <v>677</v>
      </c>
      <c r="AW400" s="442" t="s">
        <v>676</v>
      </c>
      <c r="AX400" s="442" t="s">
        <v>784</v>
      </c>
      <c r="AY400" s="442" t="s">
        <v>785</v>
      </c>
      <c r="AZ400" s="442" t="s">
        <v>908</v>
      </c>
      <c r="BA400" s="442" t="s">
        <v>679</v>
      </c>
      <c r="BB400" s="442"/>
      <c r="BC400" s="442"/>
      <c r="BD400" s="442"/>
      <c r="BE400" s="444"/>
      <c r="BF400" s="442" t="s">
        <v>298</v>
      </c>
      <c r="BG400" s="442" t="s">
        <v>680</v>
      </c>
      <c r="BH400" s="442" t="s">
        <v>681</v>
      </c>
      <c r="BI400" s="442"/>
    </row>
    <row r="401" spans="1:61">
      <c r="A401" s="442" t="s">
        <v>896</v>
      </c>
      <c r="B401" s="442" t="s">
        <v>896</v>
      </c>
      <c r="C401" s="442" t="s">
        <v>909</v>
      </c>
      <c r="D401" s="442" t="s">
        <v>673</v>
      </c>
      <c r="E401" s="442" t="s">
        <v>3</v>
      </c>
      <c r="F401" s="443" t="s">
        <v>83</v>
      </c>
      <c r="G401" s="443" t="s">
        <v>691</v>
      </c>
      <c r="H401" s="444">
        <v>90000</v>
      </c>
      <c r="I401" s="444">
        <v>90000</v>
      </c>
      <c r="J401" s="444">
        <v>0</v>
      </c>
      <c r="K401" s="444">
        <v>0</v>
      </c>
      <c r="L401" s="444">
        <v>90000</v>
      </c>
      <c r="M401" s="444">
        <v>0</v>
      </c>
      <c r="N401" s="444">
        <v>0</v>
      </c>
      <c r="O401" s="444">
        <v>0</v>
      </c>
      <c r="P401" s="444">
        <v>0</v>
      </c>
      <c r="Q401" s="444">
        <v>0</v>
      </c>
      <c r="R401" s="444">
        <v>0</v>
      </c>
      <c r="S401" s="444">
        <v>0</v>
      </c>
      <c r="T401" s="444">
        <v>0</v>
      </c>
      <c r="U401" s="444">
        <v>0</v>
      </c>
      <c r="V401" s="444">
        <v>0</v>
      </c>
      <c r="W401" s="444">
        <v>0</v>
      </c>
      <c r="X401" s="442" t="s">
        <v>674</v>
      </c>
      <c r="Y401" s="442" t="s">
        <v>675</v>
      </c>
      <c r="Z401" s="442" t="s">
        <v>675</v>
      </c>
      <c r="AA401" s="442" t="s">
        <v>675</v>
      </c>
      <c r="AB401" s="442" t="s">
        <v>675</v>
      </c>
      <c r="AC401" s="442"/>
      <c r="AD401" s="442"/>
      <c r="AE401" s="442" t="s">
        <v>694</v>
      </c>
      <c r="AF401" s="442"/>
      <c r="AG401" s="443" t="s">
        <v>907</v>
      </c>
      <c r="AH401" s="442"/>
      <c r="AI401" s="443" t="s">
        <v>907</v>
      </c>
      <c r="AJ401" s="443" t="s">
        <v>677</v>
      </c>
      <c r="AK401" s="442" t="s">
        <v>677</v>
      </c>
      <c r="AL401" s="442"/>
      <c r="AM401" s="442"/>
      <c r="AN401" s="442"/>
      <c r="AO401" s="442"/>
      <c r="AP401" s="442"/>
      <c r="AQ401" s="442"/>
      <c r="AR401" s="444"/>
      <c r="AS401" s="442"/>
      <c r="AT401" s="444"/>
      <c r="AU401" s="442" t="s">
        <v>678</v>
      </c>
      <c r="AV401" s="442" t="s">
        <v>677</v>
      </c>
      <c r="AW401" s="442" t="s">
        <v>676</v>
      </c>
      <c r="AX401" s="442" t="s">
        <v>784</v>
      </c>
      <c r="AY401" s="442" t="s">
        <v>785</v>
      </c>
      <c r="AZ401" s="442" t="s">
        <v>908</v>
      </c>
      <c r="BA401" s="442" t="s">
        <v>679</v>
      </c>
      <c r="BB401" s="442"/>
      <c r="BC401" s="442"/>
      <c r="BD401" s="442"/>
      <c r="BE401" s="444"/>
      <c r="BF401" s="442" t="s">
        <v>298</v>
      </c>
      <c r="BG401" s="442" t="s">
        <v>680</v>
      </c>
      <c r="BH401" s="442" t="s">
        <v>681</v>
      </c>
      <c r="BI401" s="442"/>
    </row>
    <row r="402" spans="1:61">
      <c r="A402" s="442" t="s">
        <v>896</v>
      </c>
      <c r="B402" s="442" t="s">
        <v>896</v>
      </c>
      <c r="C402" s="442" t="s">
        <v>909</v>
      </c>
      <c r="D402" s="442" t="s">
        <v>673</v>
      </c>
      <c r="E402" s="442" t="s">
        <v>3</v>
      </c>
      <c r="F402" s="443" t="s">
        <v>83</v>
      </c>
      <c r="G402" s="443" t="s">
        <v>691</v>
      </c>
      <c r="H402" s="444">
        <v>47520</v>
      </c>
      <c r="I402" s="444">
        <v>47520</v>
      </c>
      <c r="J402" s="444">
        <v>0</v>
      </c>
      <c r="K402" s="444">
        <v>0</v>
      </c>
      <c r="L402" s="444">
        <v>47520</v>
      </c>
      <c r="M402" s="444">
        <v>0</v>
      </c>
      <c r="N402" s="444">
        <v>0</v>
      </c>
      <c r="O402" s="444">
        <v>0</v>
      </c>
      <c r="P402" s="444">
        <v>0</v>
      </c>
      <c r="Q402" s="444">
        <v>0</v>
      </c>
      <c r="R402" s="444">
        <v>0</v>
      </c>
      <c r="S402" s="444">
        <v>0</v>
      </c>
      <c r="T402" s="444">
        <v>0</v>
      </c>
      <c r="U402" s="444">
        <v>0</v>
      </c>
      <c r="V402" s="444">
        <v>0</v>
      </c>
      <c r="W402" s="444">
        <v>0</v>
      </c>
      <c r="X402" s="442" t="s">
        <v>674</v>
      </c>
      <c r="Y402" s="442" t="s">
        <v>675</v>
      </c>
      <c r="Z402" s="442" t="s">
        <v>675</v>
      </c>
      <c r="AA402" s="442" t="s">
        <v>675</v>
      </c>
      <c r="AB402" s="442" t="s">
        <v>675</v>
      </c>
      <c r="AC402" s="442"/>
      <c r="AD402" s="442"/>
      <c r="AE402" s="442" t="s">
        <v>694</v>
      </c>
      <c r="AF402" s="442"/>
      <c r="AG402" s="443" t="s">
        <v>910</v>
      </c>
      <c r="AH402" s="442"/>
      <c r="AI402" s="443" t="s">
        <v>910</v>
      </c>
      <c r="AJ402" s="443" t="s">
        <v>677</v>
      </c>
      <c r="AK402" s="442" t="s">
        <v>677</v>
      </c>
      <c r="AL402" s="442"/>
      <c r="AM402" s="442"/>
      <c r="AN402" s="442"/>
      <c r="AO402" s="442"/>
      <c r="AP402" s="442"/>
      <c r="AQ402" s="442"/>
      <c r="AR402" s="444"/>
      <c r="AS402" s="442"/>
      <c r="AT402" s="444"/>
      <c r="AU402" s="442" t="s">
        <v>678</v>
      </c>
      <c r="AV402" s="442" t="s">
        <v>677</v>
      </c>
      <c r="AW402" s="442" t="s">
        <v>676</v>
      </c>
      <c r="AX402" s="442" t="s">
        <v>674</v>
      </c>
      <c r="AY402" s="442"/>
      <c r="AZ402" s="442"/>
      <c r="BA402" s="442" t="s">
        <v>679</v>
      </c>
      <c r="BB402" s="442"/>
      <c r="BC402" s="442"/>
      <c r="BD402" s="442"/>
      <c r="BE402" s="444"/>
      <c r="BF402" s="442" t="s">
        <v>298</v>
      </c>
      <c r="BG402" s="442" t="s">
        <v>680</v>
      </c>
      <c r="BH402" s="442" t="s">
        <v>681</v>
      </c>
      <c r="BI402" s="442"/>
    </row>
    <row r="403" spans="1:61">
      <c r="A403" s="442" t="s">
        <v>896</v>
      </c>
      <c r="B403" s="442" t="s">
        <v>896</v>
      </c>
      <c r="C403" s="442" t="s">
        <v>909</v>
      </c>
      <c r="D403" s="442" t="s">
        <v>673</v>
      </c>
      <c r="E403" s="442" t="s">
        <v>3</v>
      </c>
      <c r="F403" s="443" t="s">
        <v>83</v>
      </c>
      <c r="G403" s="443" t="s">
        <v>691</v>
      </c>
      <c r="H403" s="444">
        <v>47520</v>
      </c>
      <c r="I403" s="444">
        <v>47520</v>
      </c>
      <c r="J403" s="444">
        <v>0</v>
      </c>
      <c r="K403" s="444">
        <v>0</v>
      </c>
      <c r="L403" s="444">
        <v>47520</v>
      </c>
      <c r="M403" s="444">
        <v>0</v>
      </c>
      <c r="N403" s="444">
        <v>0</v>
      </c>
      <c r="O403" s="444">
        <v>0</v>
      </c>
      <c r="P403" s="444">
        <v>0</v>
      </c>
      <c r="Q403" s="444">
        <v>0</v>
      </c>
      <c r="R403" s="444">
        <v>0</v>
      </c>
      <c r="S403" s="444">
        <v>0</v>
      </c>
      <c r="T403" s="444">
        <v>0</v>
      </c>
      <c r="U403" s="444">
        <v>0</v>
      </c>
      <c r="V403" s="444">
        <v>0</v>
      </c>
      <c r="W403" s="444">
        <v>0</v>
      </c>
      <c r="X403" s="442" t="s">
        <v>674</v>
      </c>
      <c r="Y403" s="442" t="s">
        <v>675</v>
      </c>
      <c r="Z403" s="442" t="s">
        <v>675</v>
      </c>
      <c r="AA403" s="442" t="s">
        <v>675</v>
      </c>
      <c r="AB403" s="442" t="s">
        <v>675</v>
      </c>
      <c r="AC403" s="442"/>
      <c r="AD403" s="442"/>
      <c r="AE403" s="442" t="s">
        <v>694</v>
      </c>
      <c r="AF403" s="442"/>
      <c r="AG403" s="443" t="s">
        <v>910</v>
      </c>
      <c r="AH403" s="442"/>
      <c r="AI403" s="443" t="s">
        <v>910</v>
      </c>
      <c r="AJ403" s="443" t="s">
        <v>677</v>
      </c>
      <c r="AK403" s="442" t="s">
        <v>677</v>
      </c>
      <c r="AL403" s="442"/>
      <c r="AM403" s="442"/>
      <c r="AN403" s="442"/>
      <c r="AO403" s="442"/>
      <c r="AP403" s="442"/>
      <c r="AQ403" s="442"/>
      <c r="AR403" s="444"/>
      <c r="AS403" s="442"/>
      <c r="AT403" s="444"/>
      <c r="AU403" s="442" t="s">
        <v>678</v>
      </c>
      <c r="AV403" s="442" t="s">
        <v>677</v>
      </c>
      <c r="AW403" s="442" t="s">
        <v>676</v>
      </c>
      <c r="AX403" s="442" t="s">
        <v>674</v>
      </c>
      <c r="AY403" s="442"/>
      <c r="AZ403" s="442"/>
      <c r="BA403" s="442" t="s">
        <v>679</v>
      </c>
      <c r="BB403" s="442"/>
      <c r="BC403" s="442"/>
      <c r="BD403" s="442"/>
      <c r="BE403" s="444"/>
      <c r="BF403" s="442" t="s">
        <v>298</v>
      </c>
      <c r="BG403" s="442" t="s">
        <v>680</v>
      </c>
      <c r="BH403" s="442" t="s">
        <v>681</v>
      </c>
      <c r="BI403" s="442"/>
    </row>
    <row r="404" spans="1:61">
      <c r="A404" s="442" t="s">
        <v>896</v>
      </c>
      <c r="B404" s="442" t="s">
        <v>896</v>
      </c>
      <c r="C404" s="442" t="s">
        <v>909</v>
      </c>
      <c r="D404" s="442" t="s">
        <v>673</v>
      </c>
      <c r="E404" s="442" t="s">
        <v>3</v>
      </c>
      <c r="F404" s="443" t="s">
        <v>83</v>
      </c>
      <c r="G404" s="443" t="s">
        <v>691</v>
      </c>
      <c r="H404" s="444">
        <v>1149120</v>
      </c>
      <c r="I404" s="444">
        <v>1149120</v>
      </c>
      <c r="J404" s="444">
        <v>0</v>
      </c>
      <c r="K404" s="444">
        <v>0</v>
      </c>
      <c r="L404" s="444">
        <v>1149120</v>
      </c>
      <c r="M404" s="444">
        <v>0</v>
      </c>
      <c r="N404" s="444">
        <v>0</v>
      </c>
      <c r="O404" s="444">
        <v>0</v>
      </c>
      <c r="P404" s="444">
        <v>0</v>
      </c>
      <c r="Q404" s="444">
        <v>0</v>
      </c>
      <c r="R404" s="444">
        <v>0</v>
      </c>
      <c r="S404" s="444">
        <v>0</v>
      </c>
      <c r="T404" s="444">
        <v>0</v>
      </c>
      <c r="U404" s="444">
        <v>0</v>
      </c>
      <c r="V404" s="444">
        <v>0</v>
      </c>
      <c r="W404" s="444">
        <v>0</v>
      </c>
      <c r="X404" s="442" t="s">
        <v>674</v>
      </c>
      <c r="Y404" s="442" t="s">
        <v>675</v>
      </c>
      <c r="Z404" s="442" t="s">
        <v>675</v>
      </c>
      <c r="AA404" s="442" t="s">
        <v>675</v>
      </c>
      <c r="AB404" s="442" t="s">
        <v>675</v>
      </c>
      <c r="AC404" s="442"/>
      <c r="AD404" s="442"/>
      <c r="AE404" s="442" t="s">
        <v>694</v>
      </c>
      <c r="AF404" s="442"/>
      <c r="AG404" s="443" t="s">
        <v>911</v>
      </c>
      <c r="AH404" s="442"/>
      <c r="AI404" s="443" t="s">
        <v>911</v>
      </c>
      <c r="AJ404" s="443" t="s">
        <v>677</v>
      </c>
      <c r="AK404" s="442" t="s">
        <v>677</v>
      </c>
      <c r="AL404" s="442"/>
      <c r="AM404" s="442"/>
      <c r="AN404" s="442"/>
      <c r="AO404" s="442"/>
      <c r="AP404" s="442"/>
      <c r="AQ404" s="442"/>
      <c r="AR404" s="444"/>
      <c r="AS404" s="442"/>
      <c r="AT404" s="444"/>
      <c r="AU404" s="442" t="s">
        <v>678</v>
      </c>
      <c r="AV404" s="442" t="s">
        <v>677</v>
      </c>
      <c r="AW404" s="442" t="s">
        <v>676</v>
      </c>
      <c r="AX404" s="442" t="s">
        <v>674</v>
      </c>
      <c r="AY404" s="442"/>
      <c r="AZ404" s="442"/>
      <c r="BA404" s="442" t="s">
        <v>679</v>
      </c>
      <c r="BB404" s="442"/>
      <c r="BC404" s="442"/>
      <c r="BD404" s="442"/>
      <c r="BE404" s="444"/>
      <c r="BF404" s="442" t="s">
        <v>298</v>
      </c>
      <c r="BG404" s="442" t="s">
        <v>680</v>
      </c>
      <c r="BH404" s="442" t="s">
        <v>681</v>
      </c>
      <c r="BI404" s="442"/>
    </row>
    <row r="405" spans="1:61">
      <c r="A405" s="442" t="s">
        <v>896</v>
      </c>
      <c r="B405" s="442" t="s">
        <v>896</v>
      </c>
      <c r="C405" s="442" t="s">
        <v>909</v>
      </c>
      <c r="D405" s="442" t="s">
        <v>673</v>
      </c>
      <c r="E405" s="442" t="s">
        <v>3</v>
      </c>
      <c r="F405" s="443" t="s">
        <v>83</v>
      </c>
      <c r="G405" s="443" t="s">
        <v>691</v>
      </c>
      <c r="H405" s="444">
        <v>110880</v>
      </c>
      <c r="I405" s="444">
        <v>110880</v>
      </c>
      <c r="J405" s="444">
        <v>0</v>
      </c>
      <c r="K405" s="444">
        <v>0</v>
      </c>
      <c r="L405" s="444">
        <v>110880</v>
      </c>
      <c r="M405" s="444">
        <v>0</v>
      </c>
      <c r="N405" s="444">
        <v>0</v>
      </c>
      <c r="O405" s="444">
        <v>0</v>
      </c>
      <c r="P405" s="444">
        <v>0</v>
      </c>
      <c r="Q405" s="444">
        <v>0</v>
      </c>
      <c r="R405" s="444">
        <v>0</v>
      </c>
      <c r="S405" s="444">
        <v>0</v>
      </c>
      <c r="T405" s="444">
        <v>0</v>
      </c>
      <c r="U405" s="444">
        <v>0</v>
      </c>
      <c r="V405" s="444">
        <v>0</v>
      </c>
      <c r="W405" s="444">
        <v>0</v>
      </c>
      <c r="X405" s="442" t="s">
        <v>674</v>
      </c>
      <c r="Y405" s="442" t="s">
        <v>675</v>
      </c>
      <c r="Z405" s="442" t="s">
        <v>675</v>
      </c>
      <c r="AA405" s="442" t="s">
        <v>675</v>
      </c>
      <c r="AB405" s="442" t="s">
        <v>675</v>
      </c>
      <c r="AC405" s="442"/>
      <c r="AD405" s="442"/>
      <c r="AE405" s="442" t="s">
        <v>694</v>
      </c>
      <c r="AF405" s="442"/>
      <c r="AG405" s="443" t="s">
        <v>910</v>
      </c>
      <c r="AH405" s="442"/>
      <c r="AI405" s="443" t="s">
        <v>910</v>
      </c>
      <c r="AJ405" s="443" t="s">
        <v>677</v>
      </c>
      <c r="AK405" s="442" t="s">
        <v>677</v>
      </c>
      <c r="AL405" s="442"/>
      <c r="AM405" s="442"/>
      <c r="AN405" s="442"/>
      <c r="AO405" s="442"/>
      <c r="AP405" s="442"/>
      <c r="AQ405" s="442"/>
      <c r="AR405" s="444"/>
      <c r="AS405" s="442"/>
      <c r="AT405" s="444"/>
      <c r="AU405" s="442" t="s">
        <v>678</v>
      </c>
      <c r="AV405" s="442" t="s">
        <v>677</v>
      </c>
      <c r="AW405" s="442" t="s">
        <v>676</v>
      </c>
      <c r="AX405" s="442" t="s">
        <v>674</v>
      </c>
      <c r="AY405" s="442"/>
      <c r="AZ405" s="442"/>
      <c r="BA405" s="442" t="s">
        <v>679</v>
      </c>
      <c r="BB405" s="442"/>
      <c r="BC405" s="442"/>
      <c r="BD405" s="442"/>
      <c r="BE405" s="444"/>
      <c r="BF405" s="442" t="s">
        <v>298</v>
      </c>
      <c r="BG405" s="442" t="s">
        <v>680</v>
      </c>
      <c r="BH405" s="442" t="s">
        <v>681</v>
      </c>
      <c r="BI405" s="442"/>
    </row>
    <row r="406" spans="1:61">
      <c r="A406" s="442" t="s">
        <v>896</v>
      </c>
      <c r="B406" s="442" t="s">
        <v>896</v>
      </c>
      <c r="C406" s="442" t="s">
        <v>909</v>
      </c>
      <c r="D406" s="442" t="s">
        <v>673</v>
      </c>
      <c r="E406" s="442" t="s">
        <v>3</v>
      </c>
      <c r="F406" s="443" t="s">
        <v>83</v>
      </c>
      <c r="G406" s="443" t="s">
        <v>691</v>
      </c>
      <c r="H406" s="444">
        <v>1149120</v>
      </c>
      <c r="I406" s="444">
        <v>1149120</v>
      </c>
      <c r="J406" s="444">
        <v>0</v>
      </c>
      <c r="K406" s="444">
        <v>0</v>
      </c>
      <c r="L406" s="444">
        <v>1149120</v>
      </c>
      <c r="M406" s="444">
        <v>0</v>
      </c>
      <c r="N406" s="444">
        <v>0</v>
      </c>
      <c r="O406" s="444">
        <v>0</v>
      </c>
      <c r="P406" s="444">
        <v>0</v>
      </c>
      <c r="Q406" s="444">
        <v>0</v>
      </c>
      <c r="R406" s="444">
        <v>0</v>
      </c>
      <c r="S406" s="444">
        <v>0</v>
      </c>
      <c r="T406" s="444">
        <v>0</v>
      </c>
      <c r="U406" s="444">
        <v>0</v>
      </c>
      <c r="V406" s="444">
        <v>0</v>
      </c>
      <c r="W406" s="444">
        <v>0</v>
      </c>
      <c r="X406" s="442" t="s">
        <v>674</v>
      </c>
      <c r="Y406" s="442" t="s">
        <v>675</v>
      </c>
      <c r="Z406" s="442" t="s">
        <v>675</v>
      </c>
      <c r="AA406" s="442" t="s">
        <v>675</v>
      </c>
      <c r="AB406" s="442" t="s">
        <v>675</v>
      </c>
      <c r="AC406" s="442"/>
      <c r="AD406" s="442"/>
      <c r="AE406" s="442" t="s">
        <v>694</v>
      </c>
      <c r="AF406" s="442"/>
      <c r="AG406" s="443" t="s">
        <v>911</v>
      </c>
      <c r="AH406" s="442"/>
      <c r="AI406" s="443" t="s">
        <v>911</v>
      </c>
      <c r="AJ406" s="443" t="s">
        <v>677</v>
      </c>
      <c r="AK406" s="442" t="s">
        <v>677</v>
      </c>
      <c r="AL406" s="442"/>
      <c r="AM406" s="442"/>
      <c r="AN406" s="442"/>
      <c r="AO406" s="442"/>
      <c r="AP406" s="442"/>
      <c r="AQ406" s="442"/>
      <c r="AR406" s="444"/>
      <c r="AS406" s="442"/>
      <c r="AT406" s="444"/>
      <c r="AU406" s="442" t="s">
        <v>678</v>
      </c>
      <c r="AV406" s="442" t="s">
        <v>677</v>
      </c>
      <c r="AW406" s="442" t="s">
        <v>676</v>
      </c>
      <c r="AX406" s="442" t="s">
        <v>674</v>
      </c>
      <c r="AY406" s="442"/>
      <c r="AZ406" s="442"/>
      <c r="BA406" s="442" t="s">
        <v>679</v>
      </c>
      <c r="BB406" s="442"/>
      <c r="BC406" s="442"/>
      <c r="BD406" s="442"/>
      <c r="BE406" s="444"/>
      <c r="BF406" s="442" t="s">
        <v>298</v>
      </c>
      <c r="BG406" s="442" t="s">
        <v>680</v>
      </c>
      <c r="BH406" s="442" t="s">
        <v>681</v>
      </c>
      <c r="BI406" s="442"/>
    </row>
    <row r="407" spans="1:61">
      <c r="A407" s="442" t="s">
        <v>896</v>
      </c>
      <c r="B407" s="442" t="s">
        <v>896</v>
      </c>
      <c r="C407" s="442" t="s">
        <v>909</v>
      </c>
      <c r="D407" s="442" t="s">
        <v>673</v>
      </c>
      <c r="E407" s="442" t="s">
        <v>3</v>
      </c>
      <c r="F407" s="443" t="s">
        <v>83</v>
      </c>
      <c r="G407" s="443" t="s">
        <v>691</v>
      </c>
      <c r="H407" s="444">
        <v>191520</v>
      </c>
      <c r="I407" s="444">
        <v>191520</v>
      </c>
      <c r="J407" s="444">
        <v>0</v>
      </c>
      <c r="K407" s="444">
        <v>0</v>
      </c>
      <c r="L407" s="444">
        <v>191520</v>
      </c>
      <c r="M407" s="444">
        <v>0</v>
      </c>
      <c r="N407" s="444">
        <v>0</v>
      </c>
      <c r="O407" s="444">
        <v>0</v>
      </c>
      <c r="P407" s="444">
        <v>0</v>
      </c>
      <c r="Q407" s="444">
        <v>0</v>
      </c>
      <c r="R407" s="444">
        <v>0</v>
      </c>
      <c r="S407" s="444">
        <v>0</v>
      </c>
      <c r="T407" s="444">
        <v>0</v>
      </c>
      <c r="U407" s="444">
        <v>0</v>
      </c>
      <c r="V407" s="444">
        <v>0</v>
      </c>
      <c r="W407" s="444">
        <v>0</v>
      </c>
      <c r="X407" s="442" t="s">
        <v>674</v>
      </c>
      <c r="Y407" s="442" t="s">
        <v>675</v>
      </c>
      <c r="Z407" s="442" t="s">
        <v>675</v>
      </c>
      <c r="AA407" s="442" t="s">
        <v>675</v>
      </c>
      <c r="AB407" s="442" t="s">
        <v>675</v>
      </c>
      <c r="AC407" s="442"/>
      <c r="AD407" s="442"/>
      <c r="AE407" s="442" t="s">
        <v>694</v>
      </c>
      <c r="AF407" s="442"/>
      <c r="AG407" s="443" t="s">
        <v>907</v>
      </c>
      <c r="AH407" s="442"/>
      <c r="AI407" s="443" t="s">
        <v>907</v>
      </c>
      <c r="AJ407" s="443" t="s">
        <v>677</v>
      </c>
      <c r="AK407" s="442" t="s">
        <v>677</v>
      </c>
      <c r="AL407" s="442"/>
      <c r="AM407" s="442"/>
      <c r="AN407" s="442"/>
      <c r="AO407" s="442"/>
      <c r="AP407" s="442"/>
      <c r="AQ407" s="442"/>
      <c r="AR407" s="444"/>
      <c r="AS407" s="442"/>
      <c r="AT407" s="444"/>
      <c r="AU407" s="442" t="s">
        <v>678</v>
      </c>
      <c r="AV407" s="442" t="s">
        <v>677</v>
      </c>
      <c r="AW407" s="442" t="s">
        <v>676</v>
      </c>
      <c r="AX407" s="442" t="s">
        <v>784</v>
      </c>
      <c r="AY407" s="442" t="s">
        <v>785</v>
      </c>
      <c r="AZ407" s="442" t="s">
        <v>908</v>
      </c>
      <c r="BA407" s="442" t="s">
        <v>679</v>
      </c>
      <c r="BB407" s="442"/>
      <c r="BC407" s="442"/>
      <c r="BD407" s="442"/>
      <c r="BE407" s="444"/>
      <c r="BF407" s="442" t="s">
        <v>298</v>
      </c>
      <c r="BG407" s="442" t="s">
        <v>680</v>
      </c>
      <c r="BH407" s="442" t="s">
        <v>681</v>
      </c>
      <c r="BI407" s="442"/>
    </row>
    <row r="408" spans="1:61">
      <c r="A408" s="442" t="s">
        <v>896</v>
      </c>
      <c r="B408" s="442" t="s">
        <v>896</v>
      </c>
      <c r="C408" s="442" t="s">
        <v>909</v>
      </c>
      <c r="D408" s="442" t="s">
        <v>673</v>
      </c>
      <c r="E408" s="442" t="s">
        <v>3</v>
      </c>
      <c r="F408" s="443" t="s">
        <v>83</v>
      </c>
      <c r="G408" s="443" t="s">
        <v>691</v>
      </c>
      <c r="H408" s="444">
        <v>18480</v>
      </c>
      <c r="I408" s="444">
        <v>18480</v>
      </c>
      <c r="J408" s="444">
        <v>0</v>
      </c>
      <c r="K408" s="444">
        <v>0</v>
      </c>
      <c r="L408" s="444">
        <v>18480</v>
      </c>
      <c r="M408" s="444">
        <v>0</v>
      </c>
      <c r="N408" s="444">
        <v>0</v>
      </c>
      <c r="O408" s="444">
        <v>0</v>
      </c>
      <c r="P408" s="444">
        <v>0</v>
      </c>
      <c r="Q408" s="444">
        <v>0</v>
      </c>
      <c r="R408" s="444">
        <v>0</v>
      </c>
      <c r="S408" s="444">
        <v>0</v>
      </c>
      <c r="T408" s="444">
        <v>0</v>
      </c>
      <c r="U408" s="444">
        <v>0</v>
      </c>
      <c r="V408" s="444">
        <v>0</v>
      </c>
      <c r="W408" s="444">
        <v>0</v>
      </c>
      <c r="X408" s="442" t="s">
        <v>674</v>
      </c>
      <c r="Y408" s="442" t="s">
        <v>675</v>
      </c>
      <c r="Z408" s="442" t="s">
        <v>675</v>
      </c>
      <c r="AA408" s="442" t="s">
        <v>675</v>
      </c>
      <c r="AB408" s="442" t="s">
        <v>675</v>
      </c>
      <c r="AC408" s="442"/>
      <c r="AD408" s="442"/>
      <c r="AE408" s="442" t="s">
        <v>694</v>
      </c>
      <c r="AF408" s="442"/>
      <c r="AG408" s="443" t="s">
        <v>906</v>
      </c>
      <c r="AH408" s="442"/>
      <c r="AI408" s="443" t="s">
        <v>906</v>
      </c>
      <c r="AJ408" s="443" t="s">
        <v>677</v>
      </c>
      <c r="AK408" s="442" t="s">
        <v>677</v>
      </c>
      <c r="AL408" s="442"/>
      <c r="AM408" s="442"/>
      <c r="AN408" s="442"/>
      <c r="AO408" s="442"/>
      <c r="AP408" s="442"/>
      <c r="AQ408" s="442"/>
      <c r="AR408" s="444"/>
      <c r="AS408" s="442"/>
      <c r="AT408" s="444"/>
      <c r="AU408" s="442" t="s">
        <v>678</v>
      </c>
      <c r="AV408" s="442" t="s">
        <v>677</v>
      </c>
      <c r="AW408" s="442" t="s">
        <v>676</v>
      </c>
      <c r="AX408" s="442" t="s">
        <v>674</v>
      </c>
      <c r="AY408" s="442"/>
      <c r="AZ408" s="442"/>
      <c r="BA408" s="442" t="s">
        <v>679</v>
      </c>
      <c r="BB408" s="442"/>
      <c r="BC408" s="442"/>
      <c r="BD408" s="442"/>
      <c r="BE408" s="444"/>
      <c r="BF408" s="442" t="s">
        <v>298</v>
      </c>
      <c r="BG408" s="442" t="s">
        <v>680</v>
      </c>
      <c r="BH408" s="442" t="s">
        <v>681</v>
      </c>
      <c r="BI408" s="442"/>
    </row>
    <row r="409" spans="1:61">
      <c r="A409" s="442" t="s">
        <v>896</v>
      </c>
      <c r="B409" s="442" t="s">
        <v>896</v>
      </c>
      <c r="C409" s="442" t="s">
        <v>909</v>
      </c>
      <c r="D409" s="442" t="s">
        <v>673</v>
      </c>
      <c r="E409" s="442" t="s">
        <v>3</v>
      </c>
      <c r="F409" s="443" t="s">
        <v>83</v>
      </c>
      <c r="G409" s="443" t="s">
        <v>691</v>
      </c>
      <c r="H409" s="444">
        <v>492480</v>
      </c>
      <c r="I409" s="444">
        <v>492480</v>
      </c>
      <c r="J409" s="444">
        <v>0</v>
      </c>
      <c r="K409" s="444">
        <v>0</v>
      </c>
      <c r="L409" s="444">
        <v>492480</v>
      </c>
      <c r="M409" s="444">
        <v>0</v>
      </c>
      <c r="N409" s="444">
        <v>0</v>
      </c>
      <c r="O409" s="444">
        <v>0</v>
      </c>
      <c r="P409" s="444">
        <v>0</v>
      </c>
      <c r="Q409" s="444">
        <v>0</v>
      </c>
      <c r="R409" s="444">
        <v>0</v>
      </c>
      <c r="S409" s="444">
        <v>0</v>
      </c>
      <c r="T409" s="444">
        <v>0</v>
      </c>
      <c r="U409" s="444">
        <v>0</v>
      </c>
      <c r="V409" s="444">
        <v>0</v>
      </c>
      <c r="W409" s="444">
        <v>0</v>
      </c>
      <c r="X409" s="442" t="s">
        <v>674</v>
      </c>
      <c r="Y409" s="442" t="s">
        <v>675</v>
      </c>
      <c r="Z409" s="442" t="s">
        <v>675</v>
      </c>
      <c r="AA409" s="442" t="s">
        <v>675</v>
      </c>
      <c r="AB409" s="442" t="s">
        <v>675</v>
      </c>
      <c r="AC409" s="442"/>
      <c r="AD409" s="442"/>
      <c r="AE409" s="442" t="s">
        <v>694</v>
      </c>
      <c r="AF409" s="442"/>
      <c r="AG409" s="443" t="s">
        <v>911</v>
      </c>
      <c r="AH409" s="442"/>
      <c r="AI409" s="443" t="s">
        <v>911</v>
      </c>
      <c r="AJ409" s="443" t="s">
        <v>677</v>
      </c>
      <c r="AK409" s="442" t="s">
        <v>677</v>
      </c>
      <c r="AL409" s="442"/>
      <c r="AM409" s="442"/>
      <c r="AN409" s="442"/>
      <c r="AO409" s="442"/>
      <c r="AP409" s="442"/>
      <c r="AQ409" s="442"/>
      <c r="AR409" s="444"/>
      <c r="AS409" s="442"/>
      <c r="AT409" s="444"/>
      <c r="AU409" s="442" t="s">
        <v>678</v>
      </c>
      <c r="AV409" s="442" t="s">
        <v>677</v>
      </c>
      <c r="AW409" s="442" t="s">
        <v>676</v>
      </c>
      <c r="AX409" s="442" t="s">
        <v>674</v>
      </c>
      <c r="AY409" s="442"/>
      <c r="AZ409" s="442"/>
      <c r="BA409" s="442" t="s">
        <v>679</v>
      </c>
      <c r="BB409" s="442"/>
      <c r="BC409" s="442"/>
      <c r="BD409" s="442"/>
      <c r="BE409" s="444"/>
      <c r="BF409" s="442" t="s">
        <v>298</v>
      </c>
      <c r="BG409" s="442" t="s">
        <v>680</v>
      </c>
      <c r="BH409" s="442" t="s">
        <v>681</v>
      </c>
      <c r="BI409" s="442"/>
    </row>
    <row r="410" spans="1:61">
      <c r="A410" s="442" t="s">
        <v>896</v>
      </c>
      <c r="B410" s="442" t="s">
        <v>896</v>
      </c>
      <c r="C410" s="442" t="s">
        <v>909</v>
      </c>
      <c r="D410" s="442" t="s">
        <v>673</v>
      </c>
      <c r="E410" s="442" t="s">
        <v>3</v>
      </c>
      <c r="F410" s="443" t="s">
        <v>83</v>
      </c>
      <c r="G410" s="443" t="s">
        <v>691</v>
      </c>
      <c r="H410" s="444">
        <v>492480</v>
      </c>
      <c r="I410" s="444">
        <v>492480</v>
      </c>
      <c r="J410" s="444">
        <v>0</v>
      </c>
      <c r="K410" s="444">
        <v>0</v>
      </c>
      <c r="L410" s="444">
        <v>492480</v>
      </c>
      <c r="M410" s="444">
        <v>0</v>
      </c>
      <c r="N410" s="444">
        <v>0</v>
      </c>
      <c r="O410" s="444">
        <v>0</v>
      </c>
      <c r="P410" s="444">
        <v>0</v>
      </c>
      <c r="Q410" s="444">
        <v>0</v>
      </c>
      <c r="R410" s="444">
        <v>0</v>
      </c>
      <c r="S410" s="444">
        <v>0</v>
      </c>
      <c r="T410" s="444">
        <v>0</v>
      </c>
      <c r="U410" s="444">
        <v>0</v>
      </c>
      <c r="V410" s="444">
        <v>0</v>
      </c>
      <c r="W410" s="444">
        <v>0</v>
      </c>
      <c r="X410" s="442" t="s">
        <v>674</v>
      </c>
      <c r="Y410" s="442" t="s">
        <v>675</v>
      </c>
      <c r="Z410" s="442" t="s">
        <v>675</v>
      </c>
      <c r="AA410" s="442" t="s">
        <v>675</v>
      </c>
      <c r="AB410" s="442" t="s">
        <v>675</v>
      </c>
      <c r="AC410" s="442"/>
      <c r="AD410" s="442"/>
      <c r="AE410" s="442" t="s">
        <v>694</v>
      </c>
      <c r="AF410" s="442"/>
      <c r="AG410" s="443" t="s">
        <v>911</v>
      </c>
      <c r="AH410" s="442"/>
      <c r="AI410" s="443" t="s">
        <v>911</v>
      </c>
      <c r="AJ410" s="443" t="s">
        <v>677</v>
      </c>
      <c r="AK410" s="442" t="s">
        <v>677</v>
      </c>
      <c r="AL410" s="442"/>
      <c r="AM410" s="442"/>
      <c r="AN410" s="442"/>
      <c r="AO410" s="442"/>
      <c r="AP410" s="442"/>
      <c r="AQ410" s="442"/>
      <c r="AR410" s="444"/>
      <c r="AS410" s="442"/>
      <c r="AT410" s="444"/>
      <c r="AU410" s="442" t="s">
        <v>678</v>
      </c>
      <c r="AV410" s="442" t="s">
        <v>677</v>
      </c>
      <c r="AW410" s="442" t="s">
        <v>676</v>
      </c>
      <c r="AX410" s="442" t="s">
        <v>674</v>
      </c>
      <c r="AY410" s="442"/>
      <c r="AZ410" s="442"/>
      <c r="BA410" s="442" t="s">
        <v>679</v>
      </c>
      <c r="BB410" s="442"/>
      <c r="BC410" s="442"/>
      <c r="BD410" s="442"/>
      <c r="BE410" s="444"/>
      <c r="BF410" s="442" t="s">
        <v>298</v>
      </c>
      <c r="BG410" s="442" t="s">
        <v>680</v>
      </c>
      <c r="BH410" s="442" t="s">
        <v>681</v>
      </c>
      <c r="BI410" s="442"/>
    </row>
    <row r="411" spans="1:61">
      <c r="A411" s="442" t="s">
        <v>909</v>
      </c>
      <c r="B411" s="442" t="s">
        <v>909</v>
      </c>
      <c r="C411" s="442" t="s">
        <v>909</v>
      </c>
      <c r="D411" s="442" t="s">
        <v>673</v>
      </c>
      <c r="E411" s="442" t="s">
        <v>3</v>
      </c>
      <c r="F411" s="443" t="s">
        <v>83</v>
      </c>
      <c r="G411" s="443" t="s">
        <v>700</v>
      </c>
      <c r="H411" s="444">
        <v>880000</v>
      </c>
      <c r="I411" s="444">
        <v>880000</v>
      </c>
      <c r="J411" s="444">
        <v>0</v>
      </c>
      <c r="K411" s="444">
        <v>0</v>
      </c>
      <c r="L411" s="444">
        <v>880000</v>
      </c>
      <c r="M411" s="444">
        <v>0</v>
      </c>
      <c r="N411" s="444">
        <v>0</v>
      </c>
      <c r="O411" s="444">
        <v>0</v>
      </c>
      <c r="P411" s="444">
        <v>0</v>
      </c>
      <c r="Q411" s="444">
        <v>0</v>
      </c>
      <c r="R411" s="444">
        <v>0</v>
      </c>
      <c r="S411" s="444">
        <v>0</v>
      </c>
      <c r="T411" s="444">
        <v>0</v>
      </c>
      <c r="U411" s="444">
        <v>0</v>
      </c>
      <c r="V411" s="444">
        <v>0</v>
      </c>
      <c r="W411" s="444">
        <v>0</v>
      </c>
      <c r="X411" s="442" t="s">
        <v>674</v>
      </c>
      <c r="Y411" s="442" t="s">
        <v>675</v>
      </c>
      <c r="Z411" s="442" t="s">
        <v>675</v>
      </c>
      <c r="AA411" s="442" t="s">
        <v>675</v>
      </c>
      <c r="AB411" s="442" t="s">
        <v>675</v>
      </c>
      <c r="AC411" s="442"/>
      <c r="AD411" s="442"/>
      <c r="AE411" s="442"/>
      <c r="AF411" s="442"/>
      <c r="AG411" s="443" t="s">
        <v>912</v>
      </c>
      <c r="AH411" s="442"/>
      <c r="AI411" s="443" t="s">
        <v>912</v>
      </c>
      <c r="AJ411" s="443" t="s">
        <v>677</v>
      </c>
      <c r="AK411" s="442" t="s">
        <v>677</v>
      </c>
      <c r="AL411" s="442"/>
      <c r="AM411" s="442"/>
      <c r="AN411" s="442"/>
      <c r="AO411" s="442"/>
      <c r="AP411" s="442"/>
      <c r="AQ411" s="442"/>
      <c r="AR411" s="444"/>
      <c r="AS411" s="442"/>
      <c r="AT411" s="444"/>
      <c r="AU411" s="442" t="s">
        <v>678</v>
      </c>
      <c r="AV411" s="442" t="s">
        <v>677</v>
      </c>
      <c r="AW411" s="442" t="s">
        <v>676</v>
      </c>
      <c r="AX411" s="442" t="s">
        <v>674</v>
      </c>
      <c r="AY411" s="442"/>
      <c r="AZ411" s="442"/>
      <c r="BA411" s="442" t="s">
        <v>679</v>
      </c>
      <c r="BB411" s="442"/>
      <c r="BC411" s="442"/>
      <c r="BD411" s="442"/>
      <c r="BE411" s="444"/>
      <c r="BF411" s="442" t="s">
        <v>298</v>
      </c>
      <c r="BG411" s="442" t="s">
        <v>680</v>
      </c>
      <c r="BH411" s="442" t="s">
        <v>681</v>
      </c>
      <c r="BI411" s="442"/>
    </row>
    <row r="412" spans="1:61">
      <c r="A412" s="442" t="s">
        <v>909</v>
      </c>
      <c r="B412" s="442" t="s">
        <v>909</v>
      </c>
      <c r="C412" s="442" t="s">
        <v>909</v>
      </c>
      <c r="D412" s="442" t="s">
        <v>673</v>
      </c>
      <c r="E412" s="442" t="s">
        <v>3</v>
      </c>
      <c r="F412" s="443" t="s">
        <v>83</v>
      </c>
      <c r="G412" s="443" t="s">
        <v>700</v>
      </c>
      <c r="H412" s="444">
        <v>4560000</v>
      </c>
      <c r="I412" s="444">
        <v>4560000</v>
      </c>
      <c r="J412" s="444">
        <v>0</v>
      </c>
      <c r="K412" s="444">
        <v>0</v>
      </c>
      <c r="L412" s="444">
        <v>4560000</v>
      </c>
      <c r="M412" s="444">
        <v>0</v>
      </c>
      <c r="N412" s="444">
        <v>0</v>
      </c>
      <c r="O412" s="444">
        <v>0</v>
      </c>
      <c r="P412" s="444">
        <v>0</v>
      </c>
      <c r="Q412" s="444">
        <v>0</v>
      </c>
      <c r="R412" s="444">
        <v>0</v>
      </c>
      <c r="S412" s="444">
        <v>0</v>
      </c>
      <c r="T412" s="444">
        <v>0</v>
      </c>
      <c r="U412" s="444">
        <v>0</v>
      </c>
      <c r="V412" s="444">
        <v>0</v>
      </c>
      <c r="W412" s="444">
        <v>0</v>
      </c>
      <c r="X412" s="442" t="s">
        <v>674</v>
      </c>
      <c r="Y412" s="442" t="s">
        <v>675</v>
      </c>
      <c r="Z412" s="442" t="s">
        <v>675</v>
      </c>
      <c r="AA412" s="442" t="s">
        <v>675</v>
      </c>
      <c r="AB412" s="442" t="s">
        <v>675</v>
      </c>
      <c r="AC412" s="442"/>
      <c r="AD412" s="442"/>
      <c r="AE412" s="442"/>
      <c r="AF412" s="442"/>
      <c r="AG412" s="443" t="s">
        <v>913</v>
      </c>
      <c r="AH412" s="442"/>
      <c r="AI412" s="443" t="s">
        <v>913</v>
      </c>
      <c r="AJ412" s="443" t="s">
        <v>677</v>
      </c>
      <c r="AK412" s="442" t="s">
        <v>677</v>
      </c>
      <c r="AL412" s="442"/>
      <c r="AM412" s="442"/>
      <c r="AN412" s="442"/>
      <c r="AO412" s="442"/>
      <c r="AP412" s="442"/>
      <c r="AQ412" s="442"/>
      <c r="AR412" s="444"/>
      <c r="AS412" s="442"/>
      <c r="AT412" s="444"/>
      <c r="AU412" s="442" t="s">
        <v>678</v>
      </c>
      <c r="AV412" s="442" t="s">
        <v>677</v>
      </c>
      <c r="AW412" s="442" t="s">
        <v>676</v>
      </c>
      <c r="AX412" s="442" t="s">
        <v>674</v>
      </c>
      <c r="AY412" s="442"/>
      <c r="AZ412" s="442"/>
      <c r="BA412" s="442" t="s">
        <v>679</v>
      </c>
      <c r="BB412" s="442"/>
      <c r="BC412" s="442"/>
      <c r="BD412" s="442"/>
      <c r="BE412" s="444"/>
      <c r="BF412" s="442" t="s">
        <v>298</v>
      </c>
      <c r="BG412" s="442" t="s">
        <v>680</v>
      </c>
      <c r="BH412" s="442" t="s">
        <v>681</v>
      </c>
      <c r="BI412" s="442"/>
    </row>
    <row r="413" spans="1:61">
      <c r="A413" s="442" t="s">
        <v>909</v>
      </c>
      <c r="B413" s="442" t="s">
        <v>909</v>
      </c>
      <c r="C413" s="442" t="s">
        <v>909</v>
      </c>
      <c r="D413" s="442" t="s">
        <v>673</v>
      </c>
      <c r="E413" s="442" t="s">
        <v>3</v>
      </c>
      <c r="F413" s="443" t="s">
        <v>83</v>
      </c>
      <c r="G413" s="443" t="s">
        <v>700</v>
      </c>
      <c r="H413" s="444">
        <v>440000</v>
      </c>
      <c r="I413" s="444">
        <v>440000</v>
      </c>
      <c r="J413" s="444">
        <v>0</v>
      </c>
      <c r="K413" s="444">
        <v>0</v>
      </c>
      <c r="L413" s="444">
        <v>440000</v>
      </c>
      <c r="M413" s="444">
        <v>0</v>
      </c>
      <c r="N413" s="444">
        <v>0</v>
      </c>
      <c r="O413" s="444">
        <v>0</v>
      </c>
      <c r="P413" s="444">
        <v>0</v>
      </c>
      <c r="Q413" s="444">
        <v>0</v>
      </c>
      <c r="R413" s="444">
        <v>0</v>
      </c>
      <c r="S413" s="444">
        <v>0</v>
      </c>
      <c r="T413" s="444">
        <v>0</v>
      </c>
      <c r="U413" s="444">
        <v>0</v>
      </c>
      <c r="V413" s="444">
        <v>0</v>
      </c>
      <c r="W413" s="444">
        <v>0</v>
      </c>
      <c r="X413" s="442" t="s">
        <v>674</v>
      </c>
      <c r="Y413" s="442" t="s">
        <v>675</v>
      </c>
      <c r="Z413" s="442" t="s">
        <v>675</v>
      </c>
      <c r="AA413" s="442" t="s">
        <v>675</v>
      </c>
      <c r="AB413" s="442" t="s">
        <v>675</v>
      </c>
      <c r="AC413" s="442"/>
      <c r="AD413" s="442"/>
      <c r="AE413" s="442"/>
      <c r="AF413" s="442"/>
      <c r="AG413" s="443" t="s">
        <v>912</v>
      </c>
      <c r="AH413" s="442"/>
      <c r="AI413" s="443" t="s">
        <v>912</v>
      </c>
      <c r="AJ413" s="443" t="s">
        <v>677</v>
      </c>
      <c r="AK413" s="442" t="s">
        <v>677</v>
      </c>
      <c r="AL413" s="442"/>
      <c r="AM413" s="442"/>
      <c r="AN413" s="442"/>
      <c r="AO413" s="442"/>
      <c r="AP413" s="442"/>
      <c r="AQ413" s="442"/>
      <c r="AR413" s="444"/>
      <c r="AS413" s="442"/>
      <c r="AT413" s="444"/>
      <c r="AU413" s="442" t="s">
        <v>678</v>
      </c>
      <c r="AV413" s="442" t="s">
        <v>677</v>
      </c>
      <c r="AW413" s="442" t="s">
        <v>676</v>
      </c>
      <c r="AX413" s="442" t="s">
        <v>674</v>
      </c>
      <c r="AY413" s="442"/>
      <c r="AZ413" s="442"/>
      <c r="BA413" s="442" t="s">
        <v>679</v>
      </c>
      <c r="BB413" s="442"/>
      <c r="BC413" s="442"/>
      <c r="BD413" s="442"/>
      <c r="BE413" s="444"/>
      <c r="BF413" s="442" t="s">
        <v>298</v>
      </c>
      <c r="BG413" s="442" t="s">
        <v>680</v>
      </c>
      <c r="BH413" s="442" t="s">
        <v>681</v>
      </c>
      <c r="BI413" s="442"/>
    </row>
    <row r="414" spans="1:61">
      <c r="A414" s="442" t="s">
        <v>909</v>
      </c>
      <c r="B414" s="442" t="s">
        <v>909</v>
      </c>
      <c r="C414" s="442" t="s">
        <v>909</v>
      </c>
      <c r="D414" s="442" t="s">
        <v>673</v>
      </c>
      <c r="E414" s="442" t="s">
        <v>3</v>
      </c>
      <c r="F414" s="443" t="s">
        <v>83</v>
      </c>
      <c r="G414" s="443" t="s">
        <v>700</v>
      </c>
      <c r="H414" s="444">
        <v>440000</v>
      </c>
      <c r="I414" s="444">
        <v>440000</v>
      </c>
      <c r="J414" s="444">
        <v>0</v>
      </c>
      <c r="K414" s="444">
        <v>0</v>
      </c>
      <c r="L414" s="444">
        <v>440000</v>
      </c>
      <c r="M414" s="444">
        <v>0</v>
      </c>
      <c r="N414" s="444">
        <v>0</v>
      </c>
      <c r="O414" s="444">
        <v>0</v>
      </c>
      <c r="P414" s="444">
        <v>0</v>
      </c>
      <c r="Q414" s="444">
        <v>0</v>
      </c>
      <c r="R414" s="444">
        <v>0</v>
      </c>
      <c r="S414" s="444">
        <v>0</v>
      </c>
      <c r="T414" s="444">
        <v>0</v>
      </c>
      <c r="U414" s="444">
        <v>0</v>
      </c>
      <c r="V414" s="444">
        <v>0</v>
      </c>
      <c r="W414" s="444">
        <v>0</v>
      </c>
      <c r="X414" s="442" t="s">
        <v>674</v>
      </c>
      <c r="Y414" s="442" t="s">
        <v>675</v>
      </c>
      <c r="Z414" s="442" t="s">
        <v>675</v>
      </c>
      <c r="AA414" s="442" t="s">
        <v>675</v>
      </c>
      <c r="AB414" s="442" t="s">
        <v>675</v>
      </c>
      <c r="AC414" s="442"/>
      <c r="AD414" s="442"/>
      <c r="AE414" s="442"/>
      <c r="AF414" s="442"/>
      <c r="AG414" s="443" t="s">
        <v>912</v>
      </c>
      <c r="AH414" s="442"/>
      <c r="AI414" s="443" t="s">
        <v>912</v>
      </c>
      <c r="AJ414" s="443" t="s">
        <v>677</v>
      </c>
      <c r="AK414" s="442" t="s">
        <v>677</v>
      </c>
      <c r="AL414" s="442"/>
      <c r="AM414" s="442"/>
      <c r="AN414" s="442"/>
      <c r="AO414" s="442"/>
      <c r="AP414" s="442"/>
      <c r="AQ414" s="442"/>
      <c r="AR414" s="444"/>
      <c r="AS414" s="442"/>
      <c r="AT414" s="444"/>
      <c r="AU414" s="442" t="s">
        <v>678</v>
      </c>
      <c r="AV414" s="442" t="s">
        <v>677</v>
      </c>
      <c r="AW414" s="442" t="s">
        <v>676</v>
      </c>
      <c r="AX414" s="442" t="s">
        <v>674</v>
      </c>
      <c r="AY414" s="442"/>
      <c r="AZ414" s="442"/>
      <c r="BA414" s="442" t="s">
        <v>679</v>
      </c>
      <c r="BB414" s="442"/>
      <c r="BC414" s="442"/>
      <c r="BD414" s="442"/>
      <c r="BE414" s="444"/>
      <c r="BF414" s="442" t="s">
        <v>298</v>
      </c>
      <c r="BG414" s="442" t="s">
        <v>680</v>
      </c>
      <c r="BH414" s="442" t="s">
        <v>681</v>
      </c>
      <c r="BI414" s="442"/>
    </row>
    <row r="415" spans="1:61">
      <c r="A415" s="442" t="s">
        <v>909</v>
      </c>
      <c r="B415" s="442" t="s">
        <v>909</v>
      </c>
      <c r="C415" s="442" t="s">
        <v>909</v>
      </c>
      <c r="D415" s="442" t="s">
        <v>673</v>
      </c>
      <c r="E415" s="442" t="s">
        <v>3</v>
      </c>
      <c r="F415" s="443" t="s">
        <v>83</v>
      </c>
      <c r="G415" s="443" t="s">
        <v>700</v>
      </c>
      <c r="H415" s="444">
        <v>4560000</v>
      </c>
      <c r="I415" s="444">
        <v>4560000</v>
      </c>
      <c r="J415" s="444">
        <v>0</v>
      </c>
      <c r="K415" s="444">
        <v>0</v>
      </c>
      <c r="L415" s="444">
        <v>4560000</v>
      </c>
      <c r="M415" s="444">
        <v>0</v>
      </c>
      <c r="N415" s="444">
        <v>0</v>
      </c>
      <c r="O415" s="444">
        <v>0</v>
      </c>
      <c r="P415" s="444">
        <v>0</v>
      </c>
      <c r="Q415" s="444">
        <v>0</v>
      </c>
      <c r="R415" s="444">
        <v>0</v>
      </c>
      <c r="S415" s="444">
        <v>0</v>
      </c>
      <c r="T415" s="444">
        <v>0</v>
      </c>
      <c r="U415" s="444">
        <v>0</v>
      </c>
      <c r="V415" s="444">
        <v>0</v>
      </c>
      <c r="W415" s="444">
        <v>0</v>
      </c>
      <c r="X415" s="442" t="s">
        <v>674</v>
      </c>
      <c r="Y415" s="442" t="s">
        <v>675</v>
      </c>
      <c r="Z415" s="442" t="s">
        <v>675</v>
      </c>
      <c r="AA415" s="442" t="s">
        <v>675</v>
      </c>
      <c r="AB415" s="442" t="s">
        <v>675</v>
      </c>
      <c r="AC415" s="442"/>
      <c r="AD415" s="442"/>
      <c r="AE415" s="442"/>
      <c r="AF415" s="442"/>
      <c r="AG415" s="443" t="s">
        <v>913</v>
      </c>
      <c r="AH415" s="442"/>
      <c r="AI415" s="443" t="s">
        <v>913</v>
      </c>
      <c r="AJ415" s="443" t="s">
        <v>677</v>
      </c>
      <c r="AK415" s="442" t="s">
        <v>677</v>
      </c>
      <c r="AL415" s="442"/>
      <c r="AM415" s="442"/>
      <c r="AN415" s="442"/>
      <c r="AO415" s="442"/>
      <c r="AP415" s="442"/>
      <c r="AQ415" s="442"/>
      <c r="AR415" s="444"/>
      <c r="AS415" s="442"/>
      <c r="AT415" s="444"/>
      <c r="AU415" s="442" t="s">
        <v>678</v>
      </c>
      <c r="AV415" s="442" t="s">
        <v>677</v>
      </c>
      <c r="AW415" s="442" t="s">
        <v>676</v>
      </c>
      <c r="AX415" s="442" t="s">
        <v>674</v>
      </c>
      <c r="AY415" s="442"/>
      <c r="AZ415" s="442"/>
      <c r="BA415" s="442" t="s">
        <v>679</v>
      </c>
      <c r="BB415" s="442"/>
      <c r="BC415" s="442"/>
      <c r="BD415" s="442"/>
      <c r="BE415" s="444"/>
      <c r="BF415" s="442" t="s">
        <v>298</v>
      </c>
      <c r="BG415" s="442" t="s">
        <v>680</v>
      </c>
      <c r="BH415" s="442" t="s">
        <v>681</v>
      </c>
      <c r="BI415" s="442"/>
    </row>
    <row r="416" spans="1:61">
      <c r="A416" s="442" t="s">
        <v>909</v>
      </c>
      <c r="B416" s="442" t="s">
        <v>909</v>
      </c>
      <c r="C416" s="442" t="s">
        <v>909</v>
      </c>
      <c r="D416" s="442" t="s">
        <v>673</v>
      </c>
      <c r="E416" s="442" t="s">
        <v>3</v>
      </c>
      <c r="F416" s="443" t="s">
        <v>83</v>
      </c>
      <c r="G416" s="443" t="s">
        <v>700</v>
      </c>
      <c r="H416" s="444">
        <v>9120000</v>
      </c>
      <c r="I416" s="444">
        <v>9120000</v>
      </c>
      <c r="J416" s="444">
        <v>0</v>
      </c>
      <c r="K416" s="444">
        <v>0</v>
      </c>
      <c r="L416" s="444">
        <v>9120000</v>
      </c>
      <c r="M416" s="444">
        <v>0</v>
      </c>
      <c r="N416" s="444">
        <v>0</v>
      </c>
      <c r="O416" s="444">
        <v>0</v>
      </c>
      <c r="P416" s="444">
        <v>0</v>
      </c>
      <c r="Q416" s="444">
        <v>0</v>
      </c>
      <c r="R416" s="444">
        <v>0</v>
      </c>
      <c r="S416" s="444">
        <v>0</v>
      </c>
      <c r="T416" s="444">
        <v>0</v>
      </c>
      <c r="U416" s="444">
        <v>0</v>
      </c>
      <c r="V416" s="444">
        <v>0</v>
      </c>
      <c r="W416" s="444">
        <v>0</v>
      </c>
      <c r="X416" s="442" t="s">
        <v>674</v>
      </c>
      <c r="Y416" s="442" t="s">
        <v>675</v>
      </c>
      <c r="Z416" s="442" t="s">
        <v>675</v>
      </c>
      <c r="AA416" s="442" t="s">
        <v>675</v>
      </c>
      <c r="AB416" s="442" t="s">
        <v>675</v>
      </c>
      <c r="AC416" s="442"/>
      <c r="AD416" s="442"/>
      <c r="AE416" s="442"/>
      <c r="AF416" s="442"/>
      <c r="AG416" s="443" t="s">
        <v>913</v>
      </c>
      <c r="AH416" s="442"/>
      <c r="AI416" s="443" t="s">
        <v>913</v>
      </c>
      <c r="AJ416" s="443" t="s">
        <v>677</v>
      </c>
      <c r="AK416" s="442" t="s">
        <v>677</v>
      </c>
      <c r="AL416" s="442"/>
      <c r="AM416" s="442"/>
      <c r="AN416" s="442"/>
      <c r="AO416" s="442"/>
      <c r="AP416" s="442"/>
      <c r="AQ416" s="442"/>
      <c r="AR416" s="444"/>
      <c r="AS416" s="442"/>
      <c r="AT416" s="444"/>
      <c r="AU416" s="442" t="s">
        <v>678</v>
      </c>
      <c r="AV416" s="442" t="s">
        <v>677</v>
      </c>
      <c r="AW416" s="442" t="s">
        <v>676</v>
      </c>
      <c r="AX416" s="442" t="s">
        <v>674</v>
      </c>
      <c r="AY416" s="442"/>
      <c r="AZ416" s="442"/>
      <c r="BA416" s="442" t="s">
        <v>679</v>
      </c>
      <c r="BB416" s="442"/>
      <c r="BC416" s="442"/>
      <c r="BD416" s="442"/>
      <c r="BE416" s="444"/>
      <c r="BF416" s="442" t="s">
        <v>298</v>
      </c>
      <c r="BG416" s="442" t="s">
        <v>680</v>
      </c>
      <c r="BH416" s="442" t="s">
        <v>681</v>
      </c>
      <c r="BI416" s="442"/>
    </row>
    <row r="417" spans="1:61">
      <c r="A417" s="442" t="s">
        <v>909</v>
      </c>
      <c r="B417" s="442" t="s">
        <v>909</v>
      </c>
      <c r="C417" s="442" t="s">
        <v>914</v>
      </c>
      <c r="D417" s="442" t="s">
        <v>673</v>
      </c>
      <c r="E417" s="442" t="s">
        <v>3</v>
      </c>
      <c r="F417" s="443" t="s">
        <v>83</v>
      </c>
      <c r="G417" s="443" t="s">
        <v>700</v>
      </c>
      <c r="H417" s="444">
        <v>4560000</v>
      </c>
      <c r="I417" s="444">
        <v>4560000</v>
      </c>
      <c r="J417" s="444">
        <v>0</v>
      </c>
      <c r="K417" s="444">
        <v>0</v>
      </c>
      <c r="L417" s="444">
        <v>4560000</v>
      </c>
      <c r="M417" s="444">
        <v>0</v>
      </c>
      <c r="N417" s="444">
        <v>0</v>
      </c>
      <c r="O417" s="444">
        <v>0</v>
      </c>
      <c r="P417" s="444">
        <v>0</v>
      </c>
      <c r="Q417" s="444">
        <v>0</v>
      </c>
      <c r="R417" s="444">
        <v>0</v>
      </c>
      <c r="S417" s="444">
        <v>0</v>
      </c>
      <c r="T417" s="444">
        <v>0</v>
      </c>
      <c r="U417" s="444">
        <v>0</v>
      </c>
      <c r="V417" s="444">
        <v>0</v>
      </c>
      <c r="W417" s="444">
        <v>0</v>
      </c>
      <c r="X417" s="442" t="s">
        <v>674</v>
      </c>
      <c r="Y417" s="442" t="s">
        <v>675</v>
      </c>
      <c r="Z417" s="442" t="s">
        <v>675</v>
      </c>
      <c r="AA417" s="442" t="s">
        <v>675</v>
      </c>
      <c r="AB417" s="442" t="s">
        <v>675</v>
      </c>
      <c r="AC417" s="442"/>
      <c r="AD417" s="442"/>
      <c r="AE417" s="442"/>
      <c r="AF417" s="442"/>
      <c r="AG417" s="443" t="s">
        <v>913</v>
      </c>
      <c r="AH417" s="442"/>
      <c r="AI417" s="443" t="s">
        <v>913</v>
      </c>
      <c r="AJ417" s="443" t="s">
        <v>677</v>
      </c>
      <c r="AK417" s="442" t="s">
        <v>677</v>
      </c>
      <c r="AL417" s="442"/>
      <c r="AM417" s="442"/>
      <c r="AN417" s="442"/>
      <c r="AO417" s="442"/>
      <c r="AP417" s="442"/>
      <c r="AQ417" s="442"/>
      <c r="AR417" s="444"/>
      <c r="AS417" s="442"/>
      <c r="AT417" s="444"/>
      <c r="AU417" s="442" t="s">
        <v>678</v>
      </c>
      <c r="AV417" s="442" t="s">
        <v>677</v>
      </c>
      <c r="AW417" s="442" t="s">
        <v>676</v>
      </c>
      <c r="AX417" s="442" t="s">
        <v>674</v>
      </c>
      <c r="AY417" s="442"/>
      <c r="AZ417" s="442"/>
      <c r="BA417" s="442" t="s">
        <v>679</v>
      </c>
      <c r="BB417" s="442"/>
      <c r="BC417" s="442"/>
      <c r="BD417" s="442"/>
      <c r="BE417" s="444"/>
      <c r="BF417" s="442" t="s">
        <v>298</v>
      </c>
      <c r="BG417" s="442" t="s">
        <v>680</v>
      </c>
      <c r="BH417" s="442" t="s">
        <v>681</v>
      </c>
      <c r="BI417" s="442"/>
    </row>
    <row r="418" spans="1:61">
      <c r="A418" s="442" t="s">
        <v>909</v>
      </c>
      <c r="B418" s="442" t="s">
        <v>909</v>
      </c>
      <c r="C418" s="442" t="s">
        <v>914</v>
      </c>
      <c r="D418" s="442" t="s">
        <v>673</v>
      </c>
      <c r="E418" s="442" t="s">
        <v>3</v>
      </c>
      <c r="F418" s="443" t="s">
        <v>83</v>
      </c>
      <c r="G418" s="443" t="s">
        <v>700</v>
      </c>
      <c r="H418" s="444">
        <v>440000</v>
      </c>
      <c r="I418" s="444">
        <v>440000</v>
      </c>
      <c r="J418" s="444">
        <v>0</v>
      </c>
      <c r="K418" s="444">
        <v>0</v>
      </c>
      <c r="L418" s="444">
        <v>440000</v>
      </c>
      <c r="M418" s="444">
        <v>0</v>
      </c>
      <c r="N418" s="444">
        <v>0</v>
      </c>
      <c r="O418" s="444">
        <v>0</v>
      </c>
      <c r="P418" s="444">
        <v>0</v>
      </c>
      <c r="Q418" s="444">
        <v>0</v>
      </c>
      <c r="R418" s="444">
        <v>0</v>
      </c>
      <c r="S418" s="444">
        <v>0</v>
      </c>
      <c r="T418" s="444">
        <v>0</v>
      </c>
      <c r="U418" s="444">
        <v>0</v>
      </c>
      <c r="V418" s="444">
        <v>0</v>
      </c>
      <c r="W418" s="444">
        <v>0</v>
      </c>
      <c r="X418" s="442" t="s">
        <v>674</v>
      </c>
      <c r="Y418" s="442" t="s">
        <v>675</v>
      </c>
      <c r="Z418" s="442" t="s">
        <v>675</v>
      </c>
      <c r="AA418" s="442" t="s">
        <v>675</v>
      </c>
      <c r="AB418" s="442" t="s">
        <v>675</v>
      </c>
      <c r="AC418" s="442"/>
      <c r="AD418" s="442"/>
      <c r="AE418" s="442"/>
      <c r="AF418" s="442"/>
      <c r="AG418" s="443" t="s">
        <v>912</v>
      </c>
      <c r="AH418" s="442"/>
      <c r="AI418" s="443" t="s">
        <v>912</v>
      </c>
      <c r="AJ418" s="443" t="s">
        <v>677</v>
      </c>
      <c r="AK418" s="442" t="s">
        <v>677</v>
      </c>
      <c r="AL418" s="442"/>
      <c r="AM418" s="442"/>
      <c r="AN418" s="442"/>
      <c r="AO418" s="442"/>
      <c r="AP418" s="442"/>
      <c r="AQ418" s="442"/>
      <c r="AR418" s="444"/>
      <c r="AS418" s="442"/>
      <c r="AT418" s="444"/>
      <c r="AU418" s="442" t="s">
        <v>678</v>
      </c>
      <c r="AV418" s="442" t="s">
        <v>677</v>
      </c>
      <c r="AW418" s="442" t="s">
        <v>676</v>
      </c>
      <c r="AX418" s="442" t="s">
        <v>674</v>
      </c>
      <c r="AY418" s="442"/>
      <c r="AZ418" s="442"/>
      <c r="BA418" s="442" t="s">
        <v>679</v>
      </c>
      <c r="BB418" s="442"/>
      <c r="BC418" s="442"/>
      <c r="BD418" s="442"/>
      <c r="BE418" s="444"/>
      <c r="BF418" s="442" t="s">
        <v>298</v>
      </c>
      <c r="BG418" s="442" t="s">
        <v>680</v>
      </c>
      <c r="BH418" s="442" t="s">
        <v>681</v>
      </c>
      <c r="BI418" s="442"/>
    </row>
    <row r="419" spans="1:61">
      <c r="A419" s="442" t="s">
        <v>909</v>
      </c>
      <c r="B419" s="442" t="s">
        <v>909</v>
      </c>
      <c r="C419" s="442" t="s">
        <v>914</v>
      </c>
      <c r="D419" s="442" t="s">
        <v>673</v>
      </c>
      <c r="E419" s="442" t="s">
        <v>3</v>
      </c>
      <c r="F419" s="443" t="s">
        <v>83</v>
      </c>
      <c r="G419" s="443" t="s">
        <v>700</v>
      </c>
      <c r="H419" s="444">
        <v>880000</v>
      </c>
      <c r="I419" s="444">
        <v>880000</v>
      </c>
      <c r="J419" s="444">
        <v>0</v>
      </c>
      <c r="K419" s="444">
        <v>0</v>
      </c>
      <c r="L419" s="444">
        <v>880000</v>
      </c>
      <c r="M419" s="444">
        <v>0</v>
      </c>
      <c r="N419" s="444">
        <v>0</v>
      </c>
      <c r="O419" s="444">
        <v>0</v>
      </c>
      <c r="P419" s="444">
        <v>0</v>
      </c>
      <c r="Q419" s="444">
        <v>0</v>
      </c>
      <c r="R419" s="444">
        <v>0</v>
      </c>
      <c r="S419" s="444">
        <v>0</v>
      </c>
      <c r="T419" s="444">
        <v>0</v>
      </c>
      <c r="U419" s="444">
        <v>0</v>
      </c>
      <c r="V419" s="444">
        <v>0</v>
      </c>
      <c r="W419" s="444">
        <v>0</v>
      </c>
      <c r="X419" s="442" t="s">
        <v>674</v>
      </c>
      <c r="Y419" s="442" t="s">
        <v>675</v>
      </c>
      <c r="Z419" s="442" t="s">
        <v>675</v>
      </c>
      <c r="AA419" s="442" t="s">
        <v>675</v>
      </c>
      <c r="AB419" s="442" t="s">
        <v>675</v>
      </c>
      <c r="AC419" s="442"/>
      <c r="AD419" s="442"/>
      <c r="AE419" s="442"/>
      <c r="AF419" s="442"/>
      <c r="AG419" s="443" t="s">
        <v>912</v>
      </c>
      <c r="AH419" s="442"/>
      <c r="AI419" s="443" t="s">
        <v>912</v>
      </c>
      <c r="AJ419" s="443" t="s">
        <v>677</v>
      </c>
      <c r="AK419" s="442" t="s">
        <v>677</v>
      </c>
      <c r="AL419" s="442"/>
      <c r="AM419" s="442"/>
      <c r="AN419" s="442"/>
      <c r="AO419" s="442"/>
      <c r="AP419" s="442"/>
      <c r="AQ419" s="442"/>
      <c r="AR419" s="444"/>
      <c r="AS419" s="442"/>
      <c r="AT419" s="444"/>
      <c r="AU419" s="442" t="s">
        <v>678</v>
      </c>
      <c r="AV419" s="442" t="s">
        <v>677</v>
      </c>
      <c r="AW419" s="442" t="s">
        <v>676</v>
      </c>
      <c r="AX419" s="442" t="s">
        <v>674</v>
      </c>
      <c r="AY419" s="442"/>
      <c r="AZ419" s="442"/>
      <c r="BA419" s="442" t="s">
        <v>679</v>
      </c>
      <c r="BB419" s="442"/>
      <c r="BC419" s="442"/>
      <c r="BD419" s="442"/>
      <c r="BE419" s="444"/>
      <c r="BF419" s="442" t="s">
        <v>298</v>
      </c>
      <c r="BG419" s="442" t="s">
        <v>680</v>
      </c>
      <c r="BH419" s="442" t="s">
        <v>681</v>
      </c>
      <c r="BI419" s="442"/>
    </row>
    <row r="420" spans="1:61">
      <c r="A420" s="442" t="s">
        <v>909</v>
      </c>
      <c r="B420" s="442" t="s">
        <v>909</v>
      </c>
      <c r="C420" s="442" t="s">
        <v>914</v>
      </c>
      <c r="D420" s="442" t="s">
        <v>673</v>
      </c>
      <c r="E420" s="442" t="s">
        <v>3</v>
      </c>
      <c r="F420" s="443" t="s">
        <v>83</v>
      </c>
      <c r="G420" s="443" t="s">
        <v>700</v>
      </c>
      <c r="H420" s="444">
        <v>9120000</v>
      </c>
      <c r="I420" s="444">
        <v>9120000</v>
      </c>
      <c r="J420" s="444">
        <v>0</v>
      </c>
      <c r="K420" s="444">
        <v>0</v>
      </c>
      <c r="L420" s="444">
        <v>9120000</v>
      </c>
      <c r="M420" s="444">
        <v>0</v>
      </c>
      <c r="N420" s="444">
        <v>0</v>
      </c>
      <c r="O420" s="444">
        <v>0</v>
      </c>
      <c r="P420" s="444">
        <v>0</v>
      </c>
      <c r="Q420" s="444">
        <v>0</v>
      </c>
      <c r="R420" s="444">
        <v>0</v>
      </c>
      <c r="S420" s="444">
        <v>0</v>
      </c>
      <c r="T420" s="444">
        <v>0</v>
      </c>
      <c r="U420" s="444">
        <v>0</v>
      </c>
      <c r="V420" s="444">
        <v>0</v>
      </c>
      <c r="W420" s="444">
        <v>0</v>
      </c>
      <c r="X420" s="442" t="s">
        <v>674</v>
      </c>
      <c r="Y420" s="442" t="s">
        <v>675</v>
      </c>
      <c r="Z420" s="442" t="s">
        <v>675</v>
      </c>
      <c r="AA420" s="442" t="s">
        <v>675</v>
      </c>
      <c r="AB420" s="442" t="s">
        <v>675</v>
      </c>
      <c r="AC420" s="442"/>
      <c r="AD420" s="442"/>
      <c r="AE420" s="442"/>
      <c r="AF420" s="442"/>
      <c r="AG420" s="443" t="s">
        <v>913</v>
      </c>
      <c r="AH420" s="442"/>
      <c r="AI420" s="443" t="s">
        <v>913</v>
      </c>
      <c r="AJ420" s="443" t="s">
        <v>677</v>
      </c>
      <c r="AK420" s="442" t="s">
        <v>677</v>
      </c>
      <c r="AL420" s="442"/>
      <c r="AM420" s="442"/>
      <c r="AN420" s="442"/>
      <c r="AO420" s="442"/>
      <c r="AP420" s="442"/>
      <c r="AQ420" s="442"/>
      <c r="AR420" s="444"/>
      <c r="AS420" s="442"/>
      <c r="AT420" s="444"/>
      <c r="AU420" s="442" t="s">
        <v>678</v>
      </c>
      <c r="AV420" s="442" t="s">
        <v>677</v>
      </c>
      <c r="AW420" s="442" t="s">
        <v>676</v>
      </c>
      <c r="AX420" s="442" t="s">
        <v>674</v>
      </c>
      <c r="AY420" s="442"/>
      <c r="AZ420" s="442"/>
      <c r="BA420" s="442" t="s">
        <v>679</v>
      </c>
      <c r="BB420" s="442"/>
      <c r="BC420" s="442"/>
      <c r="BD420" s="442"/>
      <c r="BE420" s="444"/>
      <c r="BF420" s="442" t="s">
        <v>298</v>
      </c>
      <c r="BG420" s="442" t="s">
        <v>680</v>
      </c>
      <c r="BH420" s="442" t="s">
        <v>681</v>
      </c>
      <c r="BI420" s="442"/>
    </row>
    <row r="421" spans="1:61">
      <c r="A421" s="442" t="s">
        <v>909</v>
      </c>
      <c r="B421" s="442" t="s">
        <v>909</v>
      </c>
      <c r="C421" s="442" t="s">
        <v>914</v>
      </c>
      <c r="D421" s="442" t="s">
        <v>673</v>
      </c>
      <c r="E421" s="442" t="s">
        <v>3</v>
      </c>
      <c r="F421" s="443" t="s">
        <v>83</v>
      </c>
      <c r="G421" s="443" t="s">
        <v>700</v>
      </c>
      <c r="H421" s="444">
        <v>9120000</v>
      </c>
      <c r="I421" s="444">
        <v>9120000</v>
      </c>
      <c r="J421" s="444">
        <v>0</v>
      </c>
      <c r="K421" s="444">
        <v>0</v>
      </c>
      <c r="L421" s="444">
        <v>9120000</v>
      </c>
      <c r="M421" s="444">
        <v>0</v>
      </c>
      <c r="N421" s="444">
        <v>0</v>
      </c>
      <c r="O421" s="444">
        <v>0</v>
      </c>
      <c r="P421" s="444">
        <v>0</v>
      </c>
      <c r="Q421" s="444">
        <v>0</v>
      </c>
      <c r="R421" s="444">
        <v>0</v>
      </c>
      <c r="S421" s="444">
        <v>0</v>
      </c>
      <c r="T421" s="444">
        <v>0</v>
      </c>
      <c r="U421" s="444">
        <v>0</v>
      </c>
      <c r="V421" s="444">
        <v>0</v>
      </c>
      <c r="W421" s="444">
        <v>0</v>
      </c>
      <c r="X421" s="442" t="s">
        <v>674</v>
      </c>
      <c r="Y421" s="442" t="s">
        <v>675</v>
      </c>
      <c r="Z421" s="442" t="s">
        <v>675</v>
      </c>
      <c r="AA421" s="442" t="s">
        <v>675</v>
      </c>
      <c r="AB421" s="442" t="s">
        <v>675</v>
      </c>
      <c r="AC421" s="442"/>
      <c r="AD421" s="442"/>
      <c r="AE421" s="442"/>
      <c r="AF421" s="442"/>
      <c r="AG421" s="443" t="s">
        <v>913</v>
      </c>
      <c r="AH421" s="442"/>
      <c r="AI421" s="443" t="s">
        <v>913</v>
      </c>
      <c r="AJ421" s="443" t="s">
        <v>677</v>
      </c>
      <c r="AK421" s="442" t="s">
        <v>677</v>
      </c>
      <c r="AL421" s="442"/>
      <c r="AM421" s="442"/>
      <c r="AN421" s="442"/>
      <c r="AO421" s="442"/>
      <c r="AP421" s="442"/>
      <c r="AQ421" s="442"/>
      <c r="AR421" s="444"/>
      <c r="AS421" s="442"/>
      <c r="AT421" s="444"/>
      <c r="AU421" s="442" t="s">
        <v>678</v>
      </c>
      <c r="AV421" s="442" t="s">
        <v>677</v>
      </c>
      <c r="AW421" s="442" t="s">
        <v>676</v>
      </c>
      <c r="AX421" s="442" t="s">
        <v>674</v>
      </c>
      <c r="AY421" s="442"/>
      <c r="AZ421" s="442"/>
      <c r="BA421" s="442" t="s">
        <v>679</v>
      </c>
      <c r="BB421" s="442"/>
      <c r="BC421" s="442"/>
      <c r="BD421" s="442"/>
      <c r="BE421" s="444"/>
      <c r="BF421" s="442" t="s">
        <v>298</v>
      </c>
      <c r="BG421" s="442" t="s">
        <v>680</v>
      </c>
      <c r="BH421" s="442" t="s">
        <v>681</v>
      </c>
      <c r="BI421" s="442"/>
    </row>
    <row r="422" spans="1:61">
      <c r="A422" s="442" t="s">
        <v>909</v>
      </c>
      <c r="B422" s="442" t="s">
        <v>909</v>
      </c>
      <c r="C422" s="442" t="s">
        <v>914</v>
      </c>
      <c r="D422" s="442" t="s">
        <v>673</v>
      </c>
      <c r="E422" s="442" t="s">
        <v>3</v>
      </c>
      <c r="F422" s="443" t="s">
        <v>83</v>
      </c>
      <c r="G422" s="443" t="s">
        <v>700</v>
      </c>
      <c r="H422" s="444">
        <v>880000</v>
      </c>
      <c r="I422" s="444">
        <v>880000</v>
      </c>
      <c r="J422" s="444">
        <v>0</v>
      </c>
      <c r="K422" s="444">
        <v>0</v>
      </c>
      <c r="L422" s="444">
        <v>880000</v>
      </c>
      <c r="M422" s="444">
        <v>0</v>
      </c>
      <c r="N422" s="444">
        <v>0</v>
      </c>
      <c r="O422" s="444">
        <v>0</v>
      </c>
      <c r="P422" s="444">
        <v>0</v>
      </c>
      <c r="Q422" s="444">
        <v>0</v>
      </c>
      <c r="R422" s="444">
        <v>0</v>
      </c>
      <c r="S422" s="444">
        <v>0</v>
      </c>
      <c r="T422" s="444">
        <v>0</v>
      </c>
      <c r="U422" s="444">
        <v>0</v>
      </c>
      <c r="V422" s="444">
        <v>0</v>
      </c>
      <c r="W422" s="444">
        <v>0</v>
      </c>
      <c r="X422" s="442" t="s">
        <v>674</v>
      </c>
      <c r="Y422" s="442" t="s">
        <v>675</v>
      </c>
      <c r="Z422" s="442" t="s">
        <v>675</v>
      </c>
      <c r="AA422" s="442" t="s">
        <v>675</v>
      </c>
      <c r="AB422" s="442" t="s">
        <v>675</v>
      </c>
      <c r="AC422" s="442"/>
      <c r="AD422" s="442"/>
      <c r="AE422" s="442"/>
      <c r="AF422" s="442"/>
      <c r="AG422" s="443" t="s">
        <v>912</v>
      </c>
      <c r="AH422" s="442"/>
      <c r="AI422" s="443" t="s">
        <v>912</v>
      </c>
      <c r="AJ422" s="443" t="s">
        <v>677</v>
      </c>
      <c r="AK422" s="442" t="s">
        <v>677</v>
      </c>
      <c r="AL422" s="442"/>
      <c r="AM422" s="442"/>
      <c r="AN422" s="442"/>
      <c r="AO422" s="442"/>
      <c r="AP422" s="442"/>
      <c r="AQ422" s="442"/>
      <c r="AR422" s="444"/>
      <c r="AS422" s="442"/>
      <c r="AT422" s="444"/>
      <c r="AU422" s="442" t="s">
        <v>678</v>
      </c>
      <c r="AV422" s="442" t="s">
        <v>677</v>
      </c>
      <c r="AW422" s="442" t="s">
        <v>676</v>
      </c>
      <c r="AX422" s="442" t="s">
        <v>674</v>
      </c>
      <c r="AY422" s="442"/>
      <c r="AZ422" s="442"/>
      <c r="BA422" s="442" t="s">
        <v>679</v>
      </c>
      <c r="BB422" s="442"/>
      <c r="BC422" s="442"/>
      <c r="BD422" s="442"/>
      <c r="BE422" s="444"/>
      <c r="BF422" s="442" t="s">
        <v>298</v>
      </c>
      <c r="BG422" s="442" t="s">
        <v>680</v>
      </c>
      <c r="BH422" s="442" t="s">
        <v>681</v>
      </c>
      <c r="BI422" s="442"/>
    </row>
    <row r="423" spans="1:61">
      <c r="A423" s="442" t="s">
        <v>909</v>
      </c>
      <c r="B423" s="442" t="s">
        <v>909</v>
      </c>
      <c r="C423" s="442" t="s">
        <v>914</v>
      </c>
      <c r="D423" s="442" t="s">
        <v>673</v>
      </c>
      <c r="E423" s="442" t="s">
        <v>3</v>
      </c>
      <c r="F423" s="443" t="s">
        <v>83</v>
      </c>
      <c r="G423" s="443" t="s">
        <v>700</v>
      </c>
      <c r="H423" s="444">
        <v>9120000</v>
      </c>
      <c r="I423" s="444">
        <v>9120000</v>
      </c>
      <c r="J423" s="444">
        <v>0</v>
      </c>
      <c r="K423" s="444">
        <v>0</v>
      </c>
      <c r="L423" s="444">
        <v>9120000</v>
      </c>
      <c r="M423" s="444">
        <v>0</v>
      </c>
      <c r="N423" s="444">
        <v>0</v>
      </c>
      <c r="O423" s="444">
        <v>0</v>
      </c>
      <c r="P423" s="444">
        <v>0</v>
      </c>
      <c r="Q423" s="444">
        <v>0</v>
      </c>
      <c r="R423" s="444">
        <v>0</v>
      </c>
      <c r="S423" s="444">
        <v>0</v>
      </c>
      <c r="T423" s="444">
        <v>0</v>
      </c>
      <c r="U423" s="444">
        <v>0</v>
      </c>
      <c r="V423" s="444">
        <v>0</v>
      </c>
      <c r="W423" s="444">
        <v>0</v>
      </c>
      <c r="X423" s="442" t="s">
        <v>674</v>
      </c>
      <c r="Y423" s="442" t="s">
        <v>675</v>
      </c>
      <c r="Z423" s="442" t="s">
        <v>675</v>
      </c>
      <c r="AA423" s="442" t="s">
        <v>675</v>
      </c>
      <c r="AB423" s="442" t="s">
        <v>675</v>
      </c>
      <c r="AC423" s="442"/>
      <c r="AD423" s="442"/>
      <c r="AE423" s="442"/>
      <c r="AF423" s="442"/>
      <c r="AG423" s="443" t="s">
        <v>913</v>
      </c>
      <c r="AH423" s="442"/>
      <c r="AI423" s="443" t="s">
        <v>913</v>
      </c>
      <c r="AJ423" s="443" t="s">
        <v>677</v>
      </c>
      <c r="AK423" s="442" t="s">
        <v>677</v>
      </c>
      <c r="AL423" s="442"/>
      <c r="AM423" s="442"/>
      <c r="AN423" s="442"/>
      <c r="AO423" s="442"/>
      <c r="AP423" s="442"/>
      <c r="AQ423" s="442"/>
      <c r="AR423" s="444"/>
      <c r="AS423" s="442"/>
      <c r="AT423" s="444"/>
      <c r="AU423" s="442" t="s">
        <v>678</v>
      </c>
      <c r="AV423" s="442" t="s">
        <v>677</v>
      </c>
      <c r="AW423" s="442" t="s">
        <v>676</v>
      </c>
      <c r="AX423" s="442" t="s">
        <v>674</v>
      </c>
      <c r="AY423" s="442"/>
      <c r="AZ423" s="442"/>
      <c r="BA423" s="442" t="s">
        <v>679</v>
      </c>
      <c r="BB423" s="442"/>
      <c r="BC423" s="442"/>
      <c r="BD423" s="442"/>
      <c r="BE423" s="444"/>
      <c r="BF423" s="442" t="s">
        <v>298</v>
      </c>
      <c r="BG423" s="442" t="s">
        <v>680</v>
      </c>
      <c r="BH423" s="442" t="s">
        <v>681</v>
      </c>
      <c r="BI423" s="442"/>
    </row>
    <row r="424" spans="1:61">
      <c r="A424" s="442" t="s">
        <v>909</v>
      </c>
      <c r="B424" s="442" t="s">
        <v>909</v>
      </c>
      <c r="C424" s="442" t="s">
        <v>914</v>
      </c>
      <c r="D424" s="442" t="s">
        <v>673</v>
      </c>
      <c r="E424" s="442" t="s">
        <v>3</v>
      </c>
      <c r="F424" s="443" t="s">
        <v>83</v>
      </c>
      <c r="G424" s="443" t="s">
        <v>700</v>
      </c>
      <c r="H424" s="444">
        <v>880000</v>
      </c>
      <c r="I424" s="444">
        <v>880000</v>
      </c>
      <c r="J424" s="444">
        <v>0</v>
      </c>
      <c r="K424" s="444">
        <v>0</v>
      </c>
      <c r="L424" s="444">
        <v>880000</v>
      </c>
      <c r="M424" s="444">
        <v>0</v>
      </c>
      <c r="N424" s="444">
        <v>0</v>
      </c>
      <c r="O424" s="444">
        <v>0</v>
      </c>
      <c r="P424" s="444">
        <v>0</v>
      </c>
      <c r="Q424" s="444">
        <v>0</v>
      </c>
      <c r="R424" s="444">
        <v>0</v>
      </c>
      <c r="S424" s="444">
        <v>0</v>
      </c>
      <c r="T424" s="444">
        <v>0</v>
      </c>
      <c r="U424" s="444">
        <v>0</v>
      </c>
      <c r="V424" s="444">
        <v>0</v>
      </c>
      <c r="W424" s="444">
        <v>0</v>
      </c>
      <c r="X424" s="442" t="s">
        <v>674</v>
      </c>
      <c r="Y424" s="442" t="s">
        <v>675</v>
      </c>
      <c r="Z424" s="442" t="s">
        <v>675</v>
      </c>
      <c r="AA424" s="442" t="s">
        <v>675</v>
      </c>
      <c r="AB424" s="442" t="s">
        <v>675</v>
      </c>
      <c r="AC424" s="442"/>
      <c r="AD424" s="442"/>
      <c r="AE424" s="442"/>
      <c r="AF424" s="442"/>
      <c r="AG424" s="443" t="s">
        <v>912</v>
      </c>
      <c r="AH424" s="442"/>
      <c r="AI424" s="443" t="s">
        <v>912</v>
      </c>
      <c r="AJ424" s="443" t="s">
        <v>677</v>
      </c>
      <c r="AK424" s="442" t="s">
        <v>677</v>
      </c>
      <c r="AL424" s="442"/>
      <c r="AM424" s="442"/>
      <c r="AN424" s="442"/>
      <c r="AO424" s="442"/>
      <c r="AP424" s="442"/>
      <c r="AQ424" s="442"/>
      <c r="AR424" s="444"/>
      <c r="AS424" s="442"/>
      <c r="AT424" s="444"/>
      <c r="AU424" s="442" t="s">
        <v>678</v>
      </c>
      <c r="AV424" s="442" t="s">
        <v>677</v>
      </c>
      <c r="AW424" s="442" t="s">
        <v>676</v>
      </c>
      <c r="AX424" s="442" t="s">
        <v>674</v>
      </c>
      <c r="AY424" s="442"/>
      <c r="AZ424" s="442"/>
      <c r="BA424" s="442" t="s">
        <v>679</v>
      </c>
      <c r="BB424" s="442"/>
      <c r="BC424" s="442"/>
      <c r="BD424" s="442"/>
      <c r="BE424" s="444"/>
      <c r="BF424" s="442" t="s">
        <v>298</v>
      </c>
      <c r="BG424" s="442" t="s">
        <v>680</v>
      </c>
      <c r="BH424" s="442" t="s">
        <v>681</v>
      </c>
      <c r="BI424" s="442"/>
    </row>
    <row r="425" spans="1:61">
      <c r="A425" s="442" t="s">
        <v>909</v>
      </c>
      <c r="B425" s="442" t="s">
        <v>909</v>
      </c>
      <c r="C425" s="442" t="s">
        <v>914</v>
      </c>
      <c r="D425" s="442" t="s">
        <v>673</v>
      </c>
      <c r="E425" s="442" t="s">
        <v>3</v>
      </c>
      <c r="F425" s="443" t="s">
        <v>83</v>
      </c>
      <c r="G425" s="443" t="s">
        <v>700</v>
      </c>
      <c r="H425" s="444">
        <v>9120000</v>
      </c>
      <c r="I425" s="444">
        <v>9120000</v>
      </c>
      <c r="J425" s="444">
        <v>0</v>
      </c>
      <c r="K425" s="444">
        <v>0</v>
      </c>
      <c r="L425" s="444">
        <v>9120000</v>
      </c>
      <c r="M425" s="444">
        <v>0</v>
      </c>
      <c r="N425" s="444">
        <v>0</v>
      </c>
      <c r="O425" s="444">
        <v>0</v>
      </c>
      <c r="P425" s="444">
        <v>0</v>
      </c>
      <c r="Q425" s="444">
        <v>0</v>
      </c>
      <c r="R425" s="444">
        <v>0</v>
      </c>
      <c r="S425" s="444">
        <v>0</v>
      </c>
      <c r="T425" s="444">
        <v>0</v>
      </c>
      <c r="U425" s="444">
        <v>0</v>
      </c>
      <c r="V425" s="444">
        <v>0</v>
      </c>
      <c r="W425" s="444">
        <v>0</v>
      </c>
      <c r="X425" s="442" t="s">
        <v>674</v>
      </c>
      <c r="Y425" s="442" t="s">
        <v>675</v>
      </c>
      <c r="Z425" s="442" t="s">
        <v>675</v>
      </c>
      <c r="AA425" s="442" t="s">
        <v>675</v>
      </c>
      <c r="AB425" s="442" t="s">
        <v>675</v>
      </c>
      <c r="AC425" s="442"/>
      <c r="AD425" s="442"/>
      <c r="AE425" s="442"/>
      <c r="AF425" s="442"/>
      <c r="AG425" s="443" t="s">
        <v>913</v>
      </c>
      <c r="AH425" s="442"/>
      <c r="AI425" s="443" t="s">
        <v>913</v>
      </c>
      <c r="AJ425" s="443" t="s">
        <v>677</v>
      </c>
      <c r="AK425" s="442" t="s">
        <v>677</v>
      </c>
      <c r="AL425" s="442"/>
      <c r="AM425" s="442"/>
      <c r="AN425" s="442"/>
      <c r="AO425" s="442"/>
      <c r="AP425" s="442"/>
      <c r="AQ425" s="442"/>
      <c r="AR425" s="444"/>
      <c r="AS425" s="442"/>
      <c r="AT425" s="444"/>
      <c r="AU425" s="442" t="s">
        <v>678</v>
      </c>
      <c r="AV425" s="442" t="s">
        <v>677</v>
      </c>
      <c r="AW425" s="442" t="s">
        <v>676</v>
      </c>
      <c r="AX425" s="442" t="s">
        <v>674</v>
      </c>
      <c r="AY425" s="442"/>
      <c r="AZ425" s="442"/>
      <c r="BA425" s="442" t="s">
        <v>679</v>
      </c>
      <c r="BB425" s="442"/>
      <c r="BC425" s="442"/>
      <c r="BD425" s="442"/>
      <c r="BE425" s="444"/>
      <c r="BF425" s="442" t="s">
        <v>298</v>
      </c>
      <c r="BG425" s="442" t="s">
        <v>680</v>
      </c>
      <c r="BH425" s="442" t="s">
        <v>681</v>
      </c>
      <c r="BI425" s="442"/>
    </row>
    <row r="426" spans="1:61">
      <c r="A426" s="442" t="s">
        <v>909</v>
      </c>
      <c r="B426" s="442" t="s">
        <v>909</v>
      </c>
      <c r="C426" s="442" t="s">
        <v>914</v>
      </c>
      <c r="D426" s="442" t="s">
        <v>673</v>
      </c>
      <c r="E426" s="442" t="s">
        <v>3</v>
      </c>
      <c r="F426" s="443" t="s">
        <v>83</v>
      </c>
      <c r="G426" s="443" t="s">
        <v>700</v>
      </c>
      <c r="H426" s="444">
        <v>880000</v>
      </c>
      <c r="I426" s="444">
        <v>880000</v>
      </c>
      <c r="J426" s="444">
        <v>0</v>
      </c>
      <c r="K426" s="444">
        <v>0</v>
      </c>
      <c r="L426" s="444">
        <v>880000</v>
      </c>
      <c r="M426" s="444">
        <v>0</v>
      </c>
      <c r="N426" s="444">
        <v>0</v>
      </c>
      <c r="O426" s="444">
        <v>0</v>
      </c>
      <c r="P426" s="444">
        <v>0</v>
      </c>
      <c r="Q426" s="444">
        <v>0</v>
      </c>
      <c r="R426" s="444">
        <v>0</v>
      </c>
      <c r="S426" s="444">
        <v>0</v>
      </c>
      <c r="T426" s="444">
        <v>0</v>
      </c>
      <c r="U426" s="444">
        <v>0</v>
      </c>
      <c r="V426" s="444">
        <v>0</v>
      </c>
      <c r="W426" s="444">
        <v>0</v>
      </c>
      <c r="X426" s="442" t="s">
        <v>674</v>
      </c>
      <c r="Y426" s="442" t="s">
        <v>675</v>
      </c>
      <c r="Z426" s="442" t="s">
        <v>675</v>
      </c>
      <c r="AA426" s="442" t="s">
        <v>675</v>
      </c>
      <c r="AB426" s="442" t="s">
        <v>675</v>
      </c>
      <c r="AC426" s="442"/>
      <c r="AD426" s="442"/>
      <c r="AE426" s="442"/>
      <c r="AF426" s="442"/>
      <c r="AG426" s="443" t="s">
        <v>912</v>
      </c>
      <c r="AH426" s="442"/>
      <c r="AI426" s="443" t="s">
        <v>912</v>
      </c>
      <c r="AJ426" s="443" t="s">
        <v>677</v>
      </c>
      <c r="AK426" s="442" t="s">
        <v>677</v>
      </c>
      <c r="AL426" s="442"/>
      <c r="AM426" s="442"/>
      <c r="AN426" s="442"/>
      <c r="AO426" s="442"/>
      <c r="AP426" s="442"/>
      <c r="AQ426" s="442"/>
      <c r="AR426" s="444"/>
      <c r="AS426" s="442"/>
      <c r="AT426" s="444"/>
      <c r="AU426" s="442" t="s">
        <v>678</v>
      </c>
      <c r="AV426" s="442" t="s">
        <v>677</v>
      </c>
      <c r="AW426" s="442" t="s">
        <v>676</v>
      </c>
      <c r="AX426" s="442" t="s">
        <v>674</v>
      </c>
      <c r="AY426" s="442"/>
      <c r="AZ426" s="442"/>
      <c r="BA426" s="442" t="s">
        <v>679</v>
      </c>
      <c r="BB426" s="442"/>
      <c r="BC426" s="442"/>
      <c r="BD426" s="442"/>
      <c r="BE426" s="444"/>
      <c r="BF426" s="442" t="s">
        <v>298</v>
      </c>
      <c r="BG426" s="442" t="s">
        <v>680</v>
      </c>
      <c r="BH426" s="442" t="s">
        <v>681</v>
      </c>
      <c r="BI426" s="442"/>
    </row>
    <row r="427" spans="1:61">
      <c r="A427" s="442" t="s">
        <v>909</v>
      </c>
      <c r="B427" s="442" t="s">
        <v>909</v>
      </c>
      <c r="C427" s="442" t="s">
        <v>914</v>
      </c>
      <c r="D427" s="442" t="s">
        <v>673</v>
      </c>
      <c r="E427" s="442" t="s">
        <v>3</v>
      </c>
      <c r="F427" s="443" t="s">
        <v>83</v>
      </c>
      <c r="G427" s="443" t="s">
        <v>700</v>
      </c>
      <c r="H427" s="444">
        <v>440000</v>
      </c>
      <c r="I427" s="444">
        <v>440000</v>
      </c>
      <c r="J427" s="444">
        <v>0</v>
      </c>
      <c r="K427" s="444">
        <v>0</v>
      </c>
      <c r="L427" s="444">
        <v>440000</v>
      </c>
      <c r="M427" s="444">
        <v>0</v>
      </c>
      <c r="N427" s="444">
        <v>0</v>
      </c>
      <c r="O427" s="444">
        <v>0</v>
      </c>
      <c r="P427" s="444">
        <v>0</v>
      </c>
      <c r="Q427" s="444">
        <v>0</v>
      </c>
      <c r="R427" s="444">
        <v>0</v>
      </c>
      <c r="S427" s="444">
        <v>0</v>
      </c>
      <c r="T427" s="444">
        <v>0</v>
      </c>
      <c r="U427" s="444">
        <v>0</v>
      </c>
      <c r="V427" s="444">
        <v>0</v>
      </c>
      <c r="W427" s="444">
        <v>0</v>
      </c>
      <c r="X427" s="442" t="s">
        <v>674</v>
      </c>
      <c r="Y427" s="442" t="s">
        <v>675</v>
      </c>
      <c r="Z427" s="442" t="s">
        <v>675</v>
      </c>
      <c r="AA427" s="442" t="s">
        <v>675</v>
      </c>
      <c r="AB427" s="442" t="s">
        <v>675</v>
      </c>
      <c r="AC427" s="442"/>
      <c r="AD427" s="442"/>
      <c r="AE427" s="442"/>
      <c r="AF427" s="442"/>
      <c r="AG427" s="443" t="s">
        <v>912</v>
      </c>
      <c r="AH427" s="442"/>
      <c r="AI427" s="443" t="s">
        <v>912</v>
      </c>
      <c r="AJ427" s="443" t="s">
        <v>677</v>
      </c>
      <c r="AK427" s="442" t="s">
        <v>677</v>
      </c>
      <c r="AL427" s="442"/>
      <c r="AM427" s="442"/>
      <c r="AN427" s="442"/>
      <c r="AO427" s="442"/>
      <c r="AP427" s="442"/>
      <c r="AQ427" s="442"/>
      <c r="AR427" s="444"/>
      <c r="AS427" s="442"/>
      <c r="AT427" s="444"/>
      <c r="AU427" s="442" t="s">
        <v>678</v>
      </c>
      <c r="AV427" s="442" t="s">
        <v>677</v>
      </c>
      <c r="AW427" s="442" t="s">
        <v>676</v>
      </c>
      <c r="AX427" s="442" t="s">
        <v>674</v>
      </c>
      <c r="AY427" s="442"/>
      <c r="AZ427" s="442"/>
      <c r="BA427" s="442" t="s">
        <v>679</v>
      </c>
      <c r="BB427" s="442"/>
      <c r="BC427" s="442"/>
      <c r="BD427" s="442"/>
      <c r="BE427" s="444"/>
      <c r="BF427" s="442" t="s">
        <v>298</v>
      </c>
      <c r="BG427" s="442" t="s">
        <v>680</v>
      </c>
      <c r="BH427" s="442" t="s">
        <v>681</v>
      </c>
      <c r="BI427" s="442"/>
    </row>
    <row r="428" spans="1:61">
      <c r="A428" s="442" t="s">
        <v>909</v>
      </c>
      <c r="B428" s="442" t="s">
        <v>909</v>
      </c>
      <c r="C428" s="442" t="s">
        <v>914</v>
      </c>
      <c r="D428" s="442" t="s">
        <v>673</v>
      </c>
      <c r="E428" s="442" t="s">
        <v>3</v>
      </c>
      <c r="F428" s="443" t="s">
        <v>83</v>
      </c>
      <c r="G428" s="443" t="s">
        <v>700</v>
      </c>
      <c r="H428" s="444">
        <v>9120000</v>
      </c>
      <c r="I428" s="444">
        <v>9120000</v>
      </c>
      <c r="J428" s="444">
        <v>0</v>
      </c>
      <c r="K428" s="444">
        <v>0</v>
      </c>
      <c r="L428" s="444">
        <v>9120000</v>
      </c>
      <c r="M428" s="444">
        <v>0</v>
      </c>
      <c r="N428" s="444">
        <v>0</v>
      </c>
      <c r="O428" s="444">
        <v>0</v>
      </c>
      <c r="P428" s="444">
        <v>0</v>
      </c>
      <c r="Q428" s="444">
        <v>0</v>
      </c>
      <c r="R428" s="444">
        <v>0</v>
      </c>
      <c r="S428" s="444">
        <v>0</v>
      </c>
      <c r="T428" s="444">
        <v>0</v>
      </c>
      <c r="U428" s="444">
        <v>0</v>
      </c>
      <c r="V428" s="444">
        <v>0</v>
      </c>
      <c r="W428" s="444">
        <v>0</v>
      </c>
      <c r="X428" s="442" t="s">
        <v>674</v>
      </c>
      <c r="Y428" s="442" t="s">
        <v>675</v>
      </c>
      <c r="Z428" s="442" t="s">
        <v>675</v>
      </c>
      <c r="AA428" s="442" t="s">
        <v>675</v>
      </c>
      <c r="AB428" s="442" t="s">
        <v>675</v>
      </c>
      <c r="AC428" s="442"/>
      <c r="AD428" s="442"/>
      <c r="AE428" s="442"/>
      <c r="AF428" s="442"/>
      <c r="AG428" s="443" t="s">
        <v>913</v>
      </c>
      <c r="AH428" s="442"/>
      <c r="AI428" s="443" t="s">
        <v>913</v>
      </c>
      <c r="AJ428" s="443" t="s">
        <v>677</v>
      </c>
      <c r="AK428" s="442" t="s">
        <v>677</v>
      </c>
      <c r="AL428" s="442"/>
      <c r="AM428" s="442"/>
      <c r="AN428" s="442"/>
      <c r="AO428" s="442"/>
      <c r="AP428" s="442"/>
      <c r="AQ428" s="442"/>
      <c r="AR428" s="444"/>
      <c r="AS428" s="442"/>
      <c r="AT428" s="444"/>
      <c r="AU428" s="442" t="s">
        <v>678</v>
      </c>
      <c r="AV428" s="442" t="s">
        <v>677</v>
      </c>
      <c r="AW428" s="442" t="s">
        <v>676</v>
      </c>
      <c r="AX428" s="442" t="s">
        <v>674</v>
      </c>
      <c r="AY428" s="442"/>
      <c r="AZ428" s="442"/>
      <c r="BA428" s="442" t="s">
        <v>679</v>
      </c>
      <c r="BB428" s="442"/>
      <c r="BC428" s="442"/>
      <c r="BD428" s="442"/>
      <c r="BE428" s="444"/>
      <c r="BF428" s="442" t="s">
        <v>298</v>
      </c>
      <c r="BG428" s="442" t="s">
        <v>680</v>
      </c>
      <c r="BH428" s="442" t="s">
        <v>681</v>
      </c>
      <c r="BI428" s="442"/>
    </row>
    <row r="429" spans="1:61">
      <c r="A429" s="442" t="s">
        <v>909</v>
      </c>
      <c r="B429" s="442" t="s">
        <v>909</v>
      </c>
      <c r="C429" s="442" t="s">
        <v>914</v>
      </c>
      <c r="D429" s="442" t="s">
        <v>673</v>
      </c>
      <c r="E429" s="442" t="s">
        <v>3</v>
      </c>
      <c r="F429" s="443" t="s">
        <v>83</v>
      </c>
      <c r="G429" s="443" t="s">
        <v>700</v>
      </c>
      <c r="H429" s="444">
        <v>880000</v>
      </c>
      <c r="I429" s="444">
        <v>880000</v>
      </c>
      <c r="J429" s="444">
        <v>0</v>
      </c>
      <c r="K429" s="444">
        <v>0</v>
      </c>
      <c r="L429" s="444">
        <v>880000</v>
      </c>
      <c r="M429" s="444">
        <v>0</v>
      </c>
      <c r="N429" s="444">
        <v>0</v>
      </c>
      <c r="O429" s="444">
        <v>0</v>
      </c>
      <c r="P429" s="444">
        <v>0</v>
      </c>
      <c r="Q429" s="444">
        <v>0</v>
      </c>
      <c r="R429" s="444">
        <v>0</v>
      </c>
      <c r="S429" s="444">
        <v>0</v>
      </c>
      <c r="T429" s="444">
        <v>0</v>
      </c>
      <c r="U429" s="444">
        <v>0</v>
      </c>
      <c r="V429" s="444">
        <v>0</v>
      </c>
      <c r="W429" s="444">
        <v>0</v>
      </c>
      <c r="X429" s="442" t="s">
        <v>674</v>
      </c>
      <c r="Y429" s="442" t="s">
        <v>675</v>
      </c>
      <c r="Z429" s="442" t="s">
        <v>675</v>
      </c>
      <c r="AA429" s="442" t="s">
        <v>675</v>
      </c>
      <c r="AB429" s="442" t="s">
        <v>675</v>
      </c>
      <c r="AC429" s="442"/>
      <c r="AD429" s="442"/>
      <c r="AE429" s="442"/>
      <c r="AF429" s="442"/>
      <c r="AG429" s="443" t="s">
        <v>912</v>
      </c>
      <c r="AH429" s="442"/>
      <c r="AI429" s="443" t="s">
        <v>912</v>
      </c>
      <c r="AJ429" s="443" t="s">
        <v>677</v>
      </c>
      <c r="AK429" s="442" t="s">
        <v>677</v>
      </c>
      <c r="AL429" s="442"/>
      <c r="AM429" s="442"/>
      <c r="AN429" s="442"/>
      <c r="AO429" s="442"/>
      <c r="AP429" s="442"/>
      <c r="AQ429" s="442"/>
      <c r="AR429" s="444"/>
      <c r="AS429" s="442"/>
      <c r="AT429" s="444"/>
      <c r="AU429" s="442" t="s">
        <v>678</v>
      </c>
      <c r="AV429" s="442" t="s">
        <v>677</v>
      </c>
      <c r="AW429" s="442" t="s">
        <v>676</v>
      </c>
      <c r="AX429" s="442" t="s">
        <v>674</v>
      </c>
      <c r="AY429" s="442"/>
      <c r="AZ429" s="442"/>
      <c r="BA429" s="442" t="s">
        <v>679</v>
      </c>
      <c r="BB429" s="442"/>
      <c r="BC429" s="442"/>
      <c r="BD429" s="442"/>
      <c r="BE429" s="444"/>
      <c r="BF429" s="442" t="s">
        <v>298</v>
      </c>
      <c r="BG429" s="442" t="s">
        <v>680</v>
      </c>
      <c r="BH429" s="442" t="s">
        <v>681</v>
      </c>
      <c r="BI429" s="442"/>
    </row>
    <row r="430" spans="1:61">
      <c r="A430" s="442" t="s">
        <v>909</v>
      </c>
      <c r="B430" s="442" t="s">
        <v>909</v>
      </c>
      <c r="C430" s="442" t="s">
        <v>914</v>
      </c>
      <c r="D430" s="442" t="s">
        <v>673</v>
      </c>
      <c r="E430" s="442" t="s">
        <v>3</v>
      </c>
      <c r="F430" s="443" t="s">
        <v>83</v>
      </c>
      <c r="G430" s="443" t="s">
        <v>700</v>
      </c>
      <c r="H430" s="444">
        <v>880000</v>
      </c>
      <c r="I430" s="444">
        <v>880000</v>
      </c>
      <c r="J430" s="444">
        <v>0</v>
      </c>
      <c r="K430" s="444">
        <v>0</v>
      </c>
      <c r="L430" s="444">
        <v>880000</v>
      </c>
      <c r="M430" s="444">
        <v>0</v>
      </c>
      <c r="N430" s="444">
        <v>0</v>
      </c>
      <c r="O430" s="444">
        <v>0</v>
      </c>
      <c r="P430" s="444">
        <v>0</v>
      </c>
      <c r="Q430" s="444">
        <v>0</v>
      </c>
      <c r="R430" s="444">
        <v>0</v>
      </c>
      <c r="S430" s="444">
        <v>0</v>
      </c>
      <c r="T430" s="444">
        <v>0</v>
      </c>
      <c r="U430" s="444">
        <v>0</v>
      </c>
      <c r="V430" s="444">
        <v>0</v>
      </c>
      <c r="W430" s="444">
        <v>0</v>
      </c>
      <c r="X430" s="442" t="s">
        <v>674</v>
      </c>
      <c r="Y430" s="442" t="s">
        <v>675</v>
      </c>
      <c r="Z430" s="442" t="s">
        <v>675</v>
      </c>
      <c r="AA430" s="442" t="s">
        <v>675</v>
      </c>
      <c r="AB430" s="442" t="s">
        <v>675</v>
      </c>
      <c r="AC430" s="442"/>
      <c r="AD430" s="442"/>
      <c r="AE430" s="442"/>
      <c r="AF430" s="442"/>
      <c r="AG430" s="443" t="s">
        <v>912</v>
      </c>
      <c r="AH430" s="442"/>
      <c r="AI430" s="443" t="s">
        <v>912</v>
      </c>
      <c r="AJ430" s="443" t="s">
        <v>677</v>
      </c>
      <c r="AK430" s="442" t="s">
        <v>677</v>
      </c>
      <c r="AL430" s="442"/>
      <c r="AM430" s="442"/>
      <c r="AN430" s="442"/>
      <c r="AO430" s="442"/>
      <c r="AP430" s="442"/>
      <c r="AQ430" s="442"/>
      <c r="AR430" s="444"/>
      <c r="AS430" s="442"/>
      <c r="AT430" s="444"/>
      <c r="AU430" s="442" t="s">
        <v>678</v>
      </c>
      <c r="AV430" s="442" t="s">
        <v>677</v>
      </c>
      <c r="AW430" s="442" t="s">
        <v>676</v>
      </c>
      <c r="AX430" s="442" t="s">
        <v>674</v>
      </c>
      <c r="AY430" s="442"/>
      <c r="AZ430" s="442"/>
      <c r="BA430" s="442" t="s">
        <v>679</v>
      </c>
      <c r="BB430" s="442"/>
      <c r="BC430" s="442"/>
      <c r="BD430" s="442"/>
      <c r="BE430" s="444"/>
      <c r="BF430" s="442" t="s">
        <v>298</v>
      </c>
      <c r="BG430" s="442" t="s">
        <v>680</v>
      </c>
      <c r="BH430" s="442" t="s">
        <v>681</v>
      </c>
      <c r="BI430" s="442"/>
    </row>
    <row r="431" spans="1:61">
      <c r="A431" s="442" t="s">
        <v>909</v>
      </c>
      <c r="B431" s="442" t="s">
        <v>909</v>
      </c>
      <c r="C431" s="442" t="s">
        <v>914</v>
      </c>
      <c r="D431" s="442" t="s">
        <v>673</v>
      </c>
      <c r="E431" s="442" t="s">
        <v>3</v>
      </c>
      <c r="F431" s="443" t="s">
        <v>83</v>
      </c>
      <c r="G431" s="443" t="s">
        <v>700</v>
      </c>
      <c r="H431" s="444">
        <v>9120000</v>
      </c>
      <c r="I431" s="444">
        <v>9120000</v>
      </c>
      <c r="J431" s="444">
        <v>0</v>
      </c>
      <c r="K431" s="444">
        <v>0</v>
      </c>
      <c r="L431" s="444">
        <v>9120000</v>
      </c>
      <c r="M431" s="444">
        <v>0</v>
      </c>
      <c r="N431" s="444">
        <v>0</v>
      </c>
      <c r="O431" s="444">
        <v>0</v>
      </c>
      <c r="P431" s="444">
        <v>0</v>
      </c>
      <c r="Q431" s="444">
        <v>0</v>
      </c>
      <c r="R431" s="444">
        <v>0</v>
      </c>
      <c r="S431" s="444">
        <v>0</v>
      </c>
      <c r="T431" s="444">
        <v>0</v>
      </c>
      <c r="U431" s="444">
        <v>0</v>
      </c>
      <c r="V431" s="444">
        <v>0</v>
      </c>
      <c r="W431" s="444">
        <v>0</v>
      </c>
      <c r="X431" s="442" t="s">
        <v>674</v>
      </c>
      <c r="Y431" s="442" t="s">
        <v>675</v>
      </c>
      <c r="Z431" s="442" t="s">
        <v>675</v>
      </c>
      <c r="AA431" s="442" t="s">
        <v>675</v>
      </c>
      <c r="AB431" s="442" t="s">
        <v>675</v>
      </c>
      <c r="AC431" s="442"/>
      <c r="AD431" s="442"/>
      <c r="AE431" s="442"/>
      <c r="AF431" s="442"/>
      <c r="AG431" s="443" t="s">
        <v>913</v>
      </c>
      <c r="AH431" s="442"/>
      <c r="AI431" s="443" t="s">
        <v>913</v>
      </c>
      <c r="AJ431" s="443" t="s">
        <v>677</v>
      </c>
      <c r="AK431" s="442" t="s">
        <v>677</v>
      </c>
      <c r="AL431" s="442"/>
      <c r="AM431" s="442"/>
      <c r="AN431" s="442"/>
      <c r="AO431" s="442"/>
      <c r="AP431" s="442"/>
      <c r="AQ431" s="442"/>
      <c r="AR431" s="444"/>
      <c r="AS431" s="442"/>
      <c r="AT431" s="444"/>
      <c r="AU431" s="442" t="s">
        <v>678</v>
      </c>
      <c r="AV431" s="442" t="s">
        <v>677</v>
      </c>
      <c r="AW431" s="442" t="s">
        <v>676</v>
      </c>
      <c r="AX431" s="442" t="s">
        <v>674</v>
      </c>
      <c r="AY431" s="442"/>
      <c r="AZ431" s="442"/>
      <c r="BA431" s="442" t="s">
        <v>679</v>
      </c>
      <c r="BB431" s="442"/>
      <c r="BC431" s="442"/>
      <c r="BD431" s="442"/>
      <c r="BE431" s="444"/>
      <c r="BF431" s="442" t="s">
        <v>298</v>
      </c>
      <c r="BG431" s="442" t="s">
        <v>680</v>
      </c>
      <c r="BH431" s="442" t="s">
        <v>681</v>
      </c>
      <c r="BI431" s="442"/>
    </row>
    <row r="432" spans="1:61">
      <c r="A432" s="442" t="s">
        <v>909</v>
      </c>
      <c r="B432" s="442" t="s">
        <v>909</v>
      </c>
      <c r="C432" s="442" t="s">
        <v>914</v>
      </c>
      <c r="D432" s="442" t="s">
        <v>673</v>
      </c>
      <c r="E432" s="442" t="s">
        <v>3</v>
      </c>
      <c r="F432" s="443" t="s">
        <v>83</v>
      </c>
      <c r="G432" s="443" t="s">
        <v>700</v>
      </c>
      <c r="H432" s="444">
        <v>9120000</v>
      </c>
      <c r="I432" s="444">
        <v>9120000</v>
      </c>
      <c r="J432" s="444">
        <v>0</v>
      </c>
      <c r="K432" s="444">
        <v>0</v>
      </c>
      <c r="L432" s="444">
        <v>9120000</v>
      </c>
      <c r="M432" s="444">
        <v>0</v>
      </c>
      <c r="N432" s="444">
        <v>0</v>
      </c>
      <c r="O432" s="444">
        <v>0</v>
      </c>
      <c r="P432" s="444">
        <v>0</v>
      </c>
      <c r="Q432" s="444">
        <v>0</v>
      </c>
      <c r="R432" s="444">
        <v>0</v>
      </c>
      <c r="S432" s="444">
        <v>0</v>
      </c>
      <c r="T432" s="444">
        <v>0</v>
      </c>
      <c r="U432" s="444">
        <v>0</v>
      </c>
      <c r="V432" s="444">
        <v>0</v>
      </c>
      <c r="W432" s="444">
        <v>0</v>
      </c>
      <c r="X432" s="442" t="s">
        <v>674</v>
      </c>
      <c r="Y432" s="442" t="s">
        <v>675</v>
      </c>
      <c r="Z432" s="442" t="s">
        <v>675</v>
      </c>
      <c r="AA432" s="442" t="s">
        <v>675</v>
      </c>
      <c r="AB432" s="442" t="s">
        <v>675</v>
      </c>
      <c r="AC432" s="442"/>
      <c r="AD432" s="442"/>
      <c r="AE432" s="442"/>
      <c r="AF432" s="442"/>
      <c r="AG432" s="443" t="s">
        <v>913</v>
      </c>
      <c r="AH432" s="442"/>
      <c r="AI432" s="443" t="s">
        <v>913</v>
      </c>
      <c r="AJ432" s="443" t="s">
        <v>677</v>
      </c>
      <c r="AK432" s="442" t="s">
        <v>677</v>
      </c>
      <c r="AL432" s="442"/>
      <c r="AM432" s="442"/>
      <c r="AN432" s="442"/>
      <c r="AO432" s="442"/>
      <c r="AP432" s="442"/>
      <c r="AQ432" s="442"/>
      <c r="AR432" s="444"/>
      <c r="AS432" s="442"/>
      <c r="AT432" s="444"/>
      <c r="AU432" s="442" t="s">
        <v>678</v>
      </c>
      <c r="AV432" s="442" t="s">
        <v>677</v>
      </c>
      <c r="AW432" s="442" t="s">
        <v>676</v>
      </c>
      <c r="AX432" s="442" t="s">
        <v>674</v>
      </c>
      <c r="AY432" s="442"/>
      <c r="AZ432" s="442"/>
      <c r="BA432" s="442" t="s">
        <v>679</v>
      </c>
      <c r="BB432" s="442"/>
      <c r="BC432" s="442"/>
      <c r="BD432" s="442"/>
      <c r="BE432" s="444"/>
      <c r="BF432" s="442" t="s">
        <v>298</v>
      </c>
      <c r="BG432" s="442" t="s">
        <v>680</v>
      </c>
      <c r="BH432" s="442" t="s">
        <v>681</v>
      </c>
      <c r="BI432" s="442"/>
    </row>
    <row r="433" spans="1:61">
      <c r="A433" s="442" t="s">
        <v>909</v>
      </c>
      <c r="B433" s="442" t="s">
        <v>909</v>
      </c>
      <c r="C433" s="442" t="s">
        <v>914</v>
      </c>
      <c r="D433" s="442" t="s">
        <v>673</v>
      </c>
      <c r="E433" s="442" t="s">
        <v>3</v>
      </c>
      <c r="F433" s="443" t="s">
        <v>83</v>
      </c>
      <c r="G433" s="443" t="s">
        <v>700</v>
      </c>
      <c r="H433" s="444">
        <v>880000</v>
      </c>
      <c r="I433" s="444">
        <v>880000</v>
      </c>
      <c r="J433" s="444">
        <v>0</v>
      </c>
      <c r="K433" s="444">
        <v>0</v>
      </c>
      <c r="L433" s="444">
        <v>880000</v>
      </c>
      <c r="M433" s="444">
        <v>0</v>
      </c>
      <c r="N433" s="444">
        <v>0</v>
      </c>
      <c r="O433" s="444">
        <v>0</v>
      </c>
      <c r="P433" s="444">
        <v>0</v>
      </c>
      <c r="Q433" s="444">
        <v>0</v>
      </c>
      <c r="R433" s="444">
        <v>0</v>
      </c>
      <c r="S433" s="444">
        <v>0</v>
      </c>
      <c r="T433" s="444">
        <v>0</v>
      </c>
      <c r="U433" s="444">
        <v>0</v>
      </c>
      <c r="V433" s="444">
        <v>0</v>
      </c>
      <c r="W433" s="444">
        <v>0</v>
      </c>
      <c r="X433" s="442" t="s">
        <v>674</v>
      </c>
      <c r="Y433" s="442" t="s">
        <v>675</v>
      </c>
      <c r="Z433" s="442" t="s">
        <v>675</v>
      </c>
      <c r="AA433" s="442" t="s">
        <v>675</v>
      </c>
      <c r="AB433" s="442" t="s">
        <v>675</v>
      </c>
      <c r="AC433" s="442"/>
      <c r="AD433" s="442"/>
      <c r="AE433" s="442"/>
      <c r="AF433" s="442"/>
      <c r="AG433" s="443" t="s">
        <v>912</v>
      </c>
      <c r="AH433" s="442"/>
      <c r="AI433" s="443" t="s">
        <v>912</v>
      </c>
      <c r="AJ433" s="443" t="s">
        <v>677</v>
      </c>
      <c r="AK433" s="442" t="s">
        <v>677</v>
      </c>
      <c r="AL433" s="442"/>
      <c r="AM433" s="442"/>
      <c r="AN433" s="442"/>
      <c r="AO433" s="442"/>
      <c r="AP433" s="442"/>
      <c r="AQ433" s="442"/>
      <c r="AR433" s="444"/>
      <c r="AS433" s="442"/>
      <c r="AT433" s="444"/>
      <c r="AU433" s="442" t="s">
        <v>678</v>
      </c>
      <c r="AV433" s="442" t="s">
        <v>677</v>
      </c>
      <c r="AW433" s="442" t="s">
        <v>676</v>
      </c>
      <c r="AX433" s="442" t="s">
        <v>674</v>
      </c>
      <c r="AY433" s="442"/>
      <c r="AZ433" s="442"/>
      <c r="BA433" s="442" t="s">
        <v>679</v>
      </c>
      <c r="BB433" s="442"/>
      <c r="BC433" s="442"/>
      <c r="BD433" s="442"/>
      <c r="BE433" s="444"/>
      <c r="BF433" s="442" t="s">
        <v>298</v>
      </c>
      <c r="BG433" s="442" t="s">
        <v>680</v>
      </c>
      <c r="BH433" s="442" t="s">
        <v>681</v>
      </c>
      <c r="BI433" s="442"/>
    </row>
    <row r="434" spans="1:61">
      <c r="A434" s="442" t="s">
        <v>909</v>
      </c>
      <c r="B434" s="442" t="s">
        <v>909</v>
      </c>
      <c r="C434" s="442" t="s">
        <v>914</v>
      </c>
      <c r="D434" s="442" t="s">
        <v>673</v>
      </c>
      <c r="E434" s="442" t="s">
        <v>3</v>
      </c>
      <c r="F434" s="443" t="s">
        <v>83</v>
      </c>
      <c r="G434" s="443" t="s">
        <v>700</v>
      </c>
      <c r="H434" s="444">
        <v>880000</v>
      </c>
      <c r="I434" s="444">
        <v>880000</v>
      </c>
      <c r="J434" s="444">
        <v>0</v>
      </c>
      <c r="K434" s="444">
        <v>0</v>
      </c>
      <c r="L434" s="444">
        <v>880000</v>
      </c>
      <c r="M434" s="444">
        <v>0</v>
      </c>
      <c r="N434" s="444">
        <v>0</v>
      </c>
      <c r="O434" s="444">
        <v>0</v>
      </c>
      <c r="P434" s="444">
        <v>0</v>
      </c>
      <c r="Q434" s="444">
        <v>0</v>
      </c>
      <c r="R434" s="444">
        <v>0</v>
      </c>
      <c r="S434" s="444">
        <v>0</v>
      </c>
      <c r="T434" s="444">
        <v>0</v>
      </c>
      <c r="U434" s="444">
        <v>0</v>
      </c>
      <c r="V434" s="444">
        <v>0</v>
      </c>
      <c r="W434" s="444">
        <v>0</v>
      </c>
      <c r="X434" s="442" t="s">
        <v>674</v>
      </c>
      <c r="Y434" s="442" t="s">
        <v>675</v>
      </c>
      <c r="Z434" s="442" t="s">
        <v>675</v>
      </c>
      <c r="AA434" s="442" t="s">
        <v>675</v>
      </c>
      <c r="AB434" s="442" t="s">
        <v>675</v>
      </c>
      <c r="AC434" s="442"/>
      <c r="AD434" s="442"/>
      <c r="AE434" s="442"/>
      <c r="AF434" s="442"/>
      <c r="AG434" s="443" t="s">
        <v>912</v>
      </c>
      <c r="AH434" s="442"/>
      <c r="AI434" s="443" t="s">
        <v>912</v>
      </c>
      <c r="AJ434" s="443" t="s">
        <v>677</v>
      </c>
      <c r="AK434" s="442" t="s">
        <v>677</v>
      </c>
      <c r="AL434" s="442"/>
      <c r="AM434" s="442"/>
      <c r="AN434" s="442"/>
      <c r="AO434" s="442"/>
      <c r="AP434" s="442"/>
      <c r="AQ434" s="442"/>
      <c r="AR434" s="444"/>
      <c r="AS434" s="442"/>
      <c r="AT434" s="444"/>
      <c r="AU434" s="442" t="s">
        <v>678</v>
      </c>
      <c r="AV434" s="442" t="s">
        <v>677</v>
      </c>
      <c r="AW434" s="442" t="s">
        <v>676</v>
      </c>
      <c r="AX434" s="442" t="s">
        <v>674</v>
      </c>
      <c r="AY434" s="442"/>
      <c r="AZ434" s="442"/>
      <c r="BA434" s="442" t="s">
        <v>679</v>
      </c>
      <c r="BB434" s="442"/>
      <c r="BC434" s="442"/>
      <c r="BD434" s="442"/>
      <c r="BE434" s="444"/>
      <c r="BF434" s="442" t="s">
        <v>298</v>
      </c>
      <c r="BG434" s="442" t="s">
        <v>680</v>
      </c>
      <c r="BH434" s="442" t="s">
        <v>681</v>
      </c>
      <c r="BI434" s="442"/>
    </row>
    <row r="435" spans="1:61">
      <c r="A435" s="442" t="s">
        <v>909</v>
      </c>
      <c r="B435" s="442" t="s">
        <v>909</v>
      </c>
      <c r="C435" s="442" t="s">
        <v>914</v>
      </c>
      <c r="D435" s="442" t="s">
        <v>673</v>
      </c>
      <c r="E435" s="442" t="s">
        <v>3</v>
      </c>
      <c r="F435" s="443" t="s">
        <v>83</v>
      </c>
      <c r="G435" s="443" t="s">
        <v>700</v>
      </c>
      <c r="H435" s="444">
        <v>9120000</v>
      </c>
      <c r="I435" s="444">
        <v>9120000</v>
      </c>
      <c r="J435" s="444">
        <v>0</v>
      </c>
      <c r="K435" s="444">
        <v>0</v>
      </c>
      <c r="L435" s="444">
        <v>9120000</v>
      </c>
      <c r="M435" s="444">
        <v>0</v>
      </c>
      <c r="N435" s="444">
        <v>0</v>
      </c>
      <c r="O435" s="444">
        <v>0</v>
      </c>
      <c r="P435" s="444">
        <v>0</v>
      </c>
      <c r="Q435" s="444">
        <v>0</v>
      </c>
      <c r="R435" s="444">
        <v>0</v>
      </c>
      <c r="S435" s="444">
        <v>0</v>
      </c>
      <c r="T435" s="444">
        <v>0</v>
      </c>
      <c r="U435" s="444">
        <v>0</v>
      </c>
      <c r="V435" s="444">
        <v>0</v>
      </c>
      <c r="W435" s="444">
        <v>0</v>
      </c>
      <c r="X435" s="442" t="s">
        <v>674</v>
      </c>
      <c r="Y435" s="442" t="s">
        <v>675</v>
      </c>
      <c r="Z435" s="442" t="s">
        <v>675</v>
      </c>
      <c r="AA435" s="442" t="s">
        <v>675</v>
      </c>
      <c r="AB435" s="442" t="s">
        <v>675</v>
      </c>
      <c r="AC435" s="442"/>
      <c r="AD435" s="442"/>
      <c r="AE435" s="442"/>
      <c r="AF435" s="442"/>
      <c r="AG435" s="443" t="s">
        <v>913</v>
      </c>
      <c r="AH435" s="442"/>
      <c r="AI435" s="443" t="s">
        <v>913</v>
      </c>
      <c r="AJ435" s="443" t="s">
        <v>677</v>
      </c>
      <c r="AK435" s="442" t="s">
        <v>677</v>
      </c>
      <c r="AL435" s="442"/>
      <c r="AM435" s="442"/>
      <c r="AN435" s="442"/>
      <c r="AO435" s="442"/>
      <c r="AP435" s="442"/>
      <c r="AQ435" s="442"/>
      <c r="AR435" s="444"/>
      <c r="AS435" s="442"/>
      <c r="AT435" s="444"/>
      <c r="AU435" s="442" t="s">
        <v>678</v>
      </c>
      <c r="AV435" s="442" t="s">
        <v>677</v>
      </c>
      <c r="AW435" s="442" t="s">
        <v>676</v>
      </c>
      <c r="AX435" s="442" t="s">
        <v>674</v>
      </c>
      <c r="AY435" s="442"/>
      <c r="AZ435" s="442"/>
      <c r="BA435" s="442" t="s">
        <v>679</v>
      </c>
      <c r="BB435" s="442"/>
      <c r="BC435" s="442"/>
      <c r="BD435" s="442"/>
      <c r="BE435" s="444"/>
      <c r="BF435" s="442" t="s">
        <v>298</v>
      </c>
      <c r="BG435" s="442" t="s">
        <v>680</v>
      </c>
      <c r="BH435" s="442" t="s">
        <v>681</v>
      </c>
      <c r="BI435" s="442"/>
    </row>
    <row r="436" spans="1:61">
      <c r="A436" s="442" t="s">
        <v>909</v>
      </c>
      <c r="B436" s="442" t="s">
        <v>909</v>
      </c>
      <c r="C436" s="442" t="s">
        <v>914</v>
      </c>
      <c r="D436" s="442" t="s">
        <v>673</v>
      </c>
      <c r="E436" s="442" t="s">
        <v>3</v>
      </c>
      <c r="F436" s="443" t="s">
        <v>83</v>
      </c>
      <c r="G436" s="443" t="s">
        <v>700</v>
      </c>
      <c r="H436" s="444">
        <v>4560000</v>
      </c>
      <c r="I436" s="444">
        <v>4560000</v>
      </c>
      <c r="J436" s="444">
        <v>0</v>
      </c>
      <c r="K436" s="444">
        <v>0</v>
      </c>
      <c r="L436" s="444">
        <v>4560000</v>
      </c>
      <c r="M436" s="444">
        <v>0</v>
      </c>
      <c r="N436" s="444">
        <v>0</v>
      </c>
      <c r="O436" s="444">
        <v>0</v>
      </c>
      <c r="P436" s="444">
        <v>0</v>
      </c>
      <c r="Q436" s="444">
        <v>0</v>
      </c>
      <c r="R436" s="444">
        <v>0</v>
      </c>
      <c r="S436" s="444">
        <v>0</v>
      </c>
      <c r="T436" s="444">
        <v>0</v>
      </c>
      <c r="U436" s="444">
        <v>0</v>
      </c>
      <c r="V436" s="444">
        <v>0</v>
      </c>
      <c r="W436" s="444">
        <v>0</v>
      </c>
      <c r="X436" s="442" t="s">
        <v>674</v>
      </c>
      <c r="Y436" s="442" t="s">
        <v>675</v>
      </c>
      <c r="Z436" s="442" t="s">
        <v>675</v>
      </c>
      <c r="AA436" s="442" t="s">
        <v>675</v>
      </c>
      <c r="AB436" s="442" t="s">
        <v>675</v>
      </c>
      <c r="AC436" s="442"/>
      <c r="AD436" s="442"/>
      <c r="AE436" s="442"/>
      <c r="AF436" s="442"/>
      <c r="AG436" s="443" t="s">
        <v>913</v>
      </c>
      <c r="AH436" s="442"/>
      <c r="AI436" s="443" t="s">
        <v>913</v>
      </c>
      <c r="AJ436" s="443" t="s">
        <v>677</v>
      </c>
      <c r="AK436" s="442" t="s">
        <v>677</v>
      </c>
      <c r="AL436" s="442"/>
      <c r="AM436" s="442"/>
      <c r="AN436" s="442"/>
      <c r="AO436" s="442"/>
      <c r="AP436" s="442"/>
      <c r="AQ436" s="442"/>
      <c r="AR436" s="444"/>
      <c r="AS436" s="442"/>
      <c r="AT436" s="444"/>
      <c r="AU436" s="442" t="s">
        <v>678</v>
      </c>
      <c r="AV436" s="442" t="s">
        <v>677</v>
      </c>
      <c r="AW436" s="442" t="s">
        <v>676</v>
      </c>
      <c r="AX436" s="442" t="s">
        <v>674</v>
      </c>
      <c r="AY436" s="442"/>
      <c r="AZ436" s="442"/>
      <c r="BA436" s="442" t="s">
        <v>679</v>
      </c>
      <c r="BB436" s="442"/>
      <c r="BC436" s="442"/>
      <c r="BD436" s="442"/>
      <c r="BE436" s="444"/>
      <c r="BF436" s="442" t="s">
        <v>298</v>
      </c>
      <c r="BG436" s="442" t="s">
        <v>680</v>
      </c>
      <c r="BH436" s="442" t="s">
        <v>681</v>
      </c>
      <c r="BI436" s="442"/>
    </row>
    <row r="437" spans="1:61">
      <c r="A437" s="442" t="s">
        <v>914</v>
      </c>
      <c r="B437" s="442" t="s">
        <v>914</v>
      </c>
      <c r="C437" s="442" t="s">
        <v>914</v>
      </c>
      <c r="D437" s="442" t="s">
        <v>673</v>
      </c>
      <c r="E437" s="442" t="s">
        <v>3</v>
      </c>
      <c r="F437" s="443" t="s">
        <v>83</v>
      </c>
      <c r="G437" s="443" t="s">
        <v>700</v>
      </c>
      <c r="H437" s="444">
        <v>1320000</v>
      </c>
      <c r="I437" s="444">
        <v>1320000</v>
      </c>
      <c r="J437" s="444">
        <v>0</v>
      </c>
      <c r="K437" s="444">
        <v>0</v>
      </c>
      <c r="L437" s="444">
        <v>1320000</v>
      </c>
      <c r="M437" s="444">
        <v>0</v>
      </c>
      <c r="N437" s="444">
        <v>0</v>
      </c>
      <c r="O437" s="444">
        <v>0</v>
      </c>
      <c r="P437" s="444">
        <v>0</v>
      </c>
      <c r="Q437" s="444">
        <v>0</v>
      </c>
      <c r="R437" s="444">
        <v>0</v>
      </c>
      <c r="S437" s="444">
        <v>0</v>
      </c>
      <c r="T437" s="444">
        <v>0</v>
      </c>
      <c r="U437" s="444">
        <v>0</v>
      </c>
      <c r="V437" s="444">
        <v>0</v>
      </c>
      <c r="W437" s="444">
        <v>0</v>
      </c>
      <c r="X437" s="442" t="s">
        <v>674</v>
      </c>
      <c r="Y437" s="442" t="s">
        <v>675</v>
      </c>
      <c r="Z437" s="442" t="s">
        <v>675</v>
      </c>
      <c r="AA437" s="442" t="s">
        <v>675</v>
      </c>
      <c r="AB437" s="442" t="s">
        <v>675</v>
      </c>
      <c r="AC437" s="442"/>
      <c r="AD437" s="442"/>
      <c r="AE437" s="442"/>
      <c r="AF437" s="442"/>
      <c r="AG437" s="443" t="s">
        <v>912</v>
      </c>
      <c r="AH437" s="442"/>
      <c r="AI437" s="443" t="s">
        <v>912</v>
      </c>
      <c r="AJ437" s="443" t="s">
        <v>677</v>
      </c>
      <c r="AK437" s="442" t="s">
        <v>677</v>
      </c>
      <c r="AL437" s="442"/>
      <c r="AM437" s="442"/>
      <c r="AN437" s="442"/>
      <c r="AO437" s="442"/>
      <c r="AP437" s="442"/>
      <c r="AQ437" s="442"/>
      <c r="AR437" s="444"/>
      <c r="AS437" s="442"/>
      <c r="AT437" s="444"/>
      <c r="AU437" s="442" t="s">
        <v>678</v>
      </c>
      <c r="AV437" s="442" t="s">
        <v>677</v>
      </c>
      <c r="AW437" s="442" t="s">
        <v>676</v>
      </c>
      <c r="AX437" s="442" t="s">
        <v>674</v>
      </c>
      <c r="AY437" s="442"/>
      <c r="AZ437" s="442"/>
      <c r="BA437" s="442" t="s">
        <v>679</v>
      </c>
      <c r="BB437" s="442"/>
      <c r="BC437" s="442"/>
      <c r="BD437" s="442"/>
      <c r="BE437" s="444"/>
      <c r="BF437" s="442" t="s">
        <v>298</v>
      </c>
      <c r="BG437" s="442" t="s">
        <v>680</v>
      </c>
      <c r="BH437" s="442" t="s">
        <v>681</v>
      </c>
      <c r="BI437" s="442"/>
    </row>
    <row r="438" spans="1:61">
      <c r="A438" s="442" t="s">
        <v>914</v>
      </c>
      <c r="B438" s="442" t="s">
        <v>914</v>
      </c>
      <c r="C438" s="442" t="s">
        <v>914</v>
      </c>
      <c r="D438" s="442" t="s">
        <v>673</v>
      </c>
      <c r="E438" s="442" t="s">
        <v>3</v>
      </c>
      <c r="F438" s="443" t="s">
        <v>83</v>
      </c>
      <c r="G438" s="443" t="s">
        <v>700</v>
      </c>
      <c r="H438" s="444">
        <v>9120000</v>
      </c>
      <c r="I438" s="444">
        <v>9120000</v>
      </c>
      <c r="J438" s="444">
        <v>0</v>
      </c>
      <c r="K438" s="444">
        <v>0</v>
      </c>
      <c r="L438" s="444">
        <v>9120000</v>
      </c>
      <c r="M438" s="444">
        <v>0</v>
      </c>
      <c r="N438" s="444">
        <v>0</v>
      </c>
      <c r="O438" s="444">
        <v>0</v>
      </c>
      <c r="P438" s="444">
        <v>0</v>
      </c>
      <c r="Q438" s="444">
        <v>0</v>
      </c>
      <c r="R438" s="444">
        <v>0</v>
      </c>
      <c r="S438" s="444">
        <v>0</v>
      </c>
      <c r="T438" s="444">
        <v>0</v>
      </c>
      <c r="U438" s="444">
        <v>0</v>
      </c>
      <c r="V438" s="444">
        <v>0</v>
      </c>
      <c r="W438" s="444">
        <v>0</v>
      </c>
      <c r="X438" s="442" t="s">
        <v>674</v>
      </c>
      <c r="Y438" s="442" t="s">
        <v>675</v>
      </c>
      <c r="Z438" s="442" t="s">
        <v>675</v>
      </c>
      <c r="AA438" s="442" t="s">
        <v>675</v>
      </c>
      <c r="AB438" s="442" t="s">
        <v>675</v>
      </c>
      <c r="AC438" s="442"/>
      <c r="AD438" s="442"/>
      <c r="AE438" s="442"/>
      <c r="AF438" s="442"/>
      <c r="AG438" s="443" t="s">
        <v>913</v>
      </c>
      <c r="AH438" s="442"/>
      <c r="AI438" s="443" t="s">
        <v>913</v>
      </c>
      <c r="AJ438" s="443" t="s">
        <v>677</v>
      </c>
      <c r="AK438" s="442" t="s">
        <v>677</v>
      </c>
      <c r="AL438" s="442"/>
      <c r="AM438" s="442"/>
      <c r="AN438" s="442"/>
      <c r="AO438" s="442"/>
      <c r="AP438" s="442"/>
      <c r="AQ438" s="442"/>
      <c r="AR438" s="444"/>
      <c r="AS438" s="442"/>
      <c r="AT438" s="444"/>
      <c r="AU438" s="442" t="s">
        <v>678</v>
      </c>
      <c r="AV438" s="442" t="s">
        <v>677</v>
      </c>
      <c r="AW438" s="442" t="s">
        <v>676</v>
      </c>
      <c r="AX438" s="442" t="s">
        <v>674</v>
      </c>
      <c r="AY438" s="442"/>
      <c r="AZ438" s="442"/>
      <c r="BA438" s="442" t="s">
        <v>679</v>
      </c>
      <c r="BB438" s="442"/>
      <c r="BC438" s="442"/>
      <c r="BD438" s="442"/>
      <c r="BE438" s="444"/>
      <c r="BF438" s="442" t="s">
        <v>298</v>
      </c>
      <c r="BG438" s="442" t="s">
        <v>680</v>
      </c>
      <c r="BH438" s="442" t="s">
        <v>681</v>
      </c>
      <c r="BI438" s="442"/>
    </row>
    <row r="439" spans="1:61">
      <c r="A439" s="442" t="s">
        <v>914</v>
      </c>
      <c r="B439" s="442" t="s">
        <v>914</v>
      </c>
      <c r="C439" s="442" t="s">
        <v>914</v>
      </c>
      <c r="D439" s="442" t="s">
        <v>673</v>
      </c>
      <c r="E439" s="442" t="s">
        <v>3</v>
      </c>
      <c r="F439" s="443" t="s">
        <v>83</v>
      </c>
      <c r="G439" s="443" t="s">
        <v>700</v>
      </c>
      <c r="H439" s="444">
        <v>880000</v>
      </c>
      <c r="I439" s="444">
        <v>880000</v>
      </c>
      <c r="J439" s="444">
        <v>0</v>
      </c>
      <c r="K439" s="444">
        <v>0</v>
      </c>
      <c r="L439" s="444">
        <v>880000</v>
      </c>
      <c r="M439" s="444">
        <v>0</v>
      </c>
      <c r="N439" s="444">
        <v>0</v>
      </c>
      <c r="O439" s="444">
        <v>0</v>
      </c>
      <c r="P439" s="444">
        <v>0</v>
      </c>
      <c r="Q439" s="444">
        <v>0</v>
      </c>
      <c r="R439" s="444">
        <v>0</v>
      </c>
      <c r="S439" s="444">
        <v>0</v>
      </c>
      <c r="T439" s="444">
        <v>0</v>
      </c>
      <c r="U439" s="444">
        <v>0</v>
      </c>
      <c r="V439" s="444">
        <v>0</v>
      </c>
      <c r="W439" s="444">
        <v>0</v>
      </c>
      <c r="X439" s="442" t="s">
        <v>674</v>
      </c>
      <c r="Y439" s="442" t="s">
        <v>675</v>
      </c>
      <c r="Z439" s="442" t="s">
        <v>675</v>
      </c>
      <c r="AA439" s="442" t="s">
        <v>675</v>
      </c>
      <c r="AB439" s="442" t="s">
        <v>675</v>
      </c>
      <c r="AC439" s="442"/>
      <c r="AD439" s="442"/>
      <c r="AE439" s="442"/>
      <c r="AF439" s="442"/>
      <c r="AG439" s="443" t="s">
        <v>912</v>
      </c>
      <c r="AH439" s="442"/>
      <c r="AI439" s="443" t="s">
        <v>912</v>
      </c>
      <c r="AJ439" s="443" t="s">
        <v>677</v>
      </c>
      <c r="AK439" s="442" t="s">
        <v>677</v>
      </c>
      <c r="AL439" s="442"/>
      <c r="AM439" s="442"/>
      <c r="AN439" s="442"/>
      <c r="AO439" s="442"/>
      <c r="AP439" s="442"/>
      <c r="AQ439" s="442"/>
      <c r="AR439" s="444"/>
      <c r="AS439" s="442"/>
      <c r="AT439" s="444"/>
      <c r="AU439" s="442" t="s">
        <v>678</v>
      </c>
      <c r="AV439" s="442" t="s">
        <v>677</v>
      </c>
      <c r="AW439" s="442" t="s">
        <v>676</v>
      </c>
      <c r="AX439" s="442" t="s">
        <v>674</v>
      </c>
      <c r="AY439" s="442"/>
      <c r="AZ439" s="442"/>
      <c r="BA439" s="442" t="s">
        <v>679</v>
      </c>
      <c r="BB439" s="442"/>
      <c r="BC439" s="442"/>
      <c r="BD439" s="442"/>
      <c r="BE439" s="444"/>
      <c r="BF439" s="442" t="s">
        <v>298</v>
      </c>
      <c r="BG439" s="442" t="s">
        <v>680</v>
      </c>
      <c r="BH439" s="442" t="s">
        <v>681</v>
      </c>
      <c r="BI439" s="442"/>
    </row>
    <row r="440" spans="1:61">
      <c r="A440" s="442" t="s">
        <v>914</v>
      </c>
      <c r="B440" s="442" t="s">
        <v>914</v>
      </c>
      <c r="C440" s="442" t="s">
        <v>914</v>
      </c>
      <c r="D440" s="442" t="s">
        <v>673</v>
      </c>
      <c r="E440" s="442" t="s">
        <v>3</v>
      </c>
      <c r="F440" s="443" t="s">
        <v>83</v>
      </c>
      <c r="G440" s="443" t="s">
        <v>700</v>
      </c>
      <c r="H440" s="444">
        <v>9120000</v>
      </c>
      <c r="I440" s="444">
        <v>9120000</v>
      </c>
      <c r="J440" s="444">
        <v>0</v>
      </c>
      <c r="K440" s="444">
        <v>0</v>
      </c>
      <c r="L440" s="444">
        <v>9120000</v>
      </c>
      <c r="M440" s="444">
        <v>0</v>
      </c>
      <c r="N440" s="444">
        <v>0</v>
      </c>
      <c r="O440" s="444">
        <v>0</v>
      </c>
      <c r="P440" s="444">
        <v>0</v>
      </c>
      <c r="Q440" s="444">
        <v>0</v>
      </c>
      <c r="R440" s="444">
        <v>0</v>
      </c>
      <c r="S440" s="444">
        <v>0</v>
      </c>
      <c r="T440" s="444">
        <v>0</v>
      </c>
      <c r="U440" s="444">
        <v>0</v>
      </c>
      <c r="V440" s="444">
        <v>0</v>
      </c>
      <c r="W440" s="444">
        <v>0</v>
      </c>
      <c r="X440" s="442" t="s">
        <v>674</v>
      </c>
      <c r="Y440" s="442" t="s">
        <v>675</v>
      </c>
      <c r="Z440" s="442" t="s">
        <v>675</v>
      </c>
      <c r="AA440" s="442" t="s">
        <v>675</v>
      </c>
      <c r="AB440" s="442" t="s">
        <v>675</v>
      </c>
      <c r="AC440" s="442"/>
      <c r="AD440" s="442"/>
      <c r="AE440" s="442"/>
      <c r="AF440" s="442"/>
      <c r="AG440" s="443" t="s">
        <v>913</v>
      </c>
      <c r="AH440" s="442"/>
      <c r="AI440" s="443" t="s">
        <v>913</v>
      </c>
      <c r="AJ440" s="443" t="s">
        <v>677</v>
      </c>
      <c r="AK440" s="442" t="s">
        <v>677</v>
      </c>
      <c r="AL440" s="442"/>
      <c r="AM440" s="442"/>
      <c r="AN440" s="442"/>
      <c r="AO440" s="442"/>
      <c r="AP440" s="442"/>
      <c r="AQ440" s="442"/>
      <c r="AR440" s="444"/>
      <c r="AS440" s="442"/>
      <c r="AT440" s="444"/>
      <c r="AU440" s="442" t="s">
        <v>678</v>
      </c>
      <c r="AV440" s="442" t="s">
        <v>677</v>
      </c>
      <c r="AW440" s="442" t="s">
        <v>676</v>
      </c>
      <c r="AX440" s="442" t="s">
        <v>674</v>
      </c>
      <c r="AY440" s="442"/>
      <c r="AZ440" s="442"/>
      <c r="BA440" s="442" t="s">
        <v>679</v>
      </c>
      <c r="BB440" s="442"/>
      <c r="BC440" s="442"/>
      <c r="BD440" s="442"/>
      <c r="BE440" s="444"/>
      <c r="BF440" s="442" t="s">
        <v>298</v>
      </c>
      <c r="BG440" s="442" t="s">
        <v>680</v>
      </c>
      <c r="BH440" s="442" t="s">
        <v>681</v>
      </c>
      <c r="BI440" s="442"/>
    </row>
    <row r="441" spans="1:61">
      <c r="A441" s="442" t="s">
        <v>914</v>
      </c>
      <c r="B441" s="442" t="s">
        <v>914</v>
      </c>
      <c r="C441" s="442" t="s">
        <v>914</v>
      </c>
      <c r="D441" s="442" t="s">
        <v>673</v>
      </c>
      <c r="E441" s="442" t="s">
        <v>3</v>
      </c>
      <c r="F441" s="443" t="s">
        <v>83</v>
      </c>
      <c r="G441" s="443" t="s">
        <v>700</v>
      </c>
      <c r="H441" s="444">
        <v>13680000</v>
      </c>
      <c r="I441" s="444">
        <v>13680000</v>
      </c>
      <c r="J441" s="444">
        <v>0</v>
      </c>
      <c r="K441" s="444">
        <v>0</v>
      </c>
      <c r="L441" s="444">
        <v>13680000</v>
      </c>
      <c r="M441" s="444">
        <v>0</v>
      </c>
      <c r="N441" s="444">
        <v>0</v>
      </c>
      <c r="O441" s="444">
        <v>0</v>
      </c>
      <c r="P441" s="444">
        <v>0</v>
      </c>
      <c r="Q441" s="444">
        <v>0</v>
      </c>
      <c r="R441" s="444">
        <v>0</v>
      </c>
      <c r="S441" s="444">
        <v>0</v>
      </c>
      <c r="T441" s="444">
        <v>0</v>
      </c>
      <c r="U441" s="444">
        <v>0</v>
      </c>
      <c r="V441" s="444">
        <v>0</v>
      </c>
      <c r="W441" s="444">
        <v>0</v>
      </c>
      <c r="X441" s="442" t="s">
        <v>674</v>
      </c>
      <c r="Y441" s="442" t="s">
        <v>675</v>
      </c>
      <c r="Z441" s="442" t="s">
        <v>675</v>
      </c>
      <c r="AA441" s="442" t="s">
        <v>675</v>
      </c>
      <c r="AB441" s="442" t="s">
        <v>675</v>
      </c>
      <c r="AC441" s="442"/>
      <c r="AD441" s="442"/>
      <c r="AE441" s="442"/>
      <c r="AF441" s="442"/>
      <c r="AG441" s="443" t="s">
        <v>913</v>
      </c>
      <c r="AH441" s="442"/>
      <c r="AI441" s="443" t="s">
        <v>913</v>
      </c>
      <c r="AJ441" s="443" t="s">
        <v>677</v>
      </c>
      <c r="AK441" s="442" t="s">
        <v>677</v>
      </c>
      <c r="AL441" s="442"/>
      <c r="AM441" s="442"/>
      <c r="AN441" s="442"/>
      <c r="AO441" s="442"/>
      <c r="AP441" s="442"/>
      <c r="AQ441" s="442"/>
      <c r="AR441" s="444"/>
      <c r="AS441" s="442"/>
      <c r="AT441" s="444"/>
      <c r="AU441" s="442" t="s">
        <v>678</v>
      </c>
      <c r="AV441" s="442" t="s">
        <v>677</v>
      </c>
      <c r="AW441" s="442" t="s">
        <v>676</v>
      </c>
      <c r="AX441" s="442" t="s">
        <v>674</v>
      </c>
      <c r="AY441" s="442"/>
      <c r="AZ441" s="442"/>
      <c r="BA441" s="442" t="s">
        <v>679</v>
      </c>
      <c r="BB441" s="442"/>
      <c r="BC441" s="442"/>
      <c r="BD441" s="442"/>
      <c r="BE441" s="444"/>
      <c r="BF441" s="442" t="s">
        <v>298</v>
      </c>
      <c r="BG441" s="442" t="s">
        <v>680</v>
      </c>
      <c r="BH441" s="442" t="s">
        <v>681</v>
      </c>
      <c r="BI441" s="442"/>
    </row>
    <row r="442" spans="1:61">
      <c r="A442" s="442" t="s">
        <v>914</v>
      </c>
      <c r="B442" s="442" t="s">
        <v>914</v>
      </c>
      <c r="C442" s="442" t="s">
        <v>914</v>
      </c>
      <c r="D442" s="442" t="s">
        <v>673</v>
      </c>
      <c r="E442" s="442" t="s">
        <v>3</v>
      </c>
      <c r="F442" s="443" t="s">
        <v>83</v>
      </c>
      <c r="G442" s="443" t="s">
        <v>700</v>
      </c>
      <c r="H442" s="444">
        <v>880000</v>
      </c>
      <c r="I442" s="444">
        <v>880000</v>
      </c>
      <c r="J442" s="444">
        <v>0</v>
      </c>
      <c r="K442" s="444">
        <v>0</v>
      </c>
      <c r="L442" s="444">
        <v>880000</v>
      </c>
      <c r="M442" s="444">
        <v>0</v>
      </c>
      <c r="N442" s="444">
        <v>0</v>
      </c>
      <c r="O442" s="444">
        <v>0</v>
      </c>
      <c r="P442" s="444">
        <v>0</v>
      </c>
      <c r="Q442" s="444">
        <v>0</v>
      </c>
      <c r="R442" s="444">
        <v>0</v>
      </c>
      <c r="S442" s="444">
        <v>0</v>
      </c>
      <c r="T442" s="444">
        <v>0</v>
      </c>
      <c r="U442" s="444">
        <v>0</v>
      </c>
      <c r="V442" s="444">
        <v>0</v>
      </c>
      <c r="W442" s="444">
        <v>0</v>
      </c>
      <c r="X442" s="442" t="s">
        <v>674</v>
      </c>
      <c r="Y442" s="442" t="s">
        <v>675</v>
      </c>
      <c r="Z442" s="442" t="s">
        <v>675</v>
      </c>
      <c r="AA442" s="442" t="s">
        <v>675</v>
      </c>
      <c r="AB442" s="442" t="s">
        <v>675</v>
      </c>
      <c r="AC442" s="442"/>
      <c r="AD442" s="442"/>
      <c r="AE442" s="442"/>
      <c r="AF442" s="442"/>
      <c r="AG442" s="443" t="s">
        <v>912</v>
      </c>
      <c r="AH442" s="442"/>
      <c r="AI442" s="443" t="s">
        <v>912</v>
      </c>
      <c r="AJ442" s="443" t="s">
        <v>677</v>
      </c>
      <c r="AK442" s="442" t="s">
        <v>677</v>
      </c>
      <c r="AL442" s="442"/>
      <c r="AM442" s="442"/>
      <c r="AN442" s="442"/>
      <c r="AO442" s="442"/>
      <c r="AP442" s="442"/>
      <c r="AQ442" s="442"/>
      <c r="AR442" s="444"/>
      <c r="AS442" s="442"/>
      <c r="AT442" s="444"/>
      <c r="AU442" s="442" t="s">
        <v>678</v>
      </c>
      <c r="AV442" s="442" t="s">
        <v>677</v>
      </c>
      <c r="AW442" s="442" t="s">
        <v>676</v>
      </c>
      <c r="AX442" s="442" t="s">
        <v>674</v>
      </c>
      <c r="AY442" s="442"/>
      <c r="AZ442" s="442"/>
      <c r="BA442" s="442" t="s">
        <v>679</v>
      </c>
      <c r="BB442" s="442"/>
      <c r="BC442" s="442"/>
      <c r="BD442" s="442"/>
      <c r="BE442" s="444"/>
      <c r="BF442" s="442" t="s">
        <v>298</v>
      </c>
      <c r="BG442" s="442" t="s">
        <v>680</v>
      </c>
      <c r="BH442" s="442" t="s">
        <v>681</v>
      </c>
      <c r="BI442" s="442"/>
    </row>
    <row r="443" spans="1:61">
      <c r="A443" s="442" t="s">
        <v>914</v>
      </c>
      <c r="B443" s="442" t="s">
        <v>914</v>
      </c>
      <c r="C443" s="442" t="s">
        <v>914</v>
      </c>
      <c r="D443" s="442" t="s">
        <v>673</v>
      </c>
      <c r="E443" s="442" t="s">
        <v>3</v>
      </c>
      <c r="F443" s="443" t="s">
        <v>83</v>
      </c>
      <c r="G443" s="443" t="s">
        <v>700</v>
      </c>
      <c r="H443" s="444">
        <v>13680000</v>
      </c>
      <c r="I443" s="444">
        <v>13680000</v>
      </c>
      <c r="J443" s="444">
        <v>0</v>
      </c>
      <c r="K443" s="444">
        <v>0</v>
      </c>
      <c r="L443" s="444">
        <v>13680000</v>
      </c>
      <c r="M443" s="444">
        <v>0</v>
      </c>
      <c r="N443" s="444">
        <v>0</v>
      </c>
      <c r="O443" s="444">
        <v>0</v>
      </c>
      <c r="P443" s="444">
        <v>0</v>
      </c>
      <c r="Q443" s="444">
        <v>0</v>
      </c>
      <c r="R443" s="444">
        <v>0</v>
      </c>
      <c r="S443" s="444">
        <v>0</v>
      </c>
      <c r="T443" s="444">
        <v>0</v>
      </c>
      <c r="U443" s="444">
        <v>0</v>
      </c>
      <c r="V443" s="444">
        <v>0</v>
      </c>
      <c r="W443" s="444">
        <v>0</v>
      </c>
      <c r="X443" s="442" t="s">
        <v>674</v>
      </c>
      <c r="Y443" s="442" t="s">
        <v>675</v>
      </c>
      <c r="Z443" s="442" t="s">
        <v>675</v>
      </c>
      <c r="AA443" s="442" t="s">
        <v>675</v>
      </c>
      <c r="AB443" s="442" t="s">
        <v>675</v>
      </c>
      <c r="AC443" s="442"/>
      <c r="AD443" s="442"/>
      <c r="AE443" s="442"/>
      <c r="AF443" s="442"/>
      <c r="AG443" s="443" t="s">
        <v>913</v>
      </c>
      <c r="AH443" s="442"/>
      <c r="AI443" s="443" t="s">
        <v>913</v>
      </c>
      <c r="AJ443" s="443" t="s">
        <v>677</v>
      </c>
      <c r="AK443" s="442" t="s">
        <v>677</v>
      </c>
      <c r="AL443" s="442"/>
      <c r="AM443" s="442"/>
      <c r="AN443" s="442"/>
      <c r="AO443" s="442"/>
      <c r="AP443" s="442"/>
      <c r="AQ443" s="442"/>
      <c r="AR443" s="444"/>
      <c r="AS443" s="442"/>
      <c r="AT443" s="444"/>
      <c r="AU443" s="442" t="s">
        <v>678</v>
      </c>
      <c r="AV443" s="442" t="s">
        <v>677</v>
      </c>
      <c r="AW443" s="442" t="s">
        <v>676</v>
      </c>
      <c r="AX443" s="442" t="s">
        <v>674</v>
      </c>
      <c r="AY443" s="442"/>
      <c r="AZ443" s="442"/>
      <c r="BA443" s="442" t="s">
        <v>679</v>
      </c>
      <c r="BB443" s="442"/>
      <c r="BC443" s="442"/>
      <c r="BD443" s="442"/>
      <c r="BE443" s="444"/>
      <c r="BF443" s="442" t="s">
        <v>298</v>
      </c>
      <c r="BG443" s="442" t="s">
        <v>680</v>
      </c>
      <c r="BH443" s="442" t="s">
        <v>681</v>
      </c>
      <c r="BI443" s="442"/>
    </row>
    <row r="444" spans="1:61">
      <c r="A444" s="442" t="s">
        <v>914</v>
      </c>
      <c r="B444" s="442" t="s">
        <v>914</v>
      </c>
      <c r="C444" s="442" t="s">
        <v>914</v>
      </c>
      <c r="D444" s="442" t="s">
        <v>673</v>
      </c>
      <c r="E444" s="442" t="s">
        <v>3</v>
      </c>
      <c r="F444" s="443" t="s">
        <v>83</v>
      </c>
      <c r="G444" s="443" t="s">
        <v>700</v>
      </c>
      <c r="H444" s="444">
        <v>880000</v>
      </c>
      <c r="I444" s="444">
        <v>880000</v>
      </c>
      <c r="J444" s="444">
        <v>0</v>
      </c>
      <c r="K444" s="444">
        <v>0</v>
      </c>
      <c r="L444" s="444">
        <v>880000</v>
      </c>
      <c r="M444" s="444">
        <v>0</v>
      </c>
      <c r="N444" s="444">
        <v>0</v>
      </c>
      <c r="O444" s="444">
        <v>0</v>
      </c>
      <c r="P444" s="444">
        <v>0</v>
      </c>
      <c r="Q444" s="444">
        <v>0</v>
      </c>
      <c r="R444" s="444">
        <v>0</v>
      </c>
      <c r="S444" s="444">
        <v>0</v>
      </c>
      <c r="T444" s="444">
        <v>0</v>
      </c>
      <c r="U444" s="444">
        <v>0</v>
      </c>
      <c r="V444" s="444">
        <v>0</v>
      </c>
      <c r="W444" s="444">
        <v>0</v>
      </c>
      <c r="X444" s="442" t="s">
        <v>674</v>
      </c>
      <c r="Y444" s="442" t="s">
        <v>675</v>
      </c>
      <c r="Z444" s="442" t="s">
        <v>675</v>
      </c>
      <c r="AA444" s="442" t="s">
        <v>675</v>
      </c>
      <c r="AB444" s="442" t="s">
        <v>675</v>
      </c>
      <c r="AC444" s="442"/>
      <c r="AD444" s="442"/>
      <c r="AE444" s="442"/>
      <c r="AF444" s="442"/>
      <c r="AG444" s="443" t="s">
        <v>912</v>
      </c>
      <c r="AH444" s="442"/>
      <c r="AI444" s="443" t="s">
        <v>912</v>
      </c>
      <c r="AJ444" s="443" t="s">
        <v>677</v>
      </c>
      <c r="AK444" s="442" t="s">
        <v>677</v>
      </c>
      <c r="AL444" s="442"/>
      <c r="AM444" s="442"/>
      <c r="AN444" s="442"/>
      <c r="AO444" s="442"/>
      <c r="AP444" s="442"/>
      <c r="AQ444" s="442"/>
      <c r="AR444" s="444"/>
      <c r="AS444" s="442"/>
      <c r="AT444" s="444"/>
      <c r="AU444" s="442" t="s">
        <v>678</v>
      </c>
      <c r="AV444" s="442" t="s">
        <v>677</v>
      </c>
      <c r="AW444" s="442" t="s">
        <v>676</v>
      </c>
      <c r="AX444" s="442" t="s">
        <v>674</v>
      </c>
      <c r="AY444" s="442"/>
      <c r="AZ444" s="442"/>
      <c r="BA444" s="442" t="s">
        <v>679</v>
      </c>
      <c r="BB444" s="442"/>
      <c r="BC444" s="442"/>
      <c r="BD444" s="442"/>
      <c r="BE444" s="444"/>
      <c r="BF444" s="442" t="s">
        <v>298</v>
      </c>
      <c r="BG444" s="442" t="s">
        <v>680</v>
      </c>
      <c r="BH444" s="442" t="s">
        <v>681</v>
      </c>
      <c r="BI444" s="442"/>
    </row>
    <row r="445" spans="1:61">
      <c r="A445" s="442" t="s">
        <v>914</v>
      </c>
      <c r="B445" s="442" t="s">
        <v>914</v>
      </c>
      <c r="C445" s="442" t="s">
        <v>914</v>
      </c>
      <c r="D445" s="442" t="s">
        <v>673</v>
      </c>
      <c r="E445" s="442" t="s">
        <v>3</v>
      </c>
      <c r="F445" s="443" t="s">
        <v>83</v>
      </c>
      <c r="G445" s="443" t="s">
        <v>700</v>
      </c>
      <c r="H445" s="444">
        <v>1320000</v>
      </c>
      <c r="I445" s="444">
        <v>1320000</v>
      </c>
      <c r="J445" s="444">
        <v>0</v>
      </c>
      <c r="K445" s="444">
        <v>0</v>
      </c>
      <c r="L445" s="444">
        <v>1320000</v>
      </c>
      <c r="M445" s="444">
        <v>0</v>
      </c>
      <c r="N445" s="444">
        <v>0</v>
      </c>
      <c r="O445" s="444">
        <v>0</v>
      </c>
      <c r="P445" s="444">
        <v>0</v>
      </c>
      <c r="Q445" s="444">
        <v>0</v>
      </c>
      <c r="R445" s="444">
        <v>0</v>
      </c>
      <c r="S445" s="444">
        <v>0</v>
      </c>
      <c r="T445" s="444">
        <v>0</v>
      </c>
      <c r="U445" s="444">
        <v>0</v>
      </c>
      <c r="V445" s="444">
        <v>0</v>
      </c>
      <c r="W445" s="444">
        <v>0</v>
      </c>
      <c r="X445" s="442" t="s">
        <v>674</v>
      </c>
      <c r="Y445" s="442" t="s">
        <v>675</v>
      </c>
      <c r="Z445" s="442" t="s">
        <v>675</v>
      </c>
      <c r="AA445" s="442" t="s">
        <v>675</v>
      </c>
      <c r="AB445" s="442" t="s">
        <v>675</v>
      </c>
      <c r="AC445" s="442"/>
      <c r="AD445" s="442"/>
      <c r="AE445" s="442"/>
      <c r="AF445" s="442"/>
      <c r="AG445" s="443" t="s">
        <v>912</v>
      </c>
      <c r="AH445" s="442"/>
      <c r="AI445" s="443" t="s">
        <v>912</v>
      </c>
      <c r="AJ445" s="443" t="s">
        <v>677</v>
      </c>
      <c r="AK445" s="442" t="s">
        <v>677</v>
      </c>
      <c r="AL445" s="442"/>
      <c r="AM445" s="442"/>
      <c r="AN445" s="442"/>
      <c r="AO445" s="442"/>
      <c r="AP445" s="442"/>
      <c r="AQ445" s="442"/>
      <c r="AR445" s="444"/>
      <c r="AS445" s="442"/>
      <c r="AT445" s="444"/>
      <c r="AU445" s="442" t="s">
        <v>678</v>
      </c>
      <c r="AV445" s="442" t="s">
        <v>677</v>
      </c>
      <c r="AW445" s="442" t="s">
        <v>676</v>
      </c>
      <c r="AX445" s="442" t="s">
        <v>674</v>
      </c>
      <c r="AY445" s="442"/>
      <c r="AZ445" s="442"/>
      <c r="BA445" s="442" t="s">
        <v>679</v>
      </c>
      <c r="BB445" s="442"/>
      <c r="BC445" s="442"/>
      <c r="BD445" s="442"/>
      <c r="BE445" s="444"/>
      <c r="BF445" s="442" t="s">
        <v>298</v>
      </c>
      <c r="BG445" s="442" t="s">
        <v>680</v>
      </c>
      <c r="BH445" s="442" t="s">
        <v>681</v>
      </c>
      <c r="BI445" s="442"/>
    </row>
    <row r="446" spans="1:61">
      <c r="A446" s="442" t="s">
        <v>914</v>
      </c>
      <c r="B446" s="442" t="s">
        <v>914</v>
      </c>
      <c r="C446" s="442" t="s">
        <v>914</v>
      </c>
      <c r="D446" s="442" t="s">
        <v>673</v>
      </c>
      <c r="E446" s="442" t="s">
        <v>3</v>
      </c>
      <c r="F446" s="443" t="s">
        <v>83</v>
      </c>
      <c r="G446" s="443" t="s">
        <v>700</v>
      </c>
      <c r="H446" s="444">
        <v>9120000</v>
      </c>
      <c r="I446" s="444">
        <v>9120000</v>
      </c>
      <c r="J446" s="444">
        <v>0</v>
      </c>
      <c r="K446" s="444">
        <v>0</v>
      </c>
      <c r="L446" s="444">
        <v>9120000</v>
      </c>
      <c r="M446" s="444">
        <v>0</v>
      </c>
      <c r="N446" s="444">
        <v>0</v>
      </c>
      <c r="O446" s="444">
        <v>0</v>
      </c>
      <c r="P446" s="444">
        <v>0</v>
      </c>
      <c r="Q446" s="444">
        <v>0</v>
      </c>
      <c r="R446" s="444">
        <v>0</v>
      </c>
      <c r="S446" s="444">
        <v>0</v>
      </c>
      <c r="T446" s="444">
        <v>0</v>
      </c>
      <c r="U446" s="444">
        <v>0</v>
      </c>
      <c r="V446" s="444">
        <v>0</v>
      </c>
      <c r="W446" s="444">
        <v>0</v>
      </c>
      <c r="X446" s="442" t="s">
        <v>674</v>
      </c>
      <c r="Y446" s="442" t="s">
        <v>675</v>
      </c>
      <c r="Z446" s="442" t="s">
        <v>675</v>
      </c>
      <c r="AA446" s="442" t="s">
        <v>675</v>
      </c>
      <c r="AB446" s="442" t="s">
        <v>675</v>
      </c>
      <c r="AC446" s="442"/>
      <c r="AD446" s="442"/>
      <c r="AE446" s="442"/>
      <c r="AF446" s="442"/>
      <c r="AG446" s="443" t="s">
        <v>913</v>
      </c>
      <c r="AH446" s="442"/>
      <c r="AI446" s="443" t="s">
        <v>913</v>
      </c>
      <c r="AJ446" s="443" t="s">
        <v>677</v>
      </c>
      <c r="AK446" s="442" t="s">
        <v>677</v>
      </c>
      <c r="AL446" s="442"/>
      <c r="AM446" s="442"/>
      <c r="AN446" s="442"/>
      <c r="AO446" s="442"/>
      <c r="AP446" s="442"/>
      <c r="AQ446" s="442"/>
      <c r="AR446" s="444"/>
      <c r="AS446" s="442"/>
      <c r="AT446" s="444"/>
      <c r="AU446" s="442" t="s">
        <v>678</v>
      </c>
      <c r="AV446" s="442" t="s">
        <v>677</v>
      </c>
      <c r="AW446" s="442" t="s">
        <v>676</v>
      </c>
      <c r="AX446" s="442" t="s">
        <v>674</v>
      </c>
      <c r="AY446" s="442"/>
      <c r="AZ446" s="442"/>
      <c r="BA446" s="442" t="s">
        <v>679</v>
      </c>
      <c r="BB446" s="442"/>
      <c r="BC446" s="442"/>
      <c r="BD446" s="442"/>
      <c r="BE446" s="444"/>
      <c r="BF446" s="442" t="s">
        <v>298</v>
      </c>
      <c r="BG446" s="442" t="s">
        <v>680</v>
      </c>
      <c r="BH446" s="442" t="s">
        <v>681</v>
      </c>
      <c r="BI446" s="442"/>
    </row>
    <row r="447" spans="1:61">
      <c r="A447" s="442" t="s">
        <v>914</v>
      </c>
      <c r="B447" s="442" t="s">
        <v>914</v>
      </c>
      <c r="C447" s="442" t="s">
        <v>914</v>
      </c>
      <c r="D447" s="442" t="s">
        <v>673</v>
      </c>
      <c r="E447" s="442" t="s">
        <v>3</v>
      </c>
      <c r="F447" s="443" t="s">
        <v>83</v>
      </c>
      <c r="G447" s="443" t="s">
        <v>700</v>
      </c>
      <c r="H447" s="444">
        <v>9120000</v>
      </c>
      <c r="I447" s="444">
        <v>9120000</v>
      </c>
      <c r="J447" s="444">
        <v>0</v>
      </c>
      <c r="K447" s="444">
        <v>0</v>
      </c>
      <c r="L447" s="444">
        <v>9120000</v>
      </c>
      <c r="M447" s="444">
        <v>0</v>
      </c>
      <c r="N447" s="444">
        <v>0</v>
      </c>
      <c r="O447" s="444">
        <v>0</v>
      </c>
      <c r="P447" s="444">
        <v>0</v>
      </c>
      <c r="Q447" s="444">
        <v>0</v>
      </c>
      <c r="R447" s="444">
        <v>0</v>
      </c>
      <c r="S447" s="444">
        <v>0</v>
      </c>
      <c r="T447" s="444">
        <v>0</v>
      </c>
      <c r="U447" s="444">
        <v>0</v>
      </c>
      <c r="V447" s="444">
        <v>0</v>
      </c>
      <c r="W447" s="444">
        <v>0</v>
      </c>
      <c r="X447" s="442" t="s">
        <v>674</v>
      </c>
      <c r="Y447" s="442" t="s">
        <v>675</v>
      </c>
      <c r="Z447" s="442" t="s">
        <v>675</v>
      </c>
      <c r="AA447" s="442" t="s">
        <v>675</v>
      </c>
      <c r="AB447" s="442" t="s">
        <v>675</v>
      </c>
      <c r="AC447" s="442"/>
      <c r="AD447" s="442"/>
      <c r="AE447" s="442"/>
      <c r="AF447" s="442"/>
      <c r="AG447" s="443" t="s">
        <v>913</v>
      </c>
      <c r="AH447" s="442"/>
      <c r="AI447" s="443" t="s">
        <v>913</v>
      </c>
      <c r="AJ447" s="443" t="s">
        <v>677</v>
      </c>
      <c r="AK447" s="442" t="s">
        <v>677</v>
      </c>
      <c r="AL447" s="442"/>
      <c r="AM447" s="442"/>
      <c r="AN447" s="442"/>
      <c r="AO447" s="442"/>
      <c r="AP447" s="442"/>
      <c r="AQ447" s="442"/>
      <c r="AR447" s="444"/>
      <c r="AS447" s="442"/>
      <c r="AT447" s="444"/>
      <c r="AU447" s="442" t="s">
        <v>678</v>
      </c>
      <c r="AV447" s="442" t="s">
        <v>677</v>
      </c>
      <c r="AW447" s="442" t="s">
        <v>676</v>
      </c>
      <c r="AX447" s="442" t="s">
        <v>674</v>
      </c>
      <c r="AY447" s="442"/>
      <c r="AZ447" s="442"/>
      <c r="BA447" s="442" t="s">
        <v>679</v>
      </c>
      <c r="BB447" s="442"/>
      <c r="BC447" s="442"/>
      <c r="BD447" s="442"/>
      <c r="BE447" s="444"/>
      <c r="BF447" s="442" t="s">
        <v>298</v>
      </c>
      <c r="BG447" s="442" t="s">
        <v>680</v>
      </c>
      <c r="BH447" s="442" t="s">
        <v>681</v>
      </c>
      <c r="BI447" s="442"/>
    </row>
    <row r="448" spans="1:61">
      <c r="A448" s="442" t="s">
        <v>914</v>
      </c>
      <c r="B448" s="442" t="s">
        <v>914</v>
      </c>
      <c r="C448" s="442" t="s">
        <v>914</v>
      </c>
      <c r="D448" s="442" t="s">
        <v>673</v>
      </c>
      <c r="E448" s="442" t="s">
        <v>3</v>
      </c>
      <c r="F448" s="443" t="s">
        <v>83</v>
      </c>
      <c r="G448" s="443" t="s">
        <v>700</v>
      </c>
      <c r="H448" s="444">
        <v>880000</v>
      </c>
      <c r="I448" s="444">
        <v>880000</v>
      </c>
      <c r="J448" s="444">
        <v>0</v>
      </c>
      <c r="K448" s="444">
        <v>0</v>
      </c>
      <c r="L448" s="444">
        <v>880000</v>
      </c>
      <c r="M448" s="444">
        <v>0</v>
      </c>
      <c r="N448" s="444">
        <v>0</v>
      </c>
      <c r="O448" s="444">
        <v>0</v>
      </c>
      <c r="P448" s="444">
        <v>0</v>
      </c>
      <c r="Q448" s="444">
        <v>0</v>
      </c>
      <c r="R448" s="444">
        <v>0</v>
      </c>
      <c r="S448" s="444">
        <v>0</v>
      </c>
      <c r="T448" s="444">
        <v>0</v>
      </c>
      <c r="U448" s="444">
        <v>0</v>
      </c>
      <c r="V448" s="444">
        <v>0</v>
      </c>
      <c r="W448" s="444">
        <v>0</v>
      </c>
      <c r="X448" s="442" t="s">
        <v>674</v>
      </c>
      <c r="Y448" s="442" t="s">
        <v>675</v>
      </c>
      <c r="Z448" s="442" t="s">
        <v>675</v>
      </c>
      <c r="AA448" s="442" t="s">
        <v>675</v>
      </c>
      <c r="AB448" s="442" t="s">
        <v>675</v>
      </c>
      <c r="AC448" s="442"/>
      <c r="AD448" s="442"/>
      <c r="AE448" s="442"/>
      <c r="AF448" s="442"/>
      <c r="AG448" s="443" t="s">
        <v>912</v>
      </c>
      <c r="AH448" s="442"/>
      <c r="AI448" s="443" t="s">
        <v>912</v>
      </c>
      <c r="AJ448" s="443" t="s">
        <v>677</v>
      </c>
      <c r="AK448" s="442" t="s">
        <v>677</v>
      </c>
      <c r="AL448" s="442"/>
      <c r="AM448" s="442"/>
      <c r="AN448" s="442"/>
      <c r="AO448" s="442"/>
      <c r="AP448" s="442"/>
      <c r="AQ448" s="442"/>
      <c r="AR448" s="444"/>
      <c r="AS448" s="442"/>
      <c r="AT448" s="444"/>
      <c r="AU448" s="442" t="s">
        <v>678</v>
      </c>
      <c r="AV448" s="442" t="s">
        <v>677</v>
      </c>
      <c r="AW448" s="442" t="s">
        <v>676</v>
      </c>
      <c r="AX448" s="442" t="s">
        <v>674</v>
      </c>
      <c r="AY448" s="442"/>
      <c r="AZ448" s="442"/>
      <c r="BA448" s="442" t="s">
        <v>679</v>
      </c>
      <c r="BB448" s="442"/>
      <c r="BC448" s="442"/>
      <c r="BD448" s="442"/>
      <c r="BE448" s="444"/>
      <c r="BF448" s="442" t="s">
        <v>298</v>
      </c>
      <c r="BG448" s="442" t="s">
        <v>680</v>
      </c>
      <c r="BH448" s="442" t="s">
        <v>681</v>
      </c>
      <c r="BI448" s="442"/>
    </row>
    <row r="449" spans="1:61">
      <c r="A449" s="442" t="s">
        <v>914</v>
      </c>
      <c r="B449" s="442" t="s">
        <v>914</v>
      </c>
      <c r="C449" s="442" t="s">
        <v>914</v>
      </c>
      <c r="D449" s="442" t="s">
        <v>673</v>
      </c>
      <c r="E449" s="442" t="s">
        <v>3</v>
      </c>
      <c r="F449" s="443" t="s">
        <v>83</v>
      </c>
      <c r="G449" s="443" t="s">
        <v>700</v>
      </c>
      <c r="H449" s="444">
        <v>440000</v>
      </c>
      <c r="I449" s="444">
        <v>440000</v>
      </c>
      <c r="J449" s="444">
        <v>0</v>
      </c>
      <c r="K449" s="444">
        <v>0</v>
      </c>
      <c r="L449" s="444">
        <v>440000</v>
      </c>
      <c r="M449" s="444">
        <v>0</v>
      </c>
      <c r="N449" s="444">
        <v>0</v>
      </c>
      <c r="O449" s="444">
        <v>0</v>
      </c>
      <c r="P449" s="444">
        <v>0</v>
      </c>
      <c r="Q449" s="444">
        <v>0</v>
      </c>
      <c r="R449" s="444">
        <v>0</v>
      </c>
      <c r="S449" s="444">
        <v>0</v>
      </c>
      <c r="T449" s="444">
        <v>0</v>
      </c>
      <c r="U449" s="444">
        <v>0</v>
      </c>
      <c r="V449" s="444">
        <v>0</v>
      </c>
      <c r="W449" s="444">
        <v>0</v>
      </c>
      <c r="X449" s="442" t="s">
        <v>674</v>
      </c>
      <c r="Y449" s="442" t="s">
        <v>675</v>
      </c>
      <c r="Z449" s="442" t="s">
        <v>675</v>
      </c>
      <c r="AA449" s="442" t="s">
        <v>675</v>
      </c>
      <c r="AB449" s="442" t="s">
        <v>675</v>
      </c>
      <c r="AC449" s="442"/>
      <c r="AD449" s="442"/>
      <c r="AE449" s="442"/>
      <c r="AF449" s="442"/>
      <c r="AG449" s="443" t="s">
        <v>912</v>
      </c>
      <c r="AH449" s="442"/>
      <c r="AI449" s="443" t="s">
        <v>912</v>
      </c>
      <c r="AJ449" s="443" t="s">
        <v>677</v>
      </c>
      <c r="AK449" s="442" t="s">
        <v>677</v>
      </c>
      <c r="AL449" s="442"/>
      <c r="AM449" s="442"/>
      <c r="AN449" s="442"/>
      <c r="AO449" s="442"/>
      <c r="AP449" s="442"/>
      <c r="AQ449" s="442"/>
      <c r="AR449" s="444"/>
      <c r="AS449" s="442"/>
      <c r="AT449" s="444"/>
      <c r="AU449" s="442" t="s">
        <v>678</v>
      </c>
      <c r="AV449" s="442" t="s">
        <v>677</v>
      </c>
      <c r="AW449" s="442" t="s">
        <v>676</v>
      </c>
      <c r="AX449" s="442" t="s">
        <v>674</v>
      </c>
      <c r="AY449" s="442"/>
      <c r="AZ449" s="442"/>
      <c r="BA449" s="442" t="s">
        <v>679</v>
      </c>
      <c r="BB449" s="442"/>
      <c r="BC449" s="442"/>
      <c r="BD449" s="442"/>
      <c r="BE449" s="444"/>
      <c r="BF449" s="442" t="s">
        <v>298</v>
      </c>
      <c r="BG449" s="442" t="s">
        <v>680</v>
      </c>
      <c r="BH449" s="442" t="s">
        <v>681</v>
      </c>
      <c r="BI449" s="442"/>
    </row>
    <row r="450" spans="1:61">
      <c r="A450" s="442" t="s">
        <v>914</v>
      </c>
      <c r="B450" s="442" t="s">
        <v>914</v>
      </c>
      <c r="C450" s="442" t="s">
        <v>914</v>
      </c>
      <c r="D450" s="442" t="s">
        <v>673</v>
      </c>
      <c r="E450" s="442" t="s">
        <v>3</v>
      </c>
      <c r="F450" s="443" t="s">
        <v>83</v>
      </c>
      <c r="G450" s="443" t="s">
        <v>700</v>
      </c>
      <c r="H450" s="444">
        <v>4560000</v>
      </c>
      <c r="I450" s="444">
        <v>4560000</v>
      </c>
      <c r="J450" s="444">
        <v>0</v>
      </c>
      <c r="K450" s="444">
        <v>0</v>
      </c>
      <c r="L450" s="444">
        <v>4560000</v>
      </c>
      <c r="M450" s="444">
        <v>0</v>
      </c>
      <c r="N450" s="444">
        <v>0</v>
      </c>
      <c r="O450" s="444">
        <v>0</v>
      </c>
      <c r="P450" s="444">
        <v>0</v>
      </c>
      <c r="Q450" s="444">
        <v>0</v>
      </c>
      <c r="R450" s="444">
        <v>0</v>
      </c>
      <c r="S450" s="444">
        <v>0</v>
      </c>
      <c r="T450" s="444">
        <v>0</v>
      </c>
      <c r="U450" s="444">
        <v>0</v>
      </c>
      <c r="V450" s="444">
        <v>0</v>
      </c>
      <c r="W450" s="444">
        <v>0</v>
      </c>
      <c r="X450" s="442" t="s">
        <v>674</v>
      </c>
      <c r="Y450" s="442" t="s">
        <v>675</v>
      </c>
      <c r="Z450" s="442" t="s">
        <v>675</v>
      </c>
      <c r="AA450" s="442" t="s">
        <v>675</v>
      </c>
      <c r="AB450" s="442" t="s">
        <v>675</v>
      </c>
      <c r="AC450" s="442"/>
      <c r="AD450" s="442"/>
      <c r="AE450" s="442"/>
      <c r="AF450" s="442"/>
      <c r="AG450" s="443" t="s">
        <v>913</v>
      </c>
      <c r="AH450" s="442"/>
      <c r="AI450" s="443" t="s">
        <v>913</v>
      </c>
      <c r="AJ450" s="443" t="s">
        <v>677</v>
      </c>
      <c r="AK450" s="442" t="s">
        <v>677</v>
      </c>
      <c r="AL450" s="442"/>
      <c r="AM450" s="442"/>
      <c r="AN450" s="442"/>
      <c r="AO450" s="442"/>
      <c r="AP450" s="442"/>
      <c r="AQ450" s="442"/>
      <c r="AR450" s="444"/>
      <c r="AS450" s="442"/>
      <c r="AT450" s="444"/>
      <c r="AU450" s="442" t="s">
        <v>678</v>
      </c>
      <c r="AV450" s="442" t="s">
        <v>677</v>
      </c>
      <c r="AW450" s="442" t="s">
        <v>676</v>
      </c>
      <c r="AX450" s="442" t="s">
        <v>674</v>
      </c>
      <c r="AY450" s="442"/>
      <c r="AZ450" s="442"/>
      <c r="BA450" s="442" t="s">
        <v>679</v>
      </c>
      <c r="BB450" s="442"/>
      <c r="BC450" s="442"/>
      <c r="BD450" s="442"/>
      <c r="BE450" s="444"/>
      <c r="BF450" s="442" t="s">
        <v>298</v>
      </c>
      <c r="BG450" s="442" t="s">
        <v>680</v>
      </c>
      <c r="BH450" s="442" t="s">
        <v>681</v>
      </c>
      <c r="BI450" s="442"/>
    </row>
    <row r="451" spans="1:61">
      <c r="A451" s="442" t="s">
        <v>915</v>
      </c>
      <c r="B451" s="442" t="s">
        <v>915</v>
      </c>
      <c r="C451" s="442" t="s">
        <v>916</v>
      </c>
      <c r="D451" s="442" t="s">
        <v>673</v>
      </c>
      <c r="E451" s="442" t="s">
        <v>3</v>
      </c>
      <c r="F451" s="443" t="s">
        <v>7</v>
      </c>
      <c r="G451" s="443" t="s">
        <v>684</v>
      </c>
      <c r="H451" s="444">
        <v>927080</v>
      </c>
      <c r="I451" s="444">
        <v>927080</v>
      </c>
      <c r="J451" s="444">
        <v>0</v>
      </c>
      <c r="K451" s="444">
        <v>0</v>
      </c>
      <c r="L451" s="444">
        <v>927080</v>
      </c>
      <c r="M451" s="444">
        <v>0</v>
      </c>
      <c r="N451" s="444">
        <v>0</v>
      </c>
      <c r="O451" s="444">
        <v>0</v>
      </c>
      <c r="P451" s="444">
        <v>0</v>
      </c>
      <c r="Q451" s="444">
        <v>0</v>
      </c>
      <c r="R451" s="444">
        <v>0</v>
      </c>
      <c r="S451" s="444">
        <v>0</v>
      </c>
      <c r="T451" s="444">
        <v>0</v>
      </c>
      <c r="U451" s="444">
        <v>0</v>
      </c>
      <c r="V451" s="444">
        <v>0</v>
      </c>
      <c r="W451" s="444">
        <v>0</v>
      </c>
      <c r="X451" s="442" t="s">
        <v>674</v>
      </c>
      <c r="Y451" s="442" t="s">
        <v>675</v>
      </c>
      <c r="Z451" s="442" t="s">
        <v>675</v>
      </c>
      <c r="AA451" s="442" t="s">
        <v>675</v>
      </c>
      <c r="AB451" s="442" t="s">
        <v>675</v>
      </c>
      <c r="AC451" s="442"/>
      <c r="AD451" s="442"/>
      <c r="AE451" s="442"/>
      <c r="AF451" s="442"/>
      <c r="AG451" s="443" t="s">
        <v>917</v>
      </c>
      <c r="AH451" s="442"/>
      <c r="AI451" s="443" t="s">
        <v>917</v>
      </c>
      <c r="AJ451" s="443" t="s">
        <v>677</v>
      </c>
      <c r="AK451" s="442" t="s">
        <v>677</v>
      </c>
      <c r="AL451" s="442"/>
      <c r="AM451" s="442"/>
      <c r="AN451" s="442"/>
      <c r="AO451" s="442"/>
      <c r="AP451" s="442"/>
      <c r="AQ451" s="442"/>
      <c r="AR451" s="444"/>
      <c r="AS451" s="442"/>
      <c r="AT451" s="444"/>
      <c r="AU451" s="442" t="s">
        <v>678</v>
      </c>
      <c r="AV451" s="442" t="s">
        <v>677</v>
      </c>
      <c r="AW451" s="442" t="s">
        <v>676</v>
      </c>
      <c r="AX451" s="442" t="s">
        <v>674</v>
      </c>
      <c r="AY451" s="442"/>
      <c r="AZ451" s="442"/>
      <c r="BA451" s="442" t="s">
        <v>679</v>
      </c>
      <c r="BB451" s="442"/>
      <c r="BC451" s="442"/>
      <c r="BD451" s="442"/>
      <c r="BE451" s="444"/>
      <c r="BF451" s="442" t="s">
        <v>298</v>
      </c>
      <c r="BG451" s="442" t="s">
        <v>680</v>
      </c>
      <c r="BH451" s="442" t="s">
        <v>681</v>
      </c>
      <c r="BI451" s="442"/>
    </row>
    <row r="452" spans="1:61">
      <c r="A452" s="442" t="s">
        <v>915</v>
      </c>
      <c r="B452" s="442" t="s">
        <v>915</v>
      </c>
      <c r="C452" s="442" t="s">
        <v>916</v>
      </c>
      <c r="D452" s="442" t="s">
        <v>673</v>
      </c>
      <c r="E452" s="442" t="s">
        <v>3</v>
      </c>
      <c r="F452" s="443" t="s">
        <v>7</v>
      </c>
      <c r="G452" s="443" t="s">
        <v>684</v>
      </c>
      <c r="H452" s="444">
        <v>52920</v>
      </c>
      <c r="I452" s="444">
        <v>52920</v>
      </c>
      <c r="J452" s="444">
        <v>0</v>
      </c>
      <c r="K452" s="444">
        <v>0</v>
      </c>
      <c r="L452" s="444">
        <v>52920</v>
      </c>
      <c r="M452" s="444">
        <v>0</v>
      </c>
      <c r="N452" s="444">
        <v>0</v>
      </c>
      <c r="O452" s="444">
        <v>0</v>
      </c>
      <c r="P452" s="444">
        <v>0</v>
      </c>
      <c r="Q452" s="444">
        <v>0</v>
      </c>
      <c r="R452" s="444">
        <v>0</v>
      </c>
      <c r="S452" s="444">
        <v>0</v>
      </c>
      <c r="T452" s="444">
        <v>0</v>
      </c>
      <c r="U452" s="444">
        <v>0</v>
      </c>
      <c r="V452" s="444">
        <v>0</v>
      </c>
      <c r="W452" s="444">
        <v>0</v>
      </c>
      <c r="X452" s="442" t="s">
        <v>674</v>
      </c>
      <c r="Y452" s="442" t="s">
        <v>675</v>
      </c>
      <c r="Z452" s="442" t="s">
        <v>675</v>
      </c>
      <c r="AA452" s="442" t="s">
        <v>675</v>
      </c>
      <c r="AB452" s="442" t="s">
        <v>675</v>
      </c>
      <c r="AC452" s="442"/>
      <c r="AD452" s="442"/>
      <c r="AE452" s="442"/>
      <c r="AF452" s="442"/>
      <c r="AG452" s="443" t="s">
        <v>918</v>
      </c>
      <c r="AH452" s="442"/>
      <c r="AI452" s="443" t="s">
        <v>918</v>
      </c>
      <c r="AJ452" s="443" t="s">
        <v>677</v>
      </c>
      <c r="AK452" s="442" t="s">
        <v>677</v>
      </c>
      <c r="AL452" s="442"/>
      <c r="AM452" s="442"/>
      <c r="AN452" s="442"/>
      <c r="AO452" s="442"/>
      <c r="AP452" s="442"/>
      <c r="AQ452" s="442"/>
      <c r="AR452" s="444"/>
      <c r="AS452" s="442"/>
      <c r="AT452" s="444"/>
      <c r="AU452" s="442" t="s">
        <v>678</v>
      </c>
      <c r="AV452" s="442" t="s">
        <v>677</v>
      </c>
      <c r="AW452" s="442" t="s">
        <v>676</v>
      </c>
      <c r="AX452" s="442" t="s">
        <v>674</v>
      </c>
      <c r="AY452" s="442"/>
      <c r="AZ452" s="442"/>
      <c r="BA452" s="442" t="s">
        <v>679</v>
      </c>
      <c r="BB452" s="442"/>
      <c r="BC452" s="442"/>
      <c r="BD452" s="442"/>
      <c r="BE452" s="444"/>
      <c r="BF452" s="442" t="s">
        <v>298</v>
      </c>
      <c r="BG452" s="442" t="s">
        <v>680</v>
      </c>
      <c r="BH452" s="442" t="s">
        <v>681</v>
      </c>
      <c r="BI452" s="442"/>
    </row>
    <row r="453" spans="1:61">
      <c r="A453" s="442" t="s">
        <v>915</v>
      </c>
      <c r="B453" s="442" t="s">
        <v>915</v>
      </c>
      <c r="C453" s="442" t="s">
        <v>916</v>
      </c>
      <c r="D453" s="442" t="s">
        <v>673</v>
      </c>
      <c r="E453" s="442" t="s">
        <v>3</v>
      </c>
      <c r="F453" s="443" t="s">
        <v>7</v>
      </c>
      <c r="G453" s="443" t="s">
        <v>684</v>
      </c>
      <c r="H453" s="444">
        <v>67560</v>
      </c>
      <c r="I453" s="444">
        <v>67560</v>
      </c>
      <c r="J453" s="444">
        <v>0</v>
      </c>
      <c r="K453" s="444">
        <v>0</v>
      </c>
      <c r="L453" s="444">
        <v>67560</v>
      </c>
      <c r="M453" s="444">
        <v>0</v>
      </c>
      <c r="N453" s="444">
        <v>0</v>
      </c>
      <c r="O453" s="444">
        <v>0</v>
      </c>
      <c r="P453" s="444">
        <v>0</v>
      </c>
      <c r="Q453" s="444">
        <v>0</v>
      </c>
      <c r="R453" s="444">
        <v>0</v>
      </c>
      <c r="S453" s="444">
        <v>0</v>
      </c>
      <c r="T453" s="444">
        <v>0</v>
      </c>
      <c r="U453" s="444">
        <v>0</v>
      </c>
      <c r="V453" s="444">
        <v>0</v>
      </c>
      <c r="W453" s="444">
        <v>0</v>
      </c>
      <c r="X453" s="442" t="s">
        <v>674</v>
      </c>
      <c r="Y453" s="442" t="s">
        <v>675</v>
      </c>
      <c r="Z453" s="442" t="s">
        <v>675</v>
      </c>
      <c r="AA453" s="442" t="s">
        <v>675</v>
      </c>
      <c r="AB453" s="442" t="s">
        <v>675</v>
      </c>
      <c r="AC453" s="442"/>
      <c r="AD453" s="442"/>
      <c r="AE453" s="442"/>
      <c r="AF453" s="442"/>
      <c r="AG453" s="443" t="s">
        <v>919</v>
      </c>
      <c r="AH453" s="442"/>
      <c r="AI453" s="443" t="s">
        <v>919</v>
      </c>
      <c r="AJ453" s="443" t="s">
        <v>677</v>
      </c>
      <c r="AK453" s="442" t="s">
        <v>677</v>
      </c>
      <c r="AL453" s="442"/>
      <c r="AM453" s="442"/>
      <c r="AN453" s="442"/>
      <c r="AO453" s="442"/>
      <c r="AP453" s="442"/>
      <c r="AQ453" s="442"/>
      <c r="AR453" s="444"/>
      <c r="AS453" s="442"/>
      <c r="AT453" s="444"/>
      <c r="AU453" s="442" t="s">
        <v>678</v>
      </c>
      <c r="AV453" s="442" t="s">
        <v>677</v>
      </c>
      <c r="AW453" s="442" t="s">
        <v>676</v>
      </c>
      <c r="AX453" s="442" t="s">
        <v>674</v>
      </c>
      <c r="AY453" s="442"/>
      <c r="AZ453" s="442"/>
      <c r="BA453" s="442" t="s">
        <v>679</v>
      </c>
      <c r="BB453" s="442"/>
      <c r="BC453" s="442"/>
      <c r="BD453" s="442"/>
      <c r="BE453" s="444"/>
      <c r="BF453" s="442" t="s">
        <v>298</v>
      </c>
      <c r="BG453" s="442" t="s">
        <v>680</v>
      </c>
      <c r="BH453" s="442" t="s">
        <v>681</v>
      </c>
      <c r="BI453" s="442"/>
    </row>
    <row r="454" spans="1:61">
      <c r="A454" s="442" t="s">
        <v>840</v>
      </c>
      <c r="B454" s="442" t="s">
        <v>805</v>
      </c>
      <c r="C454" s="442" t="s">
        <v>806</v>
      </c>
      <c r="D454" s="442" t="s">
        <v>716</v>
      </c>
      <c r="E454" s="442" t="s">
        <v>3</v>
      </c>
      <c r="F454" s="443" t="s">
        <v>71</v>
      </c>
      <c r="G454" s="443" t="s">
        <v>719</v>
      </c>
      <c r="H454" s="444">
        <v>8288500</v>
      </c>
      <c r="I454" s="444">
        <v>8288500</v>
      </c>
      <c r="J454" s="444">
        <v>0</v>
      </c>
      <c r="K454" s="444">
        <v>0</v>
      </c>
      <c r="L454" s="444">
        <v>7535000</v>
      </c>
      <c r="M454" s="444">
        <v>0</v>
      </c>
      <c r="N454" s="444">
        <v>0</v>
      </c>
      <c r="O454" s="444">
        <v>753500</v>
      </c>
      <c r="P454" s="444">
        <v>0</v>
      </c>
      <c r="Q454" s="444">
        <v>0</v>
      </c>
      <c r="R454" s="444">
        <v>0</v>
      </c>
      <c r="S454" s="444">
        <v>0</v>
      </c>
      <c r="T454" s="444">
        <v>0</v>
      </c>
      <c r="U454" s="444">
        <v>0</v>
      </c>
      <c r="V454" s="444">
        <v>0</v>
      </c>
      <c r="W454" s="444">
        <v>0</v>
      </c>
      <c r="X454" s="442" t="s">
        <v>674</v>
      </c>
      <c r="Y454" s="442" t="s">
        <v>675</v>
      </c>
      <c r="Z454" s="442" t="s">
        <v>675</v>
      </c>
      <c r="AA454" s="442" t="s">
        <v>675</v>
      </c>
      <c r="AB454" s="442" t="s">
        <v>675</v>
      </c>
      <c r="AC454" s="442"/>
      <c r="AD454" s="442"/>
      <c r="AE454" s="442"/>
      <c r="AF454" s="442"/>
      <c r="AG454" s="443" t="s">
        <v>920</v>
      </c>
      <c r="AH454" s="442"/>
      <c r="AI454" s="443" t="s">
        <v>920</v>
      </c>
      <c r="AJ454" s="443" t="s">
        <v>921</v>
      </c>
      <c r="AK454" s="442" t="s">
        <v>677</v>
      </c>
      <c r="AL454" s="442"/>
      <c r="AM454" s="442"/>
      <c r="AN454" s="442"/>
      <c r="AO454" s="442"/>
      <c r="AP454" s="442"/>
      <c r="AQ454" s="442"/>
      <c r="AR454" s="444"/>
      <c r="AS454" s="442"/>
      <c r="AT454" s="444"/>
      <c r="AU454" s="442" t="s">
        <v>678</v>
      </c>
      <c r="AV454" s="442" t="s">
        <v>677</v>
      </c>
      <c r="AW454" s="442" t="s">
        <v>676</v>
      </c>
      <c r="AX454" s="442" t="s">
        <v>674</v>
      </c>
      <c r="AY454" s="442"/>
      <c r="AZ454" s="442"/>
      <c r="BA454" s="442" t="s">
        <v>679</v>
      </c>
      <c r="BB454" s="442"/>
      <c r="BC454" s="442"/>
      <c r="BD454" s="442"/>
      <c r="BE454" s="444"/>
      <c r="BF454" s="442" t="s">
        <v>298</v>
      </c>
      <c r="BG454" s="442" t="s">
        <v>680</v>
      </c>
      <c r="BH454" s="442" t="s">
        <v>681</v>
      </c>
      <c r="BI454" s="442"/>
    </row>
    <row r="455" spans="1:61">
      <c r="A455" s="442" t="s">
        <v>915</v>
      </c>
      <c r="B455" s="442" t="s">
        <v>914</v>
      </c>
      <c r="C455" s="442" t="s">
        <v>922</v>
      </c>
      <c r="D455" s="442" t="s">
        <v>716</v>
      </c>
      <c r="E455" s="442" t="s">
        <v>3</v>
      </c>
      <c r="F455" s="443" t="s">
        <v>308</v>
      </c>
      <c r="G455" s="443" t="s">
        <v>780</v>
      </c>
      <c r="H455" s="444">
        <v>29920000</v>
      </c>
      <c r="I455" s="444">
        <v>29920000</v>
      </c>
      <c r="J455" s="444">
        <v>0</v>
      </c>
      <c r="K455" s="444">
        <v>0</v>
      </c>
      <c r="L455" s="444">
        <v>27200000</v>
      </c>
      <c r="M455" s="444">
        <v>0</v>
      </c>
      <c r="N455" s="444">
        <v>0</v>
      </c>
      <c r="O455" s="444">
        <v>2720000</v>
      </c>
      <c r="P455" s="444">
        <v>0</v>
      </c>
      <c r="Q455" s="444">
        <v>0</v>
      </c>
      <c r="R455" s="444">
        <v>0</v>
      </c>
      <c r="S455" s="444">
        <v>0</v>
      </c>
      <c r="T455" s="444">
        <v>0</v>
      </c>
      <c r="U455" s="444">
        <v>0</v>
      </c>
      <c r="V455" s="444">
        <v>0</v>
      </c>
      <c r="W455" s="444">
        <v>0</v>
      </c>
      <c r="X455" s="442" t="s">
        <v>674</v>
      </c>
      <c r="Y455" s="442" t="s">
        <v>675</v>
      </c>
      <c r="Z455" s="442" t="s">
        <v>675</v>
      </c>
      <c r="AA455" s="442" t="s">
        <v>675</v>
      </c>
      <c r="AB455" s="442" t="s">
        <v>675</v>
      </c>
      <c r="AC455" s="442"/>
      <c r="AD455" s="442" t="s">
        <v>781</v>
      </c>
      <c r="AE455" s="442"/>
      <c r="AF455" s="442"/>
      <c r="AG455" s="443" t="s">
        <v>923</v>
      </c>
      <c r="AH455" s="442"/>
      <c r="AI455" s="443" t="s">
        <v>923</v>
      </c>
      <c r="AJ455" s="443" t="s">
        <v>924</v>
      </c>
      <c r="AK455" s="442" t="s">
        <v>677</v>
      </c>
      <c r="AL455" s="442"/>
      <c r="AM455" s="442"/>
      <c r="AN455" s="442"/>
      <c r="AO455" s="442"/>
      <c r="AP455" s="442"/>
      <c r="AQ455" s="442"/>
      <c r="AR455" s="444"/>
      <c r="AS455" s="442"/>
      <c r="AT455" s="444"/>
      <c r="AU455" s="442" t="s">
        <v>678</v>
      </c>
      <c r="AV455" s="442" t="s">
        <v>677</v>
      </c>
      <c r="AW455" s="442" t="s">
        <v>676</v>
      </c>
      <c r="AX455" s="442" t="s">
        <v>674</v>
      </c>
      <c r="AY455" s="442"/>
      <c r="AZ455" s="442"/>
      <c r="BA455" s="442" t="s">
        <v>679</v>
      </c>
      <c r="BB455" s="442"/>
      <c r="BC455" s="442"/>
      <c r="BD455" s="442"/>
      <c r="BE455" s="444"/>
      <c r="BF455" s="442" t="s">
        <v>298</v>
      </c>
      <c r="BG455" s="442" t="s">
        <v>680</v>
      </c>
      <c r="BH455" s="442" t="s">
        <v>681</v>
      </c>
      <c r="BI455" s="442"/>
    </row>
    <row r="456" spans="1:61">
      <c r="A456" s="442" t="s">
        <v>925</v>
      </c>
      <c r="B456" s="442" t="s">
        <v>925</v>
      </c>
      <c r="C456" s="442" t="s">
        <v>926</v>
      </c>
      <c r="D456" s="442" t="s">
        <v>673</v>
      </c>
      <c r="E456" s="442" t="s">
        <v>3</v>
      </c>
      <c r="F456" s="443" t="s">
        <v>83</v>
      </c>
      <c r="G456" s="443" t="s">
        <v>700</v>
      </c>
      <c r="H456" s="444">
        <v>70400</v>
      </c>
      <c r="I456" s="444">
        <v>70400</v>
      </c>
      <c r="J456" s="444">
        <v>0</v>
      </c>
      <c r="K456" s="444">
        <v>0</v>
      </c>
      <c r="L456" s="444">
        <v>70400</v>
      </c>
      <c r="M456" s="444">
        <v>0</v>
      </c>
      <c r="N456" s="444">
        <v>0</v>
      </c>
      <c r="O456" s="444">
        <v>0</v>
      </c>
      <c r="P456" s="444">
        <v>0</v>
      </c>
      <c r="Q456" s="444">
        <v>0</v>
      </c>
      <c r="R456" s="444">
        <v>0</v>
      </c>
      <c r="S456" s="444">
        <v>0</v>
      </c>
      <c r="T456" s="444">
        <v>0</v>
      </c>
      <c r="U456" s="444">
        <v>0</v>
      </c>
      <c r="V456" s="444">
        <v>0</v>
      </c>
      <c r="W456" s="444">
        <v>0</v>
      </c>
      <c r="X456" s="442" t="s">
        <v>674</v>
      </c>
      <c r="Y456" s="442" t="s">
        <v>675</v>
      </c>
      <c r="Z456" s="442" t="s">
        <v>675</v>
      </c>
      <c r="AA456" s="442" t="s">
        <v>675</v>
      </c>
      <c r="AB456" s="442" t="s">
        <v>675</v>
      </c>
      <c r="AC456" s="442"/>
      <c r="AD456" s="442"/>
      <c r="AE456" s="442"/>
      <c r="AF456" s="442"/>
      <c r="AG456" s="443" t="s">
        <v>927</v>
      </c>
      <c r="AH456" s="442"/>
      <c r="AI456" s="443" t="s">
        <v>927</v>
      </c>
      <c r="AJ456" s="443" t="s">
        <v>677</v>
      </c>
      <c r="AK456" s="442" t="s">
        <v>677</v>
      </c>
      <c r="AL456" s="442"/>
      <c r="AM456" s="442"/>
      <c r="AN456" s="442"/>
      <c r="AO456" s="442"/>
      <c r="AP456" s="442"/>
      <c r="AQ456" s="442"/>
      <c r="AR456" s="444"/>
      <c r="AS456" s="442"/>
      <c r="AT456" s="444"/>
      <c r="AU456" s="442" t="s">
        <v>678</v>
      </c>
      <c r="AV456" s="442" t="s">
        <v>677</v>
      </c>
      <c r="AW456" s="442" t="s">
        <v>676</v>
      </c>
      <c r="AX456" s="442" t="s">
        <v>674</v>
      </c>
      <c r="AY456" s="442"/>
      <c r="AZ456" s="442"/>
      <c r="BA456" s="442" t="s">
        <v>679</v>
      </c>
      <c r="BB456" s="442"/>
      <c r="BC456" s="442"/>
      <c r="BD456" s="442"/>
      <c r="BE456" s="444"/>
      <c r="BF456" s="442" t="s">
        <v>298</v>
      </c>
      <c r="BG456" s="442" t="s">
        <v>680</v>
      </c>
      <c r="BH456" s="442" t="s">
        <v>681</v>
      </c>
      <c r="BI456" s="442"/>
    </row>
    <row r="457" spans="1:61">
      <c r="A457" s="442" t="s">
        <v>925</v>
      </c>
      <c r="B457" s="442" t="s">
        <v>925</v>
      </c>
      <c r="C457" s="442" t="s">
        <v>926</v>
      </c>
      <c r="D457" s="442" t="s">
        <v>673</v>
      </c>
      <c r="E457" s="442" t="s">
        <v>3</v>
      </c>
      <c r="F457" s="443" t="s">
        <v>83</v>
      </c>
      <c r="G457" s="443" t="s">
        <v>700</v>
      </c>
      <c r="H457" s="444">
        <v>729600</v>
      </c>
      <c r="I457" s="444">
        <v>729600</v>
      </c>
      <c r="J457" s="444">
        <v>0</v>
      </c>
      <c r="K457" s="444">
        <v>0</v>
      </c>
      <c r="L457" s="444">
        <v>729600</v>
      </c>
      <c r="M457" s="444">
        <v>0</v>
      </c>
      <c r="N457" s="444">
        <v>0</v>
      </c>
      <c r="O457" s="444">
        <v>0</v>
      </c>
      <c r="P457" s="444">
        <v>0</v>
      </c>
      <c r="Q457" s="444">
        <v>0</v>
      </c>
      <c r="R457" s="444">
        <v>0</v>
      </c>
      <c r="S457" s="444">
        <v>0</v>
      </c>
      <c r="T457" s="444">
        <v>0</v>
      </c>
      <c r="U457" s="444">
        <v>0</v>
      </c>
      <c r="V457" s="444">
        <v>0</v>
      </c>
      <c r="W457" s="444">
        <v>0</v>
      </c>
      <c r="X457" s="442" t="s">
        <v>674</v>
      </c>
      <c r="Y457" s="442" t="s">
        <v>675</v>
      </c>
      <c r="Z457" s="442" t="s">
        <v>675</v>
      </c>
      <c r="AA457" s="442" t="s">
        <v>675</v>
      </c>
      <c r="AB457" s="442" t="s">
        <v>675</v>
      </c>
      <c r="AC457" s="442"/>
      <c r="AD457" s="442"/>
      <c r="AE457" s="442"/>
      <c r="AF457" s="442"/>
      <c r="AG457" s="443" t="s">
        <v>928</v>
      </c>
      <c r="AH457" s="442"/>
      <c r="AI457" s="443" t="s">
        <v>928</v>
      </c>
      <c r="AJ457" s="443" t="s">
        <v>677</v>
      </c>
      <c r="AK457" s="442" t="s">
        <v>677</v>
      </c>
      <c r="AL457" s="442"/>
      <c r="AM457" s="442"/>
      <c r="AN457" s="442"/>
      <c r="AO457" s="442"/>
      <c r="AP457" s="442"/>
      <c r="AQ457" s="442"/>
      <c r="AR457" s="444"/>
      <c r="AS457" s="442"/>
      <c r="AT457" s="444"/>
      <c r="AU457" s="442" t="s">
        <v>678</v>
      </c>
      <c r="AV457" s="442" t="s">
        <v>677</v>
      </c>
      <c r="AW457" s="442" t="s">
        <v>676</v>
      </c>
      <c r="AX457" s="442" t="s">
        <v>674</v>
      </c>
      <c r="AY457" s="442"/>
      <c r="AZ457" s="442"/>
      <c r="BA457" s="442" t="s">
        <v>679</v>
      </c>
      <c r="BB457" s="442"/>
      <c r="BC457" s="442"/>
      <c r="BD457" s="442"/>
      <c r="BE457" s="444"/>
      <c r="BF457" s="442" t="s">
        <v>298</v>
      </c>
      <c r="BG457" s="442" t="s">
        <v>680</v>
      </c>
      <c r="BH457" s="442" t="s">
        <v>681</v>
      </c>
      <c r="BI457" s="442"/>
    </row>
    <row r="458" spans="1:61">
      <c r="A458" s="442" t="s">
        <v>925</v>
      </c>
      <c r="B458" s="442" t="s">
        <v>925</v>
      </c>
      <c r="C458" s="442" t="s">
        <v>926</v>
      </c>
      <c r="D458" s="442" t="s">
        <v>673</v>
      </c>
      <c r="E458" s="442" t="s">
        <v>3</v>
      </c>
      <c r="F458" s="443" t="s">
        <v>83</v>
      </c>
      <c r="G458" s="443" t="s">
        <v>700</v>
      </c>
      <c r="H458" s="444">
        <v>2097600</v>
      </c>
      <c r="I458" s="444">
        <v>2097600</v>
      </c>
      <c r="J458" s="444">
        <v>0</v>
      </c>
      <c r="K458" s="444">
        <v>0</v>
      </c>
      <c r="L458" s="444">
        <v>2097600</v>
      </c>
      <c r="M458" s="444">
        <v>0</v>
      </c>
      <c r="N458" s="444">
        <v>0</v>
      </c>
      <c r="O458" s="444">
        <v>0</v>
      </c>
      <c r="P458" s="444">
        <v>0</v>
      </c>
      <c r="Q458" s="444">
        <v>0</v>
      </c>
      <c r="R458" s="444">
        <v>0</v>
      </c>
      <c r="S458" s="444">
        <v>0</v>
      </c>
      <c r="T458" s="444">
        <v>0</v>
      </c>
      <c r="U458" s="444">
        <v>0</v>
      </c>
      <c r="V458" s="444">
        <v>0</v>
      </c>
      <c r="W458" s="444">
        <v>0</v>
      </c>
      <c r="X458" s="442" t="s">
        <v>674</v>
      </c>
      <c r="Y458" s="442" t="s">
        <v>675</v>
      </c>
      <c r="Z458" s="442" t="s">
        <v>675</v>
      </c>
      <c r="AA458" s="442" t="s">
        <v>675</v>
      </c>
      <c r="AB458" s="442" t="s">
        <v>675</v>
      </c>
      <c r="AC458" s="442"/>
      <c r="AD458" s="442"/>
      <c r="AE458" s="442"/>
      <c r="AF458" s="442"/>
      <c r="AG458" s="443" t="s">
        <v>929</v>
      </c>
      <c r="AH458" s="442"/>
      <c r="AI458" s="443" t="s">
        <v>929</v>
      </c>
      <c r="AJ458" s="443" t="s">
        <v>677</v>
      </c>
      <c r="AK458" s="442" t="s">
        <v>677</v>
      </c>
      <c r="AL458" s="442"/>
      <c r="AM458" s="442"/>
      <c r="AN458" s="442"/>
      <c r="AO458" s="442"/>
      <c r="AP458" s="442"/>
      <c r="AQ458" s="442"/>
      <c r="AR458" s="444"/>
      <c r="AS458" s="442"/>
      <c r="AT458" s="444"/>
      <c r="AU458" s="442" t="s">
        <v>678</v>
      </c>
      <c r="AV458" s="442" t="s">
        <v>677</v>
      </c>
      <c r="AW458" s="442" t="s">
        <v>676</v>
      </c>
      <c r="AX458" s="442" t="s">
        <v>674</v>
      </c>
      <c r="AY458" s="442"/>
      <c r="AZ458" s="442"/>
      <c r="BA458" s="442" t="s">
        <v>679</v>
      </c>
      <c r="BB458" s="442"/>
      <c r="BC458" s="442"/>
      <c r="BD458" s="442"/>
      <c r="BE458" s="444"/>
      <c r="BF458" s="442" t="s">
        <v>298</v>
      </c>
      <c r="BG458" s="442" t="s">
        <v>680</v>
      </c>
      <c r="BH458" s="442" t="s">
        <v>681</v>
      </c>
      <c r="BI458" s="442"/>
    </row>
    <row r="459" spans="1:61">
      <c r="A459" s="442" t="s">
        <v>925</v>
      </c>
      <c r="B459" s="442" t="s">
        <v>925</v>
      </c>
      <c r="C459" s="442" t="s">
        <v>926</v>
      </c>
      <c r="D459" s="442" t="s">
        <v>673</v>
      </c>
      <c r="E459" s="442" t="s">
        <v>3</v>
      </c>
      <c r="F459" s="443" t="s">
        <v>83</v>
      </c>
      <c r="G459" s="443" t="s">
        <v>700</v>
      </c>
      <c r="H459" s="444">
        <v>202400</v>
      </c>
      <c r="I459" s="444">
        <v>202400</v>
      </c>
      <c r="J459" s="444">
        <v>0</v>
      </c>
      <c r="K459" s="444">
        <v>0</v>
      </c>
      <c r="L459" s="444">
        <v>202400</v>
      </c>
      <c r="M459" s="444">
        <v>0</v>
      </c>
      <c r="N459" s="444">
        <v>0</v>
      </c>
      <c r="O459" s="444">
        <v>0</v>
      </c>
      <c r="P459" s="444">
        <v>0</v>
      </c>
      <c r="Q459" s="444">
        <v>0</v>
      </c>
      <c r="R459" s="444">
        <v>0</v>
      </c>
      <c r="S459" s="444">
        <v>0</v>
      </c>
      <c r="T459" s="444">
        <v>0</v>
      </c>
      <c r="U459" s="444">
        <v>0</v>
      </c>
      <c r="V459" s="444">
        <v>0</v>
      </c>
      <c r="W459" s="444">
        <v>0</v>
      </c>
      <c r="X459" s="442" t="s">
        <v>674</v>
      </c>
      <c r="Y459" s="442" t="s">
        <v>675</v>
      </c>
      <c r="Z459" s="442" t="s">
        <v>675</v>
      </c>
      <c r="AA459" s="442" t="s">
        <v>675</v>
      </c>
      <c r="AB459" s="442" t="s">
        <v>675</v>
      </c>
      <c r="AC459" s="442"/>
      <c r="AD459" s="442"/>
      <c r="AE459" s="442"/>
      <c r="AF459" s="442"/>
      <c r="AG459" s="443" t="s">
        <v>930</v>
      </c>
      <c r="AH459" s="442"/>
      <c r="AI459" s="443" t="s">
        <v>930</v>
      </c>
      <c r="AJ459" s="443" t="s">
        <v>677</v>
      </c>
      <c r="AK459" s="442" t="s">
        <v>677</v>
      </c>
      <c r="AL459" s="442"/>
      <c r="AM459" s="442"/>
      <c r="AN459" s="442"/>
      <c r="AO459" s="442"/>
      <c r="AP459" s="442"/>
      <c r="AQ459" s="442"/>
      <c r="AR459" s="444"/>
      <c r="AS459" s="442"/>
      <c r="AT459" s="444"/>
      <c r="AU459" s="442" t="s">
        <v>678</v>
      </c>
      <c r="AV459" s="442" t="s">
        <v>677</v>
      </c>
      <c r="AW459" s="442" t="s">
        <v>676</v>
      </c>
      <c r="AX459" s="442" t="s">
        <v>674</v>
      </c>
      <c r="AY459" s="442"/>
      <c r="AZ459" s="442"/>
      <c r="BA459" s="442" t="s">
        <v>679</v>
      </c>
      <c r="BB459" s="442"/>
      <c r="BC459" s="442"/>
      <c r="BD459" s="442"/>
      <c r="BE459" s="444"/>
      <c r="BF459" s="442" t="s">
        <v>298</v>
      </c>
      <c r="BG459" s="442" t="s">
        <v>680</v>
      </c>
      <c r="BH459" s="442" t="s">
        <v>681</v>
      </c>
      <c r="BI459" s="442"/>
    </row>
    <row r="460" spans="1:61">
      <c r="A460" s="442" t="s">
        <v>925</v>
      </c>
      <c r="B460" s="442" t="s">
        <v>925</v>
      </c>
      <c r="C460" s="442" t="s">
        <v>926</v>
      </c>
      <c r="D460" s="442" t="s">
        <v>673</v>
      </c>
      <c r="E460" s="442" t="s">
        <v>3</v>
      </c>
      <c r="F460" s="443" t="s">
        <v>83</v>
      </c>
      <c r="G460" s="443" t="s">
        <v>700</v>
      </c>
      <c r="H460" s="444">
        <v>2097600</v>
      </c>
      <c r="I460" s="444">
        <v>2097600</v>
      </c>
      <c r="J460" s="444">
        <v>0</v>
      </c>
      <c r="K460" s="444">
        <v>0</v>
      </c>
      <c r="L460" s="444">
        <v>2097600</v>
      </c>
      <c r="M460" s="444">
        <v>0</v>
      </c>
      <c r="N460" s="444">
        <v>0</v>
      </c>
      <c r="O460" s="444">
        <v>0</v>
      </c>
      <c r="P460" s="444">
        <v>0</v>
      </c>
      <c r="Q460" s="444">
        <v>0</v>
      </c>
      <c r="R460" s="444">
        <v>0</v>
      </c>
      <c r="S460" s="444">
        <v>0</v>
      </c>
      <c r="T460" s="444">
        <v>0</v>
      </c>
      <c r="U460" s="444">
        <v>0</v>
      </c>
      <c r="V460" s="444">
        <v>0</v>
      </c>
      <c r="W460" s="444">
        <v>0</v>
      </c>
      <c r="X460" s="442" t="s">
        <v>674</v>
      </c>
      <c r="Y460" s="442" t="s">
        <v>675</v>
      </c>
      <c r="Z460" s="442" t="s">
        <v>675</v>
      </c>
      <c r="AA460" s="442" t="s">
        <v>675</v>
      </c>
      <c r="AB460" s="442" t="s">
        <v>675</v>
      </c>
      <c r="AC460" s="442"/>
      <c r="AD460" s="442"/>
      <c r="AE460" s="442"/>
      <c r="AF460" s="442"/>
      <c r="AG460" s="443" t="s">
        <v>931</v>
      </c>
      <c r="AH460" s="442"/>
      <c r="AI460" s="443" t="s">
        <v>931</v>
      </c>
      <c r="AJ460" s="443" t="s">
        <v>677</v>
      </c>
      <c r="AK460" s="442" t="s">
        <v>677</v>
      </c>
      <c r="AL460" s="442"/>
      <c r="AM460" s="442"/>
      <c r="AN460" s="442"/>
      <c r="AO460" s="442"/>
      <c r="AP460" s="442"/>
      <c r="AQ460" s="442"/>
      <c r="AR460" s="444"/>
      <c r="AS460" s="442"/>
      <c r="AT460" s="444"/>
      <c r="AU460" s="442" t="s">
        <v>678</v>
      </c>
      <c r="AV460" s="442" t="s">
        <v>677</v>
      </c>
      <c r="AW460" s="442" t="s">
        <v>676</v>
      </c>
      <c r="AX460" s="442" t="s">
        <v>674</v>
      </c>
      <c r="AY460" s="442"/>
      <c r="AZ460" s="442"/>
      <c r="BA460" s="442" t="s">
        <v>679</v>
      </c>
      <c r="BB460" s="442"/>
      <c r="BC460" s="442"/>
      <c r="BD460" s="442"/>
      <c r="BE460" s="444"/>
      <c r="BF460" s="442" t="s">
        <v>298</v>
      </c>
      <c r="BG460" s="442" t="s">
        <v>680</v>
      </c>
      <c r="BH460" s="442" t="s">
        <v>681</v>
      </c>
      <c r="BI460" s="442"/>
    </row>
    <row r="461" spans="1:61">
      <c r="A461" s="442" t="s">
        <v>925</v>
      </c>
      <c r="B461" s="442" t="s">
        <v>925</v>
      </c>
      <c r="C461" s="442" t="s">
        <v>926</v>
      </c>
      <c r="D461" s="442" t="s">
        <v>673</v>
      </c>
      <c r="E461" s="442" t="s">
        <v>3</v>
      </c>
      <c r="F461" s="443" t="s">
        <v>83</v>
      </c>
      <c r="G461" s="443" t="s">
        <v>700</v>
      </c>
      <c r="H461" s="444">
        <v>3009600</v>
      </c>
      <c r="I461" s="444">
        <v>3009600</v>
      </c>
      <c r="J461" s="444">
        <v>0</v>
      </c>
      <c r="K461" s="444">
        <v>0</v>
      </c>
      <c r="L461" s="444">
        <v>3009600</v>
      </c>
      <c r="M461" s="444">
        <v>0</v>
      </c>
      <c r="N461" s="444">
        <v>0</v>
      </c>
      <c r="O461" s="444">
        <v>0</v>
      </c>
      <c r="P461" s="444">
        <v>0</v>
      </c>
      <c r="Q461" s="444">
        <v>0</v>
      </c>
      <c r="R461" s="444">
        <v>0</v>
      </c>
      <c r="S461" s="444">
        <v>0</v>
      </c>
      <c r="T461" s="444">
        <v>0</v>
      </c>
      <c r="U461" s="444">
        <v>0</v>
      </c>
      <c r="V461" s="444">
        <v>0</v>
      </c>
      <c r="W461" s="444">
        <v>0</v>
      </c>
      <c r="X461" s="442" t="s">
        <v>674</v>
      </c>
      <c r="Y461" s="442" t="s">
        <v>675</v>
      </c>
      <c r="Z461" s="442" t="s">
        <v>675</v>
      </c>
      <c r="AA461" s="442" t="s">
        <v>675</v>
      </c>
      <c r="AB461" s="442" t="s">
        <v>675</v>
      </c>
      <c r="AC461" s="442"/>
      <c r="AD461" s="442"/>
      <c r="AE461" s="442"/>
      <c r="AF461" s="442"/>
      <c r="AG461" s="443" t="s">
        <v>931</v>
      </c>
      <c r="AH461" s="442"/>
      <c r="AI461" s="443" t="s">
        <v>931</v>
      </c>
      <c r="AJ461" s="443" t="s">
        <v>677</v>
      </c>
      <c r="AK461" s="442" t="s">
        <v>677</v>
      </c>
      <c r="AL461" s="442"/>
      <c r="AM461" s="442"/>
      <c r="AN461" s="442"/>
      <c r="AO461" s="442"/>
      <c r="AP461" s="442"/>
      <c r="AQ461" s="442"/>
      <c r="AR461" s="444"/>
      <c r="AS461" s="442"/>
      <c r="AT461" s="444"/>
      <c r="AU461" s="442" t="s">
        <v>678</v>
      </c>
      <c r="AV461" s="442" t="s">
        <v>677</v>
      </c>
      <c r="AW461" s="442" t="s">
        <v>676</v>
      </c>
      <c r="AX461" s="442" t="s">
        <v>674</v>
      </c>
      <c r="AY461" s="442"/>
      <c r="AZ461" s="442"/>
      <c r="BA461" s="442" t="s">
        <v>679</v>
      </c>
      <c r="BB461" s="442"/>
      <c r="BC461" s="442"/>
      <c r="BD461" s="442"/>
      <c r="BE461" s="444"/>
      <c r="BF461" s="442" t="s">
        <v>298</v>
      </c>
      <c r="BG461" s="442" t="s">
        <v>680</v>
      </c>
      <c r="BH461" s="442" t="s">
        <v>681</v>
      </c>
      <c r="BI461" s="442"/>
    </row>
    <row r="462" spans="1:61">
      <c r="A462" s="442" t="s">
        <v>925</v>
      </c>
      <c r="B462" s="442" t="s">
        <v>925</v>
      </c>
      <c r="C462" s="442" t="s">
        <v>926</v>
      </c>
      <c r="D462" s="442" t="s">
        <v>673</v>
      </c>
      <c r="E462" s="442" t="s">
        <v>3</v>
      </c>
      <c r="F462" s="443" t="s">
        <v>83</v>
      </c>
      <c r="G462" s="443" t="s">
        <v>700</v>
      </c>
      <c r="H462" s="444">
        <v>290400</v>
      </c>
      <c r="I462" s="444">
        <v>290400</v>
      </c>
      <c r="J462" s="444">
        <v>0</v>
      </c>
      <c r="K462" s="444">
        <v>0</v>
      </c>
      <c r="L462" s="444">
        <v>290400</v>
      </c>
      <c r="M462" s="444">
        <v>0</v>
      </c>
      <c r="N462" s="444">
        <v>0</v>
      </c>
      <c r="O462" s="444">
        <v>0</v>
      </c>
      <c r="P462" s="444">
        <v>0</v>
      </c>
      <c r="Q462" s="444">
        <v>0</v>
      </c>
      <c r="R462" s="444">
        <v>0</v>
      </c>
      <c r="S462" s="444">
        <v>0</v>
      </c>
      <c r="T462" s="444">
        <v>0</v>
      </c>
      <c r="U462" s="444">
        <v>0</v>
      </c>
      <c r="V462" s="444">
        <v>0</v>
      </c>
      <c r="W462" s="444">
        <v>0</v>
      </c>
      <c r="X462" s="442" t="s">
        <v>674</v>
      </c>
      <c r="Y462" s="442" t="s">
        <v>675</v>
      </c>
      <c r="Z462" s="442" t="s">
        <v>675</v>
      </c>
      <c r="AA462" s="442" t="s">
        <v>675</v>
      </c>
      <c r="AB462" s="442" t="s">
        <v>675</v>
      </c>
      <c r="AC462" s="442"/>
      <c r="AD462" s="442"/>
      <c r="AE462" s="442"/>
      <c r="AF462" s="442"/>
      <c r="AG462" s="443" t="s">
        <v>932</v>
      </c>
      <c r="AH462" s="442"/>
      <c r="AI462" s="443" t="s">
        <v>932</v>
      </c>
      <c r="AJ462" s="443" t="s">
        <v>677</v>
      </c>
      <c r="AK462" s="442" t="s">
        <v>677</v>
      </c>
      <c r="AL462" s="442"/>
      <c r="AM462" s="442"/>
      <c r="AN462" s="442"/>
      <c r="AO462" s="442"/>
      <c r="AP462" s="442"/>
      <c r="AQ462" s="442"/>
      <c r="AR462" s="444"/>
      <c r="AS462" s="442"/>
      <c r="AT462" s="444"/>
      <c r="AU462" s="442" t="s">
        <v>678</v>
      </c>
      <c r="AV462" s="442" t="s">
        <v>677</v>
      </c>
      <c r="AW462" s="442" t="s">
        <v>676</v>
      </c>
      <c r="AX462" s="442" t="s">
        <v>674</v>
      </c>
      <c r="AY462" s="442"/>
      <c r="AZ462" s="442"/>
      <c r="BA462" s="442" t="s">
        <v>679</v>
      </c>
      <c r="BB462" s="442"/>
      <c r="BC462" s="442"/>
      <c r="BD462" s="442"/>
      <c r="BE462" s="444"/>
      <c r="BF462" s="442" t="s">
        <v>298</v>
      </c>
      <c r="BG462" s="442" t="s">
        <v>680</v>
      </c>
      <c r="BH462" s="442" t="s">
        <v>681</v>
      </c>
      <c r="BI462" s="442"/>
    </row>
    <row r="463" spans="1:61">
      <c r="A463" s="442" t="s">
        <v>925</v>
      </c>
      <c r="B463" s="442" t="s">
        <v>925</v>
      </c>
      <c r="C463" s="442" t="s">
        <v>926</v>
      </c>
      <c r="D463" s="442" t="s">
        <v>673</v>
      </c>
      <c r="E463" s="442" t="s">
        <v>3</v>
      </c>
      <c r="F463" s="443" t="s">
        <v>83</v>
      </c>
      <c r="G463" s="443" t="s">
        <v>700</v>
      </c>
      <c r="H463" s="444">
        <v>290400</v>
      </c>
      <c r="I463" s="444">
        <v>290400</v>
      </c>
      <c r="J463" s="444">
        <v>0</v>
      </c>
      <c r="K463" s="444">
        <v>0</v>
      </c>
      <c r="L463" s="444">
        <v>290400</v>
      </c>
      <c r="M463" s="444">
        <v>0</v>
      </c>
      <c r="N463" s="444">
        <v>0</v>
      </c>
      <c r="O463" s="444">
        <v>0</v>
      </c>
      <c r="P463" s="444">
        <v>0</v>
      </c>
      <c r="Q463" s="444">
        <v>0</v>
      </c>
      <c r="R463" s="444">
        <v>0</v>
      </c>
      <c r="S463" s="444">
        <v>0</v>
      </c>
      <c r="T463" s="444">
        <v>0</v>
      </c>
      <c r="U463" s="444">
        <v>0</v>
      </c>
      <c r="V463" s="444">
        <v>0</v>
      </c>
      <c r="W463" s="444">
        <v>0</v>
      </c>
      <c r="X463" s="442" t="s">
        <v>674</v>
      </c>
      <c r="Y463" s="442" t="s">
        <v>675</v>
      </c>
      <c r="Z463" s="442" t="s">
        <v>675</v>
      </c>
      <c r="AA463" s="442" t="s">
        <v>675</v>
      </c>
      <c r="AB463" s="442" t="s">
        <v>675</v>
      </c>
      <c r="AC463" s="442"/>
      <c r="AD463" s="442"/>
      <c r="AE463" s="442"/>
      <c r="AF463" s="442"/>
      <c r="AG463" s="443" t="s">
        <v>932</v>
      </c>
      <c r="AH463" s="442"/>
      <c r="AI463" s="443" t="s">
        <v>932</v>
      </c>
      <c r="AJ463" s="443" t="s">
        <v>677</v>
      </c>
      <c r="AK463" s="442" t="s">
        <v>677</v>
      </c>
      <c r="AL463" s="442"/>
      <c r="AM463" s="442"/>
      <c r="AN463" s="442"/>
      <c r="AO463" s="442"/>
      <c r="AP463" s="442"/>
      <c r="AQ463" s="442"/>
      <c r="AR463" s="444"/>
      <c r="AS463" s="442"/>
      <c r="AT463" s="444"/>
      <c r="AU463" s="442" t="s">
        <v>678</v>
      </c>
      <c r="AV463" s="442" t="s">
        <v>677</v>
      </c>
      <c r="AW463" s="442" t="s">
        <v>676</v>
      </c>
      <c r="AX463" s="442" t="s">
        <v>674</v>
      </c>
      <c r="AY463" s="442"/>
      <c r="AZ463" s="442"/>
      <c r="BA463" s="442" t="s">
        <v>679</v>
      </c>
      <c r="BB463" s="442"/>
      <c r="BC463" s="442"/>
      <c r="BD463" s="442"/>
      <c r="BE463" s="444"/>
      <c r="BF463" s="442" t="s">
        <v>298</v>
      </c>
      <c r="BG463" s="442" t="s">
        <v>680</v>
      </c>
      <c r="BH463" s="442" t="s">
        <v>681</v>
      </c>
      <c r="BI463" s="442"/>
    </row>
    <row r="464" spans="1:61">
      <c r="A464" s="442" t="s">
        <v>925</v>
      </c>
      <c r="B464" s="442" t="s">
        <v>925</v>
      </c>
      <c r="C464" s="442" t="s">
        <v>926</v>
      </c>
      <c r="D464" s="442" t="s">
        <v>673</v>
      </c>
      <c r="E464" s="442" t="s">
        <v>3</v>
      </c>
      <c r="F464" s="443" t="s">
        <v>83</v>
      </c>
      <c r="G464" s="443" t="s">
        <v>700</v>
      </c>
      <c r="H464" s="444">
        <v>202400</v>
      </c>
      <c r="I464" s="444">
        <v>202400</v>
      </c>
      <c r="J464" s="444">
        <v>0</v>
      </c>
      <c r="K464" s="444">
        <v>0</v>
      </c>
      <c r="L464" s="444">
        <v>202400</v>
      </c>
      <c r="M464" s="444">
        <v>0</v>
      </c>
      <c r="N464" s="444">
        <v>0</v>
      </c>
      <c r="O464" s="444">
        <v>0</v>
      </c>
      <c r="P464" s="444">
        <v>0</v>
      </c>
      <c r="Q464" s="444">
        <v>0</v>
      </c>
      <c r="R464" s="444">
        <v>0</v>
      </c>
      <c r="S464" s="444">
        <v>0</v>
      </c>
      <c r="T464" s="444">
        <v>0</v>
      </c>
      <c r="U464" s="444">
        <v>0</v>
      </c>
      <c r="V464" s="444">
        <v>0</v>
      </c>
      <c r="W464" s="444">
        <v>0</v>
      </c>
      <c r="X464" s="442" t="s">
        <v>674</v>
      </c>
      <c r="Y464" s="442" t="s">
        <v>675</v>
      </c>
      <c r="Z464" s="442" t="s">
        <v>675</v>
      </c>
      <c r="AA464" s="442" t="s">
        <v>675</v>
      </c>
      <c r="AB464" s="442" t="s">
        <v>675</v>
      </c>
      <c r="AC464" s="442"/>
      <c r="AD464" s="442"/>
      <c r="AE464" s="442"/>
      <c r="AF464" s="442"/>
      <c r="AG464" s="443" t="s">
        <v>932</v>
      </c>
      <c r="AH464" s="442"/>
      <c r="AI464" s="443" t="s">
        <v>932</v>
      </c>
      <c r="AJ464" s="443" t="s">
        <v>677</v>
      </c>
      <c r="AK464" s="442" t="s">
        <v>677</v>
      </c>
      <c r="AL464" s="442"/>
      <c r="AM464" s="442"/>
      <c r="AN464" s="442"/>
      <c r="AO464" s="442"/>
      <c r="AP464" s="442"/>
      <c r="AQ464" s="442"/>
      <c r="AR464" s="444"/>
      <c r="AS464" s="442"/>
      <c r="AT464" s="444"/>
      <c r="AU464" s="442" t="s">
        <v>678</v>
      </c>
      <c r="AV464" s="442" t="s">
        <v>677</v>
      </c>
      <c r="AW464" s="442" t="s">
        <v>676</v>
      </c>
      <c r="AX464" s="442" t="s">
        <v>674</v>
      </c>
      <c r="AY464" s="442"/>
      <c r="AZ464" s="442"/>
      <c r="BA464" s="442" t="s">
        <v>679</v>
      </c>
      <c r="BB464" s="442"/>
      <c r="BC464" s="442"/>
      <c r="BD464" s="442"/>
      <c r="BE464" s="444"/>
      <c r="BF464" s="442" t="s">
        <v>298</v>
      </c>
      <c r="BG464" s="442" t="s">
        <v>680</v>
      </c>
      <c r="BH464" s="442" t="s">
        <v>681</v>
      </c>
      <c r="BI464" s="442"/>
    </row>
    <row r="465" spans="1:61">
      <c r="A465" s="442" t="s">
        <v>925</v>
      </c>
      <c r="B465" s="442" t="s">
        <v>925</v>
      </c>
      <c r="C465" s="442" t="s">
        <v>926</v>
      </c>
      <c r="D465" s="442" t="s">
        <v>673</v>
      </c>
      <c r="E465" s="442" t="s">
        <v>3</v>
      </c>
      <c r="F465" s="443" t="s">
        <v>83</v>
      </c>
      <c r="G465" s="443" t="s">
        <v>700</v>
      </c>
      <c r="H465" s="444">
        <v>3009600</v>
      </c>
      <c r="I465" s="444">
        <v>3009600</v>
      </c>
      <c r="J465" s="444">
        <v>0</v>
      </c>
      <c r="K465" s="444">
        <v>0</v>
      </c>
      <c r="L465" s="444">
        <v>3009600</v>
      </c>
      <c r="M465" s="444">
        <v>0</v>
      </c>
      <c r="N465" s="444">
        <v>0</v>
      </c>
      <c r="O465" s="444">
        <v>0</v>
      </c>
      <c r="P465" s="444">
        <v>0</v>
      </c>
      <c r="Q465" s="444">
        <v>0</v>
      </c>
      <c r="R465" s="444">
        <v>0</v>
      </c>
      <c r="S465" s="444">
        <v>0</v>
      </c>
      <c r="T465" s="444">
        <v>0</v>
      </c>
      <c r="U465" s="444">
        <v>0</v>
      </c>
      <c r="V465" s="444">
        <v>0</v>
      </c>
      <c r="W465" s="444">
        <v>0</v>
      </c>
      <c r="X465" s="442" t="s">
        <v>674</v>
      </c>
      <c r="Y465" s="442" t="s">
        <v>675</v>
      </c>
      <c r="Z465" s="442" t="s">
        <v>675</v>
      </c>
      <c r="AA465" s="442" t="s">
        <v>675</v>
      </c>
      <c r="AB465" s="442" t="s">
        <v>675</v>
      </c>
      <c r="AC465" s="442"/>
      <c r="AD465" s="442"/>
      <c r="AE465" s="442"/>
      <c r="AF465" s="442"/>
      <c r="AG465" s="443" t="s">
        <v>931</v>
      </c>
      <c r="AH465" s="442"/>
      <c r="AI465" s="443" t="s">
        <v>931</v>
      </c>
      <c r="AJ465" s="443" t="s">
        <v>677</v>
      </c>
      <c r="AK465" s="442" t="s">
        <v>677</v>
      </c>
      <c r="AL465" s="442"/>
      <c r="AM465" s="442"/>
      <c r="AN465" s="442"/>
      <c r="AO465" s="442"/>
      <c r="AP465" s="442"/>
      <c r="AQ465" s="442"/>
      <c r="AR465" s="444"/>
      <c r="AS465" s="442"/>
      <c r="AT465" s="444"/>
      <c r="AU465" s="442" t="s">
        <v>678</v>
      </c>
      <c r="AV465" s="442" t="s">
        <v>677</v>
      </c>
      <c r="AW465" s="442" t="s">
        <v>676</v>
      </c>
      <c r="AX465" s="442" t="s">
        <v>674</v>
      </c>
      <c r="AY465" s="442"/>
      <c r="AZ465" s="442"/>
      <c r="BA465" s="442" t="s">
        <v>679</v>
      </c>
      <c r="BB465" s="442"/>
      <c r="BC465" s="442"/>
      <c r="BD465" s="442"/>
      <c r="BE465" s="444"/>
      <c r="BF465" s="442" t="s">
        <v>298</v>
      </c>
      <c r="BG465" s="442" t="s">
        <v>680</v>
      </c>
      <c r="BH465" s="442" t="s">
        <v>681</v>
      </c>
      <c r="BI465" s="442"/>
    </row>
    <row r="466" spans="1:61">
      <c r="A466" s="442" t="s">
        <v>933</v>
      </c>
      <c r="B466" s="442" t="s">
        <v>934</v>
      </c>
      <c r="C466" s="442" t="s">
        <v>935</v>
      </c>
      <c r="D466" s="442" t="s">
        <v>724</v>
      </c>
      <c r="E466" s="442" t="s">
        <v>3</v>
      </c>
      <c r="F466" s="443" t="s">
        <v>71</v>
      </c>
      <c r="G466" s="443" t="s">
        <v>719</v>
      </c>
      <c r="H466" s="444">
        <v>10164000</v>
      </c>
      <c r="I466" s="444">
        <v>10164000</v>
      </c>
      <c r="J466" s="444">
        <v>0</v>
      </c>
      <c r="K466" s="444">
        <v>0</v>
      </c>
      <c r="L466" s="444">
        <v>9240000</v>
      </c>
      <c r="M466" s="444">
        <v>0</v>
      </c>
      <c r="N466" s="444">
        <v>0</v>
      </c>
      <c r="O466" s="444">
        <v>924000</v>
      </c>
      <c r="P466" s="444">
        <v>0</v>
      </c>
      <c r="Q466" s="444">
        <v>0</v>
      </c>
      <c r="R466" s="444">
        <v>0</v>
      </c>
      <c r="S466" s="444">
        <v>0</v>
      </c>
      <c r="T466" s="444">
        <v>0</v>
      </c>
      <c r="U466" s="444">
        <v>0</v>
      </c>
      <c r="V466" s="444">
        <v>0</v>
      </c>
      <c r="W466" s="444">
        <v>0</v>
      </c>
      <c r="X466" s="442" t="s">
        <v>674</v>
      </c>
      <c r="Y466" s="442" t="s">
        <v>675</v>
      </c>
      <c r="Z466" s="442" t="s">
        <v>675</v>
      </c>
      <c r="AA466" s="442" t="s">
        <v>675</v>
      </c>
      <c r="AB466" s="442" t="s">
        <v>675</v>
      </c>
      <c r="AC466" s="442"/>
      <c r="AD466" s="442"/>
      <c r="AE466" s="442"/>
      <c r="AF466" s="442"/>
      <c r="AG466" s="443" t="s">
        <v>936</v>
      </c>
      <c r="AH466" s="442"/>
      <c r="AI466" s="443" t="s">
        <v>936</v>
      </c>
      <c r="AJ466" s="443" t="s">
        <v>937</v>
      </c>
      <c r="AK466" s="442" t="s">
        <v>677</v>
      </c>
      <c r="AL466" s="442"/>
      <c r="AM466" s="442" t="s">
        <v>726</v>
      </c>
      <c r="AN466" s="442" t="s">
        <v>938</v>
      </c>
      <c r="AO466" s="442" t="s">
        <v>933</v>
      </c>
      <c r="AP466" s="442" t="s">
        <v>926</v>
      </c>
      <c r="AQ466" s="442" t="s">
        <v>939</v>
      </c>
      <c r="AR466" s="444">
        <v>10164000</v>
      </c>
      <c r="AS466" s="442" t="s">
        <v>675</v>
      </c>
      <c r="AT466" s="444">
        <v>0</v>
      </c>
      <c r="AU466" s="442" t="s">
        <v>678</v>
      </c>
      <c r="AV466" s="442" t="s">
        <v>677</v>
      </c>
      <c r="AW466" s="442" t="s">
        <v>676</v>
      </c>
      <c r="AX466" s="442" t="s">
        <v>674</v>
      </c>
      <c r="AY466" s="442"/>
      <c r="AZ466" s="442"/>
      <c r="BA466" s="442" t="s">
        <v>679</v>
      </c>
      <c r="BB466" s="442"/>
      <c r="BC466" s="442"/>
      <c r="BD466" s="442"/>
      <c r="BE466" s="444"/>
      <c r="BF466" s="442" t="s">
        <v>298</v>
      </c>
      <c r="BG466" s="442" t="s">
        <v>680</v>
      </c>
      <c r="BH466" s="442" t="s">
        <v>681</v>
      </c>
      <c r="BI466" s="442"/>
    </row>
    <row r="467" spans="1:61">
      <c r="A467" s="442" t="s">
        <v>940</v>
      </c>
      <c r="B467" s="442" t="s">
        <v>940</v>
      </c>
      <c r="C467" s="442" t="s">
        <v>941</v>
      </c>
      <c r="D467" s="442" t="s">
        <v>673</v>
      </c>
      <c r="E467" s="442" t="s">
        <v>3</v>
      </c>
      <c r="F467" s="443" t="s">
        <v>83</v>
      </c>
      <c r="G467" s="443" t="s">
        <v>700</v>
      </c>
      <c r="H467" s="444">
        <v>70400</v>
      </c>
      <c r="I467" s="444">
        <v>70400</v>
      </c>
      <c r="J467" s="444">
        <v>0</v>
      </c>
      <c r="K467" s="444">
        <v>0</v>
      </c>
      <c r="L467" s="444">
        <v>70400</v>
      </c>
      <c r="M467" s="444">
        <v>0</v>
      </c>
      <c r="N467" s="444">
        <v>0</v>
      </c>
      <c r="O467" s="444">
        <v>0</v>
      </c>
      <c r="P467" s="444">
        <v>0</v>
      </c>
      <c r="Q467" s="444">
        <v>0</v>
      </c>
      <c r="R467" s="444">
        <v>0</v>
      </c>
      <c r="S467" s="444">
        <v>0</v>
      </c>
      <c r="T467" s="444">
        <v>0</v>
      </c>
      <c r="U467" s="444">
        <v>0</v>
      </c>
      <c r="V467" s="444">
        <v>0</v>
      </c>
      <c r="W467" s="444">
        <v>0</v>
      </c>
      <c r="X467" s="442" t="s">
        <v>674</v>
      </c>
      <c r="Y467" s="442" t="s">
        <v>675</v>
      </c>
      <c r="Z467" s="442" t="s">
        <v>675</v>
      </c>
      <c r="AA467" s="442" t="s">
        <v>675</v>
      </c>
      <c r="AB467" s="442" t="s">
        <v>675</v>
      </c>
      <c r="AC467" s="442"/>
      <c r="AD467" s="442"/>
      <c r="AE467" s="442"/>
      <c r="AF467" s="442"/>
      <c r="AG467" s="443" t="s">
        <v>942</v>
      </c>
      <c r="AH467" s="442"/>
      <c r="AI467" s="443" t="s">
        <v>942</v>
      </c>
      <c r="AJ467" s="443" t="s">
        <v>677</v>
      </c>
      <c r="AK467" s="442" t="s">
        <v>677</v>
      </c>
      <c r="AL467" s="442"/>
      <c r="AM467" s="442"/>
      <c r="AN467" s="442"/>
      <c r="AO467" s="442"/>
      <c r="AP467" s="442"/>
      <c r="AQ467" s="442"/>
      <c r="AR467" s="444"/>
      <c r="AS467" s="442"/>
      <c r="AT467" s="444"/>
      <c r="AU467" s="442" t="s">
        <v>678</v>
      </c>
      <c r="AV467" s="442" t="s">
        <v>677</v>
      </c>
      <c r="AW467" s="442" t="s">
        <v>676</v>
      </c>
      <c r="AX467" s="442" t="s">
        <v>674</v>
      </c>
      <c r="AY467" s="442"/>
      <c r="AZ467" s="442"/>
      <c r="BA467" s="442" t="s">
        <v>679</v>
      </c>
      <c r="BB467" s="442"/>
      <c r="BC467" s="442"/>
      <c r="BD467" s="442"/>
      <c r="BE467" s="444"/>
      <c r="BF467" s="442" t="s">
        <v>298</v>
      </c>
      <c r="BG467" s="442" t="s">
        <v>680</v>
      </c>
      <c r="BH467" s="442" t="s">
        <v>681</v>
      </c>
      <c r="BI467" s="442"/>
    </row>
    <row r="468" spans="1:61">
      <c r="A468" s="442" t="s">
        <v>940</v>
      </c>
      <c r="B468" s="442" t="s">
        <v>940</v>
      </c>
      <c r="C468" s="442" t="s">
        <v>941</v>
      </c>
      <c r="D468" s="442" t="s">
        <v>673</v>
      </c>
      <c r="E468" s="442" t="s">
        <v>3</v>
      </c>
      <c r="F468" s="443" t="s">
        <v>83</v>
      </c>
      <c r="G468" s="443" t="s">
        <v>700</v>
      </c>
      <c r="H468" s="444">
        <v>729600</v>
      </c>
      <c r="I468" s="444">
        <v>729600</v>
      </c>
      <c r="J468" s="444">
        <v>0</v>
      </c>
      <c r="K468" s="444">
        <v>0</v>
      </c>
      <c r="L468" s="444">
        <v>729600</v>
      </c>
      <c r="M468" s="444">
        <v>0</v>
      </c>
      <c r="N468" s="444">
        <v>0</v>
      </c>
      <c r="O468" s="444">
        <v>0</v>
      </c>
      <c r="P468" s="444">
        <v>0</v>
      </c>
      <c r="Q468" s="444">
        <v>0</v>
      </c>
      <c r="R468" s="444">
        <v>0</v>
      </c>
      <c r="S468" s="444">
        <v>0</v>
      </c>
      <c r="T468" s="444">
        <v>0</v>
      </c>
      <c r="U468" s="444">
        <v>0</v>
      </c>
      <c r="V468" s="444">
        <v>0</v>
      </c>
      <c r="W468" s="444">
        <v>0</v>
      </c>
      <c r="X468" s="442" t="s">
        <v>674</v>
      </c>
      <c r="Y468" s="442" t="s">
        <v>675</v>
      </c>
      <c r="Z468" s="442" t="s">
        <v>675</v>
      </c>
      <c r="AA468" s="442" t="s">
        <v>675</v>
      </c>
      <c r="AB468" s="442" t="s">
        <v>675</v>
      </c>
      <c r="AC468" s="442"/>
      <c r="AD468" s="442"/>
      <c r="AE468" s="442"/>
      <c r="AF468" s="442"/>
      <c r="AG468" s="443" t="s">
        <v>943</v>
      </c>
      <c r="AH468" s="442"/>
      <c r="AI468" s="443" t="s">
        <v>943</v>
      </c>
      <c r="AJ468" s="443" t="s">
        <v>677</v>
      </c>
      <c r="AK468" s="442" t="s">
        <v>677</v>
      </c>
      <c r="AL468" s="442"/>
      <c r="AM468" s="442"/>
      <c r="AN468" s="442"/>
      <c r="AO468" s="442"/>
      <c r="AP468" s="442"/>
      <c r="AQ468" s="442"/>
      <c r="AR468" s="444"/>
      <c r="AS468" s="442"/>
      <c r="AT468" s="444"/>
      <c r="AU468" s="442" t="s">
        <v>678</v>
      </c>
      <c r="AV468" s="442" t="s">
        <v>677</v>
      </c>
      <c r="AW468" s="442" t="s">
        <v>676</v>
      </c>
      <c r="AX468" s="442" t="s">
        <v>674</v>
      </c>
      <c r="AY468" s="442"/>
      <c r="AZ468" s="442"/>
      <c r="BA468" s="442" t="s">
        <v>679</v>
      </c>
      <c r="BB468" s="442"/>
      <c r="BC468" s="442"/>
      <c r="BD468" s="442"/>
      <c r="BE468" s="444"/>
      <c r="BF468" s="442" t="s">
        <v>298</v>
      </c>
      <c r="BG468" s="442" t="s">
        <v>680</v>
      </c>
      <c r="BH468" s="442" t="s">
        <v>681</v>
      </c>
      <c r="BI468" s="442"/>
    </row>
    <row r="469" spans="1:61">
      <c r="A469" s="442" t="s">
        <v>940</v>
      </c>
      <c r="B469" s="442" t="s">
        <v>940</v>
      </c>
      <c r="C469" s="442" t="s">
        <v>941</v>
      </c>
      <c r="D469" s="442" t="s">
        <v>673</v>
      </c>
      <c r="E469" s="442" t="s">
        <v>3</v>
      </c>
      <c r="F469" s="443" t="s">
        <v>83</v>
      </c>
      <c r="G469" s="443" t="s">
        <v>700</v>
      </c>
      <c r="H469" s="444">
        <v>440000</v>
      </c>
      <c r="I469" s="444">
        <v>440000</v>
      </c>
      <c r="J469" s="444">
        <v>0</v>
      </c>
      <c r="K469" s="444">
        <v>0</v>
      </c>
      <c r="L469" s="444">
        <v>440000</v>
      </c>
      <c r="M469" s="444">
        <v>0</v>
      </c>
      <c r="N469" s="444">
        <v>0</v>
      </c>
      <c r="O469" s="444">
        <v>0</v>
      </c>
      <c r="P469" s="444">
        <v>0</v>
      </c>
      <c r="Q469" s="444">
        <v>0</v>
      </c>
      <c r="R469" s="444">
        <v>0</v>
      </c>
      <c r="S469" s="444">
        <v>0</v>
      </c>
      <c r="T469" s="444">
        <v>0</v>
      </c>
      <c r="U469" s="444">
        <v>0</v>
      </c>
      <c r="V469" s="444">
        <v>0</v>
      </c>
      <c r="W469" s="444">
        <v>0</v>
      </c>
      <c r="X469" s="442" t="s">
        <v>674</v>
      </c>
      <c r="Y469" s="442" t="s">
        <v>675</v>
      </c>
      <c r="Z469" s="442" t="s">
        <v>675</v>
      </c>
      <c r="AA469" s="442" t="s">
        <v>675</v>
      </c>
      <c r="AB469" s="442" t="s">
        <v>675</v>
      </c>
      <c r="AC469" s="442"/>
      <c r="AD469" s="442"/>
      <c r="AE469" s="442"/>
      <c r="AF469" s="442"/>
      <c r="AG469" s="443" t="s">
        <v>942</v>
      </c>
      <c r="AH469" s="442"/>
      <c r="AI469" s="443" t="s">
        <v>942</v>
      </c>
      <c r="AJ469" s="443" t="s">
        <v>677</v>
      </c>
      <c r="AK469" s="442" t="s">
        <v>677</v>
      </c>
      <c r="AL469" s="442"/>
      <c r="AM469" s="442"/>
      <c r="AN469" s="442"/>
      <c r="AO469" s="442"/>
      <c r="AP469" s="442"/>
      <c r="AQ469" s="442"/>
      <c r="AR469" s="444"/>
      <c r="AS469" s="442"/>
      <c r="AT469" s="444"/>
      <c r="AU469" s="442" t="s">
        <v>678</v>
      </c>
      <c r="AV469" s="442" t="s">
        <v>677</v>
      </c>
      <c r="AW469" s="442" t="s">
        <v>676</v>
      </c>
      <c r="AX469" s="442" t="s">
        <v>674</v>
      </c>
      <c r="AY469" s="442"/>
      <c r="AZ469" s="442"/>
      <c r="BA469" s="442" t="s">
        <v>679</v>
      </c>
      <c r="BB469" s="442"/>
      <c r="BC469" s="442"/>
      <c r="BD469" s="442"/>
      <c r="BE469" s="444"/>
      <c r="BF469" s="442" t="s">
        <v>298</v>
      </c>
      <c r="BG469" s="442" t="s">
        <v>680</v>
      </c>
      <c r="BH469" s="442" t="s">
        <v>681</v>
      </c>
      <c r="BI469" s="442"/>
    </row>
    <row r="470" spans="1:61">
      <c r="A470" s="442" t="s">
        <v>940</v>
      </c>
      <c r="B470" s="442" t="s">
        <v>940</v>
      </c>
      <c r="C470" s="442" t="s">
        <v>941</v>
      </c>
      <c r="D470" s="442" t="s">
        <v>673</v>
      </c>
      <c r="E470" s="442" t="s">
        <v>3</v>
      </c>
      <c r="F470" s="443" t="s">
        <v>83</v>
      </c>
      <c r="G470" s="443" t="s">
        <v>700</v>
      </c>
      <c r="H470" s="444">
        <v>4560000</v>
      </c>
      <c r="I470" s="444">
        <v>4560000</v>
      </c>
      <c r="J470" s="444">
        <v>0</v>
      </c>
      <c r="K470" s="444">
        <v>0</v>
      </c>
      <c r="L470" s="444">
        <v>4560000</v>
      </c>
      <c r="M470" s="444">
        <v>0</v>
      </c>
      <c r="N470" s="444">
        <v>0</v>
      </c>
      <c r="O470" s="444">
        <v>0</v>
      </c>
      <c r="P470" s="444">
        <v>0</v>
      </c>
      <c r="Q470" s="444">
        <v>0</v>
      </c>
      <c r="R470" s="444">
        <v>0</v>
      </c>
      <c r="S470" s="444">
        <v>0</v>
      </c>
      <c r="T470" s="444">
        <v>0</v>
      </c>
      <c r="U470" s="444">
        <v>0</v>
      </c>
      <c r="V470" s="444">
        <v>0</v>
      </c>
      <c r="W470" s="444">
        <v>0</v>
      </c>
      <c r="X470" s="442" t="s">
        <v>674</v>
      </c>
      <c r="Y470" s="442" t="s">
        <v>675</v>
      </c>
      <c r="Z470" s="442" t="s">
        <v>675</v>
      </c>
      <c r="AA470" s="442" t="s">
        <v>675</v>
      </c>
      <c r="AB470" s="442" t="s">
        <v>675</v>
      </c>
      <c r="AC470" s="442"/>
      <c r="AD470" s="442"/>
      <c r="AE470" s="442"/>
      <c r="AF470" s="442"/>
      <c r="AG470" s="443" t="s">
        <v>943</v>
      </c>
      <c r="AH470" s="442"/>
      <c r="AI470" s="443" t="s">
        <v>943</v>
      </c>
      <c r="AJ470" s="443" t="s">
        <v>677</v>
      </c>
      <c r="AK470" s="442" t="s">
        <v>677</v>
      </c>
      <c r="AL470" s="442"/>
      <c r="AM470" s="442"/>
      <c r="AN470" s="442"/>
      <c r="AO470" s="442"/>
      <c r="AP470" s="442"/>
      <c r="AQ470" s="442"/>
      <c r="AR470" s="444"/>
      <c r="AS470" s="442"/>
      <c r="AT470" s="444"/>
      <c r="AU470" s="442" t="s">
        <v>678</v>
      </c>
      <c r="AV470" s="442" t="s">
        <v>677</v>
      </c>
      <c r="AW470" s="442" t="s">
        <v>676</v>
      </c>
      <c r="AX470" s="442" t="s">
        <v>674</v>
      </c>
      <c r="AY470" s="442"/>
      <c r="AZ470" s="442"/>
      <c r="BA470" s="442" t="s">
        <v>679</v>
      </c>
      <c r="BB470" s="442"/>
      <c r="BC470" s="442"/>
      <c r="BD470" s="442"/>
      <c r="BE470" s="444"/>
      <c r="BF470" s="442" t="s">
        <v>298</v>
      </c>
      <c r="BG470" s="442" t="s">
        <v>680</v>
      </c>
      <c r="BH470" s="442" t="s">
        <v>681</v>
      </c>
      <c r="BI470" s="442"/>
    </row>
    <row r="471" spans="1:61">
      <c r="A471" s="442" t="s">
        <v>944</v>
      </c>
      <c r="B471" s="442" t="s">
        <v>728</v>
      </c>
      <c r="C471" s="442" t="s">
        <v>722</v>
      </c>
      <c r="D471" s="442" t="s">
        <v>724</v>
      </c>
      <c r="E471" s="442" t="s">
        <v>3</v>
      </c>
      <c r="F471" s="443" t="s">
        <v>83</v>
      </c>
      <c r="G471" s="443" t="s">
        <v>700</v>
      </c>
      <c r="H471" s="444">
        <v>22990</v>
      </c>
      <c r="I471" s="444">
        <v>22990</v>
      </c>
      <c r="J471" s="444">
        <v>0</v>
      </c>
      <c r="K471" s="444">
        <v>0</v>
      </c>
      <c r="L471" s="444">
        <v>20900</v>
      </c>
      <c r="M471" s="444">
        <v>0</v>
      </c>
      <c r="N471" s="444">
        <v>0</v>
      </c>
      <c r="O471" s="444">
        <v>2090</v>
      </c>
      <c r="P471" s="444">
        <v>0</v>
      </c>
      <c r="Q471" s="444">
        <v>0</v>
      </c>
      <c r="R471" s="444">
        <v>0</v>
      </c>
      <c r="S471" s="444">
        <v>0</v>
      </c>
      <c r="T471" s="444">
        <v>0</v>
      </c>
      <c r="U471" s="444">
        <v>0</v>
      </c>
      <c r="V471" s="444">
        <v>0</v>
      </c>
      <c r="W471" s="444">
        <v>0</v>
      </c>
      <c r="X471" s="442" t="s">
        <v>674</v>
      </c>
      <c r="Y471" s="442" t="s">
        <v>675</v>
      </c>
      <c r="Z471" s="442" t="s">
        <v>675</v>
      </c>
      <c r="AA471" s="442" t="s">
        <v>675</v>
      </c>
      <c r="AB471" s="442" t="s">
        <v>675</v>
      </c>
      <c r="AC471" s="442"/>
      <c r="AD471" s="442"/>
      <c r="AE471" s="442"/>
      <c r="AF471" s="442"/>
      <c r="AG471" s="443" t="s">
        <v>568</v>
      </c>
      <c r="AH471" s="442"/>
      <c r="AI471" s="443" t="s">
        <v>568</v>
      </c>
      <c r="AJ471" s="443" t="s">
        <v>945</v>
      </c>
      <c r="AK471" s="442" t="s">
        <v>677</v>
      </c>
      <c r="AL471" s="442"/>
      <c r="AM471" s="442" t="s">
        <v>763</v>
      </c>
      <c r="AN471" s="442" t="s">
        <v>946</v>
      </c>
      <c r="AO471" s="442" t="s">
        <v>944</v>
      </c>
      <c r="AP471" s="442" t="s">
        <v>947</v>
      </c>
      <c r="AQ471" s="442" t="s">
        <v>757</v>
      </c>
      <c r="AR471" s="444">
        <v>22990</v>
      </c>
      <c r="AS471" s="442" t="s">
        <v>675</v>
      </c>
      <c r="AT471" s="444">
        <v>0</v>
      </c>
      <c r="AU471" s="442" t="s">
        <v>678</v>
      </c>
      <c r="AV471" s="442" t="s">
        <v>677</v>
      </c>
      <c r="AW471" s="442" t="s">
        <v>676</v>
      </c>
      <c r="AX471" s="442" t="s">
        <v>674</v>
      </c>
      <c r="AY471" s="442"/>
      <c r="AZ471" s="442"/>
      <c r="BA471" s="442" t="s">
        <v>679</v>
      </c>
      <c r="BB471" s="442"/>
      <c r="BC471" s="442"/>
      <c r="BD471" s="442"/>
      <c r="BE471" s="444"/>
      <c r="BF471" s="442" t="s">
        <v>298</v>
      </c>
      <c r="BG471" s="442" t="s">
        <v>680</v>
      </c>
      <c r="BH471" s="442" t="s">
        <v>681</v>
      </c>
      <c r="BI471" s="442"/>
    </row>
    <row r="472" spans="1:61">
      <c r="A472" s="442" t="s">
        <v>948</v>
      </c>
      <c r="B472" s="442" t="s">
        <v>948</v>
      </c>
      <c r="C472" s="442" t="s">
        <v>949</v>
      </c>
      <c r="D472" s="442" t="s">
        <v>673</v>
      </c>
      <c r="E472" s="442" t="s">
        <v>3</v>
      </c>
      <c r="F472" s="443" t="s">
        <v>83</v>
      </c>
      <c r="G472" s="443" t="s">
        <v>700</v>
      </c>
      <c r="H472" s="444">
        <v>440000</v>
      </c>
      <c r="I472" s="444">
        <v>440000</v>
      </c>
      <c r="J472" s="444">
        <v>0</v>
      </c>
      <c r="K472" s="444">
        <v>0</v>
      </c>
      <c r="L472" s="444">
        <v>440000</v>
      </c>
      <c r="M472" s="444">
        <v>0</v>
      </c>
      <c r="N472" s="444">
        <v>0</v>
      </c>
      <c r="O472" s="444">
        <v>0</v>
      </c>
      <c r="P472" s="444">
        <v>0</v>
      </c>
      <c r="Q472" s="444">
        <v>0</v>
      </c>
      <c r="R472" s="444">
        <v>0</v>
      </c>
      <c r="S472" s="444">
        <v>0</v>
      </c>
      <c r="T472" s="444">
        <v>0</v>
      </c>
      <c r="U472" s="444">
        <v>0</v>
      </c>
      <c r="V472" s="444">
        <v>0</v>
      </c>
      <c r="W472" s="444">
        <v>0</v>
      </c>
      <c r="X472" s="442" t="s">
        <v>674</v>
      </c>
      <c r="Y472" s="442" t="s">
        <v>675</v>
      </c>
      <c r="Z472" s="442" t="s">
        <v>675</v>
      </c>
      <c r="AA472" s="442" t="s">
        <v>675</v>
      </c>
      <c r="AB472" s="442" t="s">
        <v>675</v>
      </c>
      <c r="AC472" s="442"/>
      <c r="AD472" s="442"/>
      <c r="AE472" s="442"/>
      <c r="AF472" s="442"/>
      <c r="AG472" s="443" t="s">
        <v>950</v>
      </c>
      <c r="AH472" s="442"/>
      <c r="AI472" s="443" t="s">
        <v>950</v>
      </c>
      <c r="AJ472" s="443" t="s">
        <v>677</v>
      </c>
      <c r="AK472" s="442" t="s">
        <v>677</v>
      </c>
      <c r="AL472" s="442"/>
      <c r="AM472" s="442"/>
      <c r="AN472" s="442"/>
      <c r="AO472" s="442"/>
      <c r="AP472" s="442"/>
      <c r="AQ472" s="442"/>
      <c r="AR472" s="444"/>
      <c r="AS472" s="442"/>
      <c r="AT472" s="444"/>
      <c r="AU472" s="442" t="s">
        <v>678</v>
      </c>
      <c r="AV472" s="442" t="s">
        <v>677</v>
      </c>
      <c r="AW472" s="442" t="s">
        <v>676</v>
      </c>
      <c r="AX472" s="442" t="s">
        <v>674</v>
      </c>
      <c r="AY472" s="442"/>
      <c r="AZ472" s="442"/>
      <c r="BA472" s="442" t="s">
        <v>679</v>
      </c>
      <c r="BB472" s="442"/>
      <c r="BC472" s="442"/>
      <c r="BD472" s="442"/>
      <c r="BE472" s="444"/>
      <c r="BF472" s="442" t="s">
        <v>298</v>
      </c>
      <c r="BG472" s="442" t="s">
        <v>680</v>
      </c>
      <c r="BH472" s="442" t="s">
        <v>681</v>
      </c>
      <c r="BI472" s="442"/>
    </row>
    <row r="473" spans="1:61">
      <c r="A473" s="442" t="s">
        <v>948</v>
      </c>
      <c r="B473" s="442" t="s">
        <v>948</v>
      </c>
      <c r="C473" s="442" t="s">
        <v>949</v>
      </c>
      <c r="D473" s="442" t="s">
        <v>673</v>
      </c>
      <c r="E473" s="442" t="s">
        <v>3</v>
      </c>
      <c r="F473" s="443" t="s">
        <v>83</v>
      </c>
      <c r="G473" s="443" t="s">
        <v>700</v>
      </c>
      <c r="H473" s="444">
        <v>4560000</v>
      </c>
      <c r="I473" s="444">
        <v>4560000</v>
      </c>
      <c r="J473" s="444">
        <v>0</v>
      </c>
      <c r="K473" s="444">
        <v>0</v>
      </c>
      <c r="L473" s="444">
        <v>4560000</v>
      </c>
      <c r="M473" s="444">
        <v>0</v>
      </c>
      <c r="N473" s="444">
        <v>0</v>
      </c>
      <c r="O473" s="444">
        <v>0</v>
      </c>
      <c r="P473" s="444">
        <v>0</v>
      </c>
      <c r="Q473" s="444">
        <v>0</v>
      </c>
      <c r="R473" s="444">
        <v>0</v>
      </c>
      <c r="S473" s="444">
        <v>0</v>
      </c>
      <c r="T473" s="444">
        <v>0</v>
      </c>
      <c r="U473" s="444">
        <v>0</v>
      </c>
      <c r="V473" s="444">
        <v>0</v>
      </c>
      <c r="W473" s="444">
        <v>0</v>
      </c>
      <c r="X473" s="442" t="s">
        <v>674</v>
      </c>
      <c r="Y473" s="442" t="s">
        <v>675</v>
      </c>
      <c r="Z473" s="442" t="s">
        <v>675</v>
      </c>
      <c r="AA473" s="442" t="s">
        <v>675</v>
      </c>
      <c r="AB473" s="442" t="s">
        <v>675</v>
      </c>
      <c r="AC473" s="442"/>
      <c r="AD473" s="442"/>
      <c r="AE473" s="442"/>
      <c r="AF473" s="442"/>
      <c r="AG473" s="443" t="s">
        <v>951</v>
      </c>
      <c r="AH473" s="442"/>
      <c r="AI473" s="443" t="s">
        <v>951</v>
      </c>
      <c r="AJ473" s="443" t="s">
        <v>677</v>
      </c>
      <c r="AK473" s="442" t="s">
        <v>677</v>
      </c>
      <c r="AL473" s="442"/>
      <c r="AM473" s="442"/>
      <c r="AN473" s="442"/>
      <c r="AO473" s="442"/>
      <c r="AP473" s="442"/>
      <c r="AQ473" s="442"/>
      <c r="AR473" s="444"/>
      <c r="AS473" s="442"/>
      <c r="AT473" s="444"/>
      <c r="AU473" s="442" t="s">
        <v>678</v>
      </c>
      <c r="AV473" s="442" t="s">
        <v>677</v>
      </c>
      <c r="AW473" s="442" t="s">
        <v>676</v>
      </c>
      <c r="AX473" s="442" t="s">
        <v>674</v>
      </c>
      <c r="AY473" s="442"/>
      <c r="AZ473" s="442"/>
      <c r="BA473" s="442" t="s">
        <v>679</v>
      </c>
      <c r="BB473" s="442"/>
      <c r="BC473" s="442"/>
      <c r="BD473" s="442"/>
      <c r="BE473" s="444"/>
      <c r="BF473" s="442" t="s">
        <v>298</v>
      </c>
      <c r="BG473" s="442" t="s">
        <v>680</v>
      </c>
      <c r="BH473" s="442" t="s">
        <v>681</v>
      </c>
      <c r="BI473" s="442"/>
    </row>
    <row r="474" spans="1:61">
      <c r="A474" s="442" t="s">
        <v>952</v>
      </c>
      <c r="B474" s="442" t="s">
        <v>843</v>
      </c>
      <c r="C474" s="442" t="s">
        <v>843</v>
      </c>
      <c r="D474" s="442" t="s">
        <v>724</v>
      </c>
      <c r="E474" s="442" t="s">
        <v>3</v>
      </c>
      <c r="F474" s="443" t="s">
        <v>83</v>
      </c>
      <c r="G474" s="443" t="s">
        <v>176</v>
      </c>
      <c r="H474" s="444">
        <v>516000</v>
      </c>
      <c r="I474" s="444">
        <v>516000</v>
      </c>
      <c r="J474" s="444">
        <v>0</v>
      </c>
      <c r="K474" s="444">
        <v>0</v>
      </c>
      <c r="L474" s="444">
        <v>469091</v>
      </c>
      <c r="M474" s="444">
        <v>0</v>
      </c>
      <c r="N474" s="444">
        <v>0</v>
      </c>
      <c r="O474" s="444">
        <v>46909</v>
      </c>
      <c r="P474" s="444">
        <v>0</v>
      </c>
      <c r="Q474" s="444">
        <v>0</v>
      </c>
      <c r="R474" s="444">
        <v>0</v>
      </c>
      <c r="S474" s="444">
        <v>0</v>
      </c>
      <c r="T474" s="444">
        <v>0</v>
      </c>
      <c r="U474" s="444">
        <v>0</v>
      </c>
      <c r="V474" s="444">
        <v>0</v>
      </c>
      <c r="W474" s="444">
        <v>0</v>
      </c>
      <c r="X474" s="442" t="s">
        <v>674</v>
      </c>
      <c r="Y474" s="442" t="s">
        <v>675</v>
      </c>
      <c r="Z474" s="442" t="s">
        <v>675</v>
      </c>
      <c r="AA474" s="442" t="s">
        <v>675</v>
      </c>
      <c r="AB474" s="442" t="s">
        <v>675</v>
      </c>
      <c r="AC474" s="442"/>
      <c r="AD474" s="442"/>
      <c r="AE474" s="442" t="s">
        <v>694</v>
      </c>
      <c r="AF474" s="442"/>
      <c r="AG474" s="443" t="s">
        <v>578</v>
      </c>
      <c r="AH474" s="442"/>
      <c r="AI474" s="443" t="s">
        <v>578</v>
      </c>
      <c r="AJ474" s="443" t="s">
        <v>953</v>
      </c>
      <c r="AK474" s="442" t="s">
        <v>677</v>
      </c>
      <c r="AL474" s="442"/>
      <c r="AM474" s="442" t="s">
        <v>726</v>
      </c>
      <c r="AN474" s="442" t="s">
        <v>954</v>
      </c>
      <c r="AO474" s="442" t="s">
        <v>952</v>
      </c>
      <c r="AP474" s="442" t="s">
        <v>955</v>
      </c>
      <c r="AQ474" s="442" t="s">
        <v>821</v>
      </c>
      <c r="AR474" s="444">
        <v>516000</v>
      </c>
      <c r="AS474" s="442" t="s">
        <v>675</v>
      </c>
      <c r="AT474" s="444">
        <v>0</v>
      </c>
      <c r="AU474" s="442" t="s">
        <v>678</v>
      </c>
      <c r="AV474" s="442" t="s">
        <v>677</v>
      </c>
      <c r="AW474" s="442" t="s">
        <v>676</v>
      </c>
      <c r="AX474" s="442" t="s">
        <v>674</v>
      </c>
      <c r="AY474" s="442"/>
      <c r="AZ474" s="442"/>
      <c r="BA474" s="442" t="s">
        <v>679</v>
      </c>
      <c r="BB474" s="442"/>
      <c r="BC474" s="442"/>
      <c r="BD474" s="442"/>
      <c r="BE474" s="444"/>
      <c r="BF474" s="442" t="s">
        <v>298</v>
      </c>
      <c r="BG474" s="442" t="s">
        <v>680</v>
      </c>
      <c r="BH474" s="442" t="s">
        <v>681</v>
      </c>
      <c r="BI474" s="442"/>
    </row>
    <row r="475" spans="1:61">
      <c r="A475" s="442" t="s">
        <v>952</v>
      </c>
      <c r="B475" s="442" t="s">
        <v>952</v>
      </c>
      <c r="C475" s="442" t="s">
        <v>956</v>
      </c>
      <c r="D475" s="442" t="s">
        <v>673</v>
      </c>
      <c r="E475" s="442" t="s">
        <v>3</v>
      </c>
      <c r="F475" s="443" t="s">
        <v>7</v>
      </c>
      <c r="G475" s="443" t="s">
        <v>684</v>
      </c>
      <c r="H475" s="444">
        <v>80290</v>
      </c>
      <c r="I475" s="444">
        <v>80290</v>
      </c>
      <c r="J475" s="444">
        <v>0</v>
      </c>
      <c r="K475" s="444">
        <v>0</v>
      </c>
      <c r="L475" s="444">
        <v>80290</v>
      </c>
      <c r="M475" s="444">
        <v>0</v>
      </c>
      <c r="N475" s="444">
        <v>0</v>
      </c>
      <c r="O475" s="444">
        <v>0</v>
      </c>
      <c r="P475" s="444">
        <v>0</v>
      </c>
      <c r="Q475" s="444">
        <v>0</v>
      </c>
      <c r="R475" s="444">
        <v>0</v>
      </c>
      <c r="S475" s="444">
        <v>0</v>
      </c>
      <c r="T475" s="444">
        <v>0</v>
      </c>
      <c r="U475" s="444">
        <v>0</v>
      </c>
      <c r="V475" s="444">
        <v>0</v>
      </c>
      <c r="W475" s="444">
        <v>0</v>
      </c>
      <c r="X475" s="442" t="s">
        <v>674</v>
      </c>
      <c r="Y475" s="442" t="s">
        <v>675</v>
      </c>
      <c r="Z475" s="442" t="s">
        <v>675</v>
      </c>
      <c r="AA475" s="442" t="s">
        <v>675</v>
      </c>
      <c r="AB475" s="442" t="s">
        <v>675</v>
      </c>
      <c r="AC475" s="442"/>
      <c r="AD475" s="442"/>
      <c r="AE475" s="442"/>
      <c r="AF475" s="442"/>
      <c r="AG475" s="443" t="s">
        <v>957</v>
      </c>
      <c r="AH475" s="442"/>
      <c r="AI475" s="443" t="s">
        <v>957</v>
      </c>
      <c r="AJ475" s="443" t="s">
        <v>677</v>
      </c>
      <c r="AK475" s="442" t="s">
        <v>677</v>
      </c>
      <c r="AL475" s="442"/>
      <c r="AM475" s="442"/>
      <c r="AN475" s="442"/>
      <c r="AO475" s="442"/>
      <c r="AP475" s="442"/>
      <c r="AQ475" s="442"/>
      <c r="AR475" s="444"/>
      <c r="AS475" s="442"/>
      <c r="AT475" s="444"/>
      <c r="AU475" s="442" t="s">
        <v>678</v>
      </c>
      <c r="AV475" s="442" t="s">
        <v>677</v>
      </c>
      <c r="AW475" s="442" t="s">
        <v>676</v>
      </c>
      <c r="AX475" s="442" t="s">
        <v>674</v>
      </c>
      <c r="AY475" s="442"/>
      <c r="AZ475" s="442"/>
      <c r="BA475" s="442" t="s">
        <v>679</v>
      </c>
      <c r="BB475" s="442"/>
      <c r="BC475" s="442"/>
      <c r="BD475" s="442"/>
      <c r="BE475" s="444"/>
      <c r="BF475" s="442" t="s">
        <v>298</v>
      </c>
      <c r="BG475" s="442" t="s">
        <v>680</v>
      </c>
      <c r="BH475" s="442" t="s">
        <v>681</v>
      </c>
      <c r="BI475" s="442"/>
    </row>
    <row r="476" spans="1:61">
      <c r="A476" s="442" t="s">
        <v>952</v>
      </c>
      <c r="B476" s="442" t="s">
        <v>952</v>
      </c>
      <c r="C476" s="442" t="s">
        <v>956</v>
      </c>
      <c r="D476" s="442" t="s">
        <v>673</v>
      </c>
      <c r="E476" s="442" t="s">
        <v>3</v>
      </c>
      <c r="F476" s="443" t="s">
        <v>7</v>
      </c>
      <c r="G476" s="443" t="s">
        <v>684</v>
      </c>
      <c r="H476" s="444">
        <v>116470</v>
      </c>
      <c r="I476" s="444">
        <v>116470</v>
      </c>
      <c r="J476" s="444">
        <v>0</v>
      </c>
      <c r="K476" s="444">
        <v>0</v>
      </c>
      <c r="L476" s="444">
        <v>116470</v>
      </c>
      <c r="M476" s="444">
        <v>0</v>
      </c>
      <c r="N476" s="444">
        <v>0</v>
      </c>
      <c r="O476" s="444">
        <v>0</v>
      </c>
      <c r="P476" s="444">
        <v>0</v>
      </c>
      <c r="Q476" s="444">
        <v>0</v>
      </c>
      <c r="R476" s="444">
        <v>0</v>
      </c>
      <c r="S476" s="444">
        <v>0</v>
      </c>
      <c r="T476" s="444">
        <v>0</v>
      </c>
      <c r="U476" s="444">
        <v>0</v>
      </c>
      <c r="V476" s="444">
        <v>0</v>
      </c>
      <c r="W476" s="444">
        <v>0</v>
      </c>
      <c r="X476" s="442" t="s">
        <v>674</v>
      </c>
      <c r="Y476" s="442" t="s">
        <v>675</v>
      </c>
      <c r="Z476" s="442" t="s">
        <v>675</v>
      </c>
      <c r="AA476" s="442" t="s">
        <v>675</v>
      </c>
      <c r="AB476" s="442" t="s">
        <v>675</v>
      </c>
      <c r="AC476" s="442"/>
      <c r="AD476" s="442"/>
      <c r="AE476" s="442"/>
      <c r="AF476" s="442"/>
      <c r="AG476" s="443" t="s">
        <v>958</v>
      </c>
      <c r="AH476" s="442"/>
      <c r="AI476" s="443" t="s">
        <v>958</v>
      </c>
      <c r="AJ476" s="443" t="s">
        <v>677</v>
      </c>
      <c r="AK476" s="442" t="s">
        <v>677</v>
      </c>
      <c r="AL476" s="442"/>
      <c r="AM476" s="442"/>
      <c r="AN476" s="442"/>
      <c r="AO476" s="442"/>
      <c r="AP476" s="442"/>
      <c r="AQ476" s="442"/>
      <c r="AR476" s="444"/>
      <c r="AS476" s="442"/>
      <c r="AT476" s="444"/>
      <c r="AU476" s="442" t="s">
        <v>678</v>
      </c>
      <c r="AV476" s="442" t="s">
        <v>677</v>
      </c>
      <c r="AW476" s="442" t="s">
        <v>676</v>
      </c>
      <c r="AX476" s="442" t="s">
        <v>674</v>
      </c>
      <c r="AY476" s="442"/>
      <c r="AZ476" s="442"/>
      <c r="BA476" s="442" t="s">
        <v>679</v>
      </c>
      <c r="BB476" s="442"/>
      <c r="BC476" s="442"/>
      <c r="BD476" s="442"/>
      <c r="BE476" s="444"/>
      <c r="BF476" s="442" t="s">
        <v>298</v>
      </c>
      <c r="BG476" s="442" t="s">
        <v>680</v>
      </c>
      <c r="BH476" s="442" t="s">
        <v>681</v>
      </c>
      <c r="BI476" s="442"/>
    </row>
    <row r="477" spans="1:61">
      <c r="A477" s="442" t="s">
        <v>952</v>
      </c>
      <c r="B477" s="442" t="s">
        <v>952</v>
      </c>
      <c r="C477" s="442" t="s">
        <v>956</v>
      </c>
      <c r="D477" s="442" t="s">
        <v>673</v>
      </c>
      <c r="E477" s="442" t="s">
        <v>3</v>
      </c>
      <c r="F477" s="443" t="s">
        <v>7</v>
      </c>
      <c r="G477" s="443" t="s">
        <v>684</v>
      </c>
      <c r="H477" s="444">
        <v>101950</v>
      </c>
      <c r="I477" s="444">
        <v>101950</v>
      </c>
      <c r="J477" s="444">
        <v>0</v>
      </c>
      <c r="K477" s="444">
        <v>0</v>
      </c>
      <c r="L477" s="444">
        <v>101950</v>
      </c>
      <c r="M477" s="444">
        <v>0</v>
      </c>
      <c r="N477" s="444">
        <v>0</v>
      </c>
      <c r="O477" s="444">
        <v>0</v>
      </c>
      <c r="P477" s="444">
        <v>0</v>
      </c>
      <c r="Q477" s="444">
        <v>0</v>
      </c>
      <c r="R477" s="444">
        <v>0</v>
      </c>
      <c r="S477" s="444">
        <v>0</v>
      </c>
      <c r="T477" s="444">
        <v>0</v>
      </c>
      <c r="U477" s="444">
        <v>0</v>
      </c>
      <c r="V477" s="444">
        <v>0</v>
      </c>
      <c r="W477" s="444">
        <v>0</v>
      </c>
      <c r="X477" s="442" t="s">
        <v>674</v>
      </c>
      <c r="Y477" s="442" t="s">
        <v>675</v>
      </c>
      <c r="Z477" s="442" t="s">
        <v>675</v>
      </c>
      <c r="AA477" s="442" t="s">
        <v>675</v>
      </c>
      <c r="AB477" s="442" t="s">
        <v>675</v>
      </c>
      <c r="AC477" s="442"/>
      <c r="AD477" s="442"/>
      <c r="AE477" s="442"/>
      <c r="AF477" s="442"/>
      <c r="AG477" s="443" t="s">
        <v>958</v>
      </c>
      <c r="AH477" s="442"/>
      <c r="AI477" s="443" t="s">
        <v>958</v>
      </c>
      <c r="AJ477" s="443" t="s">
        <v>677</v>
      </c>
      <c r="AK477" s="442" t="s">
        <v>677</v>
      </c>
      <c r="AL477" s="442"/>
      <c r="AM477" s="442"/>
      <c r="AN477" s="442"/>
      <c r="AO477" s="442"/>
      <c r="AP477" s="442"/>
      <c r="AQ477" s="442"/>
      <c r="AR477" s="444"/>
      <c r="AS477" s="442"/>
      <c r="AT477" s="444"/>
      <c r="AU477" s="442" t="s">
        <v>678</v>
      </c>
      <c r="AV477" s="442" t="s">
        <v>677</v>
      </c>
      <c r="AW477" s="442" t="s">
        <v>676</v>
      </c>
      <c r="AX477" s="442" t="s">
        <v>674</v>
      </c>
      <c r="AY477" s="442"/>
      <c r="AZ477" s="442"/>
      <c r="BA477" s="442" t="s">
        <v>679</v>
      </c>
      <c r="BB477" s="442"/>
      <c r="BC477" s="442"/>
      <c r="BD477" s="442"/>
      <c r="BE477" s="444"/>
      <c r="BF477" s="442" t="s">
        <v>298</v>
      </c>
      <c r="BG477" s="442" t="s">
        <v>680</v>
      </c>
      <c r="BH477" s="442" t="s">
        <v>681</v>
      </c>
      <c r="BI477" s="442"/>
    </row>
    <row r="478" spans="1:61">
      <c r="A478" s="442" t="s">
        <v>952</v>
      </c>
      <c r="B478" s="442" t="s">
        <v>952</v>
      </c>
      <c r="C478" s="442" t="s">
        <v>956</v>
      </c>
      <c r="D478" s="442" t="s">
        <v>673</v>
      </c>
      <c r="E478" s="442" t="s">
        <v>3</v>
      </c>
      <c r="F478" s="443" t="s">
        <v>7</v>
      </c>
      <c r="G478" s="443" t="s">
        <v>684</v>
      </c>
      <c r="H478" s="444">
        <v>1397850</v>
      </c>
      <c r="I478" s="444">
        <v>1397850</v>
      </c>
      <c r="J478" s="444">
        <v>0</v>
      </c>
      <c r="K478" s="444">
        <v>0</v>
      </c>
      <c r="L478" s="444">
        <v>1397850</v>
      </c>
      <c r="M478" s="444">
        <v>0</v>
      </c>
      <c r="N478" s="444">
        <v>0</v>
      </c>
      <c r="O478" s="444">
        <v>0</v>
      </c>
      <c r="P478" s="444">
        <v>0</v>
      </c>
      <c r="Q478" s="444">
        <v>0</v>
      </c>
      <c r="R478" s="444">
        <v>0</v>
      </c>
      <c r="S478" s="444">
        <v>0</v>
      </c>
      <c r="T478" s="444">
        <v>0</v>
      </c>
      <c r="U478" s="444">
        <v>0</v>
      </c>
      <c r="V478" s="444">
        <v>0</v>
      </c>
      <c r="W478" s="444">
        <v>0</v>
      </c>
      <c r="X478" s="442" t="s">
        <v>674</v>
      </c>
      <c r="Y478" s="442" t="s">
        <v>675</v>
      </c>
      <c r="Z478" s="442" t="s">
        <v>675</v>
      </c>
      <c r="AA478" s="442" t="s">
        <v>675</v>
      </c>
      <c r="AB478" s="442" t="s">
        <v>675</v>
      </c>
      <c r="AC478" s="442"/>
      <c r="AD478" s="442"/>
      <c r="AE478" s="442"/>
      <c r="AF478" s="442"/>
      <c r="AG478" s="443" t="s">
        <v>959</v>
      </c>
      <c r="AH478" s="442"/>
      <c r="AI478" s="443" t="s">
        <v>959</v>
      </c>
      <c r="AJ478" s="443" t="s">
        <v>677</v>
      </c>
      <c r="AK478" s="442" t="s">
        <v>677</v>
      </c>
      <c r="AL478" s="442"/>
      <c r="AM478" s="442"/>
      <c r="AN478" s="442"/>
      <c r="AO478" s="442"/>
      <c r="AP478" s="442"/>
      <c r="AQ478" s="442"/>
      <c r="AR478" s="444"/>
      <c r="AS478" s="442"/>
      <c r="AT478" s="444"/>
      <c r="AU478" s="442" t="s">
        <v>678</v>
      </c>
      <c r="AV478" s="442" t="s">
        <v>677</v>
      </c>
      <c r="AW478" s="442" t="s">
        <v>676</v>
      </c>
      <c r="AX478" s="442" t="s">
        <v>674</v>
      </c>
      <c r="AY478" s="442"/>
      <c r="AZ478" s="442"/>
      <c r="BA478" s="442" t="s">
        <v>679</v>
      </c>
      <c r="BB478" s="442"/>
      <c r="BC478" s="442"/>
      <c r="BD478" s="442"/>
      <c r="BE478" s="444"/>
      <c r="BF478" s="442" t="s">
        <v>298</v>
      </c>
      <c r="BG478" s="442" t="s">
        <v>680</v>
      </c>
      <c r="BH478" s="442" t="s">
        <v>681</v>
      </c>
      <c r="BI478" s="442"/>
    </row>
    <row r="479" spans="1:61">
      <c r="A479" s="442" t="s">
        <v>952</v>
      </c>
      <c r="B479" s="442" t="s">
        <v>952</v>
      </c>
      <c r="C479" s="442" t="s">
        <v>956</v>
      </c>
      <c r="D479" s="442" t="s">
        <v>673</v>
      </c>
      <c r="E479" s="442" t="s">
        <v>3</v>
      </c>
      <c r="F479" s="443" t="s">
        <v>7</v>
      </c>
      <c r="G479" s="443" t="s">
        <v>684</v>
      </c>
      <c r="H479" s="444">
        <v>9410</v>
      </c>
      <c r="I479" s="444">
        <v>9410</v>
      </c>
      <c r="J479" s="444">
        <v>0</v>
      </c>
      <c r="K479" s="444">
        <v>0</v>
      </c>
      <c r="L479" s="444">
        <v>9410</v>
      </c>
      <c r="M479" s="444">
        <v>0</v>
      </c>
      <c r="N479" s="444">
        <v>0</v>
      </c>
      <c r="O479" s="444">
        <v>0</v>
      </c>
      <c r="P479" s="444">
        <v>0</v>
      </c>
      <c r="Q479" s="444">
        <v>0</v>
      </c>
      <c r="R479" s="444">
        <v>0</v>
      </c>
      <c r="S479" s="444">
        <v>0</v>
      </c>
      <c r="T479" s="444">
        <v>0</v>
      </c>
      <c r="U479" s="444">
        <v>0</v>
      </c>
      <c r="V479" s="444">
        <v>0</v>
      </c>
      <c r="W479" s="444">
        <v>0</v>
      </c>
      <c r="X479" s="442" t="s">
        <v>674</v>
      </c>
      <c r="Y479" s="442" t="s">
        <v>675</v>
      </c>
      <c r="Z479" s="442" t="s">
        <v>675</v>
      </c>
      <c r="AA479" s="442" t="s">
        <v>675</v>
      </c>
      <c r="AB479" s="442" t="s">
        <v>675</v>
      </c>
      <c r="AC479" s="442"/>
      <c r="AD479" s="442"/>
      <c r="AE479" s="442"/>
      <c r="AF479" s="442"/>
      <c r="AG479" s="443" t="s">
        <v>960</v>
      </c>
      <c r="AH479" s="442"/>
      <c r="AI479" s="443" t="s">
        <v>960</v>
      </c>
      <c r="AJ479" s="443" t="s">
        <v>677</v>
      </c>
      <c r="AK479" s="442" t="s">
        <v>677</v>
      </c>
      <c r="AL479" s="442"/>
      <c r="AM479" s="442"/>
      <c r="AN479" s="442"/>
      <c r="AO479" s="442"/>
      <c r="AP479" s="442"/>
      <c r="AQ479" s="442"/>
      <c r="AR479" s="444"/>
      <c r="AS479" s="442"/>
      <c r="AT479" s="444"/>
      <c r="AU479" s="442" t="s">
        <v>678</v>
      </c>
      <c r="AV479" s="442" t="s">
        <v>677</v>
      </c>
      <c r="AW479" s="442" t="s">
        <v>676</v>
      </c>
      <c r="AX479" s="442" t="s">
        <v>674</v>
      </c>
      <c r="AY479" s="442"/>
      <c r="AZ479" s="442"/>
      <c r="BA479" s="442" t="s">
        <v>679</v>
      </c>
      <c r="BB479" s="442"/>
      <c r="BC479" s="442"/>
      <c r="BD479" s="442"/>
      <c r="BE479" s="444"/>
      <c r="BF479" s="442" t="s">
        <v>298</v>
      </c>
      <c r="BG479" s="442" t="s">
        <v>680</v>
      </c>
      <c r="BH479" s="442" t="s">
        <v>681</v>
      </c>
      <c r="BI479" s="442"/>
    </row>
    <row r="480" spans="1:61">
      <c r="A480" s="442" t="s">
        <v>952</v>
      </c>
      <c r="B480" s="442" t="s">
        <v>952</v>
      </c>
      <c r="C480" s="442" t="s">
        <v>956</v>
      </c>
      <c r="D480" s="442" t="s">
        <v>673</v>
      </c>
      <c r="E480" s="442" t="s">
        <v>3</v>
      </c>
      <c r="F480" s="443" t="s">
        <v>7</v>
      </c>
      <c r="G480" s="443" t="s">
        <v>684</v>
      </c>
      <c r="H480" s="444">
        <v>91740</v>
      </c>
      <c r="I480" s="444">
        <v>91740</v>
      </c>
      <c r="J480" s="444">
        <v>0</v>
      </c>
      <c r="K480" s="444">
        <v>0</v>
      </c>
      <c r="L480" s="444">
        <v>91740</v>
      </c>
      <c r="M480" s="444">
        <v>0</v>
      </c>
      <c r="N480" s="444">
        <v>0</v>
      </c>
      <c r="O480" s="444">
        <v>0</v>
      </c>
      <c r="P480" s="444">
        <v>0</v>
      </c>
      <c r="Q480" s="444">
        <v>0</v>
      </c>
      <c r="R480" s="444">
        <v>0</v>
      </c>
      <c r="S480" s="444">
        <v>0</v>
      </c>
      <c r="T480" s="444">
        <v>0</v>
      </c>
      <c r="U480" s="444">
        <v>0</v>
      </c>
      <c r="V480" s="444">
        <v>0</v>
      </c>
      <c r="W480" s="444">
        <v>0</v>
      </c>
      <c r="X480" s="442" t="s">
        <v>674</v>
      </c>
      <c r="Y480" s="442" t="s">
        <v>675</v>
      </c>
      <c r="Z480" s="442" t="s">
        <v>675</v>
      </c>
      <c r="AA480" s="442" t="s">
        <v>675</v>
      </c>
      <c r="AB480" s="442" t="s">
        <v>675</v>
      </c>
      <c r="AC480" s="442"/>
      <c r="AD480" s="442"/>
      <c r="AE480" s="442"/>
      <c r="AF480" s="442"/>
      <c r="AG480" s="443" t="s">
        <v>957</v>
      </c>
      <c r="AH480" s="442"/>
      <c r="AI480" s="443" t="s">
        <v>957</v>
      </c>
      <c r="AJ480" s="443" t="s">
        <v>677</v>
      </c>
      <c r="AK480" s="442" t="s">
        <v>677</v>
      </c>
      <c r="AL480" s="442"/>
      <c r="AM480" s="442"/>
      <c r="AN480" s="442"/>
      <c r="AO480" s="442"/>
      <c r="AP480" s="442"/>
      <c r="AQ480" s="442"/>
      <c r="AR480" s="444"/>
      <c r="AS480" s="442"/>
      <c r="AT480" s="444"/>
      <c r="AU480" s="442" t="s">
        <v>678</v>
      </c>
      <c r="AV480" s="442" t="s">
        <v>677</v>
      </c>
      <c r="AW480" s="442" t="s">
        <v>676</v>
      </c>
      <c r="AX480" s="442" t="s">
        <v>674</v>
      </c>
      <c r="AY480" s="442"/>
      <c r="AZ480" s="442"/>
      <c r="BA480" s="442" t="s">
        <v>679</v>
      </c>
      <c r="BB480" s="442"/>
      <c r="BC480" s="442"/>
      <c r="BD480" s="442"/>
      <c r="BE480" s="444"/>
      <c r="BF480" s="442" t="s">
        <v>298</v>
      </c>
      <c r="BG480" s="442" t="s">
        <v>680</v>
      </c>
      <c r="BH480" s="442" t="s">
        <v>681</v>
      </c>
      <c r="BI480" s="442"/>
    </row>
    <row r="481" spans="1:61">
      <c r="A481" s="442" t="s">
        <v>952</v>
      </c>
      <c r="B481" s="442" t="s">
        <v>952</v>
      </c>
      <c r="C481" s="442" t="s">
        <v>956</v>
      </c>
      <c r="D481" s="442" t="s">
        <v>673</v>
      </c>
      <c r="E481" s="442" t="s">
        <v>3</v>
      </c>
      <c r="F481" s="443" t="s">
        <v>7</v>
      </c>
      <c r="G481" s="443" t="s">
        <v>684</v>
      </c>
      <c r="H481" s="444">
        <v>1593430</v>
      </c>
      <c r="I481" s="444">
        <v>1593430</v>
      </c>
      <c r="J481" s="444">
        <v>0</v>
      </c>
      <c r="K481" s="444">
        <v>0</v>
      </c>
      <c r="L481" s="444">
        <v>1593430</v>
      </c>
      <c r="M481" s="444">
        <v>0</v>
      </c>
      <c r="N481" s="444">
        <v>0</v>
      </c>
      <c r="O481" s="444">
        <v>0</v>
      </c>
      <c r="P481" s="444">
        <v>0</v>
      </c>
      <c r="Q481" s="444">
        <v>0</v>
      </c>
      <c r="R481" s="444">
        <v>0</v>
      </c>
      <c r="S481" s="444">
        <v>0</v>
      </c>
      <c r="T481" s="444">
        <v>0</v>
      </c>
      <c r="U481" s="444">
        <v>0</v>
      </c>
      <c r="V481" s="444">
        <v>0</v>
      </c>
      <c r="W481" s="444">
        <v>0</v>
      </c>
      <c r="X481" s="442" t="s">
        <v>674</v>
      </c>
      <c r="Y481" s="442" t="s">
        <v>675</v>
      </c>
      <c r="Z481" s="442" t="s">
        <v>675</v>
      </c>
      <c r="AA481" s="442" t="s">
        <v>675</v>
      </c>
      <c r="AB481" s="442" t="s">
        <v>675</v>
      </c>
      <c r="AC481" s="442"/>
      <c r="AD481" s="442"/>
      <c r="AE481" s="442"/>
      <c r="AF481" s="442"/>
      <c r="AG481" s="443" t="s">
        <v>959</v>
      </c>
      <c r="AH481" s="442"/>
      <c r="AI481" s="443" t="s">
        <v>959</v>
      </c>
      <c r="AJ481" s="443" t="s">
        <v>677</v>
      </c>
      <c r="AK481" s="442" t="s">
        <v>677</v>
      </c>
      <c r="AL481" s="442"/>
      <c r="AM481" s="442"/>
      <c r="AN481" s="442"/>
      <c r="AO481" s="442"/>
      <c r="AP481" s="442"/>
      <c r="AQ481" s="442"/>
      <c r="AR481" s="444"/>
      <c r="AS481" s="442"/>
      <c r="AT481" s="444"/>
      <c r="AU481" s="442" t="s">
        <v>678</v>
      </c>
      <c r="AV481" s="442" t="s">
        <v>677</v>
      </c>
      <c r="AW481" s="442" t="s">
        <v>676</v>
      </c>
      <c r="AX481" s="442" t="s">
        <v>674</v>
      </c>
      <c r="AY481" s="442"/>
      <c r="AZ481" s="442"/>
      <c r="BA481" s="442" t="s">
        <v>679</v>
      </c>
      <c r="BB481" s="442"/>
      <c r="BC481" s="442"/>
      <c r="BD481" s="442"/>
      <c r="BE481" s="444"/>
      <c r="BF481" s="442" t="s">
        <v>298</v>
      </c>
      <c r="BG481" s="442" t="s">
        <v>680</v>
      </c>
      <c r="BH481" s="442" t="s">
        <v>681</v>
      </c>
      <c r="BI481" s="442"/>
    </row>
    <row r="482" spans="1:61">
      <c r="A482" s="442" t="s">
        <v>952</v>
      </c>
      <c r="B482" s="442" t="s">
        <v>952</v>
      </c>
      <c r="C482" s="442" t="s">
        <v>956</v>
      </c>
      <c r="D482" s="442" t="s">
        <v>673</v>
      </c>
      <c r="E482" s="442" t="s">
        <v>3</v>
      </c>
      <c r="F482" s="443" t="s">
        <v>7</v>
      </c>
      <c r="G482" s="443" t="s">
        <v>684</v>
      </c>
      <c r="H482" s="444">
        <v>14120</v>
      </c>
      <c r="I482" s="444">
        <v>14120</v>
      </c>
      <c r="J482" s="444">
        <v>0</v>
      </c>
      <c r="K482" s="444">
        <v>0</v>
      </c>
      <c r="L482" s="444">
        <v>14120</v>
      </c>
      <c r="M482" s="444">
        <v>0</v>
      </c>
      <c r="N482" s="444">
        <v>0</v>
      </c>
      <c r="O482" s="444">
        <v>0</v>
      </c>
      <c r="P482" s="444">
        <v>0</v>
      </c>
      <c r="Q482" s="444">
        <v>0</v>
      </c>
      <c r="R482" s="444">
        <v>0</v>
      </c>
      <c r="S482" s="444">
        <v>0</v>
      </c>
      <c r="T482" s="444">
        <v>0</v>
      </c>
      <c r="U482" s="444">
        <v>0</v>
      </c>
      <c r="V482" s="444">
        <v>0</v>
      </c>
      <c r="W482" s="444">
        <v>0</v>
      </c>
      <c r="X482" s="442" t="s">
        <v>674</v>
      </c>
      <c r="Y482" s="442" t="s">
        <v>675</v>
      </c>
      <c r="Z482" s="442" t="s">
        <v>675</v>
      </c>
      <c r="AA482" s="442" t="s">
        <v>675</v>
      </c>
      <c r="AB482" s="442" t="s">
        <v>675</v>
      </c>
      <c r="AC482" s="442"/>
      <c r="AD482" s="442"/>
      <c r="AE482" s="442"/>
      <c r="AF482" s="442"/>
      <c r="AG482" s="443" t="s">
        <v>960</v>
      </c>
      <c r="AH482" s="442"/>
      <c r="AI482" s="443" t="s">
        <v>960</v>
      </c>
      <c r="AJ482" s="443" t="s">
        <v>677</v>
      </c>
      <c r="AK482" s="442" t="s">
        <v>677</v>
      </c>
      <c r="AL482" s="442"/>
      <c r="AM482" s="442"/>
      <c r="AN482" s="442"/>
      <c r="AO482" s="442"/>
      <c r="AP482" s="442"/>
      <c r="AQ482" s="442"/>
      <c r="AR482" s="444"/>
      <c r="AS482" s="442"/>
      <c r="AT482" s="444"/>
      <c r="AU482" s="442" t="s">
        <v>678</v>
      </c>
      <c r="AV482" s="442" t="s">
        <v>677</v>
      </c>
      <c r="AW482" s="442" t="s">
        <v>676</v>
      </c>
      <c r="AX482" s="442" t="s">
        <v>674</v>
      </c>
      <c r="AY482" s="442"/>
      <c r="AZ482" s="442"/>
      <c r="BA482" s="442" t="s">
        <v>679</v>
      </c>
      <c r="BB482" s="442"/>
      <c r="BC482" s="442"/>
      <c r="BD482" s="442"/>
      <c r="BE482" s="444"/>
      <c r="BF482" s="442" t="s">
        <v>298</v>
      </c>
      <c r="BG482" s="442" t="s">
        <v>680</v>
      </c>
      <c r="BH482" s="442" t="s">
        <v>681</v>
      </c>
      <c r="BI482" s="442"/>
    </row>
    <row r="483" spans="1:61">
      <c r="A483" s="442" t="s">
        <v>952</v>
      </c>
      <c r="B483" s="442" t="s">
        <v>952</v>
      </c>
      <c r="C483" s="442" t="s">
        <v>952</v>
      </c>
      <c r="D483" s="442" t="s">
        <v>716</v>
      </c>
      <c r="E483" s="442" t="s">
        <v>3</v>
      </c>
      <c r="F483" s="443" t="s">
        <v>83</v>
      </c>
      <c r="G483" s="443" t="s">
        <v>134</v>
      </c>
      <c r="H483" s="444">
        <v>230000000</v>
      </c>
      <c r="I483" s="444">
        <v>151120240</v>
      </c>
      <c r="J483" s="444">
        <v>0</v>
      </c>
      <c r="K483" s="444">
        <v>78879760</v>
      </c>
      <c r="L483" s="444">
        <v>137382038</v>
      </c>
      <c r="M483" s="444">
        <v>0</v>
      </c>
      <c r="N483" s="444">
        <v>71708872</v>
      </c>
      <c r="O483" s="444">
        <v>13738202</v>
      </c>
      <c r="P483" s="444">
        <v>0</v>
      </c>
      <c r="Q483" s="444">
        <v>7170888</v>
      </c>
      <c r="R483" s="444">
        <v>0</v>
      </c>
      <c r="S483" s="444">
        <v>0</v>
      </c>
      <c r="T483" s="444">
        <v>0</v>
      </c>
      <c r="U483" s="444">
        <v>0</v>
      </c>
      <c r="V483" s="444">
        <v>0</v>
      </c>
      <c r="W483" s="444">
        <v>0</v>
      </c>
      <c r="X483" s="442" t="s">
        <v>674</v>
      </c>
      <c r="Y483" s="442" t="s">
        <v>675</v>
      </c>
      <c r="Z483" s="442" t="s">
        <v>675</v>
      </c>
      <c r="AA483" s="442" t="s">
        <v>675</v>
      </c>
      <c r="AB483" s="442" t="s">
        <v>675</v>
      </c>
      <c r="AC483" s="442"/>
      <c r="AD483" s="442"/>
      <c r="AE483" s="442"/>
      <c r="AF483" s="442"/>
      <c r="AG483" s="443" t="s">
        <v>598</v>
      </c>
      <c r="AH483" s="442"/>
      <c r="AI483" s="443" t="s">
        <v>598</v>
      </c>
      <c r="AJ483" s="443" t="s">
        <v>961</v>
      </c>
      <c r="AK483" s="442" t="s">
        <v>677</v>
      </c>
      <c r="AL483" s="442"/>
      <c r="AM483" s="442"/>
      <c r="AN483" s="442"/>
      <c r="AO483" s="442"/>
      <c r="AP483" s="442"/>
      <c r="AQ483" s="442"/>
      <c r="AR483" s="444"/>
      <c r="AS483" s="442"/>
      <c r="AT483" s="444"/>
      <c r="AU483" s="442" t="s">
        <v>678</v>
      </c>
      <c r="AV483" s="442" t="s">
        <v>677</v>
      </c>
      <c r="AW483" s="442" t="s">
        <v>676</v>
      </c>
      <c r="AX483" s="442" t="s">
        <v>674</v>
      </c>
      <c r="AY483" s="442"/>
      <c r="AZ483" s="442"/>
      <c r="BA483" s="442" t="s">
        <v>679</v>
      </c>
      <c r="BB483" s="442"/>
      <c r="BC483" s="442"/>
      <c r="BD483" s="442"/>
      <c r="BE483" s="444"/>
      <c r="BF483" s="442" t="s">
        <v>298</v>
      </c>
      <c r="BG483" s="442" t="s">
        <v>680</v>
      </c>
      <c r="BH483" s="442" t="s">
        <v>681</v>
      </c>
      <c r="BI483" s="442"/>
    </row>
    <row r="484" spans="1:61">
      <c r="A484" s="442" t="s">
        <v>962</v>
      </c>
      <c r="B484" s="442" t="s">
        <v>728</v>
      </c>
      <c r="C484" s="442" t="s">
        <v>722</v>
      </c>
      <c r="D484" s="442" t="s">
        <v>724</v>
      </c>
      <c r="E484" s="442" t="s">
        <v>3</v>
      </c>
      <c r="F484" s="443" t="s">
        <v>83</v>
      </c>
      <c r="G484" s="443" t="s">
        <v>829</v>
      </c>
      <c r="H484" s="444">
        <v>53400</v>
      </c>
      <c r="I484" s="444">
        <v>3400</v>
      </c>
      <c r="J484" s="444">
        <v>0</v>
      </c>
      <c r="K484" s="444">
        <v>50000</v>
      </c>
      <c r="L484" s="444">
        <v>3092</v>
      </c>
      <c r="M484" s="444">
        <v>0</v>
      </c>
      <c r="N484" s="444">
        <v>45454</v>
      </c>
      <c r="O484" s="444">
        <v>308</v>
      </c>
      <c r="P484" s="444">
        <v>0</v>
      </c>
      <c r="Q484" s="444">
        <v>4546</v>
      </c>
      <c r="R484" s="444">
        <v>0</v>
      </c>
      <c r="S484" s="444">
        <v>0</v>
      </c>
      <c r="T484" s="444">
        <v>0</v>
      </c>
      <c r="U484" s="444">
        <v>0</v>
      </c>
      <c r="V484" s="444">
        <v>0</v>
      </c>
      <c r="W484" s="444">
        <v>0</v>
      </c>
      <c r="X484" s="442" t="s">
        <v>674</v>
      </c>
      <c r="Y484" s="442" t="s">
        <v>675</v>
      </c>
      <c r="Z484" s="442" t="s">
        <v>675</v>
      </c>
      <c r="AA484" s="442" t="s">
        <v>675</v>
      </c>
      <c r="AB484" s="442" t="s">
        <v>675</v>
      </c>
      <c r="AC484" s="442"/>
      <c r="AD484" s="442"/>
      <c r="AE484" s="442"/>
      <c r="AF484" s="442"/>
      <c r="AG484" s="443" t="s">
        <v>569</v>
      </c>
      <c r="AH484" s="442"/>
      <c r="AI484" s="443" t="s">
        <v>569</v>
      </c>
      <c r="AJ484" s="443" t="s">
        <v>762</v>
      </c>
      <c r="AK484" s="442" t="s">
        <v>677</v>
      </c>
      <c r="AL484" s="442"/>
      <c r="AM484" s="442" t="s">
        <v>726</v>
      </c>
      <c r="AN484" s="442" t="s">
        <v>963</v>
      </c>
      <c r="AO484" s="442" t="s">
        <v>962</v>
      </c>
      <c r="AP484" s="442" t="s">
        <v>964</v>
      </c>
      <c r="AQ484" s="442" t="s">
        <v>757</v>
      </c>
      <c r="AR484" s="444">
        <v>53400</v>
      </c>
      <c r="AS484" s="442" t="s">
        <v>675</v>
      </c>
      <c r="AT484" s="444">
        <v>0</v>
      </c>
      <c r="AU484" s="442" t="s">
        <v>678</v>
      </c>
      <c r="AV484" s="442" t="s">
        <v>677</v>
      </c>
      <c r="AW484" s="442" t="s">
        <v>676</v>
      </c>
      <c r="AX484" s="442" t="s">
        <v>674</v>
      </c>
      <c r="AY484" s="442"/>
      <c r="AZ484" s="442"/>
      <c r="BA484" s="442" t="s">
        <v>679</v>
      </c>
      <c r="BB484" s="442"/>
      <c r="BC484" s="442"/>
      <c r="BD484" s="442"/>
      <c r="BE484" s="444"/>
      <c r="BF484" s="442" t="s">
        <v>298</v>
      </c>
      <c r="BG484" s="442" t="s">
        <v>680</v>
      </c>
      <c r="BH484" s="442" t="s">
        <v>681</v>
      </c>
      <c r="BI484" s="442"/>
    </row>
    <row r="485" spans="1:61">
      <c r="A485" s="442" t="s">
        <v>962</v>
      </c>
      <c r="B485" s="442" t="s">
        <v>965</v>
      </c>
      <c r="C485" s="442" t="s">
        <v>966</v>
      </c>
      <c r="D485" s="442" t="s">
        <v>724</v>
      </c>
      <c r="E485" s="442" t="s">
        <v>3</v>
      </c>
      <c r="F485" s="443" t="s">
        <v>83</v>
      </c>
      <c r="G485" s="443" t="s">
        <v>829</v>
      </c>
      <c r="H485" s="444">
        <v>555000</v>
      </c>
      <c r="I485" s="444">
        <v>55000</v>
      </c>
      <c r="J485" s="444">
        <v>0</v>
      </c>
      <c r="K485" s="444">
        <v>500000</v>
      </c>
      <c r="L485" s="444">
        <v>50001</v>
      </c>
      <c r="M485" s="444">
        <v>0</v>
      </c>
      <c r="N485" s="444">
        <v>454545</v>
      </c>
      <c r="O485" s="444">
        <v>4999</v>
      </c>
      <c r="P485" s="444">
        <v>0</v>
      </c>
      <c r="Q485" s="444">
        <v>45455</v>
      </c>
      <c r="R485" s="444">
        <v>0</v>
      </c>
      <c r="S485" s="444">
        <v>0</v>
      </c>
      <c r="T485" s="444">
        <v>0</v>
      </c>
      <c r="U485" s="444">
        <v>0</v>
      </c>
      <c r="V485" s="444">
        <v>0</v>
      </c>
      <c r="W485" s="444">
        <v>0</v>
      </c>
      <c r="X485" s="442" t="s">
        <v>674</v>
      </c>
      <c r="Y485" s="442" t="s">
        <v>675</v>
      </c>
      <c r="Z485" s="442" t="s">
        <v>675</v>
      </c>
      <c r="AA485" s="442" t="s">
        <v>675</v>
      </c>
      <c r="AB485" s="442" t="s">
        <v>675</v>
      </c>
      <c r="AC485" s="442"/>
      <c r="AD485" s="442"/>
      <c r="AE485" s="442"/>
      <c r="AF485" s="442"/>
      <c r="AG485" s="443" t="s">
        <v>592</v>
      </c>
      <c r="AH485" s="442"/>
      <c r="AI485" s="443" t="s">
        <v>592</v>
      </c>
      <c r="AJ485" s="443" t="s">
        <v>762</v>
      </c>
      <c r="AK485" s="442" t="s">
        <v>677</v>
      </c>
      <c r="AL485" s="442"/>
      <c r="AM485" s="442" t="s">
        <v>967</v>
      </c>
      <c r="AN485" s="442" t="s">
        <v>968</v>
      </c>
      <c r="AO485" s="442" t="s">
        <v>962</v>
      </c>
      <c r="AP485" s="442" t="s">
        <v>964</v>
      </c>
      <c r="AQ485" s="442" t="s">
        <v>939</v>
      </c>
      <c r="AR485" s="444">
        <v>555000</v>
      </c>
      <c r="AS485" s="442" t="s">
        <v>675</v>
      </c>
      <c r="AT485" s="444">
        <v>0</v>
      </c>
      <c r="AU485" s="442" t="s">
        <v>678</v>
      </c>
      <c r="AV485" s="442" t="s">
        <v>677</v>
      </c>
      <c r="AW485" s="442" t="s">
        <v>676</v>
      </c>
      <c r="AX485" s="442" t="s">
        <v>674</v>
      </c>
      <c r="AY485" s="442"/>
      <c r="AZ485" s="442"/>
      <c r="BA485" s="442" t="s">
        <v>679</v>
      </c>
      <c r="BB485" s="442"/>
      <c r="BC485" s="442"/>
      <c r="BD485" s="442"/>
      <c r="BE485" s="444"/>
      <c r="BF485" s="442" t="s">
        <v>298</v>
      </c>
      <c r="BG485" s="442" t="s">
        <v>680</v>
      </c>
      <c r="BH485" s="442" t="s">
        <v>681</v>
      </c>
      <c r="BI485" s="442"/>
    </row>
    <row r="486" spans="1:61">
      <c r="A486" s="442" t="s">
        <v>969</v>
      </c>
      <c r="B486" s="442" t="s">
        <v>711</v>
      </c>
      <c r="C486" s="442" t="s">
        <v>711</v>
      </c>
      <c r="D486" s="442" t="s">
        <v>724</v>
      </c>
      <c r="E486" s="442" t="s">
        <v>3</v>
      </c>
      <c r="F486" s="443" t="s">
        <v>83</v>
      </c>
      <c r="G486" s="443" t="s">
        <v>700</v>
      </c>
      <c r="H486" s="444">
        <v>1194800</v>
      </c>
      <c r="I486" s="444">
        <v>1194800</v>
      </c>
      <c r="J486" s="444">
        <v>0</v>
      </c>
      <c r="K486" s="444">
        <v>0</v>
      </c>
      <c r="L486" s="444">
        <v>1086182</v>
      </c>
      <c r="M486" s="444">
        <v>0</v>
      </c>
      <c r="N486" s="444">
        <v>0</v>
      </c>
      <c r="O486" s="444">
        <v>108618</v>
      </c>
      <c r="P486" s="444">
        <v>0</v>
      </c>
      <c r="Q486" s="444">
        <v>0</v>
      </c>
      <c r="R486" s="444">
        <v>0</v>
      </c>
      <c r="S486" s="444">
        <v>0</v>
      </c>
      <c r="T486" s="444">
        <v>0</v>
      </c>
      <c r="U486" s="444">
        <v>0</v>
      </c>
      <c r="V486" s="444">
        <v>0</v>
      </c>
      <c r="W486" s="444">
        <v>0</v>
      </c>
      <c r="X486" s="442" t="s">
        <v>674</v>
      </c>
      <c r="Y486" s="442" t="s">
        <v>675</v>
      </c>
      <c r="Z486" s="442" t="s">
        <v>675</v>
      </c>
      <c r="AA486" s="442" t="s">
        <v>675</v>
      </c>
      <c r="AB486" s="442" t="s">
        <v>675</v>
      </c>
      <c r="AC486" s="442"/>
      <c r="AD486" s="442"/>
      <c r="AE486" s="442"/>
      <c r="AF486" s="442"/>
      <c r="AG486" s="443" t="s">
        <v>970</v>
      </c>
      <c r="AH486" s="442"/>
      <c r="AI486" s="443" t="s">
        <v>970</v>
      </c>
      <c r="AJ486" s="443" t="s">
        <v>762</v>
      </c>
      <c r="AK486" s="442" t="s">
        <v>677</v>
      </c>
      <c r="AL486" s="442"/>
      <c r="AM486" s="442" t="s">
        <v>726</v>
      </c>
      <c r="AN486" s="442" t="s">
        <v>971</v>
      </c>
      <c r="AO486" s="442" t="s">
        <v>969</v>
      </c>
      <c r="AP486" s="442" t="s">
        <v>972</v>
      </c>
      <c r="AQ486" s="442" t="s">
        <v>757</v>
      </c>
      <c r="AR486" s="444">
        <v>1194800</v>
      </c>
      <c r="AS486" s="442" t="s">
        <v>675</v>
      </c>
      <c r="AT486" s="444">
        <v>0</v>
      </c>
      <c r="AU486" s="442" t="s">
        <v>678</v>
      </c>
      <c r="AV486" s="442" t="s">
        <v>677</v>
      </c>
      <c r="AW486" s="442" t="s">
        <v>676</v>
      </c>
      <c r="AX486" s="442" t="s">
        <v>674</v>
      </c>
      <c r="AY486" s="442"/>
      <c r="AZ486" s="442"/>
      <c r="BA486" s="442" t="s">
        <v>679</v>
      </c>
      <c r="BB486" s="442"/>
      <c r="BC486" s="442"/>
      <c r="BD486" s="442"/>
      <c r="BE486" s="444"/>
      <c r="BF486" s="442" t="s">
        <v>298</v>
      </c>
      <c r="BG486" s="442" t="s">
        <v>680</v>
      </c>
      <c r="BH486" s="442" t="s">
        <v>681</v>
      </c>
      <c r="BI486" s="442"/>
    </row>
    <row r="487" spans="1:61">
      <c r="A487" s="442" t="s">
        <v>969</v>
      </c>
      <c r="B487" s="442" t="s">
        <v>972</v>
      </c>
      <c r="C487" s="442" t="s">
        <v>969</v>
      </c>
      <c r="D487" s="442" t="s">
        <v>716</v>
      </c>
      <c r="E487" s="442" t="s">
        <v>3</v>
      </c>
      <c r="F487" s="443" t="s">
        <v>71</v>
      </c>
      <c r="G487" s="443" t="s">
        <v>719</v>
      </c>
      <c r="H487" s="444">
        <v>1320000</v>
      </c>
      <c r="I487" s="444">
        <v>1320000</v>
      </c>
      <c r="J487" s="444">
        <v>0</v>
      </c>
      <c r="K487" s="444">
        <v>0</v>
      </c>
      <c r="L487" s="444">
        <v>1200000</v>
      </c>
      <c r="M487" s="444">
        <v>0</v>
      </c>
      <c r="N487" s="444">
        <v>0</v>
      </c>
      <c r="O487" s="444">
        <v>120000</v>
      </c>
      <c r="P487" s="444">
        <v>0</v>
      </c>
      <c r="Q487" s="444">
        <v>0</v>
      </c>
      <c r="R487" s="444">
        <v>0</v>
      </c>
      <c r="S487" s="444">
        <v>0</v>
      </c>
      <c r="T487" s="444">
        <v>0</v>
      </c>
      <c r="U487" s="444">
        <v>0</v>
      </c>
      <c r="V487" s="444">
        <v>0</v>
      </c>
      <c r="W487" s="444">
        <v>0</v>
      </c>
      <c r="X487" s="442" t="s">
        <v>674</v>
      </c>
      <c r="Y487" s="442" t="s">
        <v>675</v>
      </c>
      <c r="Z487" s="442" t="s">
        <v>675</v>
      </c>
      <c r="AA487" s="442" t="s">
        <v>675</v>
      </c>
      <c r="AB487" s="442" t="s">
        <v>675</v>
      </c>
      <c r="AC487" s="442"/>
      <c r="AD487" s="442"/>
      <c r="AE487" s="442"/>
      <c r="AF487" s="442"/>
      <c r="AG487" s="443" t="s">
        <v>973</v>
      </c>
      <c r="AH487" s="442"/>
      <c r="AI487" s="443" t="s">
        <v>973</v>
      </c>
      <c r="AJ487" s="443" t="s">
        <v>974</v>
      </c>
      <c r="AK487" s="442" t="s">
        <v>677</v>
      </c>
      <c r="AL487" s="442"/>
      <c r="AM487" s="442"/>
      <c r="AN487" s="442"/>
      <c r="AO487" s="442"/>
      <c r="AP487" s="442"/>
      <c r="AQ487" s="442"/>
      <c r="AR487" s="444"/>
      <c r="AS487" s="442"/>
      <c r="AT487" s="444"/>
      <c r="AU487" s="442" t="s">
        <v>678</v>
      </c>
      <c r="AV487" s="442" t="s">
        <v>677</v>
      </c>
      <c r="AW487" s="442" t="s">
        <v>676</v>
      </c>
      <c r="AX487" s="442" t="s">
        <v>674</v>
      </c>
      <c r="AY487" s="442"/>
      <c r="AZ487" s="442"/>
      <c r="BA487" s="442" t="s">
        <v>679</v>
      </c>
      <c r="BB487" s="442"/>
      <c r="BC487" s="442"/>
      <c r="BD487" s="442"/>
      <c r="BE487" s="444"/>
      <c r="BF487" s="442" t="s">
        <v>298</v>
      </c>
      <c r="BG487" s="442" t="s">
        <v>680</v>
      </c>
      <c r="BH487" s="442" t="s">
        <v>681</v>
      </c>
      <c r="BI487" s="442"/>
    </row>
    <row r="488" spans="1:61">
      <c r="A488" s="442" t="s">
        <v>972</v>
      </c>
      <c r="B488" s="442" t="s">
        <v>972</v>
      </c>
      <c r="C488" s="442" t="s">
        <v>975</v>
      </c>
      <c r="D488" s="442" t="s">
        <v>673</v>
      </c>
      <c r="E488" s="442" t="s">
        <v>3</v>
      </c>
      <c r="F488" s="443" t="s">
        <v>83</v>
      </c>
      <c r="G488" s="443" t="s">
        <v>700</v>
      </c>
      <c r="H488" s="444">
        <v>88000</v>
      </c>
      <c r="I488" s="444">
        <v>88000</v>
      </c>
      <c r="J488" s="444">
        <v>0</v>
      </c>
      <c r="K488" s="444">
        <v>0</v>
      </c>
      <c r="L488" s="444">
        <v>88000</v>
      </c>
      <c r="M488" s="444">
        <v>0</v>
      </c>
      <c r="N488" s="444">
        <v>0</v>
      </c>
      <c r="O488" s="444">
        <v>0</v>
      </c>
      <c r="P488" s="444">
        <v>0</v>
      </c>
      <c r="Q488" s="444">
        <v>0</v>
      </c>
      <c r="R488" s="444">
        <v>0</v>
      </c>
      <c r="S488" s="444">
        <v>0</v>
      </c>
      <c r="T488" s="444">
        <v>0</v>
      </c>
      <c r="U488" s="444">
        <v>0</v>
      </c>
      <c r="V488" s="444">
        <v>0</v>
      </c>
      <c r="W488" s="444">
        <v>0</v>
      </c>
      <c r="X488" s="442" t="s">
        <v>674</v>
      </c>
      <c r="Y488" s="442" t="s">
        <v>675</v>
      </c>
      <c r="Z488" s="442" t="s">
        <v>675</v>
      </c>
      <c r="AA488" s="442" t="s">
        <v>675</v>
      </c>
      <c r="AB488" s="442" t="s">
        <v>675</v>
      </c>
      <c r="AC488" s="442"/>
      <c r="AD488" s="442"/>
      <c r="AE488" s="442"/>
      <c r="AF488" s="442"/>
      <c r="AG488" s="443" t="s">
        <v>976</v>
      </c>
      <c r="AH488" s="442"/>
      <c r="AI488" s="443" t="s">
        <v>976</v>
      </c>
      <c r="AJ488" s="443" t="s">
        <v>677</v>
      </c>
      <c r="AK488" s="442" t="s">
        <v>677</v>
      </c>
      <c r="AL488" s="442"/>
      <c r="AM488" s="442"/>
      <c r="AN488" s="442"/>
      <c r="AO488" s="442"/>
      <c r="AP488" s="442"/>
      <c r="AQ488" s="442"/>
      <c r="AR488" s="444"/>
      <c r="AS488" s="442"/>
      <c r="AT488" s="444"/>
      <c r="AU488" s="442" t="s">
        <v>678</v>
      </c>
      <c r="AV488" s="442" t="s">
        <v>677</v>
      </c>
      <c r="AW488" s="442" t="s">
        <v>676</v>
      </c>
      <c r="AX488" s="442" t="s">
        <v>674</v>
      </c>
      <c r="AY488" s="442"/>
      <c r="AZ488" s="442"/>
      <c r="BA488" s="442" t="s">
        <v>679</v>
      </c>
      <c r="BB488" s="442"/>
      <c r="BC488" s="442"/>
      <c r="BD488" s="442"/>
      <c r="BE488" s="444"/>
      <c r="BF488" s="442" t="s">
        <v>298</v>
      </c>
      <c r="BG488" s="442" t="s">
        <v>680</v>
      </c>
      <c r="BH488" s="442" t="s">
        <v>681</v>
      </c>
      <c r="BI488" s="442"/>
    </row>
    <row r="489" spans="1:61">
      <c r="A489" s="442" t="s">
        <v>972</v>
      </c>
      <c r="B489" s="442" t="s">
        <v>972</v>
      </c>
      <c r="C489" s="442" t="s">
        <v>975</v>
      </c>
      <c r="D489" s="442" t="s">
        <v>673</v>
      </c>
      <c r="E489" s="442" t="s">
        <v>3</v>
      </c>
      <c r="F489" s="443" t="s">
        <v>83</v>
      </c>
      <c r="G489" s="443" t="s">
        <v>700</v>
      </c>
      <c r="H489" s="444">
        <v>912000</v>
      </c>
      <c r="I489" s="444">
        <v>912000</v>
      </c>
      <c r="J489" s="444">
        <v>0</v>
      </c>
      <c r="K489" s="444">
        <v>0</v>
      </c>
      <c r="L489" s="444">
        <v>912000</v>
      </c>
      <c r="M489" s="444">
        <v>0</v>
      </c>
      <c r="N489" s="444">
        <v>0</v>
      </c>
      <c r="O489" s="444">
        <v>0</v>
      </c>
      <c r="P489" s="444">
        <v>0</v>
      </c>
      <c r="Q489" s="444">
        <v>0</v>
      </c>
      <c r="R489" s="444">
        <v>0</v>
      </c>
      <c r="S489" s="444">
        <v>0</v>
      </c>
      <c r="T489" s="444">
        <v>0</v>
      </c>
      <c r="U489" s="444">
        <v>0</v>
      </c>
      <c r="V489" s="444">
        <v>0</v>
      </c>
      <c r="W489" s="444">
        <v>0</v>
      </c>
      <c r="X489" s="442" t="s">
        <v>674</v>
      </c>
      <c r="Y489" s="442" t="s">
        <v>675</v>
      </c>
      <c r="Z489" s="442" t="s">
        <v>675</v>
      </c>
      <c r="AA489" s="442" t="s">
        <v>675</v>
      </c>
      <c r="AB489" s="442" t="s">
        <v>675</v>
      </c>
      <c r="AC489" s="442"/>
      <c r="AD489" s="442"/>
      <c r="AE489" s="442"/>
      <c r="AF489" s="442"/>
      <c r="AG489" s="443" t="s">
        <v>977</v>
      </c>
      <c r="AH489" s="442"/>
      <c r="AI489" s="443" t="s">
        <v>977</v>
      </c>
      <c r="AJ489" s="443" t="s">
        <v>677</v>
      </c>
      <c r="AK489" s="442" t="s">
        <v>677</v>
      </c>
      <c r="AL489" s="442"/>
      <c r="AM489" s="442"/>
      <c r="AN489" s="442"/>
      <c r="AO489" s="442"/>
      <c r="AP489" s="442"/>
      <c r="AQ489" s="442"/>
      <c r="AR489" s="444"/>
      <c r="AS489" s="442"/>
      <c r="AT489" s="444"/>
      <c r="AU489" s="442" t="s">
        <v>678</v>
      </c>
      <c r="AV489" s="442" t="s">
        <v>677</v>
      </c>
      <c r="AW489" s="442" t="s">
        <v>676</v>
      </c>
      <c r="AX489" s="442" t="s">
        <v>674</v>
      </c>
      <c r="AY489" s="442"/>
      <c r="AZ489" s="442"/>
      <c r="BA489" s="442" t="s">
        <v>679</v>
      </c>
      <c r="BB489" s="442"/>
      <c r="BC489" s="442"/>
      <c r="BD489" s="442"/>
      <c r="BE489" s="444"/>
      <c r="BF489" s="442" t="s">
        <v>298</v>
      </c>
      <c r="BG489" s="442" t="s">
        <v>680</v>
      </c>
      <c r="BH489" s="442" t="s">
        <v>681</v>
      </c>
      <c r="BI489" s="442"/>
    </row>
    <row r="490" spans="1:61">
      <c r="A490" s="442" t="s">
        <v>978</v>
      </c>
      <c r="B490" s="442" t="s">
        <v>978</v>
      </c>
      <c r="C490" s="442" t="s">
        <v>978</v>
      </c>
      <c r="D490" s="442" t="s">
        <v>673</v>
      </c>
      <c r="E490" s="442" t="s">
        <v>3</v>
      </c>
      <c r="F490" s="443" t="s">
        <v>238</v>
      </c>
      <c r="G490" s="443" t="s">
        <v>712</v>
      </c>
      <c r="H490" s="444">
        <v>118900000</v>
      </c>
      <c r="I490" s="444">
        <v>118900000</v>
      </c>
      <c r="J490" s="444">
        <v>0</v>
      </c>
      <c r="K490" s="444">
        <v>0</v>
      </c>
      <c r="L490" s="444">
        <v>118900000</v>
      </c>
      <c r="M490" s="444">
        <v>0</v>
      </c>
      <c r="N490" s="444">
        <v>0</v>
      </c>
      <c r="O490" s="444">
        <v>0</v>
      </c>
      <c r="P490" s="444">
        <v>0</v>
      </c>
      <c r="Q490" s="444">
        <v>0</v>
      </c>
      <c r="R490" s="444">
        <v>0</v>
      </c>
      <c r="S490" s="444">
        <v>0</v>
      </c>
      <c r="T490" s="444">
        <v>0</v>
      </c>
      <c r="U490" s="444">
        <v>0</v>
      </c>
      <c r="V490" s="444">
        <v>0</v>
      </c>
      <c r="W490" s="444">
        <v>0</v>
      </c>
      <c r="X490" s="442" t="s">
        <v>674</v>
      </c>
      <c r="Y490" s="442" t="s">
        <v>675</v>
      </c>
      <c r="Z490" s="442" t="s">
        <v>675</v>
      </c>
      <c r="AA490" s="442" t="s">
        <v>675</v>
      </c>
      <c r="AB490" s="442" t="s">
        <v>675</v>
      </c>
      <c r="AC490" s="442"/>
      <c r="AD490" s="442"/>
      <c r="AE490" s="442"/>
      <c r="AF490" s="442"/>
      <c r="AG490" s="443" t="s">
        <v>713</v>
      </c>
      <c r="AH490" s="442"/>
      <c r="AI490" s="443" t="s">
        <v>713</v>
      </c>
      <c r="AJ490" s="443" t="s">
        <v>677</v>
      </c>
      <c r="AK490" s="442" t="s">
        <v>677</v>
      </c>
      <c r="AL490" s="442"/>
      <c r="AM490" s="442"/>
      <c r="AN490" s="442"/>
      <c r="AO490" s="442"/>
      <c r="AP490" s="442"/>
      <c r="AQ490" s="442"/>
      <c r="AR490" s="444"/>
      <c r="AS490" s="442"/>
      <c r="AT490" s="444"/>
      <c r="AU490" s="442" t="s">
        <v>678</v>
      </c>
      <c r="AV490" s="442" t="s">
        <v>677</v>
      </c>
      <c r="AW490" s="442" t="s">
        <v>676</v>
      </c>
      <c r="AX490" s="442" t="s">
        <v>784</v>
      </c>
      <c r="AY490" s="442" t="s">
        <v>785</v>
      </c>
      <c r="AZ490" s="442" t="s">
        <v>979</v>
      </c>
      <c r="BA490" s="442" t="s">
        <v>679</v>
      </c>
      <c r="BB490" s="442"/>
      <c r="BC490" s="442"/>
      <c r="BD490" s="442"/>
      <c r="BE490" s="444"/>
      <c r="BF490" s="442" t="s">
        <v>298</v>
      </c>
      <c r="BG490" s="442" t="s">
        <v>680</v>
      </c>
      <c r="BH490" s="442" t="s">
        <v>681</v>
      </c>
      <c r="BI490" s="442"/>
    </row>
    <row r="491" spans="1:61">
      <c r="A491" s="442" t="s">
        <v>980</v>
      </c>
      <c r="B491" s="442" t="s">
        <v>965</v>
      </c>
      <c r="C491" s="442" t="s">
        <v>966</v>
      </c>
      <c r="D491" s="442" t="s">
        <v>724</v>
      </c>
      <c r="E491" s="442" t="s">
        <v>3</v>
      </c>
      <c r="F491" s="443" t="s">
        <v>83</v>
      </c>
      <c r="G491" s="443" t="s">
        <v>829</v>
      </c>
      <c r="H491" s="444">
        <v>4640</v>
      </c>
      <c r="I491" s="444">
        <v>4640</v>
      </c>
      <c r="J491" s="444">
        <v>0</v>
      </c>
      <c r="K491" s="444">
        <v>0</v>
      </c>
      <c r="L491" s="444">
        <v>4640</v>
      </c>
      <c r="M491" s="444">
        <v>0</v>
      </c>
      <c r="N491" s="444">
        <v>0</v>
      </c>
      <c r="O491" s="444">
        <v>0</v>
      </c>
      <c r="P491" s="444">
        <v>0</v>
      </c>
      <c r="Q491" s="444">
        <v>0</v>
      </c>
      <c r="R491" s="444">
        <v>0</v>
      </c>
      <c r="S491" s="444">
        <v>0</v>
      </c>
      <c r="T491" s="444">
        <v>0</v>
      </c>
      <c r="U491" s="444">
        <v>0</v>
      </c>
      <c r="V491" s="444">
        <v>0</v>
      </c>
      <c r="W491" s="444">
        <v>0</v>
      </c>
      <c r="X491" s="442" t="s">
        <v>674</v>
      </c>
      <c r="Y491" s="442" t="s">
        <v>675</v>
      </c>
      <c r="Z491" s="442" t="s">
        <v>675</v>
      </c>
      <c r="AA491" s="442" t="s">
        <v>675</v>
      </c>
      <c r="AB491" s="442" t="s">
        <v>675</v>
      </c>
      <c r="AC491" s="442"/>
      <c r="AD491" s="442"/>
      <c r="AE491" s="442"/>
      <c r="AF491" s="442"/>
      <c r="AG491" s="443" t="s">
        <v>204</v>
      </c>
      <c r="AH491" s="442"/>
      <c r="AI491" s="443" t="s">
        <v>204</v>
      </c>
      <c r="AJ491" s="443" t="s">
        <v>981</v>
      </c>
      <c r="AK491" s="442" t="s">
        <v>677</v>
      </c>
      <c r="AL491" s="442"/>
      <c r="AM491" s="442" t="s">
        <v>967</v>
      </c>
      <c r="AN491" s="442" t="s">
        <v>982</v>
      </c>
      <c r="AO491" s="442" t="s">
        <v>980</v>
      </c>
      <c r="AP491" s="442" t="s">
        <v>983</v>
      </c>
      <c r="AQ491" s="442" t="s">
        <v>939</v>
      </c>
      <c r="AR491" s="444">
        <v>4640</v>
      </c>
      <c r="AS491" s="442" t="s">
        <v>675</v>
      </c>
      <c r="AT491" s="444">
        <v>0</v>
      </c>
      <c r="AU491" s="442" t="s">
        <v>678</v>
      </c>
      <c r="AV491" s="442" t="s">
        <v>677</v>
      </c>
      <c r="AW491" s="442" t="s">
        <v>676</v>
      </c>
      <c r="AX491" s="442" t="s">
        <v>674</v>
      </c>
      <c r="AY491" s="442"/>
      <c r="AZ491" s="442"/>
      <c r="BA491" s="442" t="s">
        <v>679</v>
      </c>
      <c r="BB491" s="442"/>
      <c r="BC491" s="442"/>
      <c r="BD491" s="442"/>
      <c r="BE491" s="444"/>
      <c r="BF491" s="442" t="s">
        <v>298</v>
      </c>
      <c r="BG491" s="442" t="s">
        <v>680</v>
      </c>
      <c r="BH491" s="442" t="s">
        <v>681</v>
      </c>
      <c r="BI491" s="442"/>
    </row>
    <row r="492" spans="1:61">
      <c r="A492" s="442" t="s">
        <v>980</v>
      </c>
      <c r="B492" s="442" t="s">
        <v>965</v>
      </c>
      <c r="C492" s="442" t="s">
        <v>966</v>
      </c>
      <c r="D492" s="442" t="s">
        <v>724</v>
      </c>
      <c r="E492" s="442" t="s">
        <v>3</v>
      </c>
      <c r="F492" s="443" t="s">
        <v>83</v>
      </c>
      <c r="G492" s="443" t="s">
        <v>829</v>
      </c>
      <c r="H492" s="444">
        <v>100</v>
      </c>
      <c r="I492" s="444">
        <v>100</v>
      </c>
      <c r="J492" s="444">
        <v>0</v>
      </c>
      <c r="K492" s="444">
        <v>0</v>
      </c>
      <c r="L492" s="444">
        <v>100</v>
      </c>
      <c r="M492" s="444">
        <v>0</v>
      </c>
      <c r="N492" s="444">
        <v>0</v>
      </c>
      <c r="O492" s="444">
        <v>0</v>
      </c>
      <c r="P492" s="444">
        <v>0</v>
      </c>
      <c r="Q492" s="444">
        <v>0</v>
      </c>
      <c r="R492" s="444">
        <v>0</v>
      </c>
      <c r="S492" s="444">
        <v>0</v>
      </c>
      <c r="T492" s="444">
        <v>0</v>
      </c>
      <c r="U492" s="444">
        <v>0</v>
      </c>
      <c r="V492" s="444">
        <v>0</v>
      </c>
      <c r="W492" s="444">
        <v>0</v>
      </c>
      <c r="X492" s="442" t="s">
        <v>674</v>
      </c>
      <c r="Y492" s="442" t="s">
        <v>675</v>
      </c>
      <c r="Z492" s="442" t="s">
        <v>675</v>
      </c>
      <c r="AA492" s="442" t="s">
        <v>675</v>
      </c>
      <c r="AB492" s="442" t="s">
        <v>675</v>
      </c>
      <c r="AC492" s="442"/>
      <c r="AD492" s="442"/>
      <c r="AE492" s="442"/>
      <c r="AF492" s="442"/>
      <c r="AG492" s="443" t="s">
        <v>204</v>
      </c>
      <c r="AH492" s="442"/>
      <c r="AI492" s="443" t="s">
        <v>204</v>
      </c>
      <c r="AJ492" s="443" t="s">
        <v>981</v>
      </c>
      <c r="AK492" s="442" t="s">
        <v>677</v>
      </c>
      <c r="AL492" s="442"/>
      <c r="AM492" s="442" t="s">
        <v>967</v>
      </c>
      <c r="AN492" s="442" t="s">
        <v>984</v>
      </c>
      <c r="AO492" s="442" t="s">
        <v>980</v>
      </c>
      <c r="AP492" s="442" t="s">
        <v>983</v>
      </c>
      <c r="AQ492" s="442" t="s">
        <v>939</v>
      </c>
      <c r="AR492" s="444">
        <v>100</v>
      </c>
      <c r="AS492" s="442" t="s">
        <v>675</v>
      </c>
      <c r="AT492" s="444">
        <v>0</v>
      </c>
      <c r="AU492" s="442" t="s">
        <v>678</v>
      </c>
      <c r="AV492" s="442" t="s">
        <v>677</v>
      </c>
      <c r="AW492" s="442" t="s">
        <v>676</v>
      </c>
      <c r="AX492" s="442" t="s">
        <v>674</v>
      </c>
      <c r="AY492" s="442"/>
      <c r="AZ492" s="442"/>
      <c r="BA492" s="442" t="s">
        <v>679</v>
      </c>
      <c r="BB492" s="442"/>
      <c r="BC492" s="442"/>
      <c r="BD492" s="442"/>
      <c r="BE492" s="444"/>
      <c r="BF492" s="442" t="s">
        <v>298</v>
      </c>
      <c r="BG492" s="442" t="s">
        <v>680</v>
      </c>
      <c r="BH492" s="442" t="s">
        <v>681</v>
      </c>
      <c r="BI492" s="442"/>
    </row>
    <row r="493" spans="1:61">
      <c r="A493" s="442" t="s">
        <v>980</v>
      </c>
      <c r="B493" s="442" t="s">
        <v>965</v>
      </c>
      <c r="C493" s="442" t="s">
        <v>966</v>
      </c>
      <c r="D493" s="442" t="s">
        <v>724</v>
      </c>
      <c r="E493" s="442" t="s">
        <v>3</v>
      </c>
      <c r="F493" s="443" t="s">
        <v>83</v>
      </c>
      <c r="G493" s="443" t="s">
        <v>700</v>
      </c>
      <c r="H493" s="444">
        <v>21560</v>
      </c>
      <c r="I493" s="444">
        <v>21560</v>
      </c>
      <c r="J493" s="444">
        <v>0</v>
      </c>
      <c r="K493" s="444">
        <v>0</v>
      </c>
      <c r="L493" s="444">
        <v>19600</v>
      </c>
      <c r="M493" s="444">
        <v>0</v>
      </c>
      <c r="N493" s="444">
        <v>0</v>
      </c>
      <c r="O493" s="444">
        <v>1960</v>
      </c>
      <c r="P493" s="444">
        <v>0</v>
      </c>
      <c r="Q493" s="444">
        <v>0</v>
      </c>
      <c r="R493" s="444">
        <v>0</v>
      </c>
      <c r="S493" s="444">
        <v>0</v>
      </c>
      <c r="T493" s="444">
        <v>0</v>
      </c>
      <c r="U493" s="444">
        <v>0</v>
      </c>
      <c r="V493" s="444">
        <v>0</v>
      </c>
      <c r="W493" s="444">
        <v>0</v>
      </c>
      <c r="X493" s="442" t="s">
        <v>674</v>
      </c>
      <c r="Y493" s="442" t="s">
        <v>675</v>
      </c>
      <c r="Z493" s="442" t="s">
        <v>675</v>
      </c>
      <c r="AA493" s="442" t="s">
        <v>675</v>
      </c>
      <c r="AB493" s="442" t="s">
        <v>675</v>
      </c>
      <c r="AC493" s="442"/>
      <c r="AD493" s="442"/>
      <c r="AE493" s="442"/>
      <c r="AF493" s="442"/>
      <c r="AG493" s="443" t="s">
        <v>591</v>
      </c>
      <c r="AH493" s="442"/>
      <c r="AI493" s="443" t="s">
        <v>591</v>
      </c>
      <c r="AJ493" s="443" t="s">
        <v>945</v>
      </c>
      <c r="AK493" s="442" t="s">
        <v>677</v>
      </c>
      <c r="AL493" s="442"/>
      <c r="AM493" s="442" t="s">
        <v>763</v>
      </c>
      <c r="AN493" s="442" t="s">
        <v>985</v>
      </c>
      <c r="AO493" s="442" t="s">
        <v>980</v>
      </c>
      <c r="AP493" s="442" t="s">
        <v>978</v>
      </c>
      <c r="AQ493" s="442" t="s">
        <v>939</v>
      </c>
      <c r="AR493" s="444">
        <v>21560</v>
      </c>
      <c r="AS493" s="442" t="s">
        <v>675</v>
      </c>
      <c r="AT493" s="444">
        <v>0</v>
      </c>
      <c r="AU493" s="442" t="s">
        <v>678</v>
      </c>
      <c r="AV493" s="442" t="s">
        <v>677</v>
      </c>
      <c r="AW493" s="442" t="s">
        <v>676</v>
      </c>
      <c r="AX493" s="442" t="s">
        <v>674</v>
      </c>
      <c r="AY493" s="442"/>
      <c r="AZ493" s="442"/>
      <c r="BA493" s="442" t="s">
        <v>679</v>
      </c>
      <c r="BB493" s="442"/>
      <c r="BC493" s="442"/>
      <c r="BD493" s="442"/>
      <c r="BE493" s="444"/>
      <c r="BF493" s="442" t="s">
        <v>298</v>
      </c>
      <c r="BG493" s="442" t="s">
        <v>680</v>
      </c>
      <c r="BH493" s="442" t="s">
        <v>681</v>
      </c>
      <c r="BI493" s="442"/>
    </row>
    <row r="494" spans="1:61">
      <c r="A494" s="442" t="s">
        <v>915</v>
      </c>
      <c r="B494" s="442" t="s">
        <v>914</v>
      </c>
      <c r="C494" s="442" t="s">
        <v>915</v>
      </c>
      <c r="D494" s="442" t="s">
        <v>716</v>
      </c>
      <c r="E494" s="442" t="s">
        <v>3</v>
      </c>
      <c r="F494" s="443" t="s">
        <v>83</v>
      </c>
      <c r="G494" s="443" t="s">
        <v>700</v>
      </c>
      <c r="H494" s="444">
        <v>21120000</v>
      </c>
      <c r="I494" s="444">
        <v>0</v>
      </c>
      <c r="J494" s="444">
        <v>0</v>
      </c>
      <c r="K494" s="444">
        <v>21120000</v>
      </c>
      <c r="L494" s="444">
        <v>0</v>
      </c>
      <c r="M494" s="444">
        <v>0</v>
      </c>
      <c r="N494" s="444">
        <v>19200000</v>
      </c>
      <c r="O494" s="444">
        <v>0</v>
      </c>
      <c r="P494" s="444">
        <v>0</v>
      </c>
      <c r="Q494" s="444">
        <v>1920000</v>
      </c>
      <c r="R494" s="444">
        <v>0</v>
      </c>
      <c r="S494" s="444">
        <v>0</v>
      </c>
      <c r="T494" s="444">
        <v>0</v>
      </c>
      <c r="U494" s="444">
        <v>0</v>
      </c>
      <c r="V494" s="444">
        <v>0</v>
      </c>
      <c r="W494" s="444">
        <v>0</v>
      </c>
      <c r="X494" s="442" t="s">
        <v>674</v>
      </c>
      <c r="Y494" s="442" t="s">
        <v>675</v>
      </c>
      <c r="Z494" s="442" t="s">
        <v>675</v>
      </c>
      <c r="AA494" s="442" t="s">
        <v>675</v>
      </c>
      <c r="AB494" s="442" t="s">
        <v>675</v>
      </c>
      <c r="AC494" s="442"/>
      <c r="AD494" s="442"/>
      <c r="AE494" s="442"/>
      <c r="AF494" s="442"/>
      <c r="AG494" s="443" t="s">
        <v>986</v>
      </c>
      <c r="AH494" s="442"/>
      <c r="AI494" s="443" t="s">
        <v>986</v>
      </c>
      <c r="AJ494" s="443" t="s">
        <v>987</v>
      </c>
      <c r="AK494" s="442" t="s">
        <v>677</v>
      </c>
      <c r="AL494" s="442"/>
      <c r="AM494" s="442"/>
      <c r="AN494" s="442"/>
      <c r="AO494" s="442"/>
      <c r="AP494" s="442"/>
      <c r="AQ494" s="442"/>
      <c r="AR494" s="444"/>
      <c r="AS494" s="442"/>
      <c r="AT494" s="444"/>
      <c r="AU494" s="442" t="s">
        <v>678</v>
      </c>
      <c r="AV494" s="442" t="s">
        <v>677</v>
      </c>
      <c r="AW494" s="442" t="s">
        <v>676</v>
      </c>
      <c r="AX494" s="442" t="s">
        <v>784</v>
      </c>
      <c r="AY494" s="442" t="s">
        <v>785</v>
      </c>
      <c r="AZ494" s="442" t="s">
        <v>988</v>
      </c>
      <c r="BA494" s="442" t="s">
        <v>679</v>
      </c>
      <c r="BB494" s="442"/>
      <c r="BC494" s="442"/>
      <c r="BD494" s="442"/>
      <c r="BE494" s="444"/>
      <c r="BF494" s="442" t="s">
        <v>298</v>
      </c>
      <c r="BG494" s="442" t="s">
        <v>680</v>
      </c>
      <c r="BH494" s="442" t="s">
        <v>681</v>
      </c>
      <c r="BI494" s="442"/>
    </row>
    <row r="495" spans="1:61">
      <c r="A495" s="442" t="s">
        <v>989</v>
      </c>
      <c r="B495" s="442" t="s">
        <v>965</v>
      </c>
      <c r="C495" s="442" t="s">
        <v>966</v>
      </c>
      <c r="D495" s="442" t="s">
        <v>724</v>
      </c>
      <c r="E495" s="442" t="s">
        <v>3</v>
      </c>
      <c r="F495" s="443" t="s">
        <v>83</v>
      </c>
      <c r="G495" s="443" t="s">
        <v>700</v>
      </c>
      <c r="H495" s="444">
        <v>21560</v>
      </c>
      <c r="I495" s="444">
        <v>21560</v>
      </c>
      <c r="J495" s="444">
        <v>0</v>
      </c>
      <c r="K495" s="444">
        <v>0</v>
      </c>
      <c r="L495" s="444">
        <v>19600</v>
      </c>
      <c r="M495" s="444">
        <v>0</v>
      </c>
      <c r="N495" s="444">
        <v>0</v>
      </c>
      <c r="O495" s="444">
        <v>1960</v>
      </c>
      <c r="P495" s="444">
        <v>0</v>
      </c>
      <c r="Q495" s="444">
        <v>0</v>
      </c>
      <c r="R495" s="444">
        <v>0</v>
      </c>
      <c r="S495" s="444">
        <v>0</v>
      </c>
      <c r="T495" s="444">
        <v>0</v>
      </c>
      <c r="U495" s="444">
        <v>0</v>
      </c>
      <c r="V495" s="444">
        <v>0</v>
      </c>
      <c r="W495" s="444">
        <v>0</v>
      </c>
      <c r="X495" s="442" t="s">
        <v>674</v>
      </c>
      <c r="Y495" s="442" t="s">
        <v>675</v>
      </c>
      <c r="Z495" s="442" t="s">
        <v>675</v>
      </c>
      <c r="AA495" s="442" t="s">
        <v>675</v>
      </c>
      <c r="AB495" s="442" t="s">
        <v>675</v>
      </c>
      <c r="AC495" s="442"/>
      <c r="AD495" s="442"/>
      <c r="AE495" s="442"/>
      <c r="AF495" s="442"/>
      <c r="AG495" s="443" t="s">
        <v>591</v>
      </c>
      <c r="AH495" s="442"/>
      <c r="AI495" s="443" t="s">
        <v>591</v>
      </c>
      <c r="AJ495" s="443" t="s">
        <v>945</v>
      </c>
      <c r="AK495" s="442" t="s">
        <v>677</v>
      </c>
      <c r="AL495" s="442"/>
      <c r="AM495" s="442" t="s">
        <v>726</v>
      </c>
      <c r="AN495" s="442" t="s">
        <v>990</v>
      </c>
      <c r="AO495" s="442" t="s">
        <v>989</v>
      </c>
      <c r="AP495" s="442" t="s">
        <v>991</v>
      </c>
      <c r="AQ495" s="442" t="s">
        <v>939</v>
      </c>
      <c r="AR495" s="444">
        <v>21560</v>
      </c>
      <c r="AS495" s="442" t="s">
        <v>675</v>
      </c>
      <c r="AT495" s="444">
        <v>0</v>
      </c>
      <c r="AU495" s="442" t="s">
        <v>678</v>
      </c>
      <c r="AV495" s="442" t="s">
        <v>677</v>
      </c>
      <c r="AW495" s="442" t="s">
        <v>676</v>
      </c>
      <c r="AX495" s="442" t="s">
        <v>674</v>
      </c>
      <c r="AY495" s="442"/>
      <c r="AZ495" s="442"/>
      <c r="BA495" s="442" t="s">
        <v>679</v>
      </c>
      <c r="BB495" s="442"/>
      <c r="BC495" s="442"/>
      <c r="BD495" s="442"/>
      <c r="BE495" s="444"/>
      <c r="BF495" s="442" t="s">
        <v>298</v>
      </c>
      <c r="BG495" s="442" t="s">
        <v>680</v>
      </c>
      <c r="BH495" s="442" t="s">
        <v>681</v>
      </c>
      <c r="BI495" s="442"/>
    </row>
    <row r="496" spans="1:61">
      <c r="A496" s="442" t="s">
        <v>992</v>
      </c>
      <c r="B496" s="442" t="s">
        <v>978</v>
      </c>
      <c r="C496" s="442" t="s">
        <v>980</v>
      </c>
      <c r="D496" s="442" t="s">
        <v>716</v>
      </c>
      <c r="E496" s="442" t="s">
        <v>3</v>
      </c>
      <c r="F496" s="443" t="s">
        <v>83</v>
      </c>
      <c r="G496" s="443" t="s">
        <v>700</v>
      </c>
      <c r="H496" s="444">
        <v>18480000</v>
      </c>
      <c r="I496" s="444">
        <v>0</v>
      </c>
      <c r="J496" s="444">
        <v>0</v>
      </c>
      <c r="K496" s="444">
        <v>18480000</v>
      </c>
      <c r="L496" s="444">
        <v>0</v>
      </c>
      <c r="M496" s="444">
        <v>0</v>
      </c>
      <c r="N496" s="444">
        <v>16800000</v>
      </c>
      <c r="O496" s="444">
        <v>0</v>
      </c>
      <c r="P496" s="444">
        <v>0</v>
      </c>
      <c r="Q496" s="444">
        <v>1680000</v>
      </c>
      <c r="R496" s="444">
        <v>0</v>
      </c>
      <c r="S496" s="444">
        <v>0</v>
      </c>
      <c r="T496" s="444">
        <v>0</v>
      </c>
      <c r="U496" s="444">
        <v>0</v>
      </c>
      <c r="V496" s="444">
        <v>0</v>
      </c>
      <c r="W496" s="444">
        <v>0</v>
      </c>
      <c r="X496" s="442" t="s">
        <v>674</v>
      </c>
      <c r="Y496" s="442" t="s">
        <v>675</v>
      </c>
      <c r="Z496" s="442" t="s">
        <v>675</v>
      </c>
      <c r="AA496" s="442" t="s">
        <v>675</v>
      </c>
      <c r="AB496" s="442" t="s">
        <v>675</v>
      </c>
      <c r="AC496" s="442"/>
      <c r="AD496" s="442"/>
      <c r="AE496" s="442"/>
      <c r="AF496" s="442"/>
      <c r="AG496" s="443" t="s">
        <v>600</v>
      </c>
      <c r="AH496" s="442"/>
      <c r="AI496" s="443" t="s">
        <v>600</v>
      </c>
      <c r="AJ496" s="443" t="s">
        <v>993</v>
      </c>
      <c r="AK496" s="442" t="s">
        <v>677</v>
      </c>
      <c r="AL496" s="442"/>
      <c r="AM496" s="442"/>
      <c r="AN496" s="442"/>
      <c r="AO496" s="442"/>
      <c r="AP496" s="442"/>
      <c r="AQ496" s="442"/>
      <c r="AR496" s="444"/>
      <c r="AS496" s="442"/>
      <c r="AT496" s="444"/>
      <c r="AU496" s="442" t="s">
        <v>678</v>
      </c>
      <c r="AV496" s="442" t="s">
        <v>677</v>
      </c>
      <c r="AW496" s="442" t="s">
        <v>676</v>
      </c>
      <c r="AX496" s="442" t="s">
        <v>674</v>
      </c>
      <c r="AY496" s="442"/>
      <c r="AZ496" s="442"/>
      <c r="BA496" s="442" t="s">
        <v>679</v>
      </c>
      <c r="BB496" s="442"/>
      <c r="BC496" s="442"/>
      <c r="BD496" s="442"/>
      <c r="BE496" s="444"/>
      <c r="BF496" s="442" t="s">
        <v>298</v>
      </c>
      <c r="BG496" s="442" t="s">
        <v>680</v>
      </c>
      <c r="BH496" s="442" t="s">
        <v>681</v>
      </c>
      <c r="BI496" s="442"/>
    </row>
    <row r="497" spans="1:61">
      <c r="A497" s="442" t="s">
        <v>994</v>
      </c>
      <c r="B497" s="442" t="s">
        <v>965</v>
      </c>
      <c r="C497" s="442" t="s">
        <v>966</v>
      </c>
      <c r="D497" s="442" t="s">
        <v>724</v>
      </c>
      <c r="E497" s="442" t="s">
        <v>3</v>
      </c>
      <c r="F497" s="443" t="s">
        <v>83</v>
      </c>
      <c r="G497" s="443" t="s">
        <v>700</v>
      </c>
      <c r="H497" s="444">
        <v>44000</v>
      </c>
      <c r="I497" s="444">
        <v>44000</v>
      </c>
      <c r="J497" s="444">
        <v>0</v>
      </c>
      <c r="K497" s="444">
        <v>0</v>
      </c>
      <c r="L497" s="444">
        <v>40000</v>
      </c>
      <c r="M497" s="444">
        <v>0</v>
      </c>
      <c r="N497" s="444">
        <v>0</v>
      </c>
      <c r="O497" s="444">
        <v>4000</v>
      </c>
      <c r="P497" s="444">
        <v>0</v>
      </c>
      <c r="Q497" s="444">
        <v>0</v>
      </c>
      <c r="R497" s="444">
        <v>0</v>
      </c>
      <c r="S497" s="444">
        <v>0</v>
      </c>
      <c r="T497" s="444">
        <v>0</v>
      </c>
      <c r="U497" s="444">
        <v>0</v>
      </c>
      <c r="V497" s="444">
        <v>0</v>
      </c>
      <c r="W497" s="444">
        <v>0</v>
      </c>
      <c r="X497" s="442" t="s">
        <v>674</v>
      </c>
      <c r="Y497" s="442" t="s">
        <v>675</v>
      </c>
      <c r="Z497" s="442" t="s">
        <v>675</v>
      </c>
      <c r="AA497" s="442" t="s">
        <v>675</v>
      </c>
      <c r="AB497" s="442" t="s">
        <v>675</v>
      </c>
      <c r="AC497" s="442"/>
      <c r="AD497" s="442"/>
      <c r="AE497" s="442"/>
      <c r="AF497" s="442"/>
      <c r="AG497" s="443" t="s">
        <v>590</v>
      </c>
      <c r="AH497" s="442"/>
      <c r="AI497" s="443" t="s">
        <v>590</v>
      </c>
      <c r="AJ497" s="443" t="s">
        <v>995</v>
      </c>
      <c r="AK497" s="442" t="s">
        <v>677</v>
      </c>
      <c r="AL497" s="442"/>
      <c r="AM497" s="442" t="s">
        <v>726</v>
      </c>
      <c r="AN497" s="442" t="s">
        <v>996</v>
      </c>
      <c r="AO497" s="442" t="s">
        <v>994</v>
      </c>
      <c r="AP497" s="442" t="s">
        <v>997</v>
      </c>
      <c r="AQ497" s="442" t="s">
        <v>939</v>
      </c>
      <c r="AR497" s="444">
        <v>44000</v>
      </c>
      <c r="AS497" s="442" t="s">
        <v>675</v>
      </c>
      <c r="AT497" s="444">
        <v>0</v>
      </c>
      <c r="AU497" s="442" t="s">
        <v>678</v>
      </c>
      <c r="AV497" s="442" t="s">
        <v>677</v>
      </c>
      <c r="AW497" s="442" t="s">
        <v>676</v>
      </c>
      <c r="AX497" s="442" t="s">
        <v>674</v>
      </c>
      <c r="AY497" s="442"/>
      <c r="AZ497" s="442"/>
      <c r="BA497" s="442" t="s">
        <v>679</v>
      </c>
      <c r="BB497" s="442"/>
      <c r="BC497" s="442"/>
      <c r="BD497" s="442"/>
      <c r="BE497" s="444"/>
      <c r="BF497" s="442" t="s">
        <v>298</v>
      </c>
      <c r="BG497" s="442" t="s">
        <v>680</v>
      </c>
      <c r="BH497" s="442" t="s">
        <v>681</v>
      </c>
      <c r="BI497" s="442"/>
    </row>
    <row r="498" spans="1:61">
      <c r="A498" s="442" t="s">
        <v>998</v>
      </c>
      <c r="B498" s="442" t="s">
        <v>980</v>
      </c>
      <c r="C498" s="442" t="s">
        <v>992</v>
      </c>
      <c r="D498" s="442" t="s">
        <v>716</v>
      </c>
      <c r="E498" s="442" t="s">
        <v>3</v>
      </c>
      <c r="F498" s="443" t="s">
        <v>71</v>
      </c>
      <c r="G498" s="443" t="s">
        <v>719</v>
      </c>
      <c r="H498" s="444">
        <v>19250000</v>
      </c>
      <c r="I498" s="444">
        <v>19250000</v>
      </c>
      <c r="J498" s="444">
        <v>0</v>
      </c>
      <c r="K498" s="444">
        <v>0</v>
      </c>
      <c r="L498" s="444">
        <v>17500000</v>
      </c>
      <c r="M498" s="444">
        <v>0</v>
      </c>
      <c r="N498" s="444">
        <v>0</v>
      </c>
      <c r="O498" s="444">
        <v>1750000</v>
      </c>
      <c r="P498" s="444">
        <v>0</v>
      </c>
      <c r="Q498" s="444">
        <v>0</v>
      </c>
      <c r="R498" s="444">
        <v>0</v>
      </c>
      <c r="S498" s="444">
        <v>0</v>
      </c>
      <c r="T498" s="444">
        <v>0</v>
      </c>
      <c r="U498" s="444">
        <v>0</v>
      </c>
      <c r="V498" s="444">
        <v>0</v>
      </c>
      <c r="W498" s="444">
        <v>0</v>
      </c>
      <c r="X498" s="442" t="s">
        <v>674</v>
      </c>
      <c r="Y498" s="442" t="s">
        <v>675</v>
      </c>
      <c r="Z498" s="442" t="s">
        <v>675</v>
      </c>
      <c r="AA498" s="442" t="s">
        <v>675</v>
      </c>
      <c r="AB498" s="442" t="s">
        <v>675</v>
      </c>
      <c r="AC498" s="442"/>
      <c r="AD498" s="442"/>
      <c r="AE498" s="442"/>
      <c r="AF498" s="442"/>
      <c r="AG498" s="443" t="s">
        <v>999</v>
      </c>
      <c r="AH498" s="442"/>
      <c r="AI498" s="443" t="s">
        <v>999</v>
      </c>
      <c r="AJ498" s="443" t="s">
        <v>1000</v>
      </c>
      <c r="AK498" s="442" t="s">
        <v>677</v>
      </c>
      <c r="AL498" s="442"/>
      <c r="AM498" s="442"/>
      <c r="AN498" s="442"/>
      <c r="AO498" s="442"/>
      <c r="AP498" s="442"/>
      <c r="AQ498" s="442"/>
      <c r="AR498" s="444"/>
      <c r="AS498" s="442"/>
      <c r="AT498" s="444"/>
      <c r="AU498" s="442" t="s">
        <v>678</v>
      </c>
      <c r="AV498" s="442" t="s">
        <v>677</v>
      </c>
      <c r="AW498" s="442" t="s">
        <v>676</v>
      </c>
      <c r="AX498" s="442" t="s">
        <v>674</v>
      </c>
      <c r="AY498" s="442"/>
      <c r="AZ498" s="442"/>
      <c r="BA498" s="442" t="s">
        <v>679</v>
      </c>
      <c r="BB498" s="442"/>
      <c r="BC498" s="442"/>
      <c r="BD498" s="442"/>
      <c r="BE498" s="444"/>
      <c r="BF498" s="442" t="s">
        <v>298</v>
      </c>
      <c r="BG498" s="442" t="s">
        <v>680</v>
      </c>
      <c r="BH498" s="442" t="s">
        <v>681</v>
      </c>
      <c r="BI498" s="442"/>
    </row>
    <row r="499" spans="1:61">
      <c r="A499" s="442" t="s">
        <v>1001</v>
      </c>
      <c r="B499" s="442" t="s">
        <v>843</v>
      </c>
      <c r="C499" s="442" t="s">
        <v>843</v>
      </c>
      <c r="D499" s="442" t="s">
        <v>724</v>
      </c>
      <c r="E499" s="442" t="s">
        <v>3</v>
      </c>
      <c r="F499" s="443" t="s">
        <v>83</v>
      </c>
      <c r="G499" s="443" t="s">
        <v>176</v>
      </c>
      <c r="H499" s="444">
        <v>173730</v>
      </c>
      <c r="I499" s="444">
        <v>173730</v>
      </c>
      <c r="J499" s="444">
        <v>0</v>
      </c>
      <c r="K499" s="444">
        <v>0</v>
      </c>
      <c r="L499" s="444">
        <v>157937</v>
      </c>
      <c r="M499" s="444">
        <v>0</v>
      </c>
      <c r="N499" s="444">
        <v>0</v>
      </c>
      <c r="O499" s="444">
        <v>15793</v>
      </c>
      <c r="P499" s="444">
        <v>0</v>
      </c>
      <c r="Q499" s="444">
        <v>0</v>
      </c>
      <c r="R499" s="444">
        <v>0</v>
      </c>
      <c r="S499" s="444">
        <v>0</v>
      </c>
      <c r="T499" s="444">
        <v>0</v>
      </c>
      <c r="U499" s="444">
        <v>0</v>
      </c>
      <c r="V499" s="444">
        <v>0</v>
      </c>
      <c r="W499" s="444">
        <v>0</v>
      </c>
      <c r="X499" s="442" t="s">
        <v>674</v>
      </c>
      <c r="Y499" s="442" t="s">
        <v>675</v>
      </c>
      <c r="Z499" s="442" t="s">
        <v>675</v>
      </c>
      <c r="AA499" s="442" t="s">
        <v>675</v>
      </c>
      <c r="AB499" s="442" t="s">
        <v>675</v>
      </c>
      <c r="AC499" s="442"/>
      <c r="AD499" s="442"/>
      <c r="AE499" s="442" t="s">
        <v>694</v>
      </c>
      <c r="AF499" s="442"/>
      <c r="AG499" s="443" t="s">
        <v>578</v>
      </c>
      <c r="AH499" s="442"/>
      <c r="AI499" s="443" t="s">
        <v>578</v>
      </c>
      <c r="AJ499" s="443" t="s">
        <v>1002</v>
      </c>
      <c r="AK499" s="442" t="s">
        <v>677</v>
      </c>
      <c r="AL499" s="442"/>
      <c r="AM499" s="442" t="s">
        <v>726</v>
      </c>
      <c r="AN499" s="442" t="s">
        <v>1003</v>
      </c>
      <c r="AO499" s="442" t="s">
        <v>1001</v>
      </c>
      <c r="AP499" s="442" t="s">
        <v>994</v>
      </c>
      <c r="AQ499" s="442" t="s">
        <v>821</v>
      </c>
      <c r="AR499" s="444">
        <v>173730</v>
      </c>
      <c r="AS499" s="442" t="s">
        <v>675</v>
      </c>
      <c r="AT499" s="444">
        <v>0</v>
      </c>
      <c r="AU499" s="442" t="s">
        <v>678</v>
      </c>
      <c r="AV499" s="442" t="s">
        <v>677</v>
      </c>
      <c r="AW499" s="442" t="s">
        <v>676</v>
      </c>
      <c r="AX499" s="442" t="s">
        <v>674</v>
      </c>
      <c r="AY499" s="442"/>
      <c r="AZ499" s="442"/>
      <c r="BA499" s="442" t="s">
        <v>679</v>
      </c>
      <c r="BB499" s="442"/>
      <c r="BC499" s="442"/>
      <c r="BD499" s="442"/>
      <c r="BE499" s="444"/>
      <c r="BF499" s="442" t="s">
        <v>298</v>
      </c>
      <c r="BG499" s="442" t="s">
        <v>680</v>
      </c>
      <c r="BH499" s="442" t="s">
        <v>681</v>
      </c>
      <c r="BI499" s="442"/>
    </row>
    <row r="500" spans="1:61">
      <c r="A500" s="442" t="s">
        <v>1001</v>
      </c>
      <c r="B500" s="442" t="s">
        <v>965</v>
      </c>
      <c r="C500" s="442" t="s">
        <v>966</v>
      </c>
      <c r="D500" s="442" t="s">
        <v>724</v>
      </c>
      <c r="E500" s="442" t="s">
        <v>3</v>
      </c>
      <c r="F500" s="443" t="s">
        <v>83</v>
      </c>
      <c r="G500" s="443" t="s">
        <v>700</v>
      </c>
      <c r="H500" s="444">
        <v>23760</v>
      </c>
      <c r="I500" s="444">
        <v>23760</v>
      </c>
      <c r="J500" s="444">
        <v>0</v>
      </c>
      <c r="K500" s="444">
        <v>0</v>
      </c>
      <c r="L500" s="444">
        <v>21600</v>
      </c>
      <c r="M500" s="444">
        <v>0</v>
      </c>
      <c r="N500" s="444">
        <v>0</v>
      </c>
      <c r="O500" s="444">
        <v>2160</v>
      </c>
      <c r="P500" s="444">
        <v>0</v>
      </c>
      <c r="Q500" s="444">
        <v>0</v>
      </c>
      <c r="R500" s="444">
        <v>0</v>
      </c>
      <c r="S500" s="444">
        <v>0</v>
      </c>
      <c r="T500" s="444">
        <v>0</v>
      </c>
      <c r="U500" s="444">
        <v>0</v>
      </c>
      <c r="V500" s="444">
        <v>0</v>
      </c>
      <c r="W500" s="444">
        <v>0</v>
      </c>
      <c r="X500" s="442" t="s">
        <v>674</v>
      </c>
      <c r="Y500" s="442" t="s">
        <v>675</v>
      </c>
      <c r="Z500" s="442" t="s">
        <v>675</v>
      </c>
      <c r="AA500" s="442" t="s">
        <v>675</v>
      </c>
      <c r="AB500" s="442" t="s">
        <v>675</v>
      </c>
      <c r="AC500" s="442"/>
      <c r="AD500" s="442"/>
      <c r="AE500" s="442"/>
      <c r="AF500" s="442"/>
      <c r="AG500" s="443" t="s">
        <v>591</v>
      </c>
      <c r="AH500" s="442"/>
      <c r="AI500" s="443" t="s">
        <v>591</v>
      </c>
      <c r="AJ500" s="443" t="s">
        <v>945</v>
      </c>
      <c r="AK500" s="442" t="s">
        <v>677</v>
      </c>
      <c r="AL500" s="442"/>
      <c r="AM500" s="442" t="s">
        <v>726</v>
      </c>
      <c r="AN500" s="442" t="s">
        <v>1004</v>
      </c>
      <c r="AO500" s="442" t="s">
        <v>1001</v>
      </c>
      <c r="AP500" s="442" t="s">
        <v>994</v>
      </c>
      <c r="AQ500" s="442" t="s">
        <v>939</v>
      </c>
      <c r="AR500" s="444">
        <v>23760</v>
      </c>
      <c r="AS500" s="442" t="s">
        <v>675</v>
      </c>
      <c r="AT500" s="444">
        <v>0</v>
      </c>
      <c r="AU500" s="442" t="s">
        <v>678</v>
      </c>
      <c r="AV500" s="442" t="s">
        <v>677</v>
      </c>
      <c r="AW500" s="442" t="s">
        <v>676</v>
      </c>
      <c r="AX500" s="442" t="s">
        <v>674</v>
      </c>
      <c r="AY500" s="442"/>
      <c r="AZ500" s="442"/>
      <c r="BA500" s="442" t="s">
        <v>679</v>
      </c>
      <c r="BB500" s="442"/>
      <c r="BC500" s="442"/>
      <c r="BD500" s="442"/>
      <c r="BE500" s="444"/>
      <c r="BF500" s="442" t="s">
        <v>298</v>
      </c>
      <c r="BG500" s="442" t="s">
        <v>680</v>
      </c>
      <c r="BH500" s="442" t="s">
        <v>681</v>
      </c>
      <c r="BI500" s="442"/>
    </row>
    <row r="501" spans="1:61">
      <c r="A501" s="442" t="s">
        <v>1005</v>
      </c>
      <c r="B501" s="442" t="s">
        <v>914</v>
      </c>
      <c r="C501" s="442" t="s">
        <v>915</v>
      </c>
      <c r="D501" s="442" t="s">
        <v>724</v>
      </c>
      <c r="E501" s="442" t="s">
        <v>3</v>
      </c>
      <c r="F501" s="443" t="s">
        <v>71</v>
      </c>
      <c r="G501" s="443" t="s">
        <v>719</v>
      </c>
      <c r="H501" s="444">
        <v>4219509</v>
      </c>
      <c r="I501" s="444">
        <v>3075509</v>
      </c>
      <c r="J501" s="444">
        <v>0</v>
      </c>
      <c r="K501" s="444">
        <v>1144000</v>
      </c>
      <c r="L501" s="444">
        <v>3075509</v>
      </c>
      <c r="M501" s="444">
        <v>0</v>
      </c>
      <c r="N501" s="444">
        <v>1144000</v>
      </c>
      <c r="O501" s="444">
        <v>0</v>
      </c>
      <c r="P501" s="444">
        <v>0</v>
      </c>
      <c r="Q501" s="444">
        <v>0</v>
      </c>
      <c r="R501" s="444">
        <v>0</v>
      </c>
      <c r="S501" s="444">
        <v>0</v>
      </c>
      <c r="T501" s="444">
        <v>0</v>
      </c>
      <c r="U501" s="444">
        <v>0</v>
      </c>
      <c r="V501" s="444">
        <v>0</v>
      </c>
      <c r="W501" s="444">
        <v>0</v>
      </c>
      <c r="X501" s="442" t="s">
        <v>674</v>
      </c>
      <c r="Y501" s="442" t="s">
        <v>675</v>
      </c>
      <c r="Z501" s="442" t="s">
        <v>675</v>
      </c>
      <c r="AA501" s="442" t="s">
        <v>675</v>
      </c>
      <c r="AB501" s="442" t="s">
        <v>675</v>
      </c>
      <c r="AC501" s="442"/>
      <c r="AD501" s="442"/>
      <c r="AE501" s="442"/>
      <c r="AF501" s="442"/>
      <c r="AG501" s="443" t="s">
        <v>1006</v>
      </c>
      <c r="AH501" s="442" t="s">
        <v>1007</v>
      </c>
      <c r="AI501" s="443" t="s">
        <v>1006</v>
      </c>
      <c r="AJ501" s="443" t="s">
        <v>1008</v>
      </c>
      <c r="AK501" s="442" t="s">
        <v>677</v>
      </c>
      <c r="AL501" s="442"/>
      <c r="AM501" s="442" t="s">
        <v>726</v>
      </c>
      <c r="AN501" s="442" t="s">
        <v>1009</v>
      </c>
      <c r="AO501" s="442" t="s">
        <v>1005</v>
      </c>
      <c r="AP501" s="442" t="s">
        <v>1001</v>
      </c>
      <c r="AQ501" s="442" t="s">
        <v>939</v>
      </c>
      <c r="AR501" s="444">
        <v>4219509</v>
      </c>
      <c r="AS501" s="442" t="s">
        <v>675</v>
      </c>
      <c r="AT501" s="444">
        <v>0</v>
      </c>
      <c r="AU501" s="442" t="s">
        <v>678</v>
      </c>
      <c r="AV501" s="442" t="s">
        <v>677</v>
      </c>
      <c r="AW501" s="442" t="s">
        <v>676</v>
      </c>
      <c r="AX501" s="442" t="s">
        <v>674</v>
      </c>
      <c r="AY501" s="442"/>
      <c r="AZ501" s="442"/>
      <c r="BA501" s="442" t="s">
        <v>679</v>
      </c>
      <c r="BB501" s="442"/>
      <c r="BC501" s="442"/>
      <c r="BD501" s="442"/>
      <c r="BE501" s="444"/>
      <c r="BF501" s="442" t="s">
        <v>298</v>
      </c>
      <c r="BG501" s="442" t="s">
        <v>680</v>
      </c>
      <c r="BH501" s="442" t="s">
        <v>681</v>
      </c>
      <c r="BI501" s="442"/>
    </row>
    <row r="502" spans="1:61">
      <c r="A502" s="442" t="s">
        <v>1010</v>
      </c>
      <c r="B502" s="442" t="s">
        <v>1011</v>
      </c>
      <c r="C502" s="442" t="s">
        <v>934</v>
      </c>
      <c r="D502" s="442" t="s">
        <v>724</v>
      </c>
      <c r="E502" s="442" t="s">
        <v>3</v>
      </c>
      <c r="F502" s="443" t="s">
        <v>83</v>
      </c>
      <c r="G502" s="443" t="s">
        <v>700</v>
      </c>
      <c r="H502" s="444">
        <v>140000</v>
      </c>
      <c r="I502" s="444">
        <v>140000</v>
      </c>
      <c r="J502" s="444">
        <v>0</v>
      </c>
      <c r="K502" s="444">
        <v>0</v>
      </c>
      <c r="L502" s="444">
        <v>127273</v>
      </c>
      <c r="M502" s="444">
        <v>0</v>
      </c>
      <c r="N502" s="444">
        <v>0</v>
      </c>
      <c r="O502" s="444">
        <v>12727</v>
      </c>
      <c r="P502" s="444">
        <v>0</v>
      </c>
      <c r="Q502" s="444">
        <v>0</v>
      </c>
      <c r="R502" s="444">
        <v>0</v>
      </c>
      <c r="S502" s="444">
        <v>0</v>
      </c>
      <c r="T502" s="444">
        <v>0</v>
      </c>
      <c r="U502" s="444">
        <v>0</v>
      </c>
      <c r="V502" s="444">
        <v>0</v>
      </c>
      <c r="W502" s="444">
        <v>0</v>
      </c>
      <c r="X502" s="442" t="s">
        <v>674</v>
      </c>
      <c r="Y502" s="442" t="s">
        <v>675</v>
      </c>
      <c r="Z502" s="442" t="s">
        <v>675</v>
      </c>
      <c r="AA502" s="442" t="s">
        <v>675</v>
      </c>
      <c r="AB502" s="442" t="s">
        <v>675</v>
      </c>
      <c r="AC502" s="442"/>
      <c r="AD502" s="442"/>
      <c r="AE502" s="442"/>
      <c r="AF502" s="442"/>
      <c r="AG502" s="443" t="s">
        <v>584</v>
      </c>
      <c r="AH502" s="442"/>
      <c r="AI502" s="443" t="s">
        <v>584</v>
      </c>
      <c r="AJ502" s="443" t="s">
        <v>1012</v>
      </c>
      <c r="AK502" s="442" t="s">
        <v>677</v>
      </c>
      <c r="AL502" s="442"/>
      <c r="AM502" s="442" t="s">
        <v>726</v>
      </c>
      <c r="AN502" s="442" t="s">
        <v>1013</v>
      </c>
      <c r="AO502" s="442" t="s">
        <v>1010</v>
      </c>
      <c r="AP502" s="442" t="s">
        <v>1005</v>
      </c>
      <c r="AQ502" s="442" t="s">
        <v>939</v>
      </c>
      <c r="AR502" s="444">
        <v>140000</v>
      </c>
      <c r="AS502" s="442" t="s">
        <v>675</v>
      </c>
      <c r="AT502" s="444">
        <v>0</v>
      </c>
      <c r="AU502" s="442" t="s">
        <v>678</v>
      </c>
      <c r="AV502" s="442" t="s">
        <v>677</v>
      </c>
      <c r="AW502" s="442" t="s">
        <v>676</v>
      </c>
      <c r="AX502" s="442" t="s">
        <v>674</v>
      </c>
      <c r="AY502" s="442"/>
      <c r="AZ502" s="442"/>
      <c r="BA502" s="442" t="s">
        <v>679</v>
      </c>
      <c r="BB502" s="442"/>
      <c r="BC502" s="442"/>
      <c r="BD502" s="442"/>
      <c r="BE502" s="444"/>
      <c r="BF502" s="442" t="s">
        <v>298</v>
      </c>
      <c r="BG502" s="442" t="s">
        <v>680</v>
      </c>
      <c r="BH502" s="442" t="s">
        <v>681</v>
      </c>
      <c r="BI502" s="442"/>
    </row>
    <row r="503" spans="1:61">
      <c r="A503" s="442" t="s">
        <v>1010</v>
      </c>
      <c r="B503" s="442" t="s">
        <v>1011</v>
      </c>
      <c r="C503" s="442" t="s">
        <v>934</v>
      </c>
      <c r="D503" s="442" t="s">
        <v>724</v>
      </c>
      <c r="E503" s="442" t="s">
        <v>3</v>
      </c>
      <c r="F503" s="443" t="s">
        <v>83</v>
      </c>
      <c r="G503" s="443" t="s">
        <v>700</v>
      </c>
      <c r="H503" s="444">
        <v>230000</v>
      </c>
      <c r="I503" s="444">
        <v>230000</v>
      </c>
      <c r="J503" s="444">
        <v>0</v>
      </c>
      <c r="K503" s="444">
        <v>0</v>
      </c>
      <c r="L503" s="444">
        <v>209091</v>
      </c>
      <c r="M503" s="444">
        <v>0</v>
      </c>
      <c r="N503" s="444">
        <v>0</v>
      </c>
      <c r="O503" s="444">
        <v>20909</v>
      </c>
      <c r="P503" s="444">
        <v>0</v>
      </c>
      <c r="Q503" s="444">
        <v>0</v>
      </c>
      <c r="R503" s="444">
        <v>0</v>
      </c>
      <c r="S503" s="444">
        <v>0</v>
      </c>
      <c r="T503" s="444">
        <v>0</v>
      </c>
      <c r="U503" s="444">
        <v>0</v>
      </c>
      <c r="V503" s="444">
        <v>0</v>
      </c>
      <c r="W503" s="444">
        <v>0</v>
      </c>
      <c r="X503" s="442" t="s">
        <v>674</v>
      </c>
      <c r="Y503" s="442" t="s">
        <v>675</v>
      </c>
      <c r="Z503" s="442" t="s">
        <v>675</v>
      </c>
      <c r="AA503" s="442" t="s">
        <v>675</v>
      </c>
      <c r="AB503" s="442" t="s">
        <v>675</v>
      </c>
      <c r="AC503" s="442"/>
      <c r="AD503" s="442"/>
      <c r="AE503" s="442"/>
      <c r="AF503" s="442"/>
      <c r="AG503" s="443" t="s">
        <v>584</v>
      </c>
      <c r="AH503" s="442"/>
      <c r="AI503" s="443" t="s">
        <v>584</v>
      </c>
      <c r="AJ503" s="443" t="s">
        <v>1012</v>
      </c>
      <c r="AK503" s="442" t="s">
        <v>677</v>
      </c>
      <c r="AL503" s="442"/>
      <c r="AM503" s="442" t="s">
        <v>726</v>
      </c>
      <c r="AN503" s="442" t="s">
        <v>1014</v>
      </c>
      <c r="AO503" s="442" t="s">
        <v>1010</v>
      </c>
      <c r="AP503" s="442" t="s">
        <v>1005</v>
      </c>
      <c r="AQ503" s="442" t="s">
        <v>939</v>
      </c>
      <c r="AR503" s="444">
        <v>230000</v>
      </c>
      <c r="AS503" s="442" t="s">
        <v>675</v>
      </c>
      <c r="AT503" s="444">
        <v>0</v>
      </c>
      <c r="AU503" s="442" t="s">
        <v>678</v>
      </c>
      <c r="AV503" s="442" t="s">
        <v>677</v>
      </c>
      <c r="AW503" s="442" t="s">
        <v>676</v>
      </c>
      <c r="AX503" s="442" t="s">
        <v>674</v>
      </c>
      <c r="AY503" s="442"/>
      <c r="AZ503" s="442"/>
      <c r="BA503" s="442" t="s">
        <v>679</v>
      </c>
      <c r="BB503" s="442"/>
      <c r="BC503" s="442"/>
      <c r="BD503" s="442"/>
      <c r="BE503" s="444"/>
      <c r="BF503" s="442" t="s">
        <v>298</v>
      </c>
      <c r="BG503" s="442" t="s">
        <v>680</v>
      </c>
      <c r="BH503" s="442" t="s">
        <v>681</v>
      </c>
      <c r="BI503" s="442"/>
    </row>
    <row r="504" spans="1:61">
      <c r="A504" s="442" t="s">
        <v>1010</v>
      </c>
      <c r="B504" s="442" t="s">
        <v>1011</v>
      </c>
      <c r="C504" s="442" t="s">
        <v>934</v>
      </c>
      <c r="D504" s="442" t="s">
        <v>724</v>
      </c>
      <c r="E504" s="442" t="s">
        <v>3</v>
      </c>
      <c r="F504" s="443" t="s">
        <v>83</v>
      </c>
      <c r="G504" s="443" t="s">
        <v>700</v>
      </c>
      <c r="H504" s="444">
        <v>230000</v>
      </c>
      <c r="I504" s="444">
        <v>230000</v>
      </c>
      <c r="J504" s="444">
        <v>0</v>
      </c>
      <c r="K504" s="444">
        <v>0</v>
      </c>
      <c r="L504" s="444">
        <v>209091</v>
      </c>
      <c r="M504" s="444">
        <v>0</v>
      </c>
      <c r="N504" s="444">
        <v>0</v>
      </c>
      <c r="O504" s="444">
        <v>20909</v>
      </c>
      <c r="P504" s="444">
        <v>0</v>
      </c>
      <c r="Q504" s="444">
        <v>0</v>
      </c>
      <c r="R504" s="444">
        <v>0</v>
      </c>
      <c r="S504" s="444">
        <v>0</v>
      </c>
      <c r="T504" s="444">
        <v>0</v>
      </c>
      <c r="U504" s="444">
        <v>0</v>
      </c>
      <c r="V504" s="444">
        <v>0</v>
      </c>
      <c r="W504" s="444">
        <v>0</v>
      </c>
      <c r="X504" s="442" t="s">
        <v>674</v>
      </c>
      <c r="Y504" s="442" t="s">
        <v>675</v>
      </c>
      <c r="Z504" s="442" t="s">
        <v>675</v>
      </c>
      <c r="AA504" s="442" t="s">
        <v>675</v>
      </c>
      <c r="AB504" s="442" t="s">
        <v>675</v>
      </c>
      <c r="AC504" s="442"/>
      <c r="AD504" s="442"/>
      <c r="AE504" s="442"/>
      <c r="AF504" s="442"/>
      <c r="AG504" s="443" t="s">
        <v>584</v>
      </c>
      <c r="AH504" s="442"/>
      <c r="AI504" s="443" t="s">
        <v>584</v>
      </c>
      <c r="AJ504" s="443" t="s">
        <v>1012</v>
      </c>
      <c r="AK504" s="442" t="s">
        <v>677</v>
      </c>
      <c r="AL504" s="442"/>
      <c r="AM504" s="442" t="s">
        <v>726</v>
      </c>
      <c r="AN504" s="442" t="s">
        <v>1015</v>
      </c>
      <c r="AO504" s="442" t="s">
        <v>1010</v>
      </c>
      <c r="AP504" s="442" t="s">
        <v>1005</v>
      </c>
      <c r="AQ504" s="442" t="s">
        <v>939</v>
      </c>
      <c r="AR504" s="444">
        <v>230000</v>
      </c>
      <c r="AS504" s="442" t="s">
        <v>675</v>
      </c>
      <c r="AT504" s="444">
        <v>0</v>
      </c>
      <c r="AU504" s="442" t="s">
        <v>678</v>
      </c>
      <c r="AV504" s="442" t="s">
        <v>677</v>
      </c>
      <c r="AW504" s="442" t="s">
        <v>676</v>
      </c>
      <c r="AX504" s="442" t="s">
        <v>674</v>
      </c>
      <c r="AY504" s="442"/>
      <c r="AZ504" s="442"/>
      <c r="BA504" s="442" t="s">
        <v>679</v>
      </c>
      <c r="BB504" s="442"/>
      <c r="BC504" s="442"/>
      <c r="BD504" s="442"/>
      <c r="BE504" s="444"/>
      <c r="BF504" s="442" t="s">
        <v>298</v>
      </c>
      <c r="BG504" s="442" t="s">
        <v>680</v>
      </c>
      <c r="BH504" s="442" t="s">
        <v>681</v>
      </c>
      <c r="BI504" s="442"/>
    </row>
    <row r="505" spans="1:61">
      <c r="A505" s="442" t="s">
        <v>1010</v>
      </c>
      <c r="B505" s="442" t="s">
        <v>1011</v>
      </c>
      <c r="C505" s="442" t="s">
        <v>934</v>
      </c>
      <c r="D505" s="442" t="s">
        <v>724</v>
      </c>
      <c r="E505" s="442" t="s">
        <v>3</v>
      </c>
      <c r="F505" s="443" t="s">
        <v>83</v>
      </c>
      <c r="G505" s="443" t="s">
        <v>700</v>
      </c>
      <c r="H505" s="444">
        <v>140000</v>
      </c>
      <c r="I505" s="444">
        <v>140000</v>
      </c>
      <c r="J505" s="444">
        <v>0</v>
      </c>
      <c r="K505" s="444">
        <v>0</v>
      </c>
      <c r="L505" s="444">
        <v>127273</v>
      </c>
      <c r="M505" s="444">
        <v>0</v>
      </c>
      <c r="N505" s="444">
        <v>0</v>
      </c>
      <c r="O505" s="444">
        <v>12727</v>
      </c>
      <c r="P505" s="444">
        <v>0</v>
      </c>
      <c r="Q505" s="444">
        <v>0</v>
      </c>
      <c r="R505" s="444">
        <v>0</v>
      </c>
      <c r="S505" s="444">
        <v>0</v>
      </c>
      <c r="T505" s="444">
        <v>0</v>
      </c>
      <c r="U505" s="444">
        <v>0</v>
      </c>
      <c r="V505" s="444">
        <v>0</v>
      </c>
      <c r="W505" s="444">
        <v>0</v>
      </c>
      <c r="X505" s="442" t="s">
        <v>674</v>
      </c>
      <c r="Y505" s="442" t="s">
        <v>675</v>
      </c>
      <c r="Z505" s="442" t="s">
        <v>675</v>
      </c>
      <c r="AA505" s="442" t="s">
        <v>675</v>
      </c>
      <c r="AB505" s="442" t="s">
        <v>675</v>
      </c>
      <c r="AC505" s="442"/>
      <c r="AD505" s="442"/>
      <c r="AE505" s="442"/>
      <c r="AF505" s="442"/>
      <c r="AG505" s="443" t="s">
        <v>584</v>
      </c>
      <c r="AH505" s="442"/>
      <c r="AI505" s="443" t="s">
        <v>584</v>
      </c>
      <c r="AJ505" s="443" t="s">
        <v>1012</v>
      </c>
      <c r="AK505" s="442" t="s">
        <v>677</v>
      </c>
      <c r="AL505" s="442"/>
      <c r="AM505" s="442" t="s">
        <v>726</v>
      </c>
      <c r="AN505" s="442" t="s">
        <v>1016</v>
      </c>
      <c r="AO505" s="442" t="s">
        <v>1010</v>
      </c>
      <c r="AP505" s="442" t="s">
        <v>1005</v>
      </c>
      <c r="AQ505" s="442" t="s">
        <v>939</v>
      </c>
      <c r="AR505" s="444">
        <v>140000</v>
      </c>
      <c r="AS505" s="442" t="s">
        <v>675</v>
      </c>
      <c r="AT505" s="444">
        <v>0</v>
      </c>
      <c r="AU505" s="442" t="s">
        <v>678</v>
      </c>
      <c r="AV505" s="442" t="s">
        <v>677</v>
      </c>
      <c r="AW505" s="442" t="s">
        <v>676</v>
      </c>
      <c r="AX505" s="442" t="s">
        <v>674</v>
      </c>
      <c r="AY505" s="442"/>
      <c r="AZ505" s="442"/>
      <c r="BA505" s="442" t="s">
        <v>679</v>
      </c>
      <c r="BB505" s="442"/>
      <c r="BC505" s="442"/>
      <c r="BD505" s="442"/>
      <c r="BE505" s="444"/>
      <c r="BF505" s="442" t="s">
        <v>298</v>
      </c>
      <c r="BG505" s="442" t="s">
        <v>680</v>
      </c>
      <c r="BH505" s="442" t="s">
        <v>681</v>
      </c>
      <c r="BI505" s="442"/>
    </row>
    <row r="506" spans="1:61">
      <c r="A506" s="442" t="s">
        <v>1010</v>
      </c>
      <c r="B506" s="442" t="s">
        <v>1011</v>
      </c>
      <c r="C506" s="442" t="s">
        <v>934</v>
      </c>
      <c r="D506" s="442" t="s">
        <v>724</v>
      </c>
      <c r="E506" s="442" t="s">
        <v>3</v>
      </c>
      <c r="F506" s="443" t="s">
        <v>83</v>
      </c>
      <c r="G506" s="443" t="s">
        <v>700</v>
      </c>
      <c r="H506" s="444">
        <v>140000</v>
      </c>
      <c r="I506" s="444">
        <v>140000</v>
      </c>
      <c r="J506" s="444">
        <v>0</v>
      </c>
      <c r="K506" s="444">
        <v>0</v>
      </c>
      <c r="L506" s="444">
        <v>127273</v>
      </c>
      <c r="M506" s="444">
        <v>0</v>
      </c>
      <c r="N506" s="444">
        <v>0</v>
      </c>
      <c r="O506" s="444">
        <v>12727</v>
      </c>
      <c r="P506" s="444">
        <v>0</v>
      </c>
      <c r="Q506" s="444">
        <v>0</v>
      </c>
      <c r="R506" s="444">
        <v>0</v>
      </c>
      <c r="S506" s="444">
        <v>0</v>
      </c>
      <c r="T506" s="444">
        <v>0</v>
      </c>
      <c r="U506" s="444">
        <v>0</v>
      </c>
      <c r="V506" s="444">
        <v>0</v>
      </c>
      <c r="W506" s="444">
        <v>0</v>
      </c>
      <c r="X506" s="442" t="s">
        <v>674</v>
      </c>
      <c r="Y506" s="442" t="s">
        <v>675</v>
      </c>
      <c r="Z506" s="442" t="s">
        <v>675</v>
      </c>
      <c r="AA506" s="442" t="s">
        <v>675</v>
      </c>
      <c r="AB506" s="442" t="s">
        <v>675</v>
      </c>
      <c r="AC506" s="442"/>
      <c r="AD506" s="442"/>
      <c r="AE506" s="442"/>
      <c r="AF506" s="442"/>
      <c r="AG506" s="443" t="s">
        <v>584</v>
      </c>
      <c r="AH506" s="442"/>
      <c r="AI506" s="443" t="s">
        <v>584</v>
      </c>
      <c r="AJ506" s="443" t="s">
        <v>1012</v>
      </c>
      <c r="AK506" s="442" t="s">
        <v>677</v>
      </c>
      <c r="AL506" s="442"/>
      <c r="AM506" s="442" t="s">
        <v>726</v>
      </c>
      <c r="AN506" s="442" t="s">
        <v>1017</v>
      </c>
      <c r="AO506" s="442" t="s">
        <v>1010</v>
      </c>
      <c r="AP506" s="442" t="s">
        <v>1005</v>
      </c>
      <c r="AQ506" s="442" t="s">
        <v>939</v>
      </c>
      <c r="AR506" s="444">
        <v>140000</v>
      </c>
      <c r="AS506" s="442" t="s">
        <v>675</v>
      </c>
      <c r="AT506" s="444">
        <v>0</v>
      </c>
      <c r="AU506" s="442" t="s">
        <v>678</v>
      </c>
      <c r="AV506" s="442" t="s">
        <v>677</v>
      </c>
      <c r="AW506" s="442" t="s">
        <v>676</v>
      </c>
      <c r="AX506" s="442" t="s">
        <v>674</v>
      </c>
      <c r="AY506" s="442"/>
      <c r="AZ506" s="442"/>
      <c r="BA506" s="442" t="s">
        <v>679</v>
      </c>
      <c r="BB506" s="442"/>
      <c r="BC506" s="442"/>
      <c r="BD506" s="442"/>
      <c r="BE506" s="444"/>
      <c r="BF506" s="442" t="s">
        <v>298</v>
      </c>
      <c r="BG506" s="442" t="s">
        <v>680</v>
      </c>
      <c r="BH506" s="442" t="s">
        <v>681</v>
      </c>
      <c r="BI506" s="442"/>
    </row>
    <row r="507" spans="1:61">
      <c r="A507" s="442" t="s">
        <v>1010</v>
      </c>
      <c r="B507" s="442" t="s">
        <v>1011</v>
      </c>
      <c r="C507" s="442" t="s">
        <v>934</v>
      </c>
      <c r="D507" s="442" t="s">
        <v>724</v>
      </c>
      <c r="E507" s="442" t="s">
        <v>3</v>
      </c>
      <c r="F507" s="443" t="s">
        <v>83</v>
      </c>
      <c r="G507" s="443" t="s">
        <v>700</v>
      </c>
      <c r="H507" s="444">
        <v>140000</v>
      </c>
      <c r="I507" s="444">
        <v>140000</v>
      </c>
      <c r="J507" s="444">
        <v>0</v>
      </c>
      <c r="K507" s="444">
        <v>0</v>
      </c>
      <c r="L507" s="444">
        <v>127273</v>
      </c>
      <c r="M507" s="444">
        <v>0</v>
      </c>
      <c r="N507" s="444">
        <v>0</v>
      </c>
      <c r="O507" s="444">
        <v>12727</v>
      </c>
      <c r="P507" s="444">
        <v>0</v>
      </c>
      <c r="Q507" s="444">
        <v>0</v>
      </c>
      <c r="R507" s="444">
        <v>0</v>
      </c>
      <c r="S507" s="444">
        <v>0</v>
      </c>
      <c r="T507" s="444">
        <v>0</v>
      </c>
      <c r="U507" s="444">
        <v>0</v>
      </c>
      <c r="V507" s="444">
        <v>0</v>
      </c>
      <c r="W507" s="444">
        <v>0</v>
      </c>
      <c r="X507" s="442" t="s">
        <v>674</v>
      </c>
      <c r="Y507" s="442" t="s">
        <v>675</v>
      </c>
      <c r="Z507" s="442" t="s">
        <v>675</v>
      </c>
      <c r="AA507" s="442" t="s">
        <v>675</v>
      </c>
      <c r="AB507" s="442" t="s">
        <v>675</v>
      </c>
      <c r="AC507" s="442"/>
      <c r="AD507" s="442"/>
      <c r="AE507" s="442"/>
      <c r="AF507" s="442"/>
      <c r="AG507" s="443" t="s">
        <v>584</v>
      </c>
      <c r="AH507" s="442"/>
      <c r="AI507" s="443" t="s">
        <v>584</v>
      </c>
      <c r="AJ507" s="443" t="s">
        <v>1012</v>
      </c>
      <c r="AK507" s="442" t="s">
        <v>677</v>
      </c>
      <c r="AL507" s="442"/>
      <c r="AM507" s="442" t="s">
        <v>726</v>
      </c>
      <c r="AN507" s="442" t="s">
        <v>1018</v>
      </c>
      <c r="AO507" s="442" t="s">
        <v>1010</v>
      </c>
      <c r="AP507" s="442" t="s">
        <v>1005</v>
      </c>
      <c r="AQ507" s="442" t="s">
        <v>939</v>
      </c>
      <c r="AR507" s="444">
        <v>140000</v>
      </c>
      <c r="AS507" s="442" t="s">
        <v>675</v>
      </c>
      <c r="AT507" s="444">
        <v>0</v>
      </c>
      <c r="AU507" s="442" t="s">
        <v>678</v>
      </c>
      <c r="AV507" s="442" t="s">
        <v>677</v>
      </c>
      <c r="AW507" s="442" t="s">
        <v>676</v>
      </c>
      <c r="AX507" s="442" t="s">
        <v>674</v>
      </c>
      <c r="AY507" s="442"/>
      <c r="AZ507" s="442"/>
      <c r="BA507" s="442" t="s">
        <v>679</v>
      </c>
      <c r="BB507" s="442"/>
      <c r="BC507" s="442"/>
      <c r="BD507" s="442"/>
      <c r="BE507" s="444"/>
      <c r="BF507" s="442" t="s">
        <v>298</v>
      </c>
      <c r="BG507" s="442" t="s">
        <v>680</v>
      </c>
      <c r="BH507" s="442" t="s">
        <v>681</v>
      </c>
      <c r="BI507" s="442"/>
    </row>
    <row r="508" spans="1:61">
      <c r="A508" s="442" t="s">
        <v>1010</v>
      </c>
      <c r="B508" s="442" t="s">
        <v>1011</v>
      </c>
      <c r="C508" s="442" t="s">
        <v>934</v>
      </c>
      <c r="D508" s="442" t="s">
        <v>724</v>
      </c>
      <c r="E508" s="442" t="s">
        <v>3</v>
      </c>
      <c r="F508" s="443" t="s">
        <v>83</v>
      </c>
      <c r="G508" s="443" t="s">
        <v>700</v>
      </c>
      <c r="H508" s="444">
        <v>140000</v>
      </c>
      <c r="I508" s="444">
        <v>140000</v>
      </c>
      <c r="J508" s="444">
        <v>0</v>
      </c>
      <c r="K508" s="444">
        <v>0</v>
      </c>
      <c r="L508" s="444">
        <v>127273</v>
      </c>
      <c r="M508" s="444">
        <v>0</v>
      </c>
      <c r="N508" s="444">
        <v>0</v>
      </c>
      <c r="O508" s="444">
        <v>12727</v>
      </c>
      <c r="P508" s="444">
        <v>0</v>
      </c>
      <c r="Q508" s="444">
        <v>0</v>
      </c>
      <c r="R508" s="444">
        <v>0</v>
      </c>
      <c r="S508" s="444">
        <v>0</v>
      </c>
      <c r="T508" s="444">
        <v>0</v>
      </c>
      <c r="U508" s="444">
        <v>0</v>
      </c>
      <c r="V508" s="444">
        <v>0</v>
      </c>
      <c r="W508" s="444">
        <v>0</v>
      </c>
      <c r="X508" s="442" t="s">
        <v>674</v>
      </c>
      <c r="Y508" s="442" t="s">
        <v>675</v>
      </c>
      <c r="Z508" s="442" t="s">
        <v>675</v>
      </c>
      <c r="AA508" s="442" t="s">
        <v>675</v>
      </c>
      <c r="AB508" s="442" t="s">
        <v>675</v>
      </c>
      <c r="AC508" s="442"/>
      <c r="AD508" s="442"/>
      <c r="AE508" s="442"/>
      <c r="AF508" s="442"/>
      <c r="AG508" s="443" t="s">
        <v>584</v>
      </c>
      <c r="AH508" s="442"/>
      <c r="AI508" s="443" t="s">
        <v>584</v>
      </c>
      <c r="AJ508" s="443" t="s">
        <v>1012</v>
      </c>
      <c r="AK508" s="442" t="s">
        <v>677</v>
      </c>
      <c r="AL508" s="442"/>
      <c r="AM508" s="442" t="s">
        <v>726</v>
      </c>
      <c r="AN508" s="442" t="s">
        <v>1019</v>
      </c>
      <c r="AO508" s="442" t="s">
        <v>1010</v>
      </c>
      <c r="AP508" s="442" t="s">
        <v>1005</v>
      </c>
      <c r="AQ508" s="442" t="s">
        <v>939</v>
      </c>
      <c r="AR508" s="444">
        <v>140000</v>
      </c>
      <c r="AS508" s="442" t="s">
        <v>675</v>
      </c>
      <c r="AT508" s="444">
        <v>0</v>
      </c>
      <c r="AU508" s="442" t="s">
        <v>678</v>
      </c>
      <c r="AV508" s="442" t="s">
        <v>677</v>
      </c>
      <c r="AW508" s="442" t="s">
        <v>676</v>
      </c>
      <c r="AX508" s="442" t="s">
        <v>674</v>
      </c>
      <c r="AY508" s="442"/>
      <c r="AZ508" s="442"/>
      <c r="BA508" s="442" t="s">
        <v>679</v>
      </c>
      <c r="BB508" s="442"/>
      <c r="BC508" s="442"/>
      <c r="BD508" s="442"/>
      <c r="BE508" s="444"/>
      <c r="BF508" s="442" t="s">
        <v>298</v>
      </c>
      <c r="BG508" s="442" t="s">
        <v>680</v>
      </c>
      <c r="BH508" s="442" t="s">
        <v>681</v>
      </c>
      <c r="BI508" s="442"/>
    </row>
    <row r="509" spans="1:61">
      <c r="A509" s="442" t="s">
        <v>1010</v>
      </c>
      <c r="B509" s="442" t="s">
        <v>1011</v>
      </c>
      <c r="C509" s="442" t="s">
        <v>934</v>
      </c>
      <c r="D509" s="442" t="s">
        <v>724</v>
      </c>
      <c r="E509" s="442" t="s">
        <v>3</v>
      </c>
      <c r="F509" s="443" t="s">
        <v>83</v>
      </c>
      <c r="G509" s="443" t="s">
        <v>700</v>
      </c>
      <c r="H509" s="444">
        <v>140000</v>
      </c>
      <c r="I509" s="444">
        <v>140000</v>
      </c>
      <c r="J509" s="444">
        <v>0</v>
      </c>
      <c r="K509" s="444">
        <v>0</v>
      </c>
      <c r="L509" s="444">
        <v>127273</v>
      </c>
      <c r="M509" s="444">
        <v>0</v>
      </c>
      <c r="N509" s="444">
        <v>0</v>
      </c>
      <c r="O509" s="444">
        <v>12727</v>
      </c>
      <c r="P509" s="444">
        <v>0</v>
      </c>
      <c r="Q509" s="444">
        <v>0</v>
      </c>
      <c r="R509" s="444">
        <v>0</v>
      </c>
      <c r="S509" s="444">
        <v>0</v>
      </c>
      <c r="T509" s="444">
        <v>0</v>
      </c>
      <c r="U509" s="444">
        <v>0</v>
      </c>
      <c r="V509" s="444">
        <v>0</v>
      </c>
      <c r="W509" s="444">
        <v>0</v>
      </c>
      <c r="X509" s="442" t="s">
        <v>674</v>
      </c>
      <c r="Y509" s="442" t="s">
        <v>675</v>
      </c>
      <c r="Z509" s="442" t="s">
        <v>675</v>
      </c>
      <c r="AA509" s="442" t="s">
        <v>675</v>
      </c>
      <c r="AB509" s="442" t="s">
        <v>675</v>
      </c>
      <c r="AC509" s="442"/>
      <c r="AD509" s="442"/>
      <c r="AE509" s="442"/>
      <c r="AF509" s="442"/>
      <c r="AG509" s="443" t="s">
        <v>584</v>
      </c>
      <c r="AH509" s="442"/>
      <c r="AI509" s="443" t="s">
        <v>584</v>
      </c>
      <c r="AJ509" s="443" t="s">
        <v>1012</v>
      </c>
      <c r="AK509" s="442" t="s">
        <v>677</v>
      </c>
      <c r="AL509" s="442"/>
      <c r="AM509" s="442" t="s">
        <v>726</v>
      </c>
      <c r="AN509" s="442" t="s">
        <v>1020</v>
      </c>
      <c r="AO509" s="442" t="s">
        <v>1010</v>
      </c>
      <c r="AP509" s="442" t="s">
        <v>1005</v>
      </c>
      <c r="AQ509" s="442" t="s">
        <v>939</v>
      </c>
      <c r="AR509" s="444">
        <v>140000</v>
      </c>
      <c r="AS509" s="442" t="s">
        <v>675</v>
      </c>
      <c r="AT509" s="444">
        <v>0</v>
      </c>
      <c r="AU509" s="442" t="s">
        <v>678</v>
      </c>
      <c r="AV509" s="442" t="s">
        <v>677</v>
      </c>
      <c r="AW509" s="442" t="s">
        <v>676</v>
      </c>
      <c r="AX509" s="442" t="s">
        <v>674</v>
      </c>
      <c r="AY509" s="442"/>
      <c r="AZ509" s="442"/>
      <c r="BA509" s="442" t="s">
        <v>679</v>
      </c>
      <c r="BB509" s="442"/>
      <c r="BC509" s="442"/>
      <c r="BD509" s="442"/>
      <c r="BE509" s="444"/>
      <c r="BF509" s="442" t="s">
        <v>298</v>
      </c>
      <c r="BG509" s="442" t="s">
        <v>680</v>
      </c>
      <c r="BH509" s="442" t="s">
        <v>681</v>
      </c>
      <c r="BI509" s="442"/>
    </row>
    <row r="510" spans="1:61">
      <c r="A510" s="442" t="s">
        <v>1010</v>
      </c>
      <c r="B510" s="442" t="s">
        <v>1011</v>
      </c>
      <c r="C510" s="442" t="s">
        <v>934</v>
      </c>
      <c r="D510" s="442" t="s">
        <v>724</v>
      </c>
      <c r="E510" s="442" t="s">
        <v>3</v>
      </c>
      <c r="F510" s="443" t="s">
        <v>83</v>
      </c>
      <c r="G510" s="443" t="s">
        <v>700</v>
      </c>
      <c r="H510" s="444">
        <v>140000</v>
      </c>
      <c r="I510" s="444">
        <v>140000</v>
      </c>
      <c r="J510" s="444">
        <v>0</v>
      </c>
      <c r="K510" s="444">
        <v>0</v>
      </c>
      <c r="L510" s="444">
        <v>127273</v>
      </c>
      <c r="M510" s="444">
        <v>0</v>
      </c>
      <c r="N510" s="444">
        <v>0</v>
      </c>
      <c r="O510" s="444">
        <v>12727</v>
      </c>
      <c r="P510" s="444">
        <v>0</v>
      </c>
      <c r="Q510" s="444">
        <v>0</v>
      </c>
      <c r="R510" s="444">
        <v>0</v>
      </c>
      <c r="S510" s="444">
        <v>0</v>
      </c>
      <c r="T510" s="444">
        <v>0</v>
      </c>
      <c r="U510" s="444">
        <v>0</v>
      </c>
      <c r="V510" s="444">
        <v>0</v>
      </c>
      <c r="W510" s="444">
        <v>0</v>
      </c>
      <c r="X510" s="442" t="s">
        <v>674</v>
      </c>
      <c r="Y510" s="442" t="s">
        <v>675</v>
      </c>
      <c r="Z510" s="442" t="s">
        <v>675</v>
      </c>
      <c r="AA510" s="442" t="s">
        <v>675</v>
      </c>
      <c r="AB510" s="442" t="s">
        <v>675</v>
      </c>
      <c r="AC510" s="442"/>
      <c r="AD510" s="442"/>
      <c r="AE510" s="442"/>
      <c r="AF510" s="442"/>
      <c r="AG510" s="443" t="s">
        <v>584</v>
      </c>
      <c r="AH510" s="442"/>
      <c r="AI510" s="443" t="s">
        <v>584</v>
      </c>
      <c r="AJ510" s="443" t="s">
        <v>1012</v>
      </c>
      <c r="AK510" s="442" t="s">
        <v>677</v>
      </c>
      <c r="AL510" s="442"/>
      <c r="AM510" s="442" t="s">
        <v>726</v>
      </c>
      <c r="AN510" s="442" t="s">
        <v>1021</v>
      </c>
      <c r="AO510" s="442" t="s">
        <v>1010</v>
      </c>
      <c r="AP510" s="442" t="s">
        <v>1005</v>
      </c>
      <c r="AQ510" s="442" t="s">
        <v>939</v>
      </c>
      <c r="AR510" s="444">
        <v>140000</v>
      </c>
      <c r="AS510" s="442" t="s">
        <v>675</v>
      </c>
      <c r="AT510" s="444">
        <v>0</v>
      </c>
      <c r="AU510" s="442" t="s">
        <v>678</v>
      </c>
      <c r="AV510" s="442" t="s">
        <v>677</v>
      </c>
      <c r="AW510" s="442" t="s">
        <v>676</v>
      </c>
      <c r="AX510" s="442" t="s">
        <v>674</v>
      </c>
      <c r="AY510" s="442"/>
      <c r="AZ510" s="442"/>
      <c r="BA510" s="442" t="s">
        <v>679</v>
      </c>
      <c r="BB510" s="442"/>
      <c r="BC510" s="442"/>
      <c r="BD510" s="442"/>
      <c r="BE510" s="444"/>
      <c r="BF510" s="442" t="s">
        <v>298</v>
      </c>
      <c r="BG510" s="442" t="s">
        <v>680</v>
      </c>
      <c r="BH510" s="442" t="s">
        <v>681</v>
      </c>
      <c r="BI510" s="442"/>
    </row>
    <row r="511" spans="1:61">
      <c r="A511" s="442" t="s">
        <v>1010</v>
      </c>
      <c r="B511" s="442" t="s">
        <v>1011</v>
      </c>
      <c r="C511" s="442" t="s">
        <v>934</v>
      </c>
      <c r="D511" s="442" t="s">
        <v>724</v>
      </c>
      <c r="E511" s="442" t="s">
        <v>3</v>
      </c>
      <c r="F511" s="443" t="s">
        <v>83</v>
      </c>
      <c r="G511" s="443" t="s">
        <v>700</v>
      </c>
      <c r="H511" s="444">
        <v>140000</v>
      </c>
      <c r="I511" s="444">
        <v>140000</v>
      </c>
      <c r="J511" s="444">
        <v>0</v>
      </c>
      <c r="K511" s="444">
        <v>0</v>
      </c>
      <c r="L511" s="444">
        <v>127273</v>
      </c>
      <c r="M511" s="444">
        <v>0</v>
      </c>
      <c r="N511" s="444">
        <v>0</v>
      </c>
      <c r="O511" s="444">
        <v>12727</v>
      </c>
      <c r="P511" s="444">
        <v>0</v>
      </c>
      <c r="Q511" s="444">
        <v>0</v>
      </c>
      <c r="R511" s="444">
        <v>0</v>
      </c>
      <c r="S511" s="444">
        <v>0</v>
      </c>
      <c r="T511" s="444">
        <v>0</v>
      </c>
      <c r="U511" s="444">
        <v>0</v>
      </c>
      <c r="V511" s="444">
        <v>0</v>
      </c>
      <c r="W511" s="444">
        <v>0</v>
      </c>
      <c r="X511" s="442" t="s">
        <v>674</v>
      </c>
      <c r="Y511" s="442" t="s">
        <v>675</v>
      </c>
      <c r="Z511" s="442" t="s">
        <v>675</v>
      </c>
      <c r="AA511" s="442" t="s">
        <v>675</v>
      </c>
      <c r="AB511" s="442" t="s">
        <v>675</v>
      </c>
      <c r="AC511" s="442"/>
      <c r="AD511" s="442"/>
      <c r="AE511" s="442"/>
      <c r="AF511" s="442"/>
      <c r="AG511" s="443" t="s">
        <v>584</v>
      </c>
      <c r="AH511" s="442"/>
      <c r="AI511" s="443" t="s">
        <v>584</v>
      </c>
      <c r="AJ511" s="443" t="s">
        <v>1012</v>
      </c>
      <c r="AK511" s="442" t="s">
        <v>677</v>
      </c>
      <c r="AL511" s="442"/>
      <c r="AM511" s="442" t="s">
        <v>726</v>
      </c>
      <c r="AN511" s="442" t="s">
        <v>1022</v>
      </c>
      <c r="AO511" s="442" t="s">
        <v>1010</v>
      </c>
      <c r="AP511" s="442" t="s">
        <v>1005</v>
      </c>
      <c r="AQ511" s="442" t="s">
        <v>939</v>
      </c>
      <c r="AR511" s="444">
        <v>140000</v>
      </c>
      <c r="AS511" s="442" t="s">
        <v>675</v>
      </c>
      <c r="AT511" s="444">
        <v>0</v>
      </c>
      <c r="AU511" s="442" t="s">
        <v>678</v>
      </c>
      <c r="AV511" s="442" t="s">
        <v>677</v>
      </c>
      <c r="AW511" s="442" t="s">
        <v>676</v>
      </c>
      <c r="AX511" s="442" t="s">
        <v>674</v>
      </c>
      <c r="AY511" s="442"/>
      <c r="AZ511" s="442"/>
      <c r="BA511" s="442" t="s">
        <v>679</v>
      </c>
      <c r="BB511" s="442"/>
      <c r="BC511" s="442"/>
      <c r="BD511" s="442"/>
      <c r="BE511" s="444"/>
      <c r="BF511" s="442" t="s">
        <v>298</v>
      </c>
      <c r="BG511" s="442" t="s">
        <v>680</v>
      </c>
      <c r="BH511" s="442" t="s">
        <v>681</v>
      </c>
      <c r="BI511" s="442"/>
    </row>
    <row r="512" spans="1:61">
      <c r="A512" s="442" t="s">
        <v>1010</v>
      </c>
      <c r="B512" s="442" t="s">
        <v>1011</v>
      </c>
      <c r="C512" s="442" t="s">
        <v>934</v>
      </c>
      <c r="D512" s="442" t="s">
        <v>724</v>
      </c>
      <c r="E512" s="442" t="s">
        <v>3</v>
      </c>
      <c r="F512" s="443" t="s">
        <v>83</v>
      </c>
      <c r="G512" s="443" t="s">
        <v>700</v>
      </c>
      <c r="H512" s="444">
        <v>140000</v>
      </c>
      <c r="I512" s="444">
        <v>140000</v>
      </c>
      <c r="J512" s="444">
        <v>0</v>
      </c>
      <c r="K512" s="444">
        <v>0</v>
      </c>
      <c r="L512" s="444">
        <v>127273</v>
      </c>
      <c r="M512" s="444">
        <v>0</v>
      </c>
      <c r="N512" s="444">
        <v>0</v>
      </c>
      <c r="O512" s="444">
        <v>12727</v>
      </c>
      <c r="P512" s="444">
        <v>0</v>
      </c>
      <c r="Q512" s="444">
        <v>0</v>
      </c>
      <c r="R512" s="444">
        <v>0</v>
      </c>
      <c r="S512" s="444">
        <v>0</v>
      </c>
      <c r="T512" s="444">
        <v>0</v>
      </c>
      <c r="U512" s="444">
        <v>0</v>
      </c>
      <c r="V512" s="444">
        <v>0</v>
      </c>
      <c r="W512" s="444">
        <v>0</v>
      </c>
      <c r="X512" s="442" t="s">
        <v>674</v>
      </c>
      <c r="Y512" s="442" t="s">
        <v>675</v>
      </c>
      <c r="Z512" s="442" t="s">
        <v>675</v>
      </c>
      <c r="AA512" s="442" t="s">
        <v>675</v>
      </c>
      <c r="AB512" s="442" t="s">
        <v>675</v>
      </c>
      <c r="AC512" s="442"/>
      <c r="AD512" s="442"/>
      <c r="AE512" s="442"/>
      <c r="AF512" s="442"/>
      <c r="AG512" s="443" t="s">
        <v>584</v>
      </c>
      <c r="AH512" s="442"/>
      <c r="AI512" s="443" t="s">
        <v>584</v>
      </c>
      <c r="AJ512" s="443" t="s">
        <v>1012</v>
      </c>
      <c r="AK512" s="442" t="s">
        <v>677</v>
      </c>
      <c r="AL512" s="442"/>
      <c r="AM512" s="442" t="s">
        <v>726</v>
      </c>
      <c r="AN512" s="442" t="s">
        <v>1023</v>
      </c>
      <c r="AO512" s="442" t="s">
        <v>1010</v>
      </c>
      <c r="AP512" s="442" t="s">
        <v>1005</v>
      </c>
      <c r="AQ512" s="442" t="s">
        <v>939</v>
      </c>
      <c r="AR512" s="444">
        <v>140000</v>
      </c>
      <c r="AS512" s="442" t="s">
        <v>675</v>
      </c>
      <c r="AT512" s="444">
        <v>0</v>
      </c>
      <c r="AU512" s="442" t="s">
        <v>678</v>
      </c>
      <c r="AV512" s="442" t="s">
        <v>677</v>
      </c>
      <c r="AW512" s="442" t="s">
        <v>676</v>
      </c>
      <c r="AX512" s="442" t="s">
        <v>674</v>
      </c>
      <c r="AY512" s="442"/>
      <c r="AZ512" s="442"/>
      <c r="BA512" s="442" t="s">
        <v>679</v>
      </c>
      <c r="BB512" s="442"/>
      <c r="BC512" s="442"/>
      <c r="BD512" s="442"/>
      <c r="BE512" s="444"/>
      <c r="BF512" s="442" t="s">
        <v>298</v>
      </c>
      <c r="BG512" s="442" t="s">
        <v>680</v>
      </c>
      <c r="BH512" s="442" t="s">
        <v>681</v>
      </c>
      <c r="BI512" s="442"/>
    </row>
    <row r="513" spans="1:61">
      <c r="A513" s="442" t="s">
        <v>1010</v>
      </c>
      <c r="B513" s="442" t="s">
        <v>1011</v>
      </c>
      <c r="C513" s="442" t="s">
        <v>934</v>
      </c>
      <c r="D513" s="442" t="s">
        <v>724</v>
      </c>
      <c r="E513" s="442" t="s">
        <v>3</v>
      </c>
      <c r="F513" s="443" t="s">
        <v>83</v>
      </c>
      <c r="G513" s="443" t="s">
        <v>700</v>
      </c>
      <c r="H513" s="444">
        <v>140000</v>
      </c>
      <c r="I513" s="444">
        <v>140000</v>
      </c>
      <c r="J513" s="444">
        <v>0</v>
      </c>
      <c r="K513" s="444">
        <v>0</v>
      </c>
      <c r="L513" s="444">
        <v>127273</v>
      </c>
      <c r="M513" s="444">
        <v>0</v>
      </c>
      <c r="N513" s="444">
        <v>0</v>
      </c>
      <c r="O513" s="444">
        <v>12727</v>
      </c>
      <c r="P513" s="444">
        <v>0</v>
      </c>
      <c r="Q513" s="444">
        <v>0</v>
      </c>
      <c r="R513" s="444">
        <v>0</v>
      </c>
      <c r="S513" s="444">
        <v>0</v>
      </c>
      <c r="T513" s="444">
        <v>0</v>
      </c>
      <c r="U513" s="444">
        <v>0</v>
      </c>
      <c r="V513" s="444">
        <v>0</v>
      </c>
      <c r="W513" s="444">
        <v>0</v>
      </c>
      <c r="X513" s="442" t="s">
        <v>674</v>
      </c>
      <c r="Y513" s="442" t="s">
        <v>675</v>
      </c>
      <c r="Z513" s="442" t="s">
        <v>675</v>
      </c>
      <c r="AA513" s="442" t="s">
        <v>675</v>
      </c>
      <c r="AB513" s="442" t="s">
        <v>675</v>
      </c>
      <c r="AC513" s="442"/>
      <c r="AD513" s="442"/>
      <c r="AE513" s="442"/>
      <c r="AF513" s="442"/>
      <c r="AG513" s="443" t="s">
        <v>584</v>
      </c>
      <c r="AH513" s="442"/>
      <c r="AI513" s="443" t="s">
        <v>584</v>
      </c>
      <c r="AJ513" s="443" t="s">
        <v>1012</v>
      </c>
      <c r="AK513" s="442" t="s">
        <v>677</v>
      </c>
      <c r="AL513" s="442"/>
      <c r="AM513" s="442" t="s">
        <v>726</v>
      </c>
      <c r="AN513" s="442" t="s">
        <v>1024</v>
      </c>
      <c r="AO513" s="442" t="s">
        <v>1010</v>
      </c>
      <c r="AP513" s="442" t="s">
        <v>1005</v>
      </c>
      <c r="AQ513" s="442" t="s">
        <v>939</v>
      </c>
      <c r="AR513" s="444">
        <v>140000</v>
      </c>
      <c r="AS513" s="442" t="s">
        <v>675</v>
      </c>
      <c r="AT513" s="444">
        <v>0</v>
      </c>
      <c r="AU513" s="442" t="s">
        <v>678</v>
      </c>
      <c r="AV513" s="442" t="s">
        <v>677</v>
      </c>
      <c r="AW513" s="442" t="s">
        <v>676</v>
      </c>
      <c r="AX513" s="442" t="s">
        <v>674</v>
      </c>
      <c r="AY513" s="442"/>
      <c r="AZ513" s="442"/>
      <c r="BA513" s="442" t="s">
        <v>679</v>
      </c>
      <c r="BB513" s="442"/>
      <c r="BC513" s="442"/>
      <c r="BD513" s="442"/>
      <c r="BE513" s="444"/>
      <c r="BF513" s="442" t="s">
        <v>298</v>
      </c>
      <c r="BG513" s="442" t="s">
        <v>680</v>
      </c>
      <c r="BH513" s="442" t="s">
        <v>681</v>
      </c>
      <c r="BI513" s="442"/>
    </row>
    <row r="514" spans="1:61">
      <c r="A514" s="442" t="s">
        <v>1010</v>
      </c>
      <c r="B514" s="442" t="s">
        <v>1011</v>
      </c>
      <c r="C514" s="442" t="s">
        <v>934</v>
      </c>
      <c r="D514" s="442" t="s">
        <v>724</v>
      </c>
      <c r="E514" s="442" t="s">
        <v>3</v>
      </c>
      <c r="F514" s="443" t="s">
        <v>83</v>
      </c>
      <c r="G514" s="443" t="s">
        <v>700</v>
      </c>
      <c r="H514" s="444">
        <v>140000</v>
      </c>
      <c r="I514" s="444">
        <v>140000</v>
      </c>
      <c r="J514" s="444">
        <v>0</v>
      </c>
      <c r="K514" s="444">
        <v>0</v>
      </c>
      <c r="L514" s="444">
        <v>127273</v>
      </c>
      <c r="M514" s="444">
        <v>0</v>
      </c>
      <c r="N514" s="444">
        <v>0</v>
      </c>
      <c r="O514" s="444">
        <v>12727</v>
      </c>
      <c r="P514" s="444">
        <v>0</v>
      </c>
      <c r="Q514" s="444">
        <v>0</v>
      </c>
      <c r="R514" s="444">
        <v>0</v>
      </c>
      <c r="S514" s="444">
        <v>0</v>
      </c>
      <c r="T514" s="444">
        <v>0</v>
      </c>
      <c r="U514" s="444">
        <v>0</v>
      </c>
      <c r="V514" s="444">
        <v>0</v>
      </c>
      <c r="W514" s="444">
        <v>0</v>
      </c>
      <c r="X514" s="442" t="s">
        <v>674</v>
      </c>
      <c r="Y514" s="442" t="s">
        <v>675</v>
      </c>
      <c r="Z514" s="442" t="s">
        <v>675</v>
      </c>
      <c r="AA514" s="442" t="s">
        <v>675</v>
      </c>
      <c r="AB514" s="442" t="s">
        <v>675</v>
      </c>
      <c r="AC514" s="442"/>
      <c r="AD514" s="442"/>
      <c r="AE514" s="442"/>
      <c r="AF514" s="442"/>
      <c r="AG514" s="443" t="s">
        <v>584</v>
      </c>
      <c r="AH514" s="442"/>
      <c r="AI514" s="443" t="s">
        <v>584</v>
      </c>
      <c r="AJ514" s="443" t="s">
        <v>1012</v>
      </c>
      <c r="AK514" s="442" t="s">
        <v>677</v>
      </c>
      <c r="AL514" s="442"/>
      <c r="AM514" s="442" t="s">
        <v>726</v>
      </c>
      <c r="AN514" s="442" t="s">
        <v>1025</v>
      </c>
      <c r="AO514" s="442" t="s">
        <v>1010</v>
      </c>
      <c r="AP514" s="442" t="s">
        <v>1005</v>
      </c>
      <c r="AQ514" s="442" t="s">
        <v>939</v>
      </c>
      <c r="AR514" s="444">
        <v>140000</v>
      </c>
      <c r="AS514" s="442" t="s">
        <v>675</v>
      </c>
      <c r="AT514" s="444">
        <v>0</v>
      </c>
      <c r="AU514" s="442" t="s">
        <v>678</v>
      </c>
      <c r="AV514" s="442" t="s">
        <v>677</v>
      </c>
      <c r="AW514" s="442" t="s">
        <v>676</v>
      </c>
      <c r="AX514" s="442" t="s">
        <v>674</v>
      </c>
      <c r="AY514" s="442"/>
      <c r="AZ514" s="442"/>
      <c r="BA514" s="442" t="s">
        <v>679</v>
      </c>
      <c r="BB514" s="442"/>
      <c r="BC514" s="442"/>
      <c r="BD514" s="442"/>
      <c r="BE514" s="444"/>
      <c r="BF514" s="442" t="s">
        <v>298</v>
      </c>
      <c r="BG514" s="442" t="s">
        <v>680</v>
      </c>
      <c r="BH514" s="442" t="s">
        <v>681</v>
      </c>
      <c r="BI514" s="442"/>
    </row>
    <row r="515" spans="1:61">
      <c r="A515" s="442" t="s">
        <v>1010</v>
      </c>
      <c r="B515" s="442" t="s">
        <v>1011</v>
      </c>
      <c r="C515" s="442" t="s">
        <v>934</v>
      </c>
      <c r="D515" s="442" t="s">
        <v>724</v>
      </c>
      <c r="E515" s="442" t="s">
        <v>3</v>
      </c>
      <c r="F515" s="443" t="s">
        <v>83</v>
      </c>
      <c r="G515" s="443" t="s">
        <v>700</v>
      </c>
      <c r="H515" s="444">
        <v>140000</v>
      </c>
      <c r="I515" s="444">
        <v>140000</v>
      </c>
      <c r="J515" s="444">
        <v>0</v>
      </c>
      <c r="K515" s="444">
        <v>0</v>
      </c>
      <c r="L515" s="444">
        <v>127273</v>
      </c>
      <c r="M515" s="444">
        <v>0</v>
      </c>
      <c r="N515" s="444">
        <v>0</v>
      </c>
      <c r="O515" s="444">
        <v>12727</v>
      </c>
      <c r="P515" s="444">
        <v>0</v>
      </c>
      <c r="Q515" s="444">
        <v>0</v>
      </c>
      <c r="R515" s="444">
        <v>0</v>
      </c>
      <c r="S515" s="444">
        <v>0</v>
      </c>
      <c r="T515" s="444">
        <v>0</v>
      </c>
      <c r="U515" s="444">
        <v>0</v>
      </c>
      <c r="V515" s="444">
        <v>0</v>
      </c>
      <c r="W515" s="444">
        <v>0</v>
      </c>
      <c r="X515" s="442" t="s">
        <v>674</v>
      </c>
      <c r="Y515" s="442" t="s">
        <v>675</v>
      </c>
      <c r="Z515" s="442" t="s">
        <v>675</v>
      </c>
      <c r="AA515" s="442" t="s">
        <v>675</v>
      </c>
      <c r="AB515" s="442" t="s">
        <v>675</v>
      </c>
      <c r="AC515" s="442"/>
      <c r="AD515" s="442"/>
      <c r="AE515" s="442"/>
      <c r="AF515" s="442"/>
      <c r="AG515" s="443" t="s">
        <v>584</v>
      </c>
      <c r="AH515" s="442"/>
      <c r="AI515" s="443" t="s">
        <v>584</v>
      </c>
      <c r="AJ515" s="443" t="s">
        <v>1012</v>
      </c>
      <c r="AK515" s="442" t="s">
        <v>677</v>
      </c>
      <c r="AL515" s="442"/>
      <c r="AM515" s="442" t="s">
        <v>726</v>
      </c>
      <c r="AN515" s="442" t="s">
        <v>1026</v>
      </c>
      <c r="AO515" s="442" t="s">
        <v>1010</v>
      </c>
      <c r="AP515" s="442" t="s">
        <v>1005</v>
      </c>
      <c r="AQ515" s="442" t="s">
        <v>939</v>
      </c>
      <c r="AR515" s="444">
        <v>140000</v>
      </c>
      <c r="AS515" s="442" t="s">
        <v>675</v>
      </c>
      <c r="AT515" s="444">
        <v>0</v>
      </c>
      <c r="AU515" s="442" t="s">
        <v>678</v>
      </c>
      <c r="AV515" s="442" t="s">
        <v>677</v>
      </c>
      <c r="AW515" s="442" t="s">
        <v>676</v>
      </c>
      <c r="AX515" s="442" t="s">
        <v>674</v>
      </c>
      <c r="AY515" s="442"/>
      <c r="AZ515" s="442"/>
      <c r="BA515" s="442" t="s">
        <v>679</v>
      </c>
      <c r="BB515" s="442"/>
      <c r="BC515" s="442"/>
      <c r="BD515" s="442"/>
      <c r="BE515" s="444"/>
      <c r="BF515" s="442" t="s">
        <v>298</v>
      </c>
      <c r="BG515" s="442" t="s">
        <v>680</v>
      </c>
      <c r="BH515" s="442" t="s">
        <v>681</v>
      </c>
      <c r="BI515" s="442"/>
    </row>
    <row r="516" spans="1:61">
      <c r="A516" s="442" t="s">
        <v>1010</v>
      </c>
      <c r="B516" s="442" t="s">
        <v>1011</v>
      </c>
      <c r="C516" s="442" t="s">
        <v>934</v>
      </c>
      <c r="D516" s="442" t="s">
        <v>724</v>
      </c>
      <c r="E516" s="442" t="s">
        <v>3</v>
      </c>
      <c r="F516" s="443" t="s">
        <v>83</v>
      </c>
      <c r="G516" s="443" t="s">
        <v>700</v>
      </c>
      <c r="H516" s="444">
        <v>140000</v>
      </c>
      <c r="I516" s="444">
        <v>140000</v>
      </c>
      <c r="J516" s="444">
        <v>0</v>
      </c>
      <c r="K516" s="444">
        <v>0</v>
      </c>
      <c r="L516" s="444">
        <v>127273</v>
      </c>
      <c r="M516" s="444">
        <v>0</v>
      </c>
      <c r="N516" s="444">
        <v>0</v>
      </c>
      <c r="O516" s="444">
        <v>12727</v>
      </c>
      <c r="P516" s="444">
        <v>0</v>
      </c>
      <c r="Q516" s="444">
        <v>0</v>
      </c>
      <c r="R516" s="444">
        <v>0</v>
      </c>
      <c r="S516" s="444">
        <v>0</v>
      </c>
      <c r="T516" s="444">
        <v>0</v>
      </c>
      <c r="U516" s="444">
        <v>0</v>
      </c>
      <c r="V516" s="444">
        <v>0</v>
      </c>
      <c r="W516" s="444">
        <v>0</v>
      </c>
      <c r="X516" s="442" t="s">
        <v>674</v>
      </c>
      <c r="Y516" s="442" t="s">
        <v>675</v>
      </c>
      <c r="Z516" s="442" t="s">
        <v>675</v>
      </c>
      <c r="AA516" s="442" t="s">
        <v>675</v>
      </c>
      <c r="AB516" s="442" t="s">
        <v>675</v>
      </c>
      <c r="AC516" s="442"/>
      <c r="AD516" s="442"/>
      <c r="AE516" s="442"/>
      <c r="AF516" s="442"/>
      <c r="AG516" s="443" t="s">
        <v>584</v>
      </c>
      <c r="AH516" s="442"/>
      <c r="AI516" s="443" t="s">
        <v>584</v>
      </c>
      <c r="AJ516" s="443" t="s">
        <v>1012</v>
      </c>
      <c r="AK516" s="442" t="s">
        <v>677</v>
      </c>
      <c r="AL516" s="442"/>
      <c r="AM516" s="442" t="s">
        <v>726</v>
      </c>
      <c r="AN516" s="442" t="s">
        <v>1027</v>
      </c>
      <c r="AO516" s="442" t="s">
        <v>1010</v>
      </c>
      <c r="AP516" s="442" t="s">
        <v>1005</v>
      </c>
      <c r="AQ516" s="442" t="s">
        <v>939</v>
      </c>
      <c r="AR516" s="444">
        <v>140000</v>
      </c>
      <c r="AS516" s="442" t="s">
        <v>675</v>
      </c>
      <c r="AT516" s="444">
        <v>0</v>
      </c>
      <c r="AU516" s="442" t="s">
        <v>678</v>
      </c>
      <c r="AV516" s="442" t="s">
        <v>677</v>
      </c>
      <c r="AW516" s="442" t="s">
        <v>676</v>
      </c>
      <c r="AX516" s="442" t="s">
        <v>674</v>
      </c>
      <c r="AY516" s="442"/>
      <c r="AZ516" s="442"/>
      <c r="BA516" s="442" t="s">
        <v>679</v>
      </c>
      <c r="BB516" s="442"/>
      <c r="BC516" s="442"/>
      <c r="BD516" s="442"/>
      <c r="BE516" s="444"/>
      <c r="BF516" s="442" t="s">
        <v>298</v>
      </c>
      <c r="BG516" s="442" t="s">
        <v>680</v>
      </c>
      <c r="BH516" s="442" t="s">
        <v>681</v>
      </c>
      <c r="BI516" s="442"/>
    </row>
    <row r="517" spans="1:61">
      <c r="A517" s="442" t="s">
        <v>1010</v>
      </c>
      <c r="B517" s="442" t="s">
        <v>1011</v>
      </c>
      <c r="C517" s="442" t="s">
        <v>934</v>
      </c>
      <c r="D517" s="442" t="s">
        <v>724</v>
      </c>
      <c r="E517" s="442" t="s">
        <v>3</v>
      </c>
      <c r="F517" s="443" t="s">
        <v>83</v>
      </c>
      <c r="G517" s="443" t="s">
        <v>700</v>
      </c>
      <c r="H517" s="444">
        <v>140000</v>
      </c>
      <c r="I517" s="444">
        <v>140000</v>
      </c>
      <c r="J517" s="444">
        <v>0</v>
      </c>
      <c r="K517" s="444">
        <v>0</v>
      </c>
      <c r="L517" s="444">
        <v>127273</v>
      </c>
      <c r="M517" s="444">
        <v>0</v>
      </c>
      <c r="N517" s="444">
        <v>0</v>
      </c>
      <c r="O517" s="444">
        <v>12727</v>
      </c>
      <c r="P517" s="444">
        <v>0</v>
      </c>
      <c r="Q517" s="444">
        <v>0</v>
      </c>
      <c r="R517" s="444">
        <v>0</v>
      </c>
      <c r="S517" s="444">
        <v>0</v>
      </c>
      <c r="T517" s="444">
        <v>0</v>
      </c>
      <c r="U517" s="444">
        <v>0</v>
      </c>
      <c r="V517" s="444">
        <v>0</v>
      </c>
      <c r="W517" s="444">
        <v>0</v>
      </c>
      <c r="X517" s="442" t="s">
        <v>674</v>
      </c>
      <c r="Y517" s="442" t="s">
        <v>675</v>
      </c>
      <c r="Z517" s="442" t="s">
        <v>675</v>
      </c>
      <c r="AA517" s="442" t="s">
        <v>675</v>
      </c>
      <c r="AB517" s="442" t="s">
        <v>675</v>
      </c>
      <c r="AC517" s="442"/>
      <c r="AD517" s="442"/>
      <c r="AE517" s="442"/>
      <c r="AF517" s="442"/>
      <c r="AG517" s="443" t="s">
        <v>584</v>
      </c>
      <c r="AH517" s="442"/>
      <c r="AI517" s="443" t="s">
        <v>584</v>
      </c>
      <c r="AJ517" s="443" t="s">
        <v>1012</v>
      </c>
      <c r="AK517" s="442" t="s">
        <v>677</v>
      </c>
      <c r="AL517" s="442"/>
      <c r="AM517" s="442" t="s">
        <v>726</v>
      </c>
      <c r="AN517" s="442" t="s">
        <v>1028</v>
      </c>
      <c r="AO517" s="442" t="s">
        <v>1010</v>
      </c>
      <c r="AP517" s="442" t="s">
        <v>1005</v>
      </c>
      <c r="AQ517" s="442" t="s">
        <v>939</v>
      </c>
      <c r="AR517" s="444">
        <v>140000</v>
      </c>
      <c r="AS517" s="442" t="s">
        <v>675</v>
      </c>
      <c r="AT517" s="444">
        <v>0</v>
      </c>
      <c r="AU517" s="442" t="s">
        <v>678</v>
      </c>
      <c r="AV517" s="442" t="s">
        <v>677</v>
      </c>
      <c r="AW517" s="442" t="s">
        <v>676</v>
      </c>
      <c r="AX517" s="442" t="s">
        <v>674</v>
      </c>
      <c r="AY517" s="442"/>
      <c r="AZ517" s="442"/>
      <c r="BA517" s="442" t="s">
        <v>679</v>
      </c>
      <c r="BB517" s="442"/>
      <c r="BC517" s="442"/>
      <c r="BD517" s="442"/>
      <c r="BE517" s="444"/>
      <c r="BF517" s="442" t="s">
        <v>298</v>
      </c>
      <c r="BG517" s="442" t="s">
        <v>680</v>
      </c>
      <c r="BH517" s="442" t="s">
        <v>681</v>
      </c>
      <c r="BI517" s="442"/>
    </row>
    <row r="518" spans="1:61">
      <c r="A518" s="442" t="s">
        <v>1010</v>
      </c>
      <c r="B518" s="442" t="s">
        <v>1011</v>
      </c>
      <c r="C518" s="442" t="s">
        <v>934</v>
      </c>
      <c r="D518" s="442" t="s">
        <v>724</v>
      </c>
      <c r="E518" s="442" t="s">
        <v>3</v>
      </c>
      <c r="F518" s="443" t="s">
        <v>83</v>
      </c>
      <c r="G518" s="443" t="s">
        <v>700</v>
      </c>
      <c r="H518" s="444">
        <v>140000</v>
      </c>
      <c r="I518" s="444">
        <v>140000</v>
      </c>
      <c r="J518" s="444">
        <v>0</v>
      </c>
      <c r="K518" s="444">
        <v>0</v>
      </c>
      <c r="L518" s="444">
        <v>127273</v>
      </c>
      <c r="M518" s="444">
        <v>0</v>
      </c>
      <c r="N518" s="444">
        <v>0</v>
      </c>
      <c r="O518" s="444">
        <v>12727</v>
      </c>
      <c r="P518" s="444">
        <v>0</v>
      </c>
      <c r="Q518" s="444">
        <v>0</v>
      </c>
      <c r="R518" s="444">
        <v>0</v>
      </c>
      <c r="S518" s="444">
        <v>0</v>
      </c>
      <c r="T518" s="444">
        <v>0</v>
      </c>
      <c r="U518" s="444">
        <v>0</v>
      </c>
      <c r="V518" s="444">
        <v>0</v>
      </c>
      <c r="W518" s="444">
        <v>0</v>
      </c>
      <c r="X518" s="442" t="s">
        <v>674</v>
      </c>
      <c r="Y518" s="442" t="s">
        <v>675</v>
      </c>
      <c r="Z518" s="442" t="s">
        <v>675</v>
      </c>
      <c r="AA518" s="442" t="s">
        <v>675</v>
      </c>
      <c r="AB518" s="442" t="s">
        <v>675</v>
      </c>
      <c r="AC518" s="442"/>
      <c r="AD518" s="442"/>
      <c r="AE518" s="442"/>
      <c r="AF518" s="442"/>
      <c r="AG518" s="443" t="s">
        <v>584</v>
      </c>
      <c r="AH518" s="442"/>
      <c r="AI518" s="443" t="s">
        <v>584</v>
      </c>
      <c r="AJ518" s="443" t="s">
        <v>1012</v>
      </c>
      <c r="AK518" s="442" t="s">
        <v>677</v>
      </c>
      <c r="AL518" s="442"/>
      <c r="AM518" s="442" t="s">
        <v>726</v>
      </c>
      <c r="AN518" s="442" t="s">
        <v>1029</v>
      </c>
      <c r="AO518" s="442" t="s">
        <v>1010</v>
      </c>
      <c r="AP518" s="442" t="s">
        <v>1005</v>
      </c>
      <c r="AQ518" s="442" t="s">
        <v>939</v>
      </c>
      <c r="AR518" s="444">
        <v>140000</v>
      </c>
      <c r="AS518" s="442" t="s">
        <v>675</v>
      </c>
      <c r="AT518" s="444">
        <v>0</v>
      </c>
      <c r="AU518" s="442" t="s">
        <v>678</v>
      </c>
      <c r="AV518" s="442" t="s">
        <v>677</v>
      </c>
      <c r="AW518" s="442" t="s">
        <v>676</v>
      </c>
      <c r="AX518" s="442" t="s">
        <v>674</v>
      </c>
      <c r="AY518" s="442"/>
      <c r="AZ518" s="442"/>
      <c r="BA518" s="442" t="s">
        <v>679</v>
      </c>
      <c r="BB518" s="442"/>
      <c r="BC518" s="442"/>
      <c r="BD518" s="442"/>
      <c r="BE518" s="444"/>
      <c r="BF518" s="442" t="s">
        <v>298</v>
      </c>
      <c r="BG518" s="442" t="s">
        <v>680</v>
      </c>
      <c r="BH518" s="442" t="s">
        <v>681</v>
      </c>
      <c r="BI518" s="442"/>
    </row>
    <row r="519" spans="1:61">
      <c r="A519" s="442" t="s">
        <v>1010</v>
      </c>
      <c r="B519" s="442" t="s">
        <v>1011</v>
      </c>
      <c r="C519" s="442" t="s">
        <v>934</v>
      </c>
      <c r="D519" s="442" t="s">
        <v>724</v>
      </c>
      <c r="E519" s="442" t="s">
        <v>3</v>
      </c>
      <c r="F519" s="443" t="s">
        <v>83</v>
      </c>
      <c r="G519" s="443" t="s">
        <v>700</v>
      </c>
      <c r="H519" s="444">
        <v>140000</v>
      </c>
      <c r="I519" s="444">
        <v>140000</v>
      </c>
      <c r="J519" s="444">
        <v>0</v>
      </c>
      <c r="K519" s="444">
        <v>0</v>
      </c>
      <c r="L519" s="444">
        <v>127273</v>
      </c>
      <c r="M519" s="444">
        <v>0</v>
      </c>
      <c r="N519" s="444">
        <v>0</v>
      </c>
      <c r="O519" s="444">
        <v>12727</v>
      </c>
      <c r="P519" s="444">
        <v>0</v>
      </c>
      <c r="Q519" s="444">
        <v>0</v>
      </c>
      <c r="R519" s="444">
        <v>0</v>
      </c>
      <c r="S519" s="444">
        <v>0</v>
      </c>
      <c r="T519" s="444">
        <v>0</v>
      </c>
      <c r="U519" s="444">
        <v>0</v>
      </c>
      <c r="V519" s="444">
        <v>0</v>
      </c>
      <c r="W519" s="444">
        <v>0</v>
      </c>
      <c r="X519" s="442" t="s">
        <v>674</v>
      </c>
      <c r="Y519" s="442" t="s">
        <v>675</v>
      </c>
      <c r="Z519" s="442" t="s">
        <v>675</v>
      </c>
      <c r="AA519" s="442" t="s">
        <v>675</v>
      </c>
      <c r="AB519" s="442" t="s">
        <v>675</v>
      </c>
      <c r="AC519" s="442"/>
      <c r="AD519" s="442"/>
      <c r="AE519" s="442"/>
      <c r="AF519" s="442"/>
      <c r="AG519" s="443" t="s">
        <v>584</v>
      </c>
      <c r="AH519" s="442"/>
      <c r="AI519" s="443" t="s">
        <v>584</v>
      </c>
      <c r="AJ519" s="443" t="s">
        <v>1012</v>
      </c>
      <c r="AK519" s="442" t="s">
        <v>677</v>
      </c>
      <c r="AL519" s="442"/>
      <c r="AM519" s="442" t="s">
        <v>726</v>
      </c>
      <c r="AN519" s="442" t="s">
        <v>1030</v>
      </c>
      <c r="AO519" s="442" t="s">
        <v>1010</v>
      </c>
      <c r="AP519" s="442" t="s">
        <v>1005</v>
      </c>
      <c r="AQ519" s="442" t="s">
        <v>939</v>
      </c>
      <c r="AR519" s="444">
        <v>140000</v>
      </c>
      <c r="AS519" s="442" t="s">
        <v>675</v>
      </c>
      <c r="AT519" s="444">
        <v>0</v>
      </c>
      <c r="AU519" s="442" t="s">
        <v>678</v>
      </c>
      <c r="AV519" s="442" t="s">
        <v>677</v>
      </c>
      <c r="AW519" s="442" t="s">
        <v>676</v>
      </c>
      <c r="AX519" s="442" t="s">
        <v>674</v>
      </c>
      <c r="AY519" s="442"/>
      <c r="AZ519" s="442"/>
      <c r="BA519" s="442" t="s">
        <v>679</v>
      </c>
      <c r="BB519" s="442"/>
      <c r="BC519" s="442"/>
      <c r="BD519" s="442"/>
      <c r="BE519" s="444"/>
      <c r="BF519" s="442" t="s">
        <v>298</v>
      </c>
      <c r="BG519" s="442" t="s">
        <v>680</v>
      </c>
      <c r="BH519" s="442" t="s">
        <v>681</v>
      </c>
      <c r="BI519" s="442"/>
    </row>
    <row r="520" spans="1:61">
      <c r="A520" s="442" t="s">
        <v>1010</v>
      </c>
      <c r="B520" s="442" t="s">
        <v>1011</v>
      </c>
      <c r="C520" s="442" t="s">
        <v>934</v>
      </c>
      <c r="D520" s="442" t="s">
        <v>724</v>
      </c>
      <c r="E520" s="442" t="s">
        <v>3</v>
      </c>
      <c r="F520" s="443" t="s">
        <v>83</v>
      </c>
      <c r="G520" s="443" t="s">
        <v>700</v>
      </c>
      <c r="H520" s="444">
        <v>140000</v>
      </c>
      <c r="I520" s="444">
        <v>140000</v>
      </c>
      <c r="J520" s="444">
        <v>0</v>
      </c>
      <c r="K520" s="444">
        <v>0</v>
      </c>
      <c r="L520" s="444">
        <v>127273</v>
      </c>
      <c r="M520" s="444">
        <v>0</v>
      </c>
      <c r="N520" s="444">
        <v>0</v>
      </c>
      <c r="O520" s="444">
        <v>12727</v>
      </c>
      <c r="P520" s="444">
        <v>0</v>
      </c>
      <c r="Q520" s="444">
        <v>0</v>
      </c>
      <c r="R520" s="444">
        <v>0</v>
      </c>
      <c r="S520" s="444">
        <v>0</v>
      </c>
      <c r="T520" s="444">
        <v>0</v>
      </c>
      <c r="U520" s="444">
        <v>0</v>
      </c>
      <c r="V520" s="444">
        <v>0</v>
      </c>
      <c r="W520" s="444">
        <v>0</v>
      </c>
      <c r="X520" s="442" t="s">
        <v>674</v>
      </c>
      <c r="Y520" s="442" t="s">
        <v>675</v>
      </c>
      <c r="Z520" s="442" t="s">
        <v>675</v>
      </c>
      <c r="AA520" s="442" t="s">
        <v>675</v>
      </c>
      <c r="AB520" s="442" t="s">
        <v>675</v>
      </c>
      <c r="AC520" s="442"/>
      <c r="AD520" s="442"/>
      <c r="AE520" s="442"/>
      <c r="AF520" s="442"/>
      <c r="AG520" s="443" t="s">
        <v>584</v>
      </c>
      <c r="AH520" s="442"/>
      <c r="AI520" s="443" t="s">
        <v>584</v>
      </c>
      <c r="AJ520" s="443" t="s">
        <v>1012</v>
      </c>
      <c r="AK520" s="442" t="s">
        <v>677</v>
      </c>
      <c r="AL520" s="442"/>
      <c r="AM520" s="442" t="s">
        <v>726</v>
      </c>
      <c r="AN520" s="442" t="s">
        <v>1031</v>
      </c>
      <c r="AO520" s="442" t="s">
        <v>1010</v>
      </c>
      <c r="AP520" s="442" t="s">
        <v>1005</v>
      </c>
      <c r="AQ520" s="442" t="s">
        <v>939</v>
      </c>
      <c r="AR520" s="444">
        <v>140000</v>
      </c>
      <c r="AS520" s="442" t="s">
        <v>675</v>
      </c>
      <c r="AT520" s="444">
        <v>0</v>
      </c>
      <c r="AU520" s="442" t="s">
        <v>678</v>
      </c>
      <c r="AV520" s="442" t="s">
        <v>677</v>
      </c>
      <c r="AW520" s="442" t="s">
        <v>676</v>
      </c>
      <c r="AX520" s="442" t="s">
        <v>674</v>
      </c>
      <c r="AY520" s="442"/>
      <c r="AZ520" s="442"/>
      <c r="BA520" s="442" t="s">
        <v>679</v>
      </c>
      <c r="BB520" s="442"/>
      <c r="BC520" s="442"/>
      <c r="BD520" s="442"/>
      <c r="BE520" s="444"/>
      <c r="BF520" s="442" t="s">
        <v>298</v>
      </c>
      <c r="BG520" s="442" t="s">
        <v>680</v>
      </c>
      <c r="BH520" s="442" t="s">
        <v>681</v>
      </c>
      <c r="BI520" s="442"/>
    </row>
    <row r="521" spans="1:61">
      <c r="A521" s="442" t="s">
        <v>1010</v>
      </c>
      <c r="B521" s="442" t="s">
        <v>1011</v>
      </c>
      <c r="C521" s="442" t="s">
        <v>934</v>
      </c>
      <c r="D521" s="442" t="s">
        <v>724</v>
      </c>
      <c r="E521" s="442" t="s">
        <v>3</v>
      </c>
      <c r="F521" s="443" t="s">
        <v>83</v>
      </c>
      <c r="G521" s="443" t="s">
        <v>700</v>
      </c>
      <c r="H521" s="444">
        <v>140000</v>
      </c>
      <c r="I521" s="444">
        <v>140000</v>
      </c>
      <c r="J521" s="444">
        <v>0</v>
      </c>
      <c r="K521" s="444">
        <v>0</v>
      </c>
      <c r="L521" s="444">
        <v>127273</v>
      </c>
      <c r="M521" s="444">
        <v>0</v>
      </c>
      <c r="N521" s="444">
        <v>0</v>
      </c>
      <c r="O521" s="444">
        <v>12727</v>
      </c>
      <c r="P521" s="444">
        <v>0</v>
      </c>
      <c r="Q521" s="444">
        <v>0</v>
      </c>
      <c r="R521" s="444">
        <v>0</v>
      </c>
      <c r="S521" s="444">
        <v>0</v>
      </c>
      <c r="T521" s="444">
        <v>0</v>
      </c>
      <c r="U521" s="444">
        <v>0</v>
      </c>
      <c r="V521" s="444">
        <v>0</v>
      </c>
      <c r="W521" s="444">
        <v>0</v>
      </c>
      <c r="X521" s="442" t="s">
        <v>674</v>
      </c>
      <c r="Y521" s="442" t="s">
        <v>675</v>
      </c>
      <c r="Z521" s="442" t="s">
        <v>675</v>
      </c>
      <c r="AA521" s="442" t="s">
        <v>675</v>
      </c>
      <c r="AB521" s="442" t="s">
        <v>675</v>
      </c>
      <c r="AC521" s="442"/>
      <c r="AD521" s="442"/>
      <c r="AE521" s="442"/>
      <c r="AF521" s="442"/>
      <c r="AG521" s="443" t="s">
        <v>584</v>
      </c>
      <c r="AH521" s="442"/>
      <c r="AI521" s="443" t="s">
        <v>584</v>
      </c>
      <c r="AJ521" s="443" t="s">
        <v>1012</v>
      </c>
      <c r="AK521" s="442" t="s">
        <v>677</v>
      </c>
      <c r="AL521" s="442"/>
      <c r="AM521" s="442" t="s">
        <v>726</v>
      </c>
      <c r="AN521" s="442" t="s">
        <v>1032</v>
      </c>
      <c r="AO521" s="442" t="s">
        <v>1010</v>
      </c>
      <c r="AP521" s="442" t="s">
        <v>1005</v>
      </c>
      <c r="AQ521" s="442" t="s">
        <v>939</v>
      </c>
      <c r="AR521" s="444">
        <v>140000</v>
      </c>
      <c r="AS521" s="442" t="s">
        <v>675</v>
      </c>
      <c r="AT521" s="444">
        <v>0</v>
      </c>
      <c r="AU521" s="442" t="s">
        <v>678</v>
      </c>
      <c r="AV521" s="442" t="s">
        <v>677</v>
      </c>
      <c r="AW521" s="442" t="s">
        <v>676</v>
      </c>
      <c r="AX521" s="442" t="s">
        <v>674</v>
      </c>
      <c r="AY521" s="442"/>
      <c r="AZ521" s="442"/>
      <c r="BA521" s="442" t="s">
        <v>679</v>
      </c>
      <c r="BB521" s="442"/>
      <c r="BC521" s="442"/>
      <c r="BD521" s="442"/>
      <c r="BE521" s="444"/>
      <c r="BF521" s="442" t="s">
        <v>298</v>
      </c>
      <c r="BG521" s="442" t="s">
        <v>680</v>
      </c>
      <c r="BH521" s="442" t="s">
        <v>681</v>
      </c>
      <c r="BI521" s="442"/>
    </row>
    <row r="522" spans="1:61">
      <c r="A522" s="442" t="s">
        <v>1010</v>
      </c>
      <c r="B522" s="442" t="s">
        <v>1011</v>
      </c>
      <c r="C522" s="442" t="s">
        <v>934</v>
      </c>
      <c r="D522" s="442" t="s">
        <v>724</v>
      </c>
      <c r="E522" s="442" t="s">
        <v>3</v>
      </c>
      <c r="F522" s="443" t="s">
        <v>83</v>
      </c>
      <c r="G522" s="443" t="s">
        <v>700</v>
      </c>
      <c r="H522" s="444">
        <v>140000</v>
      </c>
      <c r="I522" s="444">
        <v>140000</v>
      </c>
      <c r="J522" s="444">
        <v>0</v>
      </c>
      <c r="K522" s="444">
        <v>0</v>
      </c>
      <c r="L522" s="444">
        <v>127273</v>
      </c>
      <c r="M522" s="444">
        <v>0</v>
      </c>
      <c r="N522" s="444">
        <v>0</v>
      </c>
      <c r="O522" s="444">
        <v>12727</v>
      </c>
      <c r="P522" s="444">
        <v>0</v>
      </c>
      <c r="Q522" s="444">
        <v>0</v>
      </c>
      <c r="R522" s="444">
        <v>0</v>
      </c>
      <c r="S522" s="444">
        <v>0</v>
      </c>
      <c r="T522" s="444">
        <v>0</v>
      </c>
      <c r="U522" s="444">
        <v>0</v>
      </c>
      <c r="V522" s="444">
        <v>0</v>
      </c>
      <c r="W522" s="444">
        <v>0</v>
      </c>
      <c r="X522" s="442" t="s">
        <v>674</v>
      </c>
      <c r="Y522" s="442" t="s">
        <v>675</v>
      </c>
      <c r="Z522" s="442" t="s">
        <v>675</v>
      </c>
      <c r="AA522" s="442" t="s">
        <v>675</v>
      </c>
      <c r="AB522" s="442" t="s">
        <v>675</v>
      </c>
      <c r="AC522" s="442"/>
      <c r="AD522" s="442"/>
      <c r="AE522" s="442"/>
      <c r="AF522" s="442"/>
      <c r="AG522" s="443" t="s">
        <v>584</v>
      </c>
      <c r="AH522" s="442"/>
      <c r="AI522" s="443" t="s">
        <v>584</v>
      </c>
      <c r="AJ522" s="443" t="s">
        <v>1012</v>
      </c>
      <c r="AK522" s="442" t="s">
        <v>677</v>
      </c>
      <c r="AL522" s="442"/>
      <c r="AM522" s="442" t="s">
        <v>726</v>
      </c>
      <c r="AN522" s="442" t="s">
        <v>1033</v>
      </c>
      <c r="AO522" s="442" t="s">
        <v>1010</v>
      </c>
      <c r="AP522" s="442" t="s">
        <v>1005</v>
      </c>
      <c r="AQ522" s="442" t="s">
        <v>939</v>
      </c>
      <c r="AR522" s="444">
        <v>140000</v>
      </c>
      <c r="AS522" s="442" t="s">
        <v>675</v>
      </c>
      <c r="AT522" s="444">
        <v>0</v>
      </c>
      <c r="AU522" s="442" t="s">
        <v>678</v>
      </c>
      <c r="AV522" s="442" t="s">
        <v>677</v>
      </c>
      <c r="AW522" s="442" t="s">
        <v>676</v>
      </c>
      <c r="AX522" s="442" t="s">
        <v>674</v>
      </c>
      <c r="AY522" s="442"/>
      <c r="AZ522" s="442"/>
      <c r="BA522" s="442" t="s">
        <v>679</v>
      </c>
      <c r="BB522" s="442"/>
      <c r="BC522" s="442"/>
      <c r="BD522" s="442"/>
      <c r="BE522" s="444"/>
      <c r="BF522" s="442" t="s">
        <v>298</v>
      </c>
      <c r="BG522" s="442" t="s">
        <v>680</v>
      </c>
      <c r="BH522" s="442" t="s">
        <v>681</v>
      </c>
      <c r="BI522" s="442"/>
    </row>
    <row r="523" spans="1:61">
      <c r="A523" s="442" t="s">
        <v>1010</v>
      </c>
      <c r="B523" s="442" t="s">
        <v>1011</v>
      </c>
      <c r="C523" s="442" t="s">
        <v>934</v>
      </c>
      <c r="D523" s="442" t="s">
        <v>724</v>
      </c>
      <c r="E523" s="442" t="s">
        <v>3</v>
      </c>
      <c r="F523" s="443" t="s">
        <v>83</v>
      </c>
      <c r="G523" s="443" t="s">
        <v>700</v>
      </c>
      <c r="H523" s="444">
        <v>140000</v>
      </c>
      <c r="I523" s="444">
        <v>140000</v>
      </c>
      <c r="J523" s="444">
        <v>0</v>
      </c>
      <c r="K523" s="444">
        <v>0</v>
      </c>
      <c r="L523" s="444">
        <v>127273</v>
      </c>
      <c r="M523" s="444">
        <v>0</v>
      </c>
      <c r="N523" s="444">
        <v>0</v>
      </c>
      <c r="O523" s="444">
        <v>12727</v>
      </c>
      <c r="P523" s="444">
        <v>0</v>
      </c>
      <c r="Q523" s="444">
        <v>0</v>
      </c>
      <c r="R523" s="444">
        <v>0</v>
      </c>
      <c r="S523" s="444">
        <v>0</v>
      </c>
      <c r="T523" s="444">
        <v>0</v>
      </c>
      <c r="U523" s="444">
        <v>0</v>
      </c>
      <c r="V523" s="444">
        <v>0</v>
      </c>
      <c r="W523" s="444">
        <v>0</v>
      </c>
      <c r="X523" s="442" t="s">
        <v>674</v>
      </c>
      <c r="Y523" s="442" t="s">
        <v>675</v>
      </c>
      <c r="Z523" s="442" t="s">
        <v>675</v>
      </c>
      <c r="AA523" s="442" t="s">
        <v>675</v>
      </c>
      <c r="AB523" s="442" t="s">
        <v>675</v>
      </c>
      <c r="AC523" s="442"/>
      <c r="AD523" s="442"/>
      <c r="AE523" s="442"/>
      <c r="AF523" s="442"/>
      <c r="AG523" s="443" t="s">
        <v>584</v>
      </c>
      <c r="AH523" s="442"/>
      <c r="AI523" s="443" t="s">
        <v>584</v>
      </c>
      <c r="AJ523" s="443" t="s">
        <v>1012</v>
      </c>
      <c r="AK523" s="442" t="s">
        <v>677</v>
      </c>
      <c r="AL523" s="442"/>
      <c r="AM523" s="442" t="s">
        <v>726</v>
      </c>
      <c r="AN523" s="442" t="s">
        <v>1034</v>
      </c>
      <c r="AO523" s="442" t="s">
        <v>1010</v>
      </c>
      <c r="AP523" s="442" t="s">
        <v>1005</v>
      </c>
      <c r="AQ523" s="442" t="s">
        <v>939</v>
      </c>
      <c r="AR523" s="444">
        <v>140000</v>
      </c>
      <c r="AS523" s="442" t="s">
        <v>675</v>
      </c>
      <c r="AT523" s="444">
        <v>0</v>
      </c>
      <c r="AU523" s="442" t="s">
        <v>678</v>
      </c>
      <c r="AV523" s="442" t="s">
        <v>677</v>
      </c>
      <c r="AW523" s="442" t="s">
        <v>676</v>
      </c>
      <c r="AX523" s="442" t="s">
        <v>674</v>
      </c>
      <c r="AY523" s="442"/>
      <c r="AZ523" s="442"/>
      <c r="BA523" s="442" t="s">
        <v>679</v>
      </c>
      <c r="BB523" s="442"/>
      <c r="BC523" s="442"/>
      <c r="BD523" s="442"/>
      <c r="BE523" s="444"/>
      <c r="BF523" s="442" t="s">
        <v>298</v>
      </c>
      <c r="BG523" s="442" t="s">
        <v>680</v>
      </c>
      <c r="BH523" s="442" t="s">
        <v>681</v>
      </c>
      <c r="BI523" s="442"/>
    </row>
    <row r="524" spans="1:61">
      <c r="A524" s="442" t="s">
        <v>1035</v>
      </c>
      <c r="B524" s="442" t="s">
        <v>843</v>
      </c>
      <c r="C524" s="442" t="s">
        <v>843</v>
      </c>
      <c r="D524" s="442" t="s">
        <v>724</v>
      </c>
      <c r="E524" s="442" t="s">
        <v>3</v>
      </c>
      <c r="F524" s="443" t="s">
        <v>83</v>
      </c>
      <c r="G524" s="443" t="s">
        <v>700</v>
      </c>
      <c r="H524" s="444">
        <v>1002000</v>
      </c>
      <c r="I524" s="444">
        <v>1002000</v>
      </c>
      <c r="J524" s="444">
        <v>0</v>
      </c>
      <c r="K524" s="444">
        <v>0</v>
      </c>
      <c r="L524" s="444">
        <v>910910</v>
      </c>
      <c r="M524" s="444">
        <v>0</v>
      </c>
      <c r="N524" s="444">
        <v>0</v>
      </c>
      <c r="O524" s="444">
        <v>91090</v>
      </c>
      <c r="P524" s="444">
        <v>0</v>
      </c>
      <c r="Q524" s="444">
        <v>0</v>
      </c>
      <c r="R524" s="444">
        <v>0</v>
      </c>
      <c r="S524" s="444">
        <v>0</v>
      </c>
      <c r="T524" s="444">
        <v>0</v>
      </c>
      <c r="U524" s="444">
        <v>0</v>
      </c>
      <c r="V524" s="444">
        <v>0</v>
      </c>
      <c r="W524" s="444">
        <v>0</v>
      </c>
      <c r="X524" s="442" t="s">
        <v>674</v>
      </c>
      <c r="Y524" s="442" t="s">
        <v>675</v>
      </c>
      <c r="Z524" s="442" t="s">
        <v>675</v>
      </c>
      <c r="AA524" s="442" t="s">
        <v>675</v>
      </c>
      <c r="AB524" s="442" t="s">
        <v>675</v>
      </c>
      <c r="AC524" s="442"/>
      <c r="AD524" s="442"/>
      <c r="AE524" s="442"/>
      <c r="AF524" s="442"/>
      <c r="AG524" s="443" t="s">
        <v>844</v>
      </c>
      <c r="AH524" s="442"/>
      <c r="AI524" s="443" t="s">
        <v>844</v>
      </c>
      <c r="AJ524" s="443" t="s">
        <v>1036</v>
      </c>
      <c r="AK524" s="442" t="s">
        <v>677</v>
      </c>
      <c r="AL524" s="442"/>
      <c r="AM524" s="442" t="s">
        <v>726</v>
      </c>
      <c r="AN524" s="442" t="s">
        <v>1037</v>
      </c>
      <c r="AO524" s="442" t="s">
        <v>1035</v>
      </c>
      <c r="AP524" s="442" t="s">
        <v>1010</v>
      </c>
      <c r="AQ524" s="442" t="s">
        <v>821</v>
      </c>
      <c r="AR524" s="444">
        <v>1002000</v>
      </c>
      <c r="AS524" s="442" t="s">
        <v>675</v>
      </c>
      <c r="AT524" s="444">
        <v>0</v>
      </c>
      <c r="AU524" s="442" t="s">
        <v>678</v>
      </c>
      <c r="AV524" s="442" t="s">
        <v>677</v>
      </c>
      <c r="AW524" s="442" t="s">
        <v>676</v>
      </c>
      <c r="AX524" s="442" t="s">
        <v>674</v>
      </c>
      <c r="AY524" s="442"/>
      <c r="AZ524" s="442"/>
      <c r="BA524" s="442" t="s">
        <v>679</v>
      </c>
      <c r="BB524" s="442"/>
      <c r="BC524" s="442"/>
      <c r="BD524" s="442"/>
      <c r="BE524" s="444"/>
      <c r="BF524" s="442" t="s">
        <v>298</v>
      </c>
      <c r="BG524" s="442" t="s">
        <v>680</v>
      </c>
      <c r="BH524" s="442" t="s">
        <v>681</v>
      </c>
      <c r="BI524" s="442"/>
    </row>
    <row r="525" spans="1:61">
      <c r="A525" s="442" t="s">
        <v>1035</v>
      </c>
      <c r="B525" s="442" t="s">
        <v>843</v>
      </c>
      <c r="C525" s="442" t="s">
        <v>843</v>
      </c>
      <c r="D525" s="442" t="s">
        <v>724</v>
      </c>
      <c r="E525" s="442" t="s">
        <v>3</v>
      </c>
      <c r="F525" s="443" t="s">
        <v>83</v>
      </c>
      <c r="G525" s="443" t="s">
        <v>700</v>
      </c>
      <c r="H525" s="444">
        <v>912000</v>
      </c>
      <c r="I525" s="444">
        <v>912000</v>
      </c>
      <c r="J525" s="444">
        <v>0</v>
      </c>
      <c r="K525" s="444">
        <v>0</v>
      </c>
      <c r="L525" s="444">
        <v>829091</v>
      </c>
      <c r="M525" s="444">
        <v>0</v>
      </c>
      <c r="N525" s="444">
        <v>0</v>
      </c>
      <c r="O525" s="444">
        <v>82909</v>
      </c>
      <c r="P525" s="444">
        <v>0</v>
      </c>
      <c r="Q525" s="444">
        <v>0</v>
      </c>
      <c r="R525" s="444">
        <v>0</v>
      </c>
      <c r="S525" s="444">
        <v>0</v>
      </c>
      <c r="T525" s="444">
        <v>0</v>
      </c>
      <c r="U525" s="444">
        <v>0</v>
      </c>
      <c r="V525" s="444">
        <v>0</v>
      </c>
      <c r="W525" s="444">
        <v>0</v>
      </c>
      <c r="X525" s="442" t="s">
        <v>674</v>
      </c>
      <c r="Y525" s="442" t="s">
        <v>675</v>
      </c>
      <c r="Z525" s="442" t="s">
        <v>675</v>
      </c>
      <c r="AA525" s="442" t="s">
        <v>675</v>
      </c>
      <c r="AB525" s="442" t="s">
        <v>675</v>
      </c>
      <c r="AC525" s="442"/>
      <c r="AD525" s="442"/>
      <c r="AE525" s="442"/>
      <c r="AF525" s="442"/>
      <c r="AG525" s="443" t="s">
        <v>844</v>
      </c>
      <c r="AH525" s="442"/>
      <c r="AI525" s="443" t="s">
        <v>844</v>
      </c>
      <c r="AJ525" s="443" t="s">
        <v>1036</v>
      </c>
      <c r="AK525" s="442" t="s">
        <v>677</v>
      </c>
      <c r="AL525" s="442"/>
      <c r="AM525" s="442" t="s">
        <v>726</v>
      </c>
      <c r="AN525" s="442" t="s">
        <v>1038</v>
      </c>
      <c r="AO525" s="442" t="s">
        <v>1035</v>
      </c>
      <c r="AP525" s="442" t="s">
        <v>1010</v>
      </c>
      <c r="AQ525" s="442" t="s">
        <v>821</v>
      </c>
      <c r="AR525" s="444">
        <v>912000</v>
      </c>
      <c r="AS525" s="442" t="s">
        <v>675</v>
      </c>
      <c r="AT525" s="444">
        <v>0</v>
      </c>
      <c r="AU525" s="442" t="s">
        <v>678</v>
      </c>
      <c r="AV525" s="442" t="s">
        <v>677</v>
      </c>
      <c r="AW525" s="442" t="s">
        <v>676</v>
      </c>
      <c r="AX525" s="442" t="s">
        <v>674</v>
      </c>
      <c r="AY525" s="442"/>
      <c r="AZ525" s="442"/>
      <c r="BA525" s="442" t="s">
        <v>679</v>
      </c>
      <c r="BB525" s="442"/>
      <c r="BC525" s="442"/>
      <c r="BD525" s="442"/>
      <c r="BE525" s="444"/>
      <c r="BF525" s="442" t="s">
        <v>298</v>
      </c>
      <c r="BG525" s="442" t="s">
        <v>680</v>
      </c>
      <c r="BH525" s="442" t="s">
        <v>681</v>
      </c>
      <c r="BI525" s="442"/>
    </row>
    <row r="526" spans="1:61">
      <c r="A526" s="442" t="s">
        <v>1035</v>
      </c>
      <c r="B526" s="442" t="s">
        <v>843</v>
      </c>
      <c r="C526" s="442" t="s">
        <v>843</v>
      </c>
      <c r="D526" s="442" t="s">
        <v>724</v>
      </c>
      <c r="E526" s="442" t="s">
        <v>3</v>
      </c>
      <c r="F526" s="443" t="s">
        <v>83</v>
      </c>
      <c r="G526" s="443" t="s">
        <v>700</v>
      </c>
      <c r="H526" s="444">
        <v>953700</v>
      </c>
      <c r="I526" s="444">
        <v>953700</v>
      </c>
      <c r="J526" s="444">
        <v>0</v>
      </c>
      <c r="K526" s="444">
        <v>0</v>
      </c>
      <c r="L526" s="444">
        <v>867000</v>
      </c>
      <c r="M526" s="444">
        <v>0</v>
      </c>
      <c r="N526" s="444">
        <v>0</v>
      </c>
      <c r="O526" s="444">
        <v>86700</v>
      </c>
      <c r="P526" s="444">
        <v>0</v>
      </c>
      <c r="Q526" s="444">
        <v>0</v>
      </c>
      <c r="R526" s="444">
        <v>0</v>
      </c>
      <c r="S526" s="444">
        <v>0</v>
      </c>
      <c r="T526" s="444">
        <v>0</v>
      </c>
      <c r="U526" s="444">
        <v>0</v>
      </c>
      <c r="V526" s="444">
        <v>0</v>
      </c>
      <c r="W526" s="444">
        <v>0</v>
      </c>
      <c r="X526" s="442" t="s">
        <v>674</v>
      </c>
      <c r="Y526" s="442" t="s">
        <v>675</v>
      </c>
      <c r="Z526" s="442" t="s">
        <v>675</v>
      </c>
      <c r="AA526" s="442" t="s">
        <v>675</v>
      </c>
      <c r="AB526" s="442" t="s">
        <v>675</v>
      </c>
      <c r="AC526" s="442"/>
      <c r="AD526" s="442"/>
      <c r="AE526" s="442"/>
      <c r="AF526" s="442"/>
      <c r="AG526" s="443" t="s">
        <v>844</v>
      </c>
      <c r="AH526" s="442"/>
      <c r="AI526" s="443" t="s">
        <v>844</v>
      </c>
      <c r="AJ526" s="443" t="s">
        <v>1039</v>
      </c>
      <c r="AK526" s="442" t="s">
        <v>677</v>
      </c>
      <c r="AL526" s="442"/>
      <c r="AM526" s="442" t="s">
        <v>726</v>
      </c>
      <c r="AN526" s="442" t="s">
        <v>1040</v>
      </c>
      <c r="AO526" s="442" t="s">
        <v>1035</v>
      </c>
      <c r="AP526" s="442" t="s">
        <v>1010</v>
      </c>
      <c r="AQ526" s="442" t="s">
        <v>821</v>
      </c>
      <c r="AR526" s="444">
        <v>953700</v>
      </c>
      <c r="AS526" s="442" t="s">
        <v>675</v>
      </c>
      <c r="AT526" s="444">
        <v>0</v>
      </c>
      <c r="AU526" s="442" t="s">
        <v>678</v>
      </c>
      <c r="AV526" s="442" t="s">
        <v>677</v>
      </c>
      <c r="AW526" s="442" t="s">
        <v>676</v>
      </c>
      <c r="AX526" s="442" t="s">
        <v>674</v>
      </c>
      <c r="AY526" s="442"/>
      <c r="AZ526" s="442"/>
      <c r="BA526" s="442" t="s">
        <v>679</v>
      </c>
      <c r="BB526" s="442"/>
      <c r="BC526" s="442"/>
      <c r="BD526" s="442"/>
      <c r="BE526" s="444"/>
      <c r="BF526" s="442" t="s">
        <v>298</v>
      </c>
      <c r="BG526" s="442" t="s">
        <v>680</v>
      </c>
      <c r="BH526" s="442" t="s">
        <v>681</v>
      </c>
      <c r="BI526" s="442"/>
    </row>
    <row r="527" spans="1:61">
      <c r="A527" s="442" t="s">
        <v>1035</v>
      </c>
      <c r="B527" s="442" t="s">
        <v>843</v>
      </c>
      <c r="C527" s="442" t="s">
        <v>843</v>
      </c>
      <c r="D527" s="442" t="s">
        <v>724</v>
      </c>
      <c r="E527" s="442" t="s">
        <v>3</v>
      </c>
      <c r="F527" s="443" t="s">
        <v>83</v>
      </c>
      <c r="G527" s="443" t="s">
        <v>700</v>
      </c>
      <c r="H527" s="444">
        <v>673200</v>
      </c>
      <c r="I527" s="444">
        <v>673200</v>
      </c>
      <c r="J527" s="444">
        <v>0</v>
      </c>
      <c r="K527" s="444">
        <v>0</v>
      </c>
      <c r="L527" s="444">
        <v>612000</v>
      </c>
      <c r="M527" s="444">
        <v>0</v>
      </c>
      <c r="N527" s="444">
        <v>0</v>
      </c>
      <c r="O527" s="444">
        <v>61200</v>
      </c>
      <c r="P527" s="444">
        <v>0</v>
      </c>
      <c r="Q527" s="444">
        <v>0</v>
      </c>
      <c r="R527" s="444">
        <v>0</v>
      </c>
      <c r="S527" s="444">
        <v>0</v>
      </c>
      <c r="T527" s="444">
        <v>0</v>
      </c>
      <c r="U527" s="444">
        <v>0</v>
      </c>
      <c r="V527" s="444">
        <v>0</v>
      </c>
      <c r="W527" s="444">
        <v>0</v>
      </c>
      <c r="X527" s="442" t="s">
        <v>674</v>
      </c>
      <c r="Y527" s="442" t="s">
        <v>675</v>
      </c>
      <c r="Z527" s="442" t="s">
        <v>675</v>
      </c>
      <c r="AA527" s="442" t="s">
        <v>675</v>
      </c>
      <c r="AB527" s="442" t="s">
        <v>675</v>
      </c>
      <c r="AC527" s="442"/>
      <c r="AD527" s="442"/>
      <c r="AE527" s="442"/>
      <c r="AF527" s="442"/>
      <c r="AG527" s="443" t="s">
        <v>844</v>
      </c>
      <c r="AH527" s="442"/>
      <c r="AI527" s="443" t="s">
        <v>844</v>
      </c>
      <c r="AJ527" s="443" t="s">
        <v>1039</v>
      </c>
      <c r="AK527" s="442" t="s">
        <v>677</v>
      </c>
      <c r="AL527" s="442"/>
      <c r="AM527" s="442" t="s">
        <v>726</v>
      </c>
      <c r="AN527" s="442" t="s">
        <v>1041</v>
      </c>
      <c r="AO527" s="442" t="s">
        <v>1035</v>
      </c>
      <c r="AP527" s="442" t="s">
        <v>1010</v>
      </c>
      <c r="AQ527" s="442" t="s">
        <v>821</v>
      </c>
      <c r="AR527" s="444">
        <v>673200</v>
      </c>
      <c r="AS527" s="442" t="s">
        <v>675</v>
      </c>
      <c r="AT527" s="444">
        <v>0</v>
      </c>
      <c r="AU527" s="442" t="s">
        <v>678</v>
      </c>
      <c r="AV527" s="442" t="s">
        <v>677</v>
      </c>
      <c r="AW527" s="442" t="s">
        <v>676</v>
      </c>
      <c r="AX527" s="442" t="s">
        <v>674</v>
      </c>
      <c r="AY527" s="442"/>
      <c r="AZ527" s="442"/>
      <c r="BA527" s="442" t="s">
        <v>679</v>
      </c>
      <c r="BB527" s="442"/>
      <c r="BC527" s="442"/>
      <c r="BD527" s="442"/>
      <c r="BE527" s="444"/>
      <c r="BF527" s="442" t="s">
        <v>298</v>
      </c>
      <c r="BG527" s="442" t="s">
        <v>680</v>
      </c>
      <c r="BH527" s="442" t="s">
        <v>681</v>
      </c>
      <c r="BI527" s="442"/>
    </row>
    <row r="528" spans="1:61">
      <c r="A528" s="442" t="s">
        <v>1035</v>
      </c>
      <c r="B528" s="442" t="s">
        <v>843</v>
      </c>
      <c r="C528" s="442" t="s">
        <v>843</v>
      </c>
      <c r="D528" s="442" t="s">
        <v>724</v>
      </c>
      <c r="E528" s="442" t="s">
        <v>3</v>
      </c>
      <c r="F528" s="443" t="s">
        <v>83</v>
      </c>
      <c r="G528" s="443" t="s">
        <v>700</v>
      </c>
      <c r="H528" s="444">
        <v>673200</v>
      </c>
      <c r="I528" s="444">
        <v>673200</v>
      </c>
      <c r="J528" s="444">
        <v>0</v>
      </c>
      <c r="K528" s="444">
        <v>0</v>
      </c>
      <c r="L528" s="444">
        <v>612000</v>
      </c>
      <c r="M528" s="444">
        <v>0</v>
      </c>
      <c r="N528" s="444">
        <v>0</v>
      </c>
      <c r="O528" s="444">
        <v>61200</v>
      </c>
      <c r="P528" s="444">
        <v>0</v>
      </c>
      <c r="Q528" s="444">
        <v>0</v>
      </c>
      <c r="R528" s="444">
        <v>0</v>
      </c>
      <c r="S528" s="444">
        <v>0</v>
      </c>
      <c r="T528" s="444">
        <v>0</v>
      </c>
      <c r="U528" s="444">
        <v>0</v>
      </c>
      <c r="V528" s="444">
        <v>0</v>
      </c>
      <c r="W528" s="444">
        <v>0</v>
      </c>
      <c r="X528" s="442" t="s">
        <v>674</v>
      </c>
      <c r="Y528" s="442" t="s">
        <v>675</v>
      </c>
      <c r="Z528" s="442" t="s">
        <v>675</v>
      </c>
      <c r="AA528" s="442" t="s">
        <v>675</v>
      </c>
      <c r="AB528" s="442" t="s">
        <v>675</v>
      </c>
      <c r="AC528" s="442"/>
      <c r="AD528" s="442"/>
      <c r="AE528" s="442"/>
      <c r="AF528" s="442"/>
      <c r="AG528" s="443" t="s">
        <v>844</v>
      </c>
      <c r="AH528" s="442"/>
      <c r="AI528" s="443" t="s">
        <v>844</v>
      </c>
      <c r="AJ528" s="443" t="s">
        <v>1039</v>
      </c>
      <c r="AK528" s="442" t="s">
        <v>677</v>
      </c>
      <c r="AL528" s="442"/>
      <c r="AM528" s="442" t="s">
        <v>726</v>
      </c>
      <c r="AN528" s="442" t="s">
        <v>1042</v>
      </c>
      <c r="AO528" s="442" t="s">
        <v>1035</v>
      </c>
      <c r="AP528" s="442" t="s">
        <v>1010</v>
      </c>
      <c r="AQ528" s="442" t="s">
        <v>821</v>
      </c>
      <c r="AR528" s="444">
        <v>673200</v>
      </c>
      <c r="AS528" s="442" t="s">
        <v>675</v>
      </c>
      <c r="AT528" s="444">
        <v>0</v>
      </c>
      <c r="AU528" s="442" t="s">
        <v>678</v>
      </c>
      <c r="AV528" s="442" t="s">
        <v>677</v>
      </c>
      <c r="AW528" s="442" t="s">
        <v>676</v>
      </c>
      <c r="AX528" s="442" t="s">
        <v>674</v>
      </c>
      <c r="AY528" s="442"/>
      <c r="AZ528" s="442"/>
      <c r="BA528" s="442" t="s">
        <v>679</v>
      </c>
      <c r="BB528" s="442"/>
      <c r="BC528" s="442"/>
      <c r="BD528" s="442"/>
      <c r="BE528" s="444"/>
      <c r="BF528" s="442" t="s">
        <v>298</v>
      </c>
      <c r="BG528" s="442" t="s">
        <v>680</v>
      </c>
      <c r="BH528" s="442" t="s">
        <v>681</v>
      </c>
      <c r="BI528" s="442"/>
    </row>
    <row r="529" spans="1:61">
      <c r="A529" s="442" t="s">
        <v>1035</v>
      </c>
      <c r="B529" s="442" t="s">
        <v>843</v>
      </c>
      <c r="C529" s="442" t="s">
        <v>843</v>
      </c>
      <c r="D529" s="442" t="s">
        <v>724</v>
      </c>
      <c r="E529" s="442" t="s">
        <v>3</v>
      </c>
      <c r="F529" s="443" t="s">
        <v>83</v>
      </c>
      <c r="G529" s="443" t="s">
        <v>700</v>
      </c>
      <c r="H529" s="444">
        <v>673200</v>
      </c>
      <c r="I529" s="444">
        <v>673200</v>
      </c>
      <c r="J529" s="444">
        <v>0</v>
      </c>
      <c r="K529" s="444">
        <v>0</v>
      </c>
      <c r="L529" s="444">
        <v>612000</v>
      </c>
      <c r="M529" s="444">
        <v>0</v>
      </c>
      <c r="N529" s="444">
        <v>0</v>
      </c>
      <c r="O529" s="444">
        <v>61200</v>
      </c>
      <c r="P529" s="444">
        <v>0</v>
      </c>
      <c r="Q529" s="444">
        <v>0</v>
      </c>
      <c r="R529" s="444">
        <v>0</v>
      </c>
      <c r="S529" s="444">
        <v>0</v>
      </c>
      <c r="T529" s="444">
        <v>0</v>
      </c>
      <c r="U529" s="444">
        <v>0</v>
      </c>
      <c r="V529" s="444">
        <v>0</v>
      </c>
      <c r="W529" s="444">
        <v>0</v>
      </c>
      <c r="X529" s="442" t="s">
        <v>674</v>
      </c>
      <c r="Y529" s="442" t="s">
        <v>675</v>
      </c>
      <c r="Z529" s="442" t="s">
        <v>675</v>
      </c>
      <c r="AA529" s="442" t="s">
        <v>675</v>
      </c>
      <c r="AB529" s="442" t="s">
        <v>675</v>
      </c>
      <c r="AC529" s="442"/>
      <c r="AD529" s="442"/>
      <c r="AE529" s="442"/>
      <c r="AF529" s="442"/>
      <c r="AG529" s="443" t="s">
        <v>844</v>
      </c>
      <c r="AH529" s="442"/>
      <c r="AI529" s="443" t="s">
        <v>844</v>
      </c>
      <c r="AJ529" s="443" t="s">
        <v>1039</v>
      </c>
      <c r="AK529" s="442" t="s">
        <v>677</v>
      </c>
      <c r="AL529" s="442"/>
      <c r="AM529" s="442" t="s">
        <v>726</v>
      </c>
      <c r="AN529" s="442" t="s">
        <v>1043</v>
      </c>
      <c r="AO529" s="442" t="s">
        <v>1035</v>
      </c>
      <c r="AP529" s="442" t="s">
        <v>1010</v>
      </c>
      <c r="AQ529" s="442" t="s">
        <v>821</v>
      </c>
      <c r="AR529" s="444">
        <v>673200</v>
      </c>
      <c r="AS529" s="442" t="s">
        <v>675</v>
      </c>
      <c r="AT529" s="444">
        <v>0</v>
      </c>
      <c r="AU529" s="442" t="s">
        <v>678</v>
      </c>
      <c r="AV529" s="442" t="s">
        <v>677</v>
      </c>
      <c r="AW529" s="442" t="s">
        <v>676</v>
      </c>
      <c r="AX529" s="442" t="s">
        <v>674</v>
      </c>
      <c r="AY529" s="442"/>
      <c r="AZ529" s="442"/>
      <c r="BA529" s="442" t="s">
        <v>679</v>
      </c>
      <c r="BB529" s="442"/>
      <c r="BC529" s="442"/>
      <c r="BD529" s="442"/>
      <c r="BE529" s="444"/>
      <c r="BF529" s="442" t="s">
        <v>298</v>
      </c>
      <c r="BG529" s="442" t="s">
        <v>680</v>
      </c>
      <c r="BH529" s="442" t="s">
        <v>681</v>
      </c>
      <c r="BI529" s="442"/>
    </row>
    <row r="530" spans="1:61">
      <c r="A530" s="442" t="s">
        <v>1035</v>
      </c>
      <c r="B530" s="442" t="s">
        <v>843</v>
      </c>
      <c r="C530" s="442" t="s">
        <v>843</v>
      </c>
      <c r="D530" s="442" t="s">
        <v>724</v>
      </c>
      <c r="E530" s="442" t="s">
        <v>3</v>
      </c>
      <c r="F530" s="443" t="s">
        <v>83</v>
      </c>
      <c r="G530" s="443" t="s">
        <v>700</v>
      </c>
      <c r="H530" s="444">
        <v>673200</v>
      </c>
      <c r="I530" s="444">
        <v>673200</v>
      </c>
      <c r="J530" s="444">
        <v>0</v>
      </c>
      <c r="K530" s="444">
        <v>0</v>
      </c>
      <c r="L530" s="444">
        <v>612000</v>
      </c>
      <c r="M530" s="444">
        <v>0</v>
      </c>
      <c r="N530" s="444">
        <v>0</v>
      </c>
      <c r="O530" s="444">
        <v>61200</v>
      </c>
      <c r="P530" s="444">
        <v>0</v>
      </c>
      <c r="Q530" s="444">
        <v>0</v>
      </c>
      <c r="R530" s="444">
        <v>0</v>
      </c>
      <c r="S530" s="444">
        <v>0</v>
      </c>
      <c r="T530" s="444">
        <v>0</v>
      </c>
      <c r="U530" s="444">
        <v>0</v>
      </c>
      <c r="V530" s="444">
        <v>0</v>
      </c>
      <c r="W530" s="444">
        <v>0</v>
      </c>
      <c r="X530" s="442" t="s">
        <v>674</v>
      </c>
      <c r="Y530" s="442" t="s">
        <v>675</v>
      </c>
      <c r="Z530" s="442" t="s">
        <v>675</v>
      </c>
      <c r="AA530" s="442" t="s">
        <v>675</v>
      </c>
      <c r="AB530" s="442" t="s">
        <v>675</v>
      </c>
      <c r="AC530" s="442"/>
      <c r="AD530" s="442"/>
      <c r="AE530" s="442"/>
      <c r="AF530" s="442"/>
      <c r="AG530" s="443" t="s">
        <v>844</v>
      </c>
      <c r="AH530" s="442"/>
      <c r="AI530" s="443" t="s">
        <v>844</v>
      </c>
      <c r="AJ530" s="443" t="s">
        <v>1039</v>
      </c>
      <c r="AK530" s="442" t="s">
        <v>677</v>
      </c>
      <c r="AL530" s="442"/>
      <c r="AM530" s="442" t="s">
        <v>726</v>
      </c>
      <c r="AN530" s="442" t="s">
        <v>1044</v>
      </c>
      <c r="AO530" s="442" t="s">
        <v>1035</v>
      </c>
      <c r="AP530" s="442" t="s">
        <v>1010</v>
      </c>
      <c r="AQ530" s="442" t="s">
        <v>821</v>
      </c>
      <c r="AR530" s="444">
        <v>673200</v>
      </c>
      <c r="AS530" s="442" t="s">
        <v>675</v>
      </c>
      <c r="AT530" s="444">
        <v>0</v>
      </c>
      <c r="AU530" s="442" t="s">
        <v>678</v>
      </c>
      <c r="AV530" s="442" t="s">
        <v>677</v>
      </c>
      <c r="AW530" s="442" t="s">
        <v>676</v>
      </c>
      <c r="AX530" s="442" t="s">
        <v>674</v>
      </c>
      <c r="AY530" s="442"/>
      <c r="AZ530" s="442"/>
      <c r="BA530" s="442" t="s">
        <v>679</v>
      </c>
      <c r="BB530" s="442"/>
      <c r="BC530" s="442"/>
      <c r="BD530" s="442"/>
      <c r="BE530" s="444"/>
      <c r="BF530" s="442" t="s">
        <v>298</v>
      </c>
      <c r="BG530" s="442" t="s">
        <v>680</v>
      </c>
      <c r="BH530" s="442" t="s">
        <v>681</v>
      </c>
      <c r="BI530" s="442"/>
    </row>
    <row r="531" spans="1:61">
      <c r="A531" s="442" t="s">
        <v>1035</v>
      </c>
      <c r="B531" s="442" t="s">
        <v>843</v>
      </c>
      <c r="C531" s="442" t="s">
        <v>843</v>
      </c>
      <c r="D531" s="442" t="s">
        <v>724</v>
      </c>
      <c r="E531" s="442" t="s">
        <v>3</v>
      </c>
      <c r="F531" s="443" t="s">
        <v>83</v>
      </c>
      <c r="G531" s="443" t="s">
        <v>700</v>
      </c>
      <c r="H531" s="444">
        <v>633600</v>
      </c>
      <c r="I531" s="444">
        <v>633600</v>
      </c>
      <c r="J531" s="444">
        <v>0</v>
      </c>
      <c r="K531" s="444">
        <v>0</v>
      </c>
      <c r="L531" s="444">
        <v>633600</v>
      </c>
      <c r="M531" s="444">
        <v>0</v>
      </c>
      <c r="N531" s="444">
        <v>0</v>
      </c>
      <c r="O531" s="444">
        <v>0</v>
      </c>
      <c r="P531" s="444">
        <v>0</v>
      </c>
      <c r="Q531" s="444">
        <v>0</v>
      </c>
      <c r="R531" s="444">
        <v>0</v>
      </c>
      <c r="S531" s="444">
        <v>0</v>
      </c>
      <c r="T531" s="444">
        <v>0</v>
      </c>
      <c r="U531" s="444">
        <v>0</v>
      </c>
      <c r="V531" s="444">
        <v>0</v>
      </c>
      <c r="W531" s="444">
        <v>0</v>
      </c>
      <c r="X531" s="442" t="s">
        <v>674</v>
      </c>
      <c r="Y531" s="442" t="s">
        <v>675</v>
      </c>
      <c r="Z531" s="442" t="s">
        <v>675</v>
      </c>
      <c r="AA531" s="442" t="s">
        <v>675</v>
      </c>
      <c r="AB531" s="442" t="s">
        <v>675</v>
      </c>
      <c r="AC531" s="442"/>
      <c r="AD531" s="442"/>
      <c r="AE531" s="442"/>
      <c r="AF531" s="442"/>
      <c r="AG531" s="443" t="s">
        <v>844</v>
      </c>
      <c r="AH531" s="442"/>
      <c r="AI531" s="443" t="s">
        <v>844</v>
      </c>
      <c r="AJ531" s="443" t="s">
        <v>771</v>
      </c>
      <c r="AK531" s="442" t="s">
        <v>677</v>
      </c>
      <c r="AL531" s="442"/>
      <c r="AM531" s="442" t="s">
        <v>726</v>
      </c>
      <c r="AN531" s="442" t="s">
        <v>1045</v>
      </c>
      <c r="AO531" s="442" t="s">
        <v>1035</v>
      </c>
      <c r="AP531" s="442" t="s">
        <v>1005</v>
      </c>
      <c r="AQ531" s="442" t="s">
        <v>821</v>
      </c>
      <c r="AR531" s="444">
        <v>633600</v>
      </c>
      <c r="AS531" s="442" t="s">
        <v>675</v>
      </c>
      <c r="AT531" s="444">
        <v>0</v>
      </c>
      <c r="AU531" s="442" t="s">
        <v>678</v>
      </c>
      <c r="AV531" s="442" t="s">
        <v>677</v>
      </c>
      <c r="AW531" s="442" t="s">
        <v>676</v>
      </c>
      <c r="AX531" s="442" t="s">
        <v>674</v>
      </c>
      <c r="AY531" s="442"/>
      <c r="AZ531" s="442"/>
      <c r="BA531" s="442" t="s">
        <v>679</v>
      </c>
      <c r="BB531" s="442"/>
      <c r="BC531" s="442"/>
      <c r="BD531" s="442"/>
      <c r="BE531" s="444"/>
      <c r="BF531" s="442" t="s">
        <v>298</v>
      </c>
      <c r="BG531" s="442" t="s">
        <v>680</v>
      </c>
      <c r="BH531" s="442" t="s">
        <v>681</v>
      </c>
      <c r="BI531" s="442"/>
    </row>
    <row r="532" spans="1:61">
      <c r="A532" s="442" t="s">
        <v>1035</v>
      </c>
      <c r="B532" s="442" t="s">
        <v>843</v>
      </c>
      <c r="C532" s="442" t="s">
        <v>843</v>
      </c>
      <c r="D532" s="442" t="s">
        <v>724</v>
      </c>
      <c r="E532" s="442" t="s">
        <v>3</v>
      </c>
      <c r="F532" s="443" t="s">
        <v>83</v>
      </c>
      <c r="G532" s="443" t="s">
        <v>700</v>
      </c>
      <c r="H532" s="444">
        <v>1389600</v>
      </c>
      <c r="I532" s="444">
        <v>1389600</v>
      </c>
      <c r="J532" s="444">
        <v>0</v>
      </c>
      <c r="K532" s="444">
        <v>0</v>
      </c>
      <c r="L532" s="444">
        <v>1389600</v>
      </c>
      <c r="M532" s="444">
        <v>0</v>
      </c>
      <c r="N532" s="444">
        <v>0</v>
      </c>
      <c r="O532" s="444">
        <v>0</v>
      </c>
      <c r="P532" s="444">
        <v>0</v>
      </c>
      <c r="Q532" s="444">
        <v>0</v>
      </c>
      <c r="R532" s="444">
        <v>0</v>
      </c>
      <c r="S532" s="444">
        <v>0</v>
      </c>
      <c r="T532" s="444">
        <v>0</v>
      </c>
      <c r="U532" s="444">
        <v>0</v>
      </c>
      <c r="V532" s="444">
        <v>0</v>
      </c>
      <c r="W532" s="444">
        <v>0</v>
      </c>
      <c r="X532" s="442" t="s">
        <v>674</v>
      </c>
      <c r="Y532" s="442" t="s">
        <v>675</v>
      </c>
      <c r="Z532" s="442" t="s">
        <v>675</v>
      </c>
      <c r="AA532" s="442" t="s">
        <v>675</v>
      </c>
      <c r="AB532" s="442" t="s">
        <v>675</v>
      </c>
      <c r="AC532" s="442"/>
      <c r="AD532" s="442"/>
      <c r="AE532" s="442"/>
      <c r="AF532" s="442"/>
      <c r="AG532" s="443" t="s">
        <v>844</v>
      </c>
      <c r="AH532" s="442"/>
      <c r="AI532" s="443" t="s">
        <v>844</v>
      </c>
      <c r="AJ532" s="443" t="s">
        <v>771</v>
      </c>
      <c r="AK532" s="442" t="s">
        <v>677</v>
      </c>
      <c r="AL532" s="442"/>
      <c r="AM532" s="442" t="s">
        <v>726</v>
      </c>
      <c r="AN532" s="442" t="s">
        <v>1046</v>
      </c>
      <c r="AO532" s="442" t="s">
        <v>1035</v>
      </c>
      <c r="AP532" s="442" t="s">
        <v>1005</v>
      </c>
      <c r="AQ532" s="442" t="s">
        <v>821</v>
      </c>
      <c r="AR532" s="444">
        <v>1389600</v>
      </c>
      <c r="AS532" s="442" t="s">
        <v>675</v>
      </c>
      <c r="AT532" s="444">
        <v>0</v>
      </c>
      <c r="AU532" s="442" t="s">
        <v>678</v>
      </c>
      <c r="AV532" s="442" t="s">
        <v>677</v>
      </c>
      <c r="AW532" s="442" t="s">
        <v>676</v>
      </c>
      <c r="AX532" s="442" t="s">
        <v>674</v>
      </c>
      <c r="AY532" s="442"/>
      <c r="AZ532" s="442"/>
      <c r="BA532" s="442" t="s">
        <v>679</v>
      </c>
      <c r="BB532" s="442"/>
      <c r="BC532" s="442"/>
      <c r="BD532" s="442"/>
      <c r="BE532" s="444"/>
      <c r="BF532" s="442" t="s">
        <v>298</v>
      </c>
      <c r="BG532" s="442" t="s">
        <v>680</v>
      </c>
      <c r="BH532" s="442" t="s">
        <v>681</v>
      </c>
      <c r="BI532" s="442"/>
    </row>
    <row r="533" spans="1:61">
      <c r="A533" s="442" t="s">
        <v>1035</v>
      </c>
      <c r="B533" s="442" t="s">
        <v>843</v>
      </c>
      <c r="C533" s="442" t="s">
        <v>843</v>
      </c>
      <c r="D533" s="442" t="s">
        <v>724</v>
      </c>
      <c r="E533" s="442" t="s">
        <v>3</v>
      </c>
      <c r="F533" s="443" t="s">
        <v>83</v>
      </c>
      <c r="G533" s="443" t="s">
        <v>700</v>
      </c>
      <c r="H533" s="444">
        <v>807000</v>
      </c>
      <c r="I533" s="444">
        <v>807000</v>
      </c>
      <c r="J533" s="444">
        <v>0</v>
      </c>
      <c r="K533" s="444">
        <v>0</v>
      </c>
      <c r="L533" s="444">
        <v>733637</v>
      </c>
      <c r="M533" s="444">
        <v>0</v>
      </c>
      <c r="N533" s="444">
        <v>0</v>
      </c>
      <c r="O533" s="444">
        <v>73363</v>
      </c>
      <c r="P533" s="444">
        <v>0</v>
      </c>
      <c r="Q533" s="444">
        <v>0</v>
      </c>
      <c r="R533" s="444">
        <v>0</v>
      </c>
      <c r="S533" s="444">
        <v>0</v>
      </c>
      <c r="T533" s="444">
        <v>0</v>
      </c>
      <c r="U533" s="444">
        <v>0</v>
      </c>
      <c r="V533" s="444">
        <v>0</v>
      </c>
      <c r="W533" s="444">
        <v>0</v>
      </c>
      <c r="X533" s="442" t="s">
        <v>674</v>
      </c>
      <c r="Y533" s="442" t="s">
        <v>675</v>
      </c>
      <c r="Z533" s="442" t="s">
        <v>675</v>
      </c>
      <c r="AA533" s="442" t="s">
        <v>675</v>
      </c>
      <c r="AB533" s="442" t="s">
        <v>675</v>
      </c>
      <c r="AC533" s="442"/>
      <c r="AD533" s="442"/>
      <c r="AE533" s="442"/>
      <c r="AF533" s="442"/>
      <c r="AG533" s="443" t="s">
        <v>844</v>
      </c>
      <c r="AH533" s="442"/>
      <c r="AI533" s="443" t="s">
        <v>844</v>
      </c>
      <c r="AJ533" s="443" t="s">
        <v>1036</v>
      </c>
      <c r="AK533" s="442" t="s">
        <v>677</v>
      </c>
      <c r="AL533" s="442"/>
      <c r="AM533" s="442" t="s">
        <v>726</v>
      </c>
      <c r="AN533" s="442" t="s">
        <v>1047</v>
      </c>
      <c r="AO533" s="442" t="s">
        <v>1035</v>
      </c>
      <c r="AP533" s="442" t="s">
        <v>1010</v>
      </c>
      <c r="AQ533" s="442" t="s">
        <v>821</v>
      </c>
      <c r="AR533" s="444">
        <v>807000</v>
      </c>
      <c r="AS533" s="442" t="s">
        <v>675</v>
      </c>
      <c r="AT533" s="444">
        <v>0</v>
      </c>
      <c r="AU533" s="442" t="s">
        <v>678</v>
      </c>
      <c r="AV533" s="442" t="s">
        <v>677</v>
      </c>
      <c r="AW533" s="442" t="s">
        <v>676</v>
      </c>
      <c r="AX533" s="442" t="s">
        <v>674</v>
      </c>
      <c r="AY533" s="442"/>
      <c r="AZ533" s="442"/>
      <c r="BA533" s="442" t="s">
        <v>679</v>
      </c>
      <c r="BB533" s="442"/>
      <c r="BC533" s="442"/>
      <c r="BD533" s="442"/>
      <c r="BE533" s="444"/>
      <c r="BF533" s="442" t="s">
        <v>298</v>
      </c>
      <c r="BG533" s="442" t="s">
        <v>680</v>
      </c>
      <c r="BH533" s="442" t="s">
        <v>681</v>
      </c>
      <c r="BI533" s="442"/>
    </row>
    <row r="534" spans="1:61">
      <c r="A534" s="442" t="s">
        <v>1035</v>
      </c>
      <c r="B534" s="442" t="s">
        <v>843</v>
      </c>
      <c r="C534" s="442" t="s">
        <v>843</v>
      </c>
      <c r="D534" s="442" t="s">
        <v>724</v>
      </c>
      <c r="E534" s="442" t="s">
        <v>3</v>
      </c>
      <c r="F534" s="443" t="s">
        <v>83</v>
      </c>
      <c r="G534" s="443" t="s">
        <v>700</v>
      </c>
      <c r="H534" s="444">
        <v>673200</v>
      </c>
      <c r="I534" s="444">
        <v>673200</v>
      </c>
      <c r="J534" s="444">
        <v>0</v>
      </c>
      <c r="K534" s="444">
        <v>0</v>
      </c>
      <c r="L534" s="444">
        <v>612000</v>
      </c>
      <c r="M534" s="444">
        <v>0</v>
      </c>
      <c r="N534" s="444">
        <v>0</v>
      </c>
      <c r="O534" s="444">
        <v>61200</v>
      </c>
      <c r="P534" s="444">
        <v>0</v>
      </c>
      <c r="Q534" s="444">
        <v>0</v>
      </c>
      <c r="R534" s="444">
        <v>0</v>
      </c>
      <c r="S534" s="444">
        <v>0</v>
      </c>
      <c r="T534" s="444">
        <v>0</v>
      </c>
      <c r="U534" s="444">
        <v>0</v>
      </c>
      <c r="V534" s="444">
        <v>0</v>
      </c>
      <c r="W534" s="444">
        <v>0</v>
      </c>
      <c r="X534" s="442" t="s">
        <v>674</v>
      </c>
      <c r="Y534" s="442" t="s">
        <v>675</v>
      </c>
      <c r="Z534" s="442" t="s">
        <v>675</v>
      </c>
      <c r="AA534" s="442" t="s">
        <v>675</v>
      </c>
      <c r="AB534" s="442" t="s">
        <v>675</v>
      </c>
      <c r="AC534" s="442"/>
      <c r="AD534" s="442"/>
      <c r="AE534" s="442"/>
      <c r="AF534" s="442"/>
      <c r="AG534" s="443" t="s">
        <v>844</v>
      </c>
      <c r="AH534" s="442"/>
      <c r="AI534" s="443" t="s">
        <v>844</v>
      </c>
      <c r="AJ534" s="443" t="s">
        <v>1039</v>
      </c>
      <c r="AK534" s="442" t="s">
        <v>677</v>
      </c>
      <c r="AL534" s="442"/>
      <c r="AM534" s="442" t="s">
        <v>726</v>
      </c>
      <c r="AN534" s="442" t="s">
        <v>1048</v>
      </c>
      <c r="AO534" s="442" t="s">
        <v>1035</v>
      </c>
      <c r="AP534" s="442" t="s">
        <v>1010</v>
      </c>
      <c r="AQ534" s="442" t="s">
        <v>821</v>
      </c>
      <c r="AR534" s="444">
        <v>673200</v>
      </c>
      <c r="AS534" s="442" t="s">
        <v>675</v>
      </c>
      <c r="AT534" s="444">
        <v>0</v>
      </c>
      <c r="AU534" s="442" t="s">
        <v>678</v>
      </c>
      <c r="AV534" s="442" t="s">
        <v>677</v>
      </c>
      <c r="AW534" s="442" t="s">
        <v>676</v>
      </c>
      <c r="AX534" s="442" t="s">
        <v>674</v>
      </c>
      <c r="AY534" s="442"/>
      <c r="AZ534" s="442"/>
      <c r="BA534" s="442" t="s">
        <v>679</v>
      </c>
      <c r="BB534" s="442"/>
      <c r="BC534" s="442"/>
      <c r="BD534" s="442"/>
      <c r="BE534" s="444"/>
      <c r="BF534" s="442" t="s">
        <v>298</v>
      </c>
      <c r="BG534" s="442" t="s">
        <v>680</v>
      </c>
      <c r="BH534" s="442" t="s">
        <v>681</v>
      </c>
      <c r="BI534" s="442"/>
    </row>
    <row r="535" spans="1:61">
      <c r="A535" s="442" t="s">
        <v>1035</v>
      </c>
      <c r="B535" s="442" t="s">
        <v>843</v>
      </c>
      <c r="C535" s="442" t="s">
        <v>843</v>
      </c>
      <c r="D535" s="442" t="s">
        <v>724</v>
      </c>
      <c r="E535" s="442" t="s">
        <v>3</v>
      </c>
      <c r="F535" s="443" t="s">
        <v>83</v>
      </c>
      <c r="G535" s="443" t="s">
        <v>700</v>
      </c>
      <c r="H535" s="444">
        <v>1632600</v>
      </c>
      <c r="I535" s="444">
        <v>1632600</v>
      </c>
      <c r="J535" s="444">
        <v>0</v>
      </c>
      <c r="K535" s="444">
        <v>0</v>
      </c>
      <c r="L535" s="444">
        <v>1632600</v>
      </c>
      <c r="M535" s="444">
        <v>0</v>
      </c>
      <c r="N535" s="444">
        <v>0</v>
      </c>
      <c r="O535" s="444">
        <v>0</v>
      </c>
      <c r="P535" s="444">
        <v>0</v>
      </c>
      <c r="Q535" s="444">
        <v>0</v>
      </c>
      <c r="R535" s="444">
        <v>0</v>
      </c>
      <c r="S535" s="444">
        <v>0</v>
      </c>
      <c r="T535" s="444">
        <v>0</v>
      </c>
      <c r="U535" s="444">
        <v>0</v>
      </c>
      <c r="V535" s="444">
        <v>0</v>
      </c>
      <c r="W535" s="444">
        <v>0</v>
      </c>
      <c r="X535" s="442" t="s">
        <v>674</v>
      </c>
      <c r="Y535" s="442" t="s">
        <v>675</v>
      </c>
      <c r="Z535" s="442" t="s">
        <v>675</v>
      </c>
      <c r="AA535" s="442" t="s">
        <v>675</v>
      </c>
      <c r="AB535" s="442" t="s">
        <v>675</v>
      </c>
      <c r="AC535" s="442"/>
      <c r="AD535" s="442"/>
      <c r="AE535" s="442"/>
      <c r="AF535" s="442"/>
      <c r="AG535" s="443" t="s">
        <v>844</v>
      </c>
      <c r="AH535" s="442"/>
      <c r="AI535" s="443" t="s">
        <v>844</v>
      </c>
      <c r="AJ535" s="443" t="s">
        <v>771</v>
      </c>
      <c r="AK535" s="442" t="s">
        <v>677</v>
      </c>
      <c r="AL535" s="442"/>
      <c r="AM535" s="442" t="s">
        <v>726</v>
      </c>
      <c r="AN535" s="442" t="s">
        <v>1049</v>
      </c>
      <c r="AO535" s="442" t="s">
        <v>1035</v>
      </c>
      <c r="AP535" s="442" t="s">
        <v>1005</v>
      </c>
      <c r="AQ535" s="442" t="s">
        <v>821</v>
      </c>
      <c r="AR535" s="444">
        <v>1632600</v>
      </c>
      <c r="AS535" s="442" t="s">
        <v>675</v>
      </c>
      <c r="AT535" s="444">
        <v>0</v>
      </c>
      <c r="AU535" s="442" t="s">
        <v>678</v>
      </c>
      <c r="AV535" s="442" t="s">
        <v>677</v>
      </c>
      <c r="AW535" s="442" t="s">
        <v>676</v>
      </c>
      <c r="AX535" s="442" t="s">
        <v>674</v>
      </c>
      <c r="AY535" s="442"/>
      <c r="AZ535" s="442"/>
      <c r="BA535" s="442" t="s">
        <v>679</v>
      </c>
      <c r="BB535" s="442"/>
      <c r="BC535" s="442"/>
      <c r="BD535" s="442"/>
      <c r="BE535" s="444"/>
      <c r="BF535" s="442" t="s">
        <v>298</v>
      </c>
      <c r="BG535" s="442" t="s">
        <v>680</v>
      </c>
      <c r="BH535" s="442" t="s">
        <v>681</v>
      </c>
      <c r="BI535" s="442"/>
    </row>
    <row r="536" spans="1:61">
      <c r="A536" s="442" t="s">
        <v>1005</v>
      </c>
      <c r="B536" s="442" t="s">
        <v>1005</v>
      </c>
      <c r="C536" s="442" t="s">
        <v>1035</v>
      </c>
      <c r="D536" s="442" t="s">
        <v>673</v>
      </c>
      <c r="E536" s="442" t="s">
        <v>3</v>
      </c>
      <c r="F536" s="443" t="s">
        <v>7</v>
      </c>
      <c r="G536" s="443" t="s">
        <v>684</v>
      </c>
      <c r="H536" s="444">
        <v>116470</v>
      </c>
      <c r="I536" s="444">
        <v>116470</v>
      </c>
      <c r="J536" s="444">
        <v>0</v>
      </c>
      <c r="K536" s="444">
        <v>0</v>
      </c>
      <c r="L536" s="444">
        <v>116470</v>
      </c>
      <c r="M536" s="444">
        <v>0</v>
      </c>
      <c r="N536" s="444">
        <v>0</v>
      </c>
      <c r="O536" s="444">
        <v>0</v>
      </c>
      <c r="P536" s="444">
        <v>0</v>
      </c>
      <c r="Q536" s="444">
        <v>0</v>
      </c>
      <c r="R536" s="444">
        <v>0</v>
      </c>
      <c r="S536" s="444">
        <v>0</v>
      </c>
      <c r="T536" s="444">
        <v>0</v>
      </c>
      <c r="U536" s="444">
        <v>0</v>
      </c>
      <c r="V536" s="444">
        <v>0</v>
      </c>
      <c r="W536" s="444">
        <v>0</v>
      </c>
      <c r="X536" s="442" t="s">
        <v>674</v>
      </c>
      <c r="Y536" s="442" t="s">
        <v>675</v>
      </c>
      <c r="Z536" s="442" t="s">
        <v>675</v>
      </c>
      <c r="AA536" s="442" t="s">
        <v>675</v>
      </c>
      <c r="AB536" s="442" t="s">
        <v>675</v>
      </c>
      <c r="AC536" s="442"/>
      <c r="AD536" s="442"/>
      <c r="AE536" s="442"/>
      <c r="AF536" s="442"/>
      <c r="AG536" s="443" t="s">
        <v>1050</v>
      </c>
      <c r="AH536" s="442"/>
      <c r="AI536" s="443" t="s">
        <v>1050</v>
      </c>
      <c r="AJ536" s="443" t="s">
        <v>677</v>
      </c>
      <c r="AK536" s="442" t="s">
        <v>677</v>
      </c>
      <c r="AL536" s="442"/>
      <c r="AM536" s="442"/>
      <c r="AN536" s="442"/>
      <c r="AO536" s="442"/>
      <c r="AP536" s="442"/>
      <c r="AQ536" s="442"/>
      <c r="AR536" s="444"/>
      <c r="AS536" s="442"/>
      <c r="AT536" s="444"/>
      <c r="AU536" s="442" t="s">
        <v>678</v>
      </c>
      <c r="AV536" s="442" t="s">
        <v>677</v>
      </c>
      <c r="AW536" s="442" t="s">
        <v>676</v>
      </c>
      <c r="AX536" s="442" t="s">
        <v>674</v>
      </c>
      <c r="AY536" s="442"/>
      <c r="AZ536" s="442"/>
      <c r="BA536" s="442" t="s">
        <v>679</v>
      </c>
      <c r="BB536" s="442"/>
      <c r="BC536" s="442"/>
      <c r="BD536" s="442"/>
      <c r="BE536" s="444"/>
      <c r="BF536" s="442" t="s">
        <v>298</v>
      </c>
      <c r="BG536" s="442" t="s">
        <v>680</v>
      </c>
      <c r="BH536" s="442" t="s">
        <v>681</v>
      </c>
      <c r="BI536" s="442"/>
    </row>
    <row r="537" spans="1:61">
      <c r="A537" s="442" t="s">
        <v>1005</v>
      </c>
      <c r="B537" s="442" t="s">
        <v>1005</v>
      </c>
      <c r="C537" s="442" t="s">
        <v>1035</v>
      </c>
      <c r="D537" s="442" t="s">
        <v>673</v>
      </c>
      <c r="E537" s="442" t="s">
        <v>3</v>
      </c>
      <c r="F537" s="443" t="s">
        <v>7</v>
      </c>
      <c r="G537" s="443" t="s">
        <v>684</v>
      </c>
      <c r="H537" s="444">
        <v>1593430</v>
      </c>
      <c r="I537" s="444">
        <v>969798</v>
      </c>
      <c r="J537" s="444">
        <v>0</v>
      </c>
      <c r="K537" s="444">
        <v>623632</v>
      </c>
      <c r="L537" s="444">
        <v>969798</v>
      </c>
      <c r="M537" s="444">
        <v>0</v>
      </c>
      <c r="N537" s="444">
        <v>623632</v>
      </c>
      <c r="O537" s="444">
        <v>0</v>
      </c>
      <c r="P537" s="444">
        <v>0</v>
      </c>
      <c r="Q537" s="444">
        <v>0</v>
      </c>
      <c r="R537" s="444">
        <v>0</v>
      </c>
      <c r="S537" s="444">
        <v>0</v>
      </c>
      <c r="T537" s="444">
        <v>0</v>
      </c>
      <c r="U537" s="444">
        <v>0</v>
      </c>
      <c r="V537" s="444">
        <v>0</v>
      </c>
      <c r="W537" s="444">
        <v>0</v>
      </c>
      <c r="X537" s="442" t="s">
        <v>674</v>
      </c>
      <c r="Y537" s="442" t="s">
        <v>675</v>
      </c>
      <c r="Z537" s="442" t="s">
        <v>675</v>
      </c>
      <c r="AA537" s="442" t="s">
        <v>675</v>
      </c>
      <c r="AB537" s="442" t="s">
        <v>675</v>
      </c>
      <c r="AC537" s="442"/>
      <c r="AD537" s="442"/>
      <c r="AE537" s="442"/>
      <c r="AF537" s="442"/>
      <c r="AG537" s="443" t="s">
        <v>1051</v>
      </c>
      <c r="AH537" s="442"/>
      <c r="AI537" s="443" t="s">
        <v>1051</v>
      </c>
      <c r="AJ537" s="443" t="s">
        <v>677</v>
      </c>
      <c r="AK537" s="442" t="s">
        <v>677</v>
      </c>
      <c r="AL537" s="442"/>
      <c r="AM537" s="442"/>
      <c r="AN537" s="442"/>
      <c r="AO537" s="442"/>
      <c r="AP537" s="442"/>
      <c r="AQ537" s="442"/>
      <c r="AR537" s="444"/>
      <c r="AS537" s="442"/>
      <c r="AT537" s="444"/>
      <c r="AU537" s="442" t="s">
        <v>678</v>
      </c>
      <c r="AV537" s="442" t="s">
        <v>677</v>
      </c>
      <c r="AW537" s="442" t="s">
        <v>676</v>
      </c>
      <c r="AX537" s="442" t="s">
        <v>674</v>
      </c>
      <c r="AY537" s="442"/>
      <c r="AZ537" s="442"/>
      <c r="BA537" s="442" t="s">
        <v>679</v>
      </c>
      <c r="BB537" s="442"/>
      <c r="BC537" s="442"/>
      <c r="BD537" s="442"/>
      <c r="BE537" s="444"/>
      <c r="BF537" s="442" t="s">
        <v>298</v>
      </c>
      <c r="BG537" s="442" t="s">
        <v>680</v>
      </c>
      <c r="BH537" s="442" t="s">
        <v>681</v>
      </c>
      <c r="BI537" s="442"/>
    </row>
    <row r="538" spans="1:61">
      <c r="A538" s="442" t="s">
        <v>1005</v>
      </c>
      <c r="B538" s="442" t="s">
        <v>1005</v>
      </c>
      <c r="C538" s="442" t="s">
        <v>1035</v>
      </c>
      <c r="D538" s="442" t="s">
        <v>673</v>
      </c>
      <c r="E538" s="442" t="s">
        <v>3</v>
      </c>
      <c r="F538" s="443" t="s">
        <v>7</v>
      </c>
      <c r="G538" s="443" t="s">
        <v>684</v>
      </c>
      <c r="H538" s="444">
        <v>14120</v>
      </c>
      <c r="I538" s="444">
        <v>14120</v>
      </c>
      <c r="J538" s="444">
        <v>0</v>
      </c>
      <c r="K538" s="444">
        <v>0</v>
      </c>
      <c r="L538" s="444">
        <v>14120</v>
      </c>
      <c r="M538" s="444">
        <v>0</v>
      </c>
      <c r="N538" s="444">
        <v>0</v>
      </c>
      <c r="O538" s="444">
        <v>0</v>
      </c>
      <c r="P538" s="444">
        <v>0</v>
      </c>
      <c r="Q538" s="444">
        <v>0</v>
      </c>
      <c r="R538" s="444">
        <v>0</v>
      </c>
      <c r="S538" s="444">
        <v>0</v>
      </c>
      <c r="T538" s="444">
        <v>0</v>
      </c>
      <c r="U538" s="444">
        <v>0</v>
      </c>
      <c r="V538" s="444">
        <v>0</v>
      </c>
      <c r="W538" s="444">
        <v>0</v>
      </c>
      <c r="X538" s="442" t="s">
        <v>674</v>
      </c>
      <c r="Y538" s="442" t="s">
        <v>675</v>
      </c>
      <c r="Z538" s="442" t="s">
        <v>675</v>
      </c>
      <c r="AA538" s="442" t="s">
        <v>675</v>
      </c>
      <c r="AB538" s="442" t="s">
        <v>675</v>
      </c>
      <c r="AC538" s="442"/>
      <c r="AD538" s="442"/>
      <c r="AE538" s="442"/>
      <c r="AF538" s="442"/>
      <c r="AG538" s="443" t="s">
        <v>1052</v>
      </c>
      <c r="AH538" s="442"/>
      <c r="AI538" s="443" t="s">
        <v>1052</v>
      </c>
      <c r="AJ538" s="443" t="s">
        <v>677</v>
      </c>
      <c r="AK538" s="442" t="s">
        <v>677</v>
      </c>
      <c r="AL538" s="442"/>
      <c r="AM538" s="442"/>
      <c r="AN538" s="442"/>
      <c r="AO538" s="442"/>
      <c r="AP538" s="442"/>
      <c r="AQ538" s="442"/>
      <c r="AR538" s="444"/>
      <c r="AS538" s="442"/>
      <c r="AT538" s="444"/>
      <c r="AU538" s="442" t="s">
        <v>678</v>
      </c>
      <c r="AV538" s="442" t="s">
        <v>677</v>
      </c>
      <c r="AW538" s="442" t="s">
        <v>676</v>
      </c>
      <c r="AX538" s="442" t="s">
        <v>674</v>
      </c>
      <c r="AY538" s="442"/>
      <c r="AZ538" s="442"/>
      <c r="BA538" s="442" t="s">
        <v>679</v>
      </c>
      <c r="BB538" s="442"/>
      <c r="BC538" s="442"/>
      <c r="BD538" s="442"/>
      <c r="BE538" s="444"/>
      <c r="BF538" s="442" t="s">
        <v>298</v>
      </c>
      <c r="BG538" s="442" t="s">
        <v>680</v>
      </c>
      <c r="BH538" s="442" t="s">
        <v>681</v>
      </c>
      <c r="BI538" s="442"/>
    </row>
    <row r="539" spans="1:61">
      <c r="A539" s="442" t="s">
        <v>1005</v>
      </c>
      <c r="B539" s="442" t="s">
        <v>1005</v>
      </c>
      <c r="C539" s="442" t="s">
        <v>1035</v>
      </c>
      <c r="D539" s="442" t="s">
        <v>673</v>
      </c>
      <c r="E539" s="442" t="s">
        <v>3</v>
      </c>
      <c r="F539" s="443" t="s">
        <v>7</v>
      </c>
      <c r="G539" s="443" t="s">
        <v>684</v>
      </c>
      <c r="H539" s="444">
        <v>80290</v>
      </c>
      <c r="I539" s="444">
        <v>80290</v>
      </c>
      <c r="J539" s="444">
        <v>0</v>
      </c>
      <c r="K539" s="444">
        <v>0</v>
      </c>
      <c r="L539" s="444">
        <v>80290</v>
      </c>
      <c r="M539" s="444">
        <v>0</v>
      </c>
      <c r="N539" s="444">
        <v>0</v>
      </c>
      <c r="O539" s="444">
        <v>0</v>
      </c>
      <c r="P539" s="444">
        <v>0</v>
      </c>
      <c r="Q539" s="444">
        <v>0</v>
      </c>
      <c r="R539" s="444">
        <v>0</v>
      </c>
      <c r="S539" s="444">
        <v>0</v>
      </c>
      <c r="T539" s="444">
        <v>0</v>
      </c>
      <c r="U539" s="444">
        <v>0</v>
      </c>
      <c r="V539" s="444">
        <v>0</v>
      </c>
      <c r="W539" s="444">
        <v>0</v>
      </c>
      <c r="X539" s="442" t="s">
        <v>674</v>
      </c>
      <c r="Y539" s="442" t="s">
        <v>675</v>
      </c>
      <c r="Z539" s="442" t="s">
        <v>675</v>
      </c>
      <c r="AA539" s="442" t="s">
        <v>675</v>
      </c>
      <c r="AB539" s="442" t="s">
        <v>675</v>
      </c>
      <c r="AC539" s="442"/>
      <c r="AD539" s="442"/>
      <c r="AE539" s="442"/>
      <c r="AF539" s="442"/>
      <c r="AG539" s="443" t="s">
        <v>1053</v>
      </c>
      <c r="AH539" s="442"/>
      <c r="AI539" s="443" t="s">
        <v>1053</v>
      </c>
      <c r="AJ539" s="443" t="s">
        <v>677</v>
      </c>
      <c r="AK539" s="442" t="s">
        <v>677</v>
      </c>
      <c r="AL539" s="442"/>
      <c r="AM539" s="442"/>
      <c r="AN539" s="442"/>
      <c r="AO539" s="442"/>
      <c r="AP539" s="442"/>
      <c r="AQ539" s="442"/>
      <c r="AR539" s="444"/>
      <c r="AS539" s="442"/>
      <c r="AT539" s="444"/>
      <c r="AU539" s="442" t="s">
        <v>678</v>
      </c>
      <c r="AV539" s="442" t="s">
        <v>677</v>
      </c>
      <c r="AW539" s="442" t="s">
        <v>676</v>
      </c>
      <c r="AX539" s="442" t="s">
        <v>674</v>
      </c>
      <c r="AY539" s="442"/>
      <c r="AZ539" s="442"/>
      <c r="BA539" s="442" t="s">
        <v>679</v>
      </c>
      <c r="BB539" s="442"/>
      <c r="BC539" s="442"/>
      <c r="BD539" s="442"/>
      <c r="BE539" s="444"/>
      <c r="BF539" s="442" t="s">
        <v>298</v>
      </c>
      <c r="BG539" s="442" t="s">
        <v>680</v>
      </c>
      <c r="BH539" s="442" t="s">
        <v>681</v>
      </c>
      <c r="BI539" s="442"/>
    </row>
    <row r="540" spans="1:61">
      <c r="A540" s="442" t="s">
        <v>1005</v>
      </c>
      <c r="B540" s="442" t="s">
        <v>1005</v>
      </c>
      <c r="C540" s="442" t="s">
        <v>1035</v>
      </c>
      <c r="D540" s="442" t="s">
        <v>673</v>
      </c>
      <c r="E540" s="442" t="s">
        <v>3</v>
      </c>
      <c r="F540" s="443" t="s">
        <v>7</v>
      </c>
      <c r="G540" s="443" t="s">
        <v>684</v>
      </c>
      <c r="H540" s="444">
        <v>9410</v>
      </c>
      <c r="I540" s="444">
        <v>9410</v>
      </c>
      <c r="J540" s="444">
        <v>0</v>
      </c>
      <c r="K540" s="444">
        <v>0</v>
      </c>
      <c r="L540" s="444">
        <v>9410</v>
      </c>
      <c r="M540" s="444">
        <v>0</v>
      </c>
      <c r="N540" s="444">
        <v>0</v>
      </c>
      <c r="O540" s="444">
        <v>0</v>
      </c>
      <c r="P540" s="444">
        <v>0</v>
      </c>
      <c r="Q540" s="444">
        <v>0</v>
      </c>
      <c r="R540" s="444">
        <v>0</v>
      </c>
      <c r="S540" s="444">
        <v>0</v>
      </c>
      <c r="T540" s="444">
        <v>0</v>
      </c>
      <c r="U540" s="444">
        <v>0</v>
      </c>
      <c r="V540" s="444">
        <v>0</v>
      </c>
      <c r="W540" s="444">
        <v>0</v>
      </c>
      <c r="X540" s="442" t="s">
        <v>674</v>
      </c>
      <c r="Y540" s="442" t="s">
        <v>675</v>
      </c>
      <c r="Z540" s="442" t="s">
        <v>675</v>
      </c>
      <c r="AA540" s="442" t="s">
        <v>675</v>
      </c>
      <c r="AB540" s="442" t="s">
        <v>675</v>
      </c>
      <c r="AC540" s="442"/>
      <c r="AD540" s="442"/>
      <c r="AE540" s="442"/>
      <c r="AF540" s="442"/>
      <c r="AG540" s="443" t="s">
        <v>1052</v>
      </c>
      <c r="AH540" s="442"/>
      <c r="AI540" s="443" t="s">
        <v>1052</v>
      </c>
      <c r="AJ540" s="443" t="s">
        <v>677</v>
      </c>
      <c r="AK540" s="442" t="s">
        <v>677</v>
      </c>
      <c r="AL540" s="442"/>
      <c r="AM540" s="442"/>
      <c r="AN540" s="442"/>
      <c r="AO540" s="442"/>
      <c r="AP540" s="442"/>
      <c r="AQ540" s="442"/>
      <c r="AR540" s="444"/>
      <c r="AS540" s="442"/>
      <c r="AT540" s="444"/>
      <c r="AU540" s="442" t="s">
        <v>678</v>
      </c>
      <c r="AV540" s="442" t="s">
        <v>677</v>
      </c>
      <c r="AW540" s="442" t="s">
        <v>676</v>
      </c>
      <c r="AX540" s="442" t="s">
        <v>674</v>
      </c>
      <c r="AY540" s="442"/>
      <c r="AZ540" s="442"/>
      <c r="BA540" s="442" t="s">
        <v>679</v>
      </c>
      <c r="BB540" s="442"/>
      <c r="BC540" s="442"/>
      <c r="BD540" s="442"/>
      <c r="BE540" s="444"/>
      <c r="BF540" s="442" t="s">
        <v>298</v>
      </c>
      <c r="BG540" s="442" t="s">
        <v>680</v>
      </c>
      <c r="BH540" s="442" t="s">
        <v>681</v>
      </c>
      <c r="BI540" s="442"/>
    </row>
    <row r="541" spans="1:61">
      <c r="A541" s="442" t="s">
        <v>1005</v>
      </c>
      <c r="B541" s="442" t="s">
        <v>1005</v>
      </c>
      <c r="C541" s="442" t="s">
        <v>1035</v>
      </c>
      <c r="D541" s="442" t="s">
        <v>673</v>
      </c>
      <c r="E541" s="442" t="s">
        <v>3</v>
      </c>
      <c r="F541" s="443" t="s">
        <v>83</v>
      </c>
      <c r="G541" s="443" t="s">
        <v>700</v>
      </c>
      <c r="H541" s="444">
        <v>912000</v>
      </c>
      <c r="I541" s="444">
        <v>912000</v>
      </c>
      <c r="J541" s="444">
        <v>0</v>
      </c>
      <c r="K541" s="444">
        <v>0</v>
      </c>
      <c r="L541" s="444">
        <v>912000</v>
      </c>
      <c r="M541" s="444">
        <v>0</v>
      </c>
      <c r="N541" s="444">
        <v>0</v>
      </c>
      <c r="O541" s="444">
        <v>0</v>
      </c>
      <c r="P541" s="444">
        <v>0</v>
      </c>
      <c r="Q541" s="444">
        <v>0</v>
      </c>
      <c r="R541" s="444">
        <v>0</v>
      </c>
      <c r="S541" s="444">
        <v>0</v>
      </c>
      <c r="T541" s="444">
        <v>0</v>
      </c>
      <c r="U541" s="444">
        <v>0</v>
      </c>
      <c r="V541" s="444">
        <v>0</v>
      </c>
      <c r="W541" s="444">
        <v>0</v>
      </c>
      <c r="X541" s="442" t="s">
        <v>674</v>
      </c>
      <c r="Y541" s="442" t="s">
        <v>675</v>
      </c>
      <c r="Z541" s="442" t="s">
        <v>675</v>
      </c>
      <c r="AA541" s="442" t="s">
        <v>675</v>
      </c>
      <c r="AB541" s="442" t="s">
        <v>675</v>
      </c>
      <c r="AC541" s="442"/>
      <c r="AD541" s="442"/>
      <c r="AE541" s="442"/>
      <c r="AF541" s="442"/>
      <c r="AG541" s="443" t="s">
        <v>1054</v>
      </c>
      <c r="AH541" s="442"/>
      <c r="AI541" s="443" t="s">
        <v>1054</v>
      </c>
      <c r="AJ541" s="443" t="s">
        <v>677</v>
      </c>
      <c r="AK541" s="442" t="s">
        <v>677</v>
      </c>
      <c r="AL541" s="442"/>
      <c r="AM541" s="442"/>
      <c r="AN541" s="442"/>
      <c r="AO541" s="442"/>
      <c r="AP541" s="442"/>
      <c r="AQ541" s="442"/>
      <c r="AR541" s="444"/>
      <c r="AS541" s="442"/>
      <c r="AT541" s="444"/>
      <c r="AU541" s="442" t="s">
        <v>678</v>
      </c>
      <c r="AV541" s="442" t="s">
        <v>677</v>
      </c>
      <c r="AW541" s="442" t="s">
        <v>676</v>
      </c>
      <c r="AX541" s="442" t="s">
        <v>674</v>
      </c>
      <c r="AY541" s="442"/>
      <c r="AZ541" s="442"/>
      <c r="BA541" s="442" t="s">
        <v>679</v>
      </c>
      <c r="BB541" s="442"/>
      <c r="BC541" s="442"/>
      <c r="BD541" s="442"/>
      <c r="BE541" s="444"/>
      <c r="BF541" s="442" t="s">
        <v>298</v>
      </c>
      <c r="BG541" s="442" t="s">
        <v>680</v>
      </c>
      <c r="BH541" s="442" t="s">
        <v>681</v>
      </c>
      <c r="BI541" s="442"/>
    </row>
    <row r="542" spans="1:61">
      <c r="A542" s="442" t="s">
        <v>1005</v>
      </c>
      <c r="B542" s="442" t="s">
        <v>1005</v>
      </c>
      <c r="C542" s="442" t="s">
        <v>1035</v>
      </c>
      <c r="D542" s="442" t="s">
        <v>673</v>
      </c>
      <c r="E542" s="442" t="s">
        <v>3</v>
      </c>
      <c r="F542" s="443" t="s">
        <v>7</v>
      </c>
      <c r="G542" s="443" t="s">
        <v>684</v>
      </c>
      <c r="H542" s="444">
        <v>91740</v>
      </c>
      <c r="I542" s="444">
        <v>91740</v>
      </c>
      <c r="J542" s="444">
        <v>0</v>
      </c>
      <c r="K542" s="444">
        <v>0</v>
      </c>
      <c r="L542" s="444">
        <v>91740</v>
      </c>
      <c r="M542" s="444">
        <v>0</v>
      </c>
      <c r="N542" s="444">
        <v>0</v>
      </c>
      <c r="O542" s="444">
        <v>0</v>
      </c>
      <c r="P542" s="444">
        <v>0</v>
      </c>
      <c r="Q542" s="444">
        <v>0</v>
      </c>
      <c r="R542" s="444">
        <v>0</v>
      </c>
      <c r="S542" s="444">
        <v>0</v>
      </c>
      <c r="T542" s="444">
        <v>0</v>
      </c>
      <c r="U542" s="444">
        <v>0</v>
      </c>
      <c r="V542" s="444">
        <v>0</v>
      </c>
      <c r="W542" s="444">
        <v>0</v>
      </c>
      <c r="X542" s="442" t="s">
        <v>674</v>
      </c>
      <c r="Y542" s="442" t="s">
        <v>675</v>
      </c>
      <c r="Z542" s="442" t="s">
        <v>675</v>
      </c>
      <c r="AA542" s="442" t="s">
        <v>675</v>
      </c>
      <c r="AB542" s="442" t="s">
        <v>675</v>
      </c>
      <c r="AC542" s="442"/>
      <c r="AD542" s="442"/>
      <c r="AE542" s="442"/>
      <c r="AF542" s="442"/>
      <c r="AG542" s="443" t="s">
        <v>1053</v>
      </c>
      <c r="AH542" s="442"/>
      <c r="AI542" s="443" t="s">
        <v>1053</v>
      </c>
      <c r="AJ542" s="443" t="s">
        <v>677</v>
      </c>
      <c r="AK542" s="442" t="s">
        <v>677</v>
      </c>
      <c r="AL542" s="442"/>
      <c r="AM542" s="442"/>
      <c r="AN542" s="442"/>
      <c r="AO542" s="442"/>
      <c r="AP542" s="442"/>
      <c r="AQ542" s="442"/>
      <c r="AR542" s="444"/>
      <c r="AS542" s="442"/>
      <c r="AT542" s="444"/>
      <c r="AU542" s="442" t="s">
        <v>678</v>
      </c>
      <c r="AV542" s="442" t="s">
        <v>677</v>
      </c>
      <c r="AW542" s="442" t="s">
        <v>676</v>
      </c>
      <c r="AX542" s="442" t="s">
        <v>674</v>
      </c>
      <c r="AY542" s="442"/>
      <c r="AZ542" s="442"/>
      <c r="BA542" s="442" t="s">
        <v>679</v>
      </c>
      <c r="BB542" s="442"/>
      <c r="BC542" s="442"/>
      <c r="BD542" s="442"/>
      <c r="BE542" s="444"/>
      <c r="BF542" s="442" t="s">
        <v>298</v>
      </c>
      <c r="BG542" s="442" t="s">
        <v>680</v>
      </c>
      <c r="BH542" s="442" t="s">
        <v>681</v>
      </c>
      <c r="BI542" s="442"/>
    </row>
    <row r="543" spans="1:61">
      <c r="A543" s="442" t="s">
        <v>1005</v>
      </c>
      <c r="B543" s="442" t="s">
        <v>1005</v>
      </c>
      <c r="C543" s="442" t="s">
        <v>1035</v>
      </c>
      <c r="D543" s="442" t="s">
        <v>673</v>
      </c>
      <c r="E543" s="442" t="s">
        <v>3</v>
      </c>
      <c r="F543" s="443" t="s">
        <v>7</v>
      </c>
      <c r="G543" s="443" t="s">
        <v>684</v>
      </c>
      <c r="H543" s="444">
        <v>101950</v>
      </c>
      <c r="I543" s="444">
        <v>101950</v>
      </c>
      <c r="J543" s="444">
        <v>0</v>
      </c>
      <c r="K543" s="444">
        <v>0</v>
      </c>
      <c r="L543" s="444">
        <v>101950</v>
      </c>
      <c r="M543" s="444">
        <v>0</v>
      </c>
      <c r="N543" s="444">
        <v>0</v>
      </c>
      <c r="O543" s="444">
        <v>0</v>
      </c>
      <c r="P543" s="444">
        <v>0</v>
      </c>
      <c r="Q543" s="444">
        <v>0</v>
      </c>
      <c r="R543" s="444">
        <v>0</v>
      </c>
      <c r="S543" s="444">
        <v>0</v>
      </c>
      <c r="T543" s="444">
        <v>0</v>
      </c>
      <c r="U543" s="444">
        <v>0</v>
      </c>
      <c r="V543" s="444">
        <v>0</v>
      </c>
      <c r="W543" s="444">
        <v>0</v>
      </c>
      <c r="X543" s="442" t="s">
        <v>674</v>
      </c>
      <c r="Y543" s="442" t="s">
        <v>675</v>
      </c>
      <c r="Z543" s="442" t="s">
        <v>675</v>
      </c>
      <c r="AA543" s="442" t="s">
        <v>675</v>
      </c>
      <c r="AB543" s="442" t="s">
        <v>675</v>
      </c>
      <c r="AC543" s="442"/>
      <c r="AD543" s="442"/>
      <c r="AE543" s="442"/>
      <c r="AF543" s="442"/>
      <c r="AG543" s="443" t="s">
        <v>1050</v>
      </c>
      <c r="AH543" s="442"/>
      <c r="AI543" s="443" t="s">
        <v>1050</v>
      </c>
      <c r="AJ543" s="443" t="s">
        <v>677</v>
      </c>
      <c r="AK543" s="442" t="s">
        <v>677</v>
      </c>
      <c r="AL543" s="442"/>
      <c r="AM543" s="442"/>
      <c r="AN543" s="442"/>
      <c r="AO543" s="442"/>
      <c r="AP543" s="442"/>
      <c r="AQ543" s="442"/>
      <c r="AR543" s="444"/>
      <c r="AS543" s="442"/>
      <c r="AT543" s="444"/>
      <c r="AU543" s="442" t="s">
        <v>678</v>
      </c>
      <c r="AV543" s="442" t="s">
        <v>677</v>
      </c>
      <c r="AW543" s="442" t="s">
        <v>676</v>
      </c>
      <c r="AX543" s="442" t="s">
        <v>674</v>
      </c>
      <c r="AY543" s="442"/>
      <c r="AZ543" s="442"/>
      <c r="BA543" s="442" t="s">
        <v>679</v>
      </c>
      <c r="BB543" s="442"/>
      <c r="BC543" s="442"/>
      <c r="BD543" s="442"/>
      <c r="BE543" s="444"/>
      <c r="BF543" s="442" t="s">
        <v>298</v>
      </c>
      <c r="BG543" s="442" t="s">
        <v>680</v>
      </c>
      <c r="BH543" s="442" t="s">
        <v>681</v>
      </c>
      <c r="BI543" s="442"/>
    </row>
    <row r="544" spans="1:61">
      <c r="A544" s="442" t="s">
        <v>1005</v>
      </c>
      <c r="B544" s="442" t="s">
        <v>1005</v>
      </c>
      <c r="C544" s="442" t="s">
        <v>1035</v>
      </c>
      <c r="D544" s="442" t="s">
        <v>673</v>
      </c>
      <c r="E544" s="442" t="s">
        <v>3</v>
      </c>
      <c r="F544" s="443" t="s">
        <v>7</v>
      </c>
      <c r="G544" s="443" t="s">
        <v>684</v>
      </c>
      <c r="H544" s="444">
        <v>1397850</v>
      </c>
      <c r="I544" s="444">
        <v>1397850</v>
      </c>
      <c r="J544" s="444">
        <v>0</v>
      </c>
      <c r="K544" s="444">
        <v>0</v>
      </c>
      <c r="L544" s="444">
        <v>1397850</v>
      </c>
      <c r="M544" s="444">
        <v>0</v>
      </c>
      <c r="N544" s="444">
        <v>0</v>
      </c>
      <c r="O544" s="444">
        <v>0</v>
      </c>
      <c r="P544" s="444">
        <v>0</v>
      </c>
      <c r="Q544" s="444">
        <v>0</v>
      </c>
      <c r="R544" s="444">
        <v>0</v>
      </c>
      <c r="S544" s="444">
        <v>0</v>
      </c>
      <c r="T544" s="444">
        <v>0</v>
      </c>
      <c r="U544" s="444">
        <v>0</v>
      </c>
      <c r="V544" s="444">
        <v>0</v>
      </c>
      <c r="W544" s="444">
        <v>0</v>
      </c>
      <c r="X544" s="442" t="s">
        <v>674</v>
      </c>
      <c r="Y544" s="442" t="s">
        <v>675</v>
      </c>
      <c r="Z544" s="442" t="s">
        <v>675</v>
      </c>
      <c r="AA544" s="442" t="s">
        <v>675</v>
      </c>
      <c r="AB544" s="442" t="s">
        <v>675</v>
      </c>
      <c r="AC544" s="442"/>
      <c r="AD544" s="442"/>
      <c r="AE544" s="442"/>
      <c r="AF544" s="442"/>
      <c r="AG544" s="443" t="s">
        <v>1051</v>
      </c>
      <c r="AH544" s="442"/>
      <c r="AI544" s="443" t="s">
        <v>1051</v>
      </c>
      <c r="AJ544" s="443" t="s">
        <v>677</v>
      </c>
      <c r="AK544" s="442" t="s">
        <v>677</v>
      </c>
      <c r="AL544" s="442"/>
      <c r="AM544" s="442"/>
      <c r="AN544" s="442"/>
      <c r="AO544" s="442"/>
      <c r="AP544" s="442"/>
      <c r="AQ544" s="442"/>
      <c r="AR544" s="444"/>
      <c r="AS544" s="442"/>
      <c r="AT544" s="444"/>
      <c r="AU544" s="442" t="s">
        <v>678</v>
      </c>
      <c r="AV544" s="442" t="s">
        <v>677</v>
      </c>
      <c r="AW544" s="442" t="s">
        <v>676</v>
      </c>
      <c r="AX544" s="442" t="s">
        <v>674</v>
      </c>
      <c r="AY544" s="442"/>
      <c r="AZ544" s="442"/>
      <c r="BA544" s="442" t="s">
        <v>679</v>
      </c>
      <c r="BB544" s="442"/>
      <c r="BC544" s="442"/>
      <c r="BD544" s="442"/>
      <c r="BE544" s="444"/>
      <c r="BF544" s="442" t="s">
        <v>298</v>
      </c>
      <c r="BG544" s="442" t="s">
        <v>680</v>
      </c>
      <c r="BH544" s="442" t="s">
        <v>681</v>
      </c>
      <c r="BI544" s="442"/>
    </row>
    <row r="545" spans="1:61">
      <c r="A545" s="442" t="s">
        <v>1005</v>
      </c>
      <c r="B545" s="442" t="s">
        <v>1005</v>
      </c>
      <c r="C545" s="442" t="s">
        <v>1035</v>
      </c>
      <c r="D545" s="442" t="s">
        <v>673</v>
      </c>
      <c r="E545" s="442" t="s">
        <v>3</v>
      </c>
      <c r="F545" s="443" t="s">
        <v>83</v>
      </c>
      <c r="G545" s="443" t="s">
        <v>700</v>
      </c>
      <c r="H545" s="444">
        <v>88000</v>
      </c>
      <c r="I545" s="444">
        <v>88000</v>
      </c>
      <c r="J545" s="444">
        <v>0</v>
      </c>
      <c r="K545" s="444">
        <v>0</v>
      </c>
      <c r="L545" s="444">
        <v>88000</v>
      </c>
      <c r="M545" s="444">
        <v>0</v>
      </c>
      <c r="N545" s="444">
        <v>0</v>
      </c>
      <c r="O545" s="444">
        <v>0</v>
      </c>
      <c r="P545" s="444">
        <v>0</v>
      </c>
      <c r="Q545" s="444">
        <v>0</v>
      </c>
      <c r="R545" s="444">
        <v>0</v>
      </c>
      <c r="S545" s="444">
        <v>0</v>
      </c>
      <c r="T545" s="444">
        <v>0</v>
      </c>
      <c r="U545" s="444">
        <v>0</v>
      </c>
      <c r="V545" s="444">
        <v>0</v>
      </c>
      <c r="W545" s="444">
        <v>0</v>
      </c>
      <c r="X545" s="442" t="s">
        <v>674</v>
      </c>
      <c r="Y545" s="442" t="s">
        <v>675</v>
      </c>
      <c r="Z545" s="442" t="s">
        <v>675</v>
      </c>
      <c r="AA545" s="442" t="s">
        <v>675</v>
      </c>
      <c r="AB545" s="442" t="s">
        <v>675</v>
      </c>
      <c r="AC545" s="442"/>
      <c r="AD545" s="442"/>
      <c r="AE545" s="442"/>
      <c r="AF545" s="442"/>
      <c r="AG545" s="443" t="s">
        <v>1055</v>
      </c>
      <c r="AH545" s="442"/>
      <c r="AI545" s="443" t="s">
        <v>1055</v>
      </c>
      <c r="AJ545" s="443" t="s">
        <v>677</v>
      </c>
      <c r="AK545" s="442" t="s">
        <v>677</v>
      </c>
      <c r="AL545" s="442"/>
      <c r="AM545" s="442"/>
      <c r="AN545" s="442"/>
      <c r="AO545" s="442"/>
      <c r="AP545" s="442"/>
      <c r="AQ545" s="442"/>
      <c r="AR545" s="444"/>
      <c r="AS545" s="442"/>
      <c r="AT545" s="444"/>
      <c r="AU545" s="442" t="s">
        <v>678</v>
      </c>
      <c r="AV545" s="442" t="s">
        <v>677</v>
      </c>
      <c r="AW545" s="442" t="s">
        <v>676</v>
      </c>
      <c r="AX545" s="442" t="s">
        <v>674</v>
      </c>
      <c r="AY545" s="442"/>
      <c r="AZ545" s="442"/>
      <c r="BA545" s="442" t="s">
        <v>679</v>
      </c>
      <c r="BB545" s="442"/>
      <c r="BC545" s="442"/>
      <c r="BD545" s="442"/>
      <c r="BE545" s="444"/>
      <c r="BF545" s="442" t="s">
        <v>298</v>
      </c>
      <c r="BG545" s="442" t="s">
        <v>680</v>
      </c>
      <c r="BH545" s="442" t="s">
        <v>681</v>
      </c>
      <c r="BI545" s="442"/>
    </row>
    <row r="546" spans="1:61">
      <c r="A546" s="442" t="s">
        <v>1056</v>
      </c>
      <c r="B546" s="442" t="s">
        <v>965</v>
      </c>
      <c r="C546" s="442" t="s">
        <v>966</v>
      </c>
      <c r="D546" s="442" t="s">
        <v>724</v>
      </c>
      <c r="E546" s="442" t="s">
        <v>3</v>
      </c>
      <c r="F546" s="443" t="s">
        <v>83</v>
      </c>
      <c r="G546" s="443" t="s">
        <v>700</v>
      </c>
      <c r="H546" s="444">
        <v>101570</v>
      </c>
      <c r="I546" s="444">
        <v>101570</v>
      </c>
      <c r="J546" s="444">
        <v>0</v>
      </c>
      <c r="K546" s="444">
        <v>0</v>
      </c>
      <c r="L546" s="444">
        <v>92337</v>
      </c>
      <c r="M546" s="444">
        <v>0</v>
      </c>
      <c r="N546" s="444">
        <v>0</v>
      </c>
      <c r="O546" s="444">
        <v>9233</v>
      </c>
      <c r="P546" s="444">
        <v>0</v>
      </c>
      <c r="Q546" s="444">
        <v>0</v>
      </c>
      <c r="R546" s="444">
        <v>0</v>
      </c>
      <c r="S546" s="444">
        <v>0</v>
      </c>
      <c r="T546" s="444">
        <v>0</v>
      </c>
      <c r="U546" s="444">
        <v>0</v>
      </c>
      <c r="V546" s="444">
        <v>0</v>
      </c>
      <c r="W546" s="444">
        <v>0</v>
      </c>
      <c r="X546" s="442" t="s">
        <v>674</v>
      </c>
      <c r="Y546" s="442" t="s">
        <v>675</v>
      </c>
      <c r="Z546" s="442" t="s">
        <v>675</v>
      </c>
      <c r="AA546" s="442" t="s">
        <v>675</v>
      </c>
      <c r="AB546" s="442" t="s">
        <v>675</v>
      </c>
      <c r="AC546" s="442"/>
      <c r="AD546" s="442"/>
      <c r="AE546" s="442"/>
      <c r="AF546" s="442"/>
      <c r="AG546" s="443" t="s">
        <v>591</v>
      </c>
      <c r="AH546" s="442"/>
      <c r="AI546" s="443" t="s">
        <v>591</v>
      </c>
      <c r="AJ546" s="443" t="s">
        <v>945</v>
      </c>
      <c r="AK546" s="442" t="s">
        <v>677</v>
      </c>
      <c r="AL546" s="442"/>
      <c r="AM546" s="442" t="s">
        <v>726</v>
      </c>
      <c r="AN546" s="442" t="s">
        <v>1057</v>
      </c>
      <c r="AO546" s="442" t="s">
        <v>1056</v>
      </c>
      <c r="AP546" s="442" t="s">
        <v>1058</v>
      </c>
      <c r="AQ546" s="442" t="s">
        <v>939</v>
      </c>
      <c r="AR546" s="444">
        <v>101570</v>
      </c>
      <c r="AS546" s="442" t="s">
        <v>675</v>
      </c>
      <c r="AT546" s="444">
        <v>0</v>
      </c>
      <c r="AU546" s="442" t="s">
        <v>678</v>
      </c>
      <c r="AV546" s="442" t="s">
        <v>677</v>
      </c>
      <c r="AW546" s="442" t="s">
        <v>676</v>
      </c>
      <c r="AX546" s="442" t="s">
        <v>674</v>
      </c>
      <c r="AY546" s="442"/>
      <c r="AZ546" s="442"/>
      <c r="BA546" s="442" t="s">
        <v>679</v>
      </c>
      <c r="BB546" s="442"/>
      <c r="BC546" s="442"/>
      <c r="BD546" s="442"/>
      <c r="BE546" s="444"/>
      <c r="BF546" s="442" t="s">
        <v>298</v>
      </c>
      <c r="BG546" s="442" t="s">
        <v>680</v>
      </c>
      <c r="BH546" s="442" t="s">
        <v>681</v>
      </c>
      <c r="BI546" s="442"/>
    </row>
    <row r="547" spans="1:61">
      <c r="A547" s="442" t="s">
        <v>1056</v>
      </c>
      <c r="B547" s="442" t="s">
        <v>965</v>
      </c>
      <c r="C547" s="442" t="s">
        <v>966</v>
      </c>
      <c r="D547" s="442" t="s">
        <v>724</v>
      </c>
      <c r="E547" s="442" t="s">
        <v>3</v>
      </c>
      <c r="F547" s="443" t="s">
        <v>83</v>
      </c>
      <c r="G547" s="443" t="s">
        <v>700</v>
      </c>
      <c r="H547" s="444">
        <v>150000</v>
      </c>
      <c r="I547" s="444">
        <v>0</v>
      </c>
      <c r="J547" s="444">
        <v>0</v>
      </c>
      <c r="K547" s="444">
        <v>150000</v>
      </c>
      <c r="L547" s="444">
        <v>0</v>
      </c>
      <c r="M547" s="444">
        <v>0</v>
      </c>
      <c r="N547" s="444">
        <v>136364</v>
      </c>
      <c r="O547" s="444">
        <v>0</v>
      </c>
      <c r="P547" s="444">
        <v>0</v>
      </c>
      <c r="Q547" s="444">
        <v>13636</v>
      </c>
      <c r="R547" s="444">
        <v>0</v>
      </c>
      <c r="S547" s="444">
        <v>0</v>
      </c>
      <c r="T547" s="444">
        <v>0</v>
      </c>
      <c r="U547" s="444">
        <v>0</v>
      </c>
      <c r="V547" s="444">
        <v>0</v>
      </c>
      <c r="W547" s="444">
        <v>0</v>
      </c>
      <c r="X547" s="442" t="s">
        <v>674</v>
      </c>
      <c r="Y547" s="442" t="s">
        <v>675</v>
      </c>
      <c r="Z547" s="442" t="s">
        <v>675</v>
      </c>
      <c r="AA547" s="442" t="s">
        <v>675</v>
      </c>
      <c r="AB547" s="442" t="s">
        <v>675</v>
      </c>
      <c r="AC547" s="442"/>
      <c r="AD547" s="442"/>
      <c r="AE547" s="442"/>
      <c r="AF547" s="442"/>
      <c r="AG547" s="443" t="s">
        <v>591</v>
      </c>
      <c r="AH547" s="442"/>
      <c r="AI547" s="443" t="s">
        <v>591</v>
      </c>
      <c r="AJ547" s="443" t="s">
        <v>945</v>
      </c>
      <c r="AK547" s="442" t="s">
        <v>677</v>
      </c>
      <c r="AL547" s="442"/>
      <c r="AM547" s="442" t="s">
        <v>726</v>
      </c>
      <c r="AN547" s="442" t="s">
        <v>1059</v>
      </c>
      <c r="AO547" s="442" t="s">
        <v>1056</v>
      </c>
      <c r="AP547" s="442" t="s">
        <v>1058</v>
      </c>
      <c r="AQ547" s="442" t="s">
        <v>939</v>
      </c>
      <c r="AR547" s="444">
        <v>150000</v>
      </c>
      <c r="AS547" s="442" t="s">
        <v>675</v>
      </c>
      <c r="AT547" s="444">
        <v>0</v>
      </c>
      <c r="AU547" s="442" t="s">
        <v>678</v>
      </c>
      <c r="AV547" s="442" t="s">
        <v>677</v>
      </c>
      <c r="AW547" s="442" t="s">
        <v>676</v>
      </c>
      <c r="AX547" s="442" t="s">
        <v>674</v>
      </c>
      <c r="AY547" s="442"/>
      <c r="AZ547" s="442"/>
      <c r="BA547" s="442" t="s">
        <v>679</v>
      </c>
      <c r="BB547" s="442"/>
      <c r="BC547" s="442"/>
      <c r="BD547" s="442"/>
      <c r="BE547" s="444"/>
      <c r="BF547" s="442" t="s">
        <v>298</v>
      </c>
      <c r="BG547" s="442" t="s">
        <v>680</v>
      </c>
      <c r="BH547" s="442" t="s">
        <v>681</v>
      </c>
      <c r="BI547" s="442"/>
    </row>
    <row r="548" spans="1:61">
      <c r="A548" s="442" t="s">
        <v>994</v>
      </c>
      <c r="B548" s="442" t="s">
        <v>997</v>
      </c>
      <c r="C548" s="442" t="s">
        <v>997</v>
      </c>
      <c r="D548" s="442" t="s">
        <v>716</v>
      </c>
      <c r="E548" s="442" t="s">
        <v>3</v>
      </c>
      <c r="F548" s="443" t="s">
        <v>83</v>
      </c>
      <c r="G548" s="443" t="s">
        <v>134</v>
      </c>
      <c r="H548" s="444">
        <v>12743500</v>
      </c>
      <c r="I548" s="444">
        <v>12743500</v>
      </c>
      <c r="J548" s="444">
        <v>0</v>
      </c>
      <c r="K548" s="444">
        <v>0</v>
      </c>
      <c r="L548" s="444">
        <v>11585000</v>
      </c>
      <c r="M548" s="444">
        <v>0</v>
      </c>
      <c r="N548" s="444">
        <v>0</v>
      </c>
      <c r="O548" s="444">
        <v>1158500</v>
      </c>
      <c r="P548" s="444">
        <v>0</v>
      </c>
      <c r="Q548" s="444">
        <v>0</v>
      </c>
      <c r="R548" s="444">
        <v>0</v>
      </c>
      <c r="S548" s="444">
        <v>0</v>
      </c>
      <c r="T548" s="444">
        <v>0</v>
      </c>
      <c r="U548" s="444">
        <v>0</v>
      </c>
      <c r="V548" s="444">
        <v>0</v>
      </c>
      <c r="W548" s="444">
        <v>0</v>
      </c>
      <c r="X548" s="442" t="s">
        <v>674</v>
      </c>
      <c r="Y548" s="442" t="s">
        <v>675</v>
      </c>
      <c r="Z548" s="442" t="s">
        <v>675</v>
      </c>
      <c r="AA548" s="442" t="s">
        <v>675</v>
      </c>
      <c r="AB548" s="442" t="s">
        <v>675</v>
      </c>
      <c r="AC548" s="442"/>
      <c r="AD548" s="442"/>
      <c r="AE548" s="442"/>
      <c r="AF548" s="442"/>
      <c r="AG548" s="443" t="s">
        <v>601</v>
      </c>
      <c r="AH548" s="442"/>
      <c r="AI548" s="443" t="s">
        <v>601</v>
      </c>
      <c r="AJ548" s="443" t="s">
        <v>1060</v>
      </c>
      <c r="AK548" s="442" t="s">
        <v>677</v>
      </c>
      <c r="AL548" s="442"/>
      <c r="AM548" s="442"/>
      <c r="AN548" s="442"/>
      <c r="AO548" s="442"/>
      <c r="AP548" s="442"/>
      <c r="AQ548" s="442"/>
      <c r="AR548" s="444"/>
      <c r="AS548" s="442"/>
      <c r="AT548" s="444"/>
      <c r="AU548" s="442" t="s">
        <v>678</v>
      </c>
      <c r="AV548" s="442" t="s">
        <v>677</v>
      </c>
      <c r="AW548" s="442" t="s">
        <v>676</v>
      </c>
      <c r="AX548" s="442" t="s">
        <v>784</v>
      </c>
      <c r="AY548" s="442" t="s">
        <v>785</v>
      </c>
      <c r="AZ548" s="442" t="s">
        <v>1061</v>
      </c>
      <c r="BA548" s="442" t="s">
        <v>679</v>
      </c>
      <c r="BB548" s="442"/>
      <c r="BC548" s="442"/>
      <c r="BD548" s="442"/>
      <c r="BE548" s="444"/>
      <c r="BF548" s="442" t="s">
        <v>298</v>
      </c>
      <c r="BG548" s="442" t="s">
        <v>680</v>
      </c>
      <c r="BH548" s="442" t="s">
        <v>681</v>
      </c>
      <c r="BI548" s="442"/>
    </row>
    <row r="549" spans="1:61">
      <c r="A549" s="442" t="s">
        <v>1062</v>
      </c>
      <c r="B549" s="442" t="s">
        <v>1062</v>
      </c>
      <c r="C549" s="442" t="s">
        <v>1063</v>
      </c>
      <c r="D549" s="442" t="s">
        <v>673</v>
      </c>
      <c r="E549" s="442" t="s">
        <v>3</v>
      </c>
      <c r="F549" s="443" t="s">
        <v>83</v>
      </c>
      <c r="G549" s="443" t="s">
        <v>691</v>
      </c>
      <c r="H549" s="444">
        <v>484000</v>
      </c>
      <c r="I549" s="444">
        <v>484000</v>
      </c>
      <c r="J549" s="444">
        <v>0</v>
      </c>
      <c r="K549" s="444">
        <v>0</v>
      </c>
      <c r="L549" s="444">
        <v>484000</v>
      </c>
      <c r="M549" s="444">
        <v>0</v>
      </c>
      <c r="N549" s="444">
        <v>0</v>
      </c>
      <c r="O549" s="444">
        <v>0</v>
      </c>
      <c r="P549" s="444">
        <v>0</v>
      </c>
      <c r="Q549" s="444">
        <v>0</v>
      </c>
      <c r="R549" s="444">
        <v>0</v>
      </c>
      <c r="S549" s="444">
        <v>0</v>
      </c>
      <c r="T549" s="444">
        <v>0</v>
      </c>
      <c r="U549" s="444">
        <v>0</v>
      </c>
      <c r="V549" s="444">
        <v>0</v>
      </c>
      <c r="W549" s="444">
        <v>0</v>
      </c>
      <c r="X549" s="442" t="s">
        <v>674</v>
      </c>
      <c r="Y549" s="442" t="s">
        <v>675</v>
      </c>
      <c r="Z549" s="442" t="s">
        <v>675</v>
      </c>
      <c r="AA549" s="442" t="s">
        <v>675</v>
      </c>
      <c r="AB549" s="442" t="s">
        <v>675</v>
      </c>
      <c r="AC549" s="442"/>
      <c r="AD549" s="442"/>
      <c r="AE549" s="442" t="s">
        <v>694</v>
      </c>
      <c r="AF549" s="442"/>
      <c r="AG549" s="443" t="s">
        <v>1064</v>
      </c>
      <c r="AH549" s="442"/>
      <c r="AI549" s="443" t="s">
        <v>1064</v>
      </c>
      <c r="AJ549" s="443" t="s">
        <v>677</v>
      </c>
      <c r="AK549" s="442" t="s">
        <v>677</v>
      </c>
      <c r="AL549" s="442"/>
      <c r="AM549" s="442"/>
      <c r="AN549" s="442"/>
      <c r="AO549" s="442"/>
      <c r="AP549" s="442"/>
      <c r="AQ549" s="442"/>
      <c r="AR549" s="444"/>
      <c r="AS549" s="442"/>
      <c r="AT549" s="444"/>
      <c r="AU549" s="442" t="s">
        <v>678</v>
      </c>
      <c r="AV549" s="442" t="s">
        <v>677</v>
      </c>
      <c r="AW549" s="442" t="s">
        <v>676</v>
      </c>
      <c r="AX549" s="442" t="s">
        <v>674</v>
      </c>
      <c r="AY549" s="442"/>
      <c r="AZ549" s="442"/>
      <c r="BA549" s="442" t="s">
        <v>679</v>
      </c>
      <c r="BB549" s="442"/>
      <c r="BC549" s="442"/>
      <c r="BD549" s="442"/>
      <c r="BE549" s="444"/>
      <c r="BF549" s="442" t="s">
        <v>298</v>
      </c>
      <c r="BG549" s="442" t="s">
        <v>680</v>
      </c>
      <c r="BH549" s="442" t="s">
        <v>681</v>
      </c>
      <c r="BI549" s="442"/>
    </row>
    <row r="550" spans="1:61">
      <c r="A550" s="442" t="s">
        <v>1062</v>
      </c>
      <c r="B550" s="442" t="s">
        <v>1062</v>
      </c>
      <c r="C550" s="442" t="s">
        <v>1063</v>
      </c>
      <c r="D550" s="442" t="s">
        <v>673</v>
      </c>
      <c r="E550" s="442" t="s">
        <v>3</v>
      </c>
      <c r="F550" s="443" t="s">
        <v>83</v>
      </c>
      <c r="G550" s="443" t="s">
        <v>691</v>
      </c>
      <c r="H550" s="444">
        <v>5016000</v>
      </c>
      <c r="I550" s="444">
        <v>5016000</v>
      </c>
      <c r="J550" s="444">
        <v>0</v>
      </c>
      <c r="K550" s="444">
        <v>0</v>
      </c>
      <c r="L550" s="444">
        <v>5016000</v>
      </c>
      <c r="M550" s="444">
        <v>0</v>
      </c>
      <c r="N550" s="444">
        <v>0</v>
      </c>
      <c r="O550" s="444">
        <v>0</v>
      </c>
      <c r="P550" s="444">
        <v>0</v>
      </c>
      <c r="Q550" s="444">
        <v>0</v>
      </c>
      <c r="R550" s="444">
        <v>0</v>
      </c>
      <c r="S550" s="444">
        <v>0</v>
      </c>
      <c r="T550" s="444">
        <v>0</v>
      </c>
      <c r="U550" s="444">
        <v>0</v>
      </c>
      <c r="V550" s="444">
        <v>0</v>
      </c>
      <c r="W550" s="444">
        <v>0</v>
      </c>
      <c r="X550" s="442" t="s">
        <v>674</v>
      </c>
      <c r="Y550" s="442" t="s">
        <v>675</v>
      </c>
      <c r="Z550" s="442" t="s">
        <v>675</v>
      </c>
      <c r="AA550" s="442" t="s">
        <v>675</v>
      </c>
      <c r="AB550" s="442" t="s">
        <v>675</v>
      </c>
      <c r="AC550" s="442"/>
      <c r="AD550" s="442"/>
      <c r="AE550" s="442" t="s">
        <v>694</v>
      </c>
      <c r="AF550" s="442"/>
      <c r="AG550" s="443" t="s">
        <v>1065</v>
      </c>
      <c r="AH550" s="442"/>
      <c r="AI550" s="443" t="s">
        <v>1065</v>
      </c>
      <c r="AJ550" s="443" t="s">
        <v>677</v>
      </c>
      <c r="AK550" s="442" t="s">
        <v>677</v>
      </c>
      <c r="AL550" s="442"/>
      <c r="AM550" s="442"/>
      <c r="AN550" s="442"/>
      <c r="AO550" s="442"/>
      <c r="AP550" s="442"/>
      <c r="AQ550" s="442"/>
      <c r="AR550" s="444"/>
      <c r="AS550" s="442"/>
      <c r="AT550" s="444"/>
      <c r="AU550" s="442" t="s">
        <v>678</v>
      </c>
      <c r="AV550" s="442" t="s">
        <v>677</v>
      </c>
      <c r="AW550" s="442" t="s">
        <v>676</v>
      </c>
      <c r="AX550" s="442" t="s">
        <v>674</v>
      </c>
      <c r="AY550" s="442"/>
      <c r="AZ550" s="442"/>
      <c r="BA550" s="442" t="s">
        <v>679</v>
      </c>
      <c r="BB550" s="442"/>
      <c r="BC550" s="442"/>
      <c r="BD550" s="442"/>
      <c r="BE550" s="444"/>
      <c r="BF550" s="442" t="s">
        <v>298</v>
      </c>
      <c r="BG550" s="442" t="s">
        <v>680</v>
      </c>
      <c r="BH550" s="442" t="s">
        <v>681</v>
      </c>
      <c r="BI550" s="442"/>
    </row>
    <row r="551" spans="1:61">
      <c r="A551" s="442" t="s">
        <v>1066</v>
      </c>
      <c r="B551" s="442" t="s">
        <v>1066</v>
      </c>
      <c r="C551" s="442" t="s">
        <v>1067</v>
      </c>
      <c r="D551" s="442" t="s">
        <v>673</v>
      </c>
      <c r="E551" s="442" t="s">
        <v>3</v>
      </c>
      <c r="F551" s="443" t="s">
        <v>7</v>
      </c>
      <c r="G551" s="443" t="s">
        <v>684</v>
      </c>
      <c r="H551" s="444">
        <v>116470</v>
      </c>
      <c r="I551" s="444">
        <v>116470</v>
      </c>
      <c r="J551" s="444">
        <v>0</v>
      </c>
      <c r="K551" s="444">
        <v>0</v>
      </c>
      <c r="L551" s="444">
        <v>116470</v>
      </c>
      <c r="M551" s="444">
        <v>0</v>
      </c>
      <c r="N551" s="444">
        <v>0</v>
      </c>
      <c r="O551" s="444">
        <v>0</v>
      </c>
      <c r="P551" s="444">
        <v>0</v>
      </c>
      <c r="Q551" s="444">
        <v>0</v>
      </c>
      <c r="R551" s="444">
        <v>0</v>
      </c>
      <c r="S551" s="444">
        <v>0</v>
      </c>
      <c r="T551" s="444">
        <v>0</v>
      </c>
      <c r="U551" s="444">
        <v>0</v>
      </c>
      <c r="V551" s="444">
        <v>0</v>
      </c>
      <c r="W551" s="444">
        <v>0</v>
      </c>
      <c r="X551" s="442" t="s">
        <v>674</v>
      </c>
      <c r="Y551" s="442" t="s">
        <v>675</v>
      </c>
      <c r="Z551" s="442" t="s">
        <v>675</v>
      </c>
      <c r="AA551" s="442" t="s">
        <v>675</v>
      </c>
      <c r="AB551" s="442" t="s">
        <v>675</v>
      </c>
      <c r="AC551" s="442"/>
      <c r="AD551" s="442"/>
      <c r="AE551" s="442"/>
      <c r="AF551" s="442"/>
      <c r="AG551" s="443" t="s">
        <v>1068</v>
      </c>
      <c r="AH551" s="442"/>
      <c r="AI551" s="443" t="s">
        <v>1068</v>
      </c>
      <c r="AJ551" s="443" t="s">
        <v>677</v>
      </c>
      <c r="AK551" s="442" t="s">
        <v>677</v>
      </c>
      <c r="AL551" s="442"/>
      <c r="AM551" s="442"/>
      <c r="AN551" s="442"/>
      <c r="AO551" s="442"/>
      <c r="AP551" s="442"/>
      <c r="AQ551" s="442"/>
      <c r="AR551" s="444"/>
      <c r="AS551" s="442"/>
      <c r="AT551" s="444"/>
      <c r="AU551" s="442" t="s">
        <v>678</v>
      </c>
      <c r="AV551" s="442" t="s">
        <v>677</v>
      </c>
      <c r="AW551" s="442" t="s">
        <v>676</v>
      </c>
      <c r="AX551" s="442" t="s">
        <v>674</v>
      </c>
      <c r="AY551" s="442"/>
      <c r="AZ551" s="442"/>
      <c r="BA551" s="442" t="s">
        <v>679</v>
      </c>
      <c r="BB551" s="442"/>
      <c r="BC551" s="442"/>
      <c r="BD551" s="442"/>
      <c r="BE551" s="444"/>
      <c r="BF551" s="442" t="s">
        <v>298</v>
      </c>
      <c r="BG551" s="442" t="s">
        <v>680</v>
      </c>
      <c r="BH551" s="442" t="s">
        <v>681</v>
      </c>
      <c r="BI551" s="442"/>
    </row>
    <row r="552" spans="1:61">
      <c r="A552" s="442" t="s">
        <v>1066</v>
      </c>
      <c r="B552" s="442" t="s">
        <v>1066</v>
      </c>
      <c r="C552" s="442" t="s">
        <v>1067</v>
      </c>
      <c r="D552" s="442" t="s">
        <v>673</v>
      </c>
      <c r="E552" s="442" t="s">
        <v>3</v>
      </c>
      <c r="F552" s="443" t="s">
        <v>7</v>
      </c>
      <c r="G552" s="443" t="s">
        <v>684</v>
      </c>
      <c r="H552" s="444">
        <v>14120</v>
      </c>
      <c r="I552" s="444">
        <v>14120</v>
      </c>
      <c r="J552" s="444">
        <v>0</v>
      </c>
      <c r="K552" s="444">
        <v>0</v>
      </c>
      <c r="L552" s="444">
        <v>14120</v>
      </c>
      <c r="M552" s="444">
        <v>0</v>
      </c>
      <c r="N552" s="444">
        <v>0</v>
      </c>
      <c r="O552" s="444">
        <v>0</v>
      </c>
      <c r="P552" s="444">
        <v>0</v>
      </c>
      <c r="Q552" s="444">
        <v>0</v>
      </c>
      <c r="R552" s="444">
        <v>0</v>
      </c>
      <c r="S552" s="444">
        <v>0</v>
      </c>
      <c r="T552" s="444">
        <v>0</v>
      </c>
      <c r="U552" s="444">
        <v>0</v>
      </c>
      <c r="V552" s="444">
        <v>0</v>
      </c>
      <c r="W552" s="444">
        <v>0</v>
      </c>
      <c r="X552" s="442" t="s">
        <v>674</v>
      </c>
      <c r="Y552" s="442" t="s">
        <v>675</v>
      </c>
      <c r="Z552" s="442" t="s">
        <v>675</v>
      </c>
      <c r="AA552" s="442" t="s">
        <v>675</v>
      </c>
      <c r="AB552" s="442" t="s">
        <v>675</v>
      </c>
      <c r="AC552" s="442"/>
      <c r="AD552" s="442"/>
      <c r="AE552" s="442"/>
      <c r="AF552" s="442"/>
      <c r="AG552" s="443" t="s">
        <v>1069</v>
      </c>
      <c r="AH552" s="442"/>
      <c r="AI552" s="443" t="s">
        <v>1069</v>
      </c>
      <c r="AJ552" s="443" t="s">
        <v>677</v>
      </c>
      <c r="AK552" s="442" t="s">
        <v>677</v>
      </c>
      <c r="AL552" s="442"/>
      <c r="AM552" s="442"/>
      <c r="AN552" s="442"/>
      <c r="AO552" s="442"/>
      <c r="AP552" s="442"/>
      <c r="AQ552" s="442"/>
      <c r="AR552" s="444"/>
      <c r="AS552" s="442"/>
      <c r="AT552" s="444"/>
      <c r="AU552" s="442" t="s">
        <v>678</v>
      </c>
      <c r="AV552" s="442" t="s">
        <v>677</v>
      </c>
      <c r="AW552" s="442" t="s">
        <v>676</v>
      </c>
      <c r="AX552" s="442" t="s">
        <v>674</v>
      </c>
      <c r="AY552" s="442"/>
      <c r="AZ552" s="442"/>
      <c r="BA552" s="442" t="s">
        <v>679</v>
      </c>
      <c r="BB552" s="442"/>
      <c r="BC552" s="442"/>
      <c r="BD552" s="442"/>
      <c r="BE552" s="444"/>
      <c r="BF552" s="442" t="s">
        <v>298</v>
      </c>
      <c r="BG552" s="442" t="s">
        <v>680</v>
      </c>
      <c r="BH552" s="442" t="s">
        <v>681</v>
      </c>
      <c r="BI552" s="442"/>
    </row>
    <row r="553" spans="1:61">
      <c r="A553" s="442" t="s">
        <v>1066</v>
      </c>
      <c r="B553" s="442" t="s">
        <v>1066</v>
      </c>
      <c r="C553" s="442" t="s">
        <v>1067</v>
      </c>
      <c r="D553" s="442" t="s">
        <v>673</v>
      </c>
      <c r="E553" s="442" t="s">
        <v>3</v>
      </c>
      <c r="F553" s="443" t="s">
        <v>7</v>
      </c>
      <c r="G553" s="443" t="s">
        <v>684</v>
      </c>
      <c r="H553" s="444">
        <v>80290</v>
      </c>
      <c r="I553" s="444">
        <v>80290</v>
      </c>
      <c r="J553" s="444">
        <v>0</v>
      </c>
      <c r="K553" s="444">
        <v>0</v>
      </c>
      <c r="L553" s="444">
        <v>80290</v>
      </c>
      <c r="M553" s="444">
        <v>0</v>
      </c>
      <c r="N553" s="444">
        <v>0</v>
      </c>
      <c r="O553" s="444">
        <v>0</v>
      </c>
      <c r="P553" s="444">
        <v>0</v>
      </c>
      <c r="Q553" s="444">
        <v>0</v>
      </c>
      <c r="R553" s="444">
        <v>0</v>
      </c>
      <c r="S553" s="444">
        <v>0</v>
      </c>
      <c r="T553" s="444">
        <v>0</v>
      </c>
      <c r="U553" s="444">
        <v>0</v>
      </c>
      <c r="V553" s="444">
        <v>0</v>
      </c>
      <c r="W553" s="444">
        <v>0</v>
      </c>
      <c r="X553" s="442" t="s">
        <v>674</v>
      </c>
      <c r="Y553" s="442" t="s">
        <v>675</v>
      </c>
      <c r="Z553" s="442" t="s">
        <v>675</v>
      </c>
      <c r="AA553" s="442" t="s">
        <v>675</v>
      </c>
      <c r="AB553" s="442" t="s">
        <v>675</v>
      </c>
      <c r="AC553" s="442"/>
      <c r="AD553" s="442"/>
      <c r="AE553" s="442"/>
      <c r="AF553" s="442"/>
      <c r="AG553" s="443" t="s">
        <v>1070</v>
      </c>
      <c r="AH553" s="442"/>
      <c r="AI553" s="443" t="s">
        <v>1070</v>
      </c>
      <c r="AJ553" s="443" t="s">
        <v>677</v>
      </c>
      <c r="AK553" s="442" t="s">
        <v>677</v>
      </c>
      <c r="AL553" s="442"/>
      <c r="AM553" s="442"/>
      <c r="AN553" s="442"/>
      <c r="AO553" s="442"/>
      <c r="AP553" s="442"/>
      <c r="AQ553" s="442"/>
      <c r="AR553" s="444"/>
      <c r="AS553" s="442"/>
      <c r="AT553" s="444"/>
      <c r="AU553" s="442" t="s">
        <v>678</v>
      </c>
      <c r="AV553" s="442" t="s">
        <v>677</v>
      </c>
      <c r="AW553" s="442" t="s">
        <v>676</v>
      </c>
      <c r="AX553" s="442" t="s">
        <v>674</v>
      </c>
      <c r="AY553" s="442"/>
      <c r="AZ553" s="442"/>
      <c r="BA553" s="442" t="s">
        <v>679</v>
      </c>
      <c r="BB553" s="442"/>
      <c r="BC553" s="442"/>
      <c r="BD553" s="442"/>
      <c r="BE553" s="444"/>
      <c r="BF553" s="442" t="s">
        <v>298</v>
      </c>
      <c r="BG553" s="442" t="s">
        <v>680</v>
      </c>
      <c r="BH553" s="442" t="s">
        <v>681</v>
      </c>
      <c r="BI553" s="442"/>
    </row>
    <row r="554" spans="1:61">
      <c r="A554" s="442" t="s">
        <v>1066</v>
      </c>
      <c r="B554" s="442" t="s">
        <v>1066</v>
      </c>
      <c r="C554" s="442" t="s">
        <v>1067</v>
      </c>
      <c r="D554" s="442" t="s">
        <v>673</v>
      </c>
      <c r="E554" s="442" t="s">
        <v>3</v>
      </c>
      <c r="F554" s="443" t="s">
        <v>7</v>
      </c>
      <c r="G554" s="443" t="s">
        <v>684</v>
      </c>
      <c r="H554" s="444">
        <v>1397850</v>
      </c>
      <c r="I554" s="444">
        <v>1397850</v>
      </c>
      <c r="J554" s="444">
        <v>0</v>
      </c>
      <c r="K554" s="444">
        <v>0</v>
      </c>
      <c r="L554" s="444">
        <v>1397850</v>
      </c>
      <c r="M554" s="444">
        <v>0</v>
      </c>
      <c r="N554" s="444">
        <v>0</v>
      </c>
      <c r="O554" s="444">
        <v>0</v>
      </c>
      <c r="P554" s="444">
        <v>0</v>
      </c>
      <c r="Q554" s="444">
        <v>0</v>
      </c>
      <c r="R554" s="444">
        <v>0</v>
      </c>
      <c r="S554" s="444">
        <v>0</v>
      </c>
      <c r="T554" s="444">
        <v>0</v>
      </c>
      <c r="U554" s="444">
        <v>0</v>
      </c>
      <c r="V554" s="444">
        <v>0</v>
      </c>
      <c r="W554" s="444">
        <v>0</v>
      </c>
      <c r="X554" s="442" t="s">
        <v>674</v>
      </c>
      <c r="Y554" s="442" t="s">
        <v>675</v>
      </c>
      <c r="Z554" s="442" t="s">
        <v>675</v>
      </c>
      <c r="AA554" s="442" t="s">
        <v>675</v>
      </c>
      <c r="AB554" s="442" t="s">
        <v>675</v>
      </c>
      <c r="AC554" s="442"/>
      <c r="AD554" s="442"/>
      <c r="AE554" s="442"/>
      <c r="AF554" s="442"/>
      <c r="AG554" s="443" t="s">
        <v>1071</v>
      </c>
      <c r="AH554" s="442"/>
      <c r="AI554" s="443" t="s">
        <v>1071</v>
      </c>
      <c r="AJ554" s="443" t="s">
        <v>677</v>
      </c>
      <c r="AK554" s="442" t="s">
        <v>677</v>
      </c>
      <c r="AL554" s="442"/>
      <c r="AM554" s="442"/>
      <c r="AN554" s="442"/>
      <c r="AO554" s="442"/>
      <c r="AP554" s="442"/>
      <c r="AQ554" s="442"/>
      <c r="AR554" s="444"/>
      <c r="AS554" s="442"/>
      <c r="AT554" s="444"/>
      <c r="AU554" s="442" t="s">
        <v>678</v>
      </c>
      <c r="AV554" s="442" t="s">
        <v>677</v>
      </c>
      <c r="AW554" s="442" t="s">
        <v>676</v>
      </c>
      <c r="AX554" s="442" t="s">
        <v>674</v>
      </c>
      <c r="AY554" s="442"/>
      <c r="AZ554" s="442"/>
      <c r="BA554" s="442" t="s">
        <v>679</v>
      </c>
      <c r="BB554" s="442"/>
      <c r="BC554" s="442"/>
      <c r="BD554" s="442"/>
      <c r="BE554" s="444"/>
      <c r="BF554" s="442" t="s">
        <v>298</v>
      </c>
      <c r="BG554" s="442" t="s">
        <v>680</v>
      </c>
      <c r="BH554" s="442" t="s">
        <v>681</v>
      </c>
      <c r="BI554" s="442"/>
    </row>
    <row r="555" spans="1:61">
      <c r="A555" s="442" t="s">
        <v>1066</v>
      </c>
      <c r="B555" s="442" t="s">
        <v>1066</v>
      </c>
      <c r="C555" s="442" t="s">
        <v>1067</v>
      </c>
      <c r="D555" s="442" t="s">
        <v>673</v>
      </c>
      <c r="E555" s="442" t="s">
        <v>3</v>
      </c>
      <c r="F555" s="443" t="s">
        <v>7</v>
      </c>
      <c r="G555" s="443" t="s">
        <v>684</v>
      </c>
      <c r="H555" s="444">
        <v>91740</v>
      </c>
      <c r="I555" s="444">
        <v>91740</v>
      </c>
      <c r="J555" s="444">
        <v>0</v>
      </c>
      <c r="K555" s="444">
        <v>0</v>
      </c>
      <c r="L555" s="444">
        <v>91740</v>
      </c>
      <c r="M555" s="444">
        <v>0</v>
      </c>
      <c r="N555" s="444">
        <v>0</v>
      </c>
      <c r="O555" s="444">
        <v>0</v>
      </c>
      <c r="P555" s="444">
        <v>0</v>
      </c>
      <c r="Q555" s="444">
        <v>0</v>
      </c>
      <c r="R555" s="444">
        <v>0</v>
      </c>
      <c r="S555" s="444">
        <v>0</v>
      </c>
      <c r="T555" s="444">
        <v>0</v>
      </c>
      <c r="U555" s="444">
        <v>0</v>
      </c>
      <c r="V555" s="444">
        <v>0</v>
      </c>
      <c r="W555" s="444">
        <v>0</v>
      </c>
      <c r="X555" s="442" t="s">
        <v>674</v>
      </c>
      <c r="Y555" s="442" t="s">
        <v>675</v>
      </c>
      <c r="Z555" s="442" t="s">
        <v>675</v>
      </c>
      <c r="AA555" s="442" t="s">
        <v>675</v>
      </c>
      <c r="AB555" s="442" t="s">
        <v>675</v>
      </c>
      <c r="AC555" s="442"/>
      <c r="AD555" s="442"/>
      <c r="AE555" s="442"/>
      <c r="AF555" s="442"/>
      <c r="AG555" s="443" t="s">
        <v>1070</v>
      </c>
      <c r="AH555" s="442"/>
      <c r="AI555" s="443" t="s">
        <v>1070</v>
      </c>
      <c r="AJ555" s="443" t="s">
        <v>677</v>
      </c>
      <c r="AK555" s="442" t="s">
        <v>677</v>
      </c>
      <c r="AL555" s="442"/>
      <c r="AM555" s="442"/>
      <c r="AN555" s="442"/>
      <c r="AO555" s="442"/>
      <c r="AP555" s="442"/>
      <c r="AQ555" s="442"/>
      <c r="AR555" s="444"/>
      <c r="AS555" s="442"/>
      <c r="AT555" s="444"/>
      <c r="AU555" s="442" t="s">
        <v>678</v>
      </c>
      <c r="AV555" s="442" t="s">
        <v>677</v>
      </c>
      <c r="AW555" s="442" t="s">
        <v>676</v>
      </c>
      <c r="AX555" s="442" t="s">
        <v>674</v>
      </c>
      <c r="AY555" s="442"/>
      <c r="AZ555" s="442"/>
      <c r="BA555" s="442" t="s">
        <v>679</v>
      </c>
      <c r="BB555" s="442"/>
      <c r="BC555" s="442"/>
      <c r="BD555" s="442"/>
      <c r="BE555" s="444"/>
      <c r="BF555" s="442" t="s">
        <v>298</v>
      </c>
      <c r="BG555" s="442" t="s">
        <v>680</v>
      </c>
      <c r="BH555" s="442" t="s">
        <v>681</v>
      </c>
      <c r="BI555" s="442"/>
    </row>
    <row r="556" spans="1:61">
      <c r="A556" s="442" t="s">
        <v>1066</v>
      </c>
      <c r="B556" s="442" t="s">
        <v>1066</v>
      </c>
      <c r="C556" s="442" t="s">
        <v>1067</v>
      </c>
      <c r="D556" s="442" t="s">
        <v>673</v>
      </c>
      <c r="E556" s="442" t="s">
        <v>3</v>
      </c>
      <c r="F556" s="443" t="s">
        <v>7</v>
      </c>
      <c r="G556" s="443" t="s">
        <v>684</v>
      </c>
      <c r="H556" s="444">
        <v>1593430</v>
      </c>
      <c r="I556" s="444">
        <v>1593430</v>
      </c>
      <c r="J556" s="444">
        <v>0</v>
      </c>
      <c r="K556" s="444">
        <v>0</v>
      </c>
      <c r="L556" s="444">
        <v>1593430</v>
      </c>
      <c r="M556" s="444">
        <v>0</v>
      </c>
      <c r="N556" s="444">
        <v>0</v>
      </c>
      <c r="O556" s="444">
        <v>0</v>
      </c>
      <c r="P556" s="444">
        <v>0</v>
      </c>
      <c r="Q556" s="444">
        <v>0</v>
      </c>
      <c r="R556" s="444">
        <v>0</v>
      </c>
      <c r="S556" s="444">
        <v>0</v>
      </c>
      <c r="T556" s="444">
        <v>0</v>
      </c>
      <c r="U556" s="444">
        <v>0</v>
      </c>
      <c r="V556" s="444">
        <v>0</v>
      </c>
      <c r="W556" s="444">
        <v>0</v>
      </c>
      <c r="X556" s="442" t="s">
        <v>674</v>
      </c>
      <c r="Y556" s="442" t="s">
        <v>675</v>
      </c>
      <c r="Z556" s="442" t="s">
        <v>675</v>
      </c>
      <c r="AA556" s="442" t="s">
        <v>675</v>
      </c>
      <c r="AB556" s="442" t="s">
        <v>675</v>
      </c>
      <c r="AC556" s="442"/>
      <c r="AD556" s="442"/>
      <c r="AE556" s="442"/>
      <c r="AF556" s="442"/>
      <c r="AG556" s="443" t="s">
        <v>1071</v>
      </c>
      <c r="AH556" s="442"/>
      <c r="AI556" s="443" t="s">
        <v>1071</v>
      </c>
      <c r="AJ556" s="443" t="s">
        <v>677</v>
      </c>
      <c r="AK556" s="442" t="s">
        <v>677</v>
      </c>
      <c r="AL556" s="442"/>
      <c r="AM556" s="442"/>
      <c r="AN556" s="442"/>
      <c r="AO556" s="442"/>
      <c r="AP556" s="442"/>
      <c r="AQ556" s="442"/>
      <c r="AR556" s="444"/>
      <c r="AS556" s="442"/>
      <c r="AT556" s="444"/>
      <c r="AU556" s="442" t="s">
        <v>678</v>
      </c>
      <c r="AV556" s="442" t="s">
        <v>677</v>
      </c>
      <c r="AW556" s="442" t="s">
        <v>676</v>
      </c>
      <c r="AX556" s="442" t="s">
        <v>674</v>
      </c>
      <c r="AY556" s="442"/>
      <c r="AZ556" s="442"/>
      <c r="BA556" s="442" t="s">
        <v>679</v>
      </c>
      <c r="BB556" s="442"/>
      <c r="BC556" s="442"/>
      <c r="BD556" s="442"/>
      <c r="BE556" s="444"/>
      <c r="BF556" s="442" t="s">
        <v>298</v>
      </c>
      <c r="BG556" s="442" t="s">
        <v>680</v>
      </c>
      <c r="BH556" s="442" t="s">
        <v>681</v>
      </c>
      <c r="BI556" s="442"/>
    </row>
    <row r="557" spans="1:61">
      <c r="A557" s="442" t="s">
        <v>1066</v>
      </c>
      <c r="B557" s="442" t="s">
        <v>1066</v>
      </c>
      <c r="C557" s="442" t="s">
        <v>1067</v>
      </c>
      <c r="D557" s="442" t="s">
        <v>673</v>
      </c>
      <c r="E557" s="442" t="s">
        <v>3</v>
      </c>
      <c r="F557" s="443" t="s">
        <v>7</v>
      </c>
      <c r="G557" s="443" t="s">
        <v>684</v>
      </c>
      <c r="H557" s="444">
        <v>101950</v>
      </c>
      <c r="I557" s="444">
        <v>101950</v>
      </c>
      <c r="J557" s="444">
        <v>0</v>
      </c>
      <c r="K557" s="444">
        <v>0</v>
      </c>
      <c r="L557" s="444">
        <v>101950</v>
      </c>
      <c r="M557" s="444">
        <v>0</v>
      </c>
      <c r="N557" s="444">
        <v>0</v>
      </c>
      <c r="O557" s="444">
        <v>0</v>
      </c>
      <c r="P557" s="444">
        <v>0</v>
      </c>
      <c r="Q557" s="444">
        <v>0</v>
      </c>
      <c r="R557" s="444">
        <v>0</v>
      </c>
      <c r="S557" s="444">
        <v>0</v>
      </c>
      <c r="T557" s="444">
        <v>0</v>
      </c>
      <c r="U557" s="444">
        <v>0</v>
      </c>
      <c r="V557" s="444">
        <v>0</v>
      </c>
      <c r="W557" s="444">
        <v>0</v>
      </c>
      <c r="X557" s="442" t="s">
        <v>674</v>
      </c>
      <c r="Y557" s="442" t="s">
        <v>675</v>
      </c>
      <c r="Z557" s="442" t="s">
        <v>675</v>
      </c>
      <c r="AA557" s="442" t="s">
        <v>675</v>
      </c>
      <c r="AB557" s="442" t="s">
        <v>675</v>
      </c>
      <c r="AC557" s="442"/>
      <c r="AD557" s="442"/>
      <c r="AE557" s="442"/>
      <c r="AF557" s="442"/>
      <c r="AG557" s="443" t="s">
        <v>1068</v>
      </c>
      <c r="AH557" s="442"/>
      <c r="AI557" s="443" t="s">
        <v>1068</v>
      </c>
      <c r="AJ557" s="443" t="s">
        <v>677</v>
      </c>
      <c r="AK557" s="442" t="s">
        <v>677</v>
      </c>
      <c r="AL557" s="442"/>
      <c r="AM557" s="442"/>
      <c r="AN557" s="442"/>
      <c r="AO557" s="442"/>
      <c r="AP557" s="442"/>
      <c r="AQ557" s="442"/>
      <c r="AR557" s="444"/>
      <c r="AS557" s="442"/>
      <c r="AT557" s="444"/>
      <c r="AU557" s="442" t="s">
        <v>678</v>
      </c>
      <c r="AV557" s="442" t="s">
        <v>677</v>
      </c>
      <c r="AW557" s="442" t="s">
        <v>676</v>
      </c>
      <c r="AX557" s="442" t="s">
        <v>674</v>
      </c>
      <c r="AY557" s="442"/>
      <c r="AZ557" s="442"/>
      <c r="BA557" s="442" t="s">
        <v>679</v>
      </c>
      <c r="BB557" s="442"/>
      <c r="BC557" s="442"/>
      <c r="BD557" s="442"/>
      <c r="BE557" s="444"/>
      <c r="BF557" s="442" t="s">
        <v>298</v>
      </c>
      <c r="BG557" s="442" t="s">
        <v>680</v>
      </c>
      <c r="BH557" s="442" t="s">
        <v>681</v>
      </c>
      <c r="BI557" s="442"/>
    </row>
    <row r="558" spans="1:61">
      <c r="A558" s="442" t="s">
        <v>1066</v>
      </c>
      <c r="B558" s="442" t="s">
        <v>1066</v>
      </c>
      <c r="C558" s="442" t="s">
        <v>1067</v>
      </c>
      <c r="D558" s="442" t="s">
        <v>673</v>
      </c>
      <c r="E558" s="442" t="s">
        <v>3</v>
      </c>
      <c r="F558" s="443" t="s">
        <v>7</v>
      </c>
      <c r="G558" s="443" t="s">
        <v>684</v>
      </c>
      <c r="H558" s="444">
        <v>9410</v>
      </c>
      <c r="I558" s="444">
        <v>9410</v>
      </c>
      <c r="J558" s="444">
        <v>0</v>
      </c>
      <c r="K558" s="444">
        <v>0</v>
      </c>
      <c r="L558" s="444">
        <v>9410</v>
      </c>
      <c r="M558" s="444">
        <v>0</v>
      </c>
      <c r="N558" s="444">
        <v>0</v>
      </c>
      <c r="O558" s="444">
        <v>0</v>
      </c>
      <c r="P558" s="444">
        <v>0</v>
      </c>
      <c r="Q558" s="444">
        <v>0</v>
      </c>
      <c r="R558" s="444">
        <v>0</v>
      </c>
      <c r="S558" s="444">
        <v>0</v>
      </c>
      <c r="T558" s="444">
        <v>0</v>
      </c>
      <c r="U558" s="444">
        <v>0</v>
      </c>
      <c r="V558" s="444">
        <v>0</v>
      </c>
      <c r="W558" s="444">
        <v>0</v>
      </c>
      <c r="X558" s="442" t="s">
        <v>674</v>
      </c>
      <c r="Y558" s="442" t="s">
        <v>675</v>
      </c>
      <c r="Z558" s="442" t="s">
        <v>675</v>
      </c>
      <c r="AA558" s="442" t="s">
        <v>675</v>
      </c>
      <c r="AB558" s="442" t="s">
        <v>675</v>
      </c>
      <c r="AC558" s="442"/>
      <c r="AD558" s="442"/>
      <c r="AE558" s="442"/>
      <c r="AF558" s="442"/>
      <c r="AG558" s="443" t="s">
        <v>1069</v>
      </c>
      <c r="AH558" s="442"/>
      <c r="AI558" s="443" t="s">
        <v>1069</v>
      </c>
      <c r="AJ558" s="443" t="s">
        <v>677</v>
      </c>
      <c r="AK558" s="442" t="s">
        <v>677</v>
      </c>
      <c r="AL558" s="442"/>
      <c r="AM558" s="442"/>
      <c r="AN558" s="442"/>
      <c r="AO558" s="442"/>
      <c r="AP558" s="442"/>
      <c r="AQ558" s="442"/>
      <c r="AR558" s="444"/>
      <c r="AS558" s="442"/>
      <c r="AT558" s="444"/>
      <c r="AU558" s="442" t="s">
        <v>678</v>
      </c>
      <c r="AV558" s="442" t="s">
        <v>677</v>
      </c>
      <c r="AW558" s="442" t="s">
        <v>676</v>
      </c>
      <c r="AX558" s="442" t="s">
        <v>674</v>
      </c>
      <c r="AY558" s="442"/>
      <c r="AZ558" s="442"/>
      <c r="BA558" s="442" t="s">
        <v>679</v>
      </c>
      <c r="BB558" s="442"/>
      <c r="BC558" s="442"/>
      <c r="BD558" s="442"/>
      <c r="BE558" s="444"/>
      <c r="BF558" s="442" t="s">
        <v>298</v>
      </c>
      <c r="BG558" s="442" t="s">
        <v>680</v>
      </c>
      <c r="BH558" s="442" t="s">
        <v>681</v>
      </c>
      <c r="BI558" s="442"/>
    </row>
    <row r="559" spans="1:61">
      <c r="A559" s="442" t="s">
        <v>1072</v>
      </c>
      <c r="B559" s="442" t="s">
        <v>1072</v>
      </c>
      <c r="C559" s="442" t="s">
        <v>1072</v>
      </c>
      <c r="D559" s="442" t="s">
        <v>673</v>
      </c>
      <c r="E559" s="442" t="s">
        <v>3</v>
      </c>
      <c r="F559" s="443" t="s">
        <v>7</v>
      </c>
      <c r="G559" s="443" t="s">
        <v>684</v>
      </c>
      <c r="H559" s="444">
        <v>116470</v>
      </c>
      <c r="I559" s="444">
        <v>0</v>
      </c>
      <c r="J559" s="444">
        <v>0</v>
      </c>
      <c r="K559" s="444">
        <v>116470</v>
      </c>
      <c r="L559" s="444">
        <v>0</v>
      </c>
      <c r="M559" s="444">
        <v>0</v>
      </c>
      <c r="N559" s="444">
        <v>116470</v>
      </c>
      <c r="O559" s="444">
        <v>0</v>
      </c>
      <c r="P559" s="444">
        <v>0</v>
      </c>
      <c r="Q559" s="444">
        <v>0</v>
      </c>
      <c r="R559" s="444">
        <v>0</v>
      </c>
      <c r="S559" s="444">
        <v>0</v>
      </c>
      <c r="T559" s="444">
        <v>0</v>
      </c>
      <c r="U559" s="444">
        <v>0</v>
      </c>
      <c r="V559" s="444">
        <v>0</v>
      </c>
      <c r="W559" s="444">
        <v>0</v>
      </c>
      <c r="X559" s="442" t="s">
        <v>674</v>
      </c>
      <c r="Y559" s="442" t="s">
        <v>675</v>
      </c>
      <c r="Z559" s="442" t="s">
        <v>675</v>
      </c>
      <c r="AA559" s="442" t="s">
        <v>675</v>
      </c>
      <c r="AB559" s="442" t="s">
        <v>675</v>
      </c>
      <c r="AC559" s="442"/>
      <c r="AD559" s="442"/>
      <c r="AE559" s="442"/>
      <c r="AF559" s="442"/>
      <c r="AG559" s="443" t="s">
        <v>1073</v>
      </c>
      <c r="AH559" s="442"/>
      <c r="AI559" s="443" t="s">
        <v>1073</v>
      </c>
      <c r="AJ559" s="443" t="s">
        <v>677</v>
      </c>
      <c r="AK559" s="442" t="s">
        <v>677</v>
      </c>
      <c r="AL559" s="442"/>
      <c r="AM559" s="442"/>
      <c r="AN559" s="442"/>
      <c r="AO559" s="442"/>
      <c r="AP559" s="442"/>
      <c r="AQ559" s="442"/>
      <c r="AR559" s="444"/>
      <c r="AS559" s="442"/>
      <c r="AT559" s="444"/>
      <c r="AU559" s="442" t="s">
        <v>678</v>
      </c>
      <c r="AV559" s="442" t="s">
        <v>677</v>
      </c>
      <c r="AW559" s="442" t="s">
        <v>676</v>
      </c>
      <c r="AX559" s="442" t="s">
        <v>674</v>
      </c>
      <c r="AY559" s="442"/>
      <c r="AZ559" s="442"/>
      <c r="BA559" s="442" t="s">
        <v>679</v>
      </c>
      <c r="BB559" s="442"/>
      <c r="BC559" s="442"/>
      <c r="BD559" s="442"/>
      <c r="BE559" s="444"/>
      <c r="BF559" s="442" t="s">
        <v>298</v>
      </c>
      <c r="BG559" s="442" t="s">
        <v>680</v>
      </c>
      <c r="BH559" s="442" t="s">
        <v>681</v>
      </c>
      <c r="BI559" s="442"/>
    </row>
    <row r="560" spans="1:61">
      <c r="A560" s="442" t="s">
        <v>1072</v>
      </c>
      <c r="B560" s="442" t="s">
        <v>1072</v>
      </c>
      <c r="C560" s="442" t="s">
        <v>1072</v>
      </c>
      <c r="D560" s="442" t="s">
        <v>673</v>
      </c>
      <c r="E560" s="442" t="s">
        <v>3</v>
      </c>
      <c r="F560" s="443" t="s">
        <v>7</v>
      </c>
      <c r="G560" s="443" t="s">
        <v>684</v>
      </c>
      <c r="H560" s="444">
        <v>91740</v>
      </c>
      <c r="I560" s="444">
        <v>0</v>
      </c>
      <c r="J560" s="444">
        <v>0</v>
      </c>
      <c r="K560" s="444">
        <v>91740</v>
      </c>
      <c r="L560" s="444">
        <v>0</v>
      </c>
      <c r="M560" s="444">
        <v>0</v>
      </c>
      <c r="N560" s="444">
        <v>91740</v>
      </c>
      <c r="O560" s="444">
        <v>0</v>
      </c>
      <c r="P560" s="444">
        <v>0</v>
      </c>
      <c r="Q560" s="444">
        <v>0</v>
      </c>
      <c r="R560" s="444">
        <v>0</v>
      </c>
      <c r="S560" s="444">
        <v>0</v>
      </c>
      <c r="T560" s="444">
        <v>0</v>
      </c>
      <c r="U560" s="444">
        <v>0</v>
      </c>
      <c r="V560" s="444">
        <v>0</v>
      </c>
      <c r="W560" s="444">
        <v>0</v>
      </c>
      <c r="X560" s="442" t="s">
        <v>674</v>
      </c>
      <c r="Y560" s="442" t="s">
        <v>675</v>
      </c>
      <c r="Z560" s="442" t="s">
        <v>675</v>
      </c>
      <c r="AA560" s="442" t="s">
        <v>675</v>
      </c>
      <c r="AB560" s="442" t="s">
        <v>675</v>
      </c>
      <c r="AC560" s="442"/>
      <c r="AD560" s="442"/>
      <c r="AE560" s="442"/>
      <c r="AF560" s="442"/>
      <c r="AG560" s="443" t="s">
        <v>1074</v>
      </c>
      <c r="AH560" s="442"/>
      <c r="AI560" s="443" t="s">
        <v>1074</v>
      </c>
      <c r="AJ560" s="443" t="s">
        <v>677</v>
      </c>
      <c r="AK560" s="442" t="s">
        <v>677</v>
      </c>
      <c r="AL560" s="442"/>
      <c r="AM560" s="442"/>
      <c r="AN560" s="442"/>
      <c r="AO560" s="442"/>
      <c r="AP560" s="442"/>
      <c r="AQ560" s="442"/>
      <c r="AR560" s="444"/>
      <c r="AS560" s="442"/>
      <c r="AT560" s="444"/>
      <c r="AU560" s="442" t="s">
        <v>678</v>
      </c>
      <c r="AV560" s="442" t="s">
        <v>677</v>
      </c>
      <c r="AW560" s="442" t="s">
        <v>676</v>
      </c>
      <c r="AX560" s="442" t="s">
        <v>674</v>
      </c>
      <c r="AY560" s="442"/>
      <c r="AZ560" s="442"/>
      <c r="BA560" s="442" t="s">
        <v>679</v>
      </c>
      <c r="BB560" s="442"/>
      <c r="BC560" s="442"/>
      <c r="BD560" s="442"/>
      <c r="BE560" s="444"/>
      <c r="BF560" s="442" t="s">
        <v>298</v>
      </c>
      <c r="BG560" s="442" t="s">
        <v>680</v>
      </c>
      <c r="BH560" s="442" t="s">
        <v>681</v>
      </c>
      <c r="BI560" s="442"/>
    </row>
    <row r="561" spans="1:61">
      <c r="A561" s="442" t="s">
        <v>1072</v>
      </c>
      <c r="B561" s="442" t="s">
        <v>1072</v>
      </c>
      <c r="C561" s="442" t="s">
        <v>1072</v>
      </c>
      <c r="D561" s="442" t="s">
        <v>673</v>
      </c>
      <c r="E561" s="442" t="s">
        <v>3</v>
      </c>
      <c r="F561" s="443" t="s">
        <v>7</v>
      </c>
      <c r="G561" s="443" t="s">
        <v>684</v>
      </c>
      <c r="H561" s="444">
        <v>14120</v>
      </c>
      <c r="I561" s="444">
        <v>0</v>
      </c>
      <c r="J561" s="444">
        <v>0</v>
      </c>
      <c r="K561" s="444">
        <v>14120</v>
      </c>
      <c r="L561" s="444">
        <v>0</v>
      </c>
      <c r="M561" s="444">
        <v>0</v>
      </c>
      <c r="N561" s="444">
        <v>14120</v>
      </c>
      <c r="O561" s="444">
        <v>0</v>
      </c>
      <c r="P561" s="444">
        <v>0</v>
      </c>
      <c r="Q561" s="444">
        <v>0</v>
      </c>
      <c r="R561" s="444">
        <v>0</v>
      </c>
      <c r="S561" s="444">
        <v>0</v>
      </c>
      <c r="T561" s="444">
        <v>0</v>
      </c>
      <c r="U561" s="444">
        <v>0</v>
      </c>
      <c r="V561" s="444">
        <v>0</v>
      </c>
      <c r="W561" s="444">
        <v>0</v>
      </c>
      <c r="X561" s="442" t="s">
        <v>674</v>
      </c>
      <c r="Y561" s="442" t="s">
        <v>675</v>
      </c>
      <c r="Z561" s="442" t="s">
        <v>675</v>
      </c>
      <c r="AA561" s="442" t="s">
        <v>675</v>
      </c>
      <c r="AB561" s="442" t="s">
        <v>675</v>
      </c>
      <c r="AC561" s="442"/>
      <c r="AD561" s="442"/>
      <c r="AE561" s="442"/>
      <c r="AF561" s="442"/>
      <c r="AG561" s="443" t="s">
        <v>1075</v>
      </c>
      <c r="AH561" s="442"/>
      <c r="AI561" s="443" t="s">
        <v>1075</v>
      </c>
      <c r="AJ561" s="443" t="s">
        <v>677</v>
      </c>
      <c r="AK561" s="442" t="s">
        <v>677</v>
      </c>
      <c r="AL561" s="442"/>
      <c r="AM561" s="442"/>
      <c r="AN561" s="442"/>
      <c r="AO561" s="442"/>
      <c r="AP561" s="442"/>
      <c r="AQ561" s="442"/>
      <c r="AR561" s="444"/>
      <c r="AS561" s="442"/>
      <c r="AT561" s="444"/>
      <c r="AU561" s="442" t="s">
        <v>678</v>
      </c>
      <c r="AV561" s="442" t="s">
        <v>677</v>
      </c>
      <c r="AW561" s="442" t="s">
        <v>676</v>
      </c>
      <c r="AX561" s="442" t="s">
        <v>674</v>
      </c>
      <c r="AY561" s="442"/>
      <c r="AZ561" s="442"/>
      <c r="BA561" s="442" t="s">
        <v>679</v>
      </c>
      <c r="BB561" s="442"/>
      <c r="BC561" s="442"/>
      <c r="BD561" s="442"/>
      <c r="BE561" s="444"/>
      <c r="BF561" s="442" t="s">
        <v>298</v>
      </c>
      <c r="BG561" s="442" t="s">
        <v>680</v>
      </c>
      <c r="BH561" s="442" t="s">
        <v>681</v>
      </c>
      <c r="BI561" s="442"/>
    </row>
    <row r="562" spans="1:61">
      <c r="A562" s="442" t="s">
        <v>1072</v>
      </c>
      <c r="B562" s="442" t="s">
        <v>1072</v>
      </c>
      <c r="C562" s="442" t="s">
        <v>1072</v>
      </c>
      <c r="D562" s="442" t="s">
        <v>673</v>
      </c>
      <c r="E562" s="442" t="s">
        <v>3</v>
      </c>
      <c r="F562" s="443" t="s">
        <v>7</v>
      </c>
      <c r="G562" s="443" t="s">
        <v>684</v>
      </c>
      <c r="H562" s="444">
        <v>101950</v>
      </c>
      <c r="I562" s="444">
        <v>0</v>
      </c>
      <c r="J562" s="444">
        <v>0</v>
      </c>
      <c r="K562" s="444">
        <v>101950</v>
      </c>
      <c r="L562" s="444">
        <v>0</v>
      </c>
      <c r="M562" s="444">
        <v>0</v>
      </c>
      <c r="N562" s="444">
        <v>101950</v>
      </c>
      <c r="O562" s="444">
        <v>0</v>
      </c>
      <c r="P562" s="444">
        <v>0</v>
      </c>
      <c r="Q562" s="444">
        <v>0</v>
      </c>
      <c r="R562" s="444">
        <v>0</v>
      </c>
      <c r="S562" s="444">
        <v>0</v>
      </c>
      <c r="T562" s="444">
        <v>0</v>
      </c>
      <c r="U562" s="444">
        <v>0</v>
      </c>
      <c r="V562" s="444">
        <v>0</v>
      </c>
      <c r="W562" s="444">
        <v>0</v>
      </c>
      <c r="X562" s="442" t="s">
        <v>674</v>
      </c>
      <c r="Y562" s="442" t="s">
        <v>675</v>
      </c>
      <c r="Z562" s="442" t="s">
        <v>675</v>
      </c>
      <c r="AA562" s="442" t="s">
        <v>675</v>
      </c>
      <c r="AB562" s="442" t="s">
        <v>675</v>
      </c>
      <c r="AC562" s="442"/>
      <c r="AD562" s="442"/>
      <c r="AE562" s="442"/>
      <c r="AF562" s="442"/>
      <c r="AG562" s="443" t="s">
        <v>1073</v>
      </c>
      <c r="AH562" s="442"/>
      <c r="AI562" s="443" t="s">
        <v>1073</v>
      </c>
      <c r="AJ562" s="443" t="s">
        <v>677</v>
      </c>
      <c r="AK562" s="442" t="s">
        <v>677</v>
      </c>
      <c r="AL562" s="442"/>
      <c r="AM562" s="442"/>
      <c r="AN562" s="442"/>
      <c r="AO562" s="442"/>
      <c r="AP562" s="442"/>
      <c r="AQ562" s="442"/>
      <c r="AR562" s="444"/>
      <c r="AS562" s="442"/>
      <c r="AT562" s="444"/>
      <c r="AU562" s="442" t="s">
        <v>678</v>
      </c>
      <c r="AV562" s="442" t="s">
        <v>677</v>
      </c>
      <c r="AW562" s="442" t="s">
        <v>676</v>
      </c>
      <c r="AX562" s="442" t="s">
        <v>674</v>
      </c>
      <c r="AY562" s="442"/>
      <c r="AZ562" s="442"/>
      <c r="BA562" s="442" t="s">
        <v>679</v>
      </c>
      <c r="BB562" s="442"/>
      <c r="BC562" s="442"/>
      <c r="BD562" s="442"/>
      <c r="BE562" s="444"/>
      <c r="BF562" s="442" t="s">
        <v>298</v>
      </c>
      <c r="BG562" s="442" t="s">
        <v>680</v>
      </c>
      <c r="BH562" s="442" t="s">
        <v>681</v>
      </c>
      <c r="BI562" s="442"/>
    </row>
    <row r="563" spans="1:61">
      <c r="A563" s="442" t="s">
        <v>1072</v>
      </c>
      <c r="B563" s="442" t="s">
        <v>1072</v>
      </c>
      <c r="C563" s="442" t="s">
        <v>1072</v>
      </c>
      <c r="D563" s="442" t="s">
        <v>673</v>
      </c>
      <c r="E563" s="442" t="s">
        <v>3</v>
      </c>
      <c r="F563" s="443" t="s">
        <v>7</v>
      </c>
      <c r="G563" s="443" t="s">
        <v>684</v>
      </c>
      <c r="H563" s="444">
        <v>80290</v>
      </c>
      <c r="I563" s="444">
        <v>0</v>
      </c>
      <c r="J563" s="444">
        <v>0</v>
      </c>
      <c r="K563" s="444">
        <v>80290</v>
      </c>
      <c r="L563" s="444">
        <v>0</v>
      </c>
      <c r="M563" s="444">
        <v>0</v>
      </c>
      <c r="N563" s="444">
        <v>80290</v>
      </c>
      <c r="O563" s="444">
        <v>0</v>
      </c>
      <c r="P563" s="444">
        <v>0</v>
      </c>
      <c r="Q563" s="444">
        <v>0</v>
      </c>
      <c r="R563" s="444">
        <v>0</v>
      </c>
      <c r="S563" s="444">
        <v>0</v>
      </c>
      <c r="T563" s="444">
        <v>0</v>
      </c>
      <c r="U563" s="444">
        <v>0</v>
      </c>
      <c r="V563" s="444">
        <v>0</v>
      </c>
      <c r="W563" s="444">
        <v>0</v>
      </c>
      <c r="X563" s="442" t="s">
        <v>674</v>
      </c>
      <c r="Y563" s="442" t="s">
        <v>675</v>
      </c>
      <c r="Z563" s="442" t="s">
        <v>675</v>
      </c>
      <c r="AA563" s="442" t="s">
        <v>675</v>
      </c>
      <c r="AB563" s="442" t="s">
        <v>675</v>
      </c>
      <c r="AC563" s="442"/>
      <c r="AD563" s="442"/>
      <c r="AE563" s="442"/>
      <c r="AF563" s="442"/>
      <c r="AG563" s="443" t="s">
        <v>1074</v>
      </c>
      <c r="AH563" s="442"/>
      <c r="AI563" s="443" t="s">
        <v>1074</v>
      </c>
      <c r="AJ563" s="443" t="s">
        <v>677</v>
      </c>
      <c r="AK563" s="442" t="s">
        <v>677</v>
      </c>
      <c r="AL563" s="442"/>
      <c r="AM563" s="442"/>
      <c r="AN563" s="442"/>
      <c r="AO563" s="442"/>
      <c r="AP563" s="442"/>
      <c r="AQ563" s="442"/>
      <c r="AR563" s="444"/>
      <c r="AS563" s="442"/>
      <c r="AT563" s="444"/>
      <c r="AU563" s="442" t="s">
        <v>678</v>
      </c>
      <c r="AV563" s="442" t="s">
        <v>677</v>
      </c>
      <c r="AW563" s="442" t="s">
        <v>676</v>
      </c>
      <c r="AX563" s="442" t="s">
        <v>674</v>
      </c>
      <c r="AY563" s="442"/>
      <c r="AZ563" s="442"/>
      <c r="BA563" s="442" t="s">
        <v>679</v>
      </c>
      <c r="BB563" s="442"/>
      <c r="BC563" s="442"/>
      <c r="BD563" s="442"/>
      <c r="BE563" s="444"/>
      <c r="BF563" s="442" t="s">
        <v>298</v>
      </c>
      <c r="BG563" s="442" t="s">
        <v>680</v>
      </c>
      <c r="BH563" s="442" t="s">
        <v>681</v>
      </c>
      <c r="BI563" s="442"/>
    </row>
    <row r="564" spans="1:61">
      <c r="A564" s="442" t="s">
        <v>1072</v>
      </c>
      <c r="B564" s="442" t="s">
        <v>1072</v>
      </c>
      <c r="C564" s="442" t="s">
        <v>1072</v>
      </c>
      <c r="D564" s="442" t="s">
        <v>673</v>
      </c>
      <c r="E564" s="442" t="s">
        <v>3</v>
      </c>
      <c r="F564" s="443" t="s">
        <v>7</v>
      </c>
      <c r="G564" s="443" t="s">
        <v>684</v>
      </c>
      <c r="H564" s="444">
        <v>1593430</v>
      </c>
      <c r="I564" s="444">
        <v>0</v>
      </c>
      <c r="J564" s="444">
        <v>0</v>
      </c>
      <c r="K564" s="444">
        <v>1593430</v>
      </c>
      <c r="L564" s="444">
        <v>0</v>
      </c>
      <c r="M564" s="444">
        <v>0</v>
      </c>
      <c r="N564" s="444">
        <v>1593430</v>
      </c>
      <c r="O564" s="444">
        <v>0</v>
      </c>
      <c r="P564" s="444">
        <v>0</v>
      </c>
      <c r="Q564" s="444">
        <v>0</v>
      </c>
      <c r="R564" s="444">
        <v>0</v>
      </c>
      <c r="S564" s="444">
        <v>0</v>
      </c>
      <c r="T564" s="444">
        <v>0</v>
      </c>
      <c r="U564" s="444">
        <v>0</v>
      </c>
      <c r="V564" s="444">
        <v>0</v>
      </c>
      <c r="W564" s="444">
        <v>0</v>
      </c>
      <c r="X564" s="442" t="s">
        <v>674</v>
      </c>
      <c r="Y564" s="442" t="s">
        <v>675</v>
      </c>
      <c r="Z564" s="442" t="s">
        <v>675</v>
      </c>
      <c r="AA564" s="442" t="s">
        <v>675</v>
      </c>
      <c r="AB564" s="442" t="s">
        <v>675</v>
      </c>
      <c r="AC564" s="442"/>
      <c r="AD564" s="442"/>
      <c r="AE564" s="442"/>
      <c r="AF564" s="442"/>
      <c r="AG564" s="443" t="s">
        <v>1076</v>
      </c>
      <c r="AH564" s="442"/>
      <c r="AI564" s="443" t="s">
        <v>1076</v>
      </c>
      <c r="AJ564" s="443" t="s">
        <v>677</v>
      </c>
      <c r="AK564" s="442" t="s">
        <v>677</v>
      </c>
      <c r="AL564" s="442"/>
      <c r="AM564" s="442"/>
      <c r="AN564" s="442"/>
      <c r="AO564" s="442"/>
      <c r="AP564" s="442"/>
      <c r="AQ564" s="442"/>
      <c r="AR564" s="444"/>
      <c r="AS564" s="442"/>
      <c r="AT564" s="444"/>
      <c r="AU564" s="442" t="s">
        <v>678</v>
      </c>
      <c r="AV564" s="442" t="s">
        <v>677</v>
      </c>
      <c r="AW564" s="442" t="s">
        <v>676</v>
      </c>
      <c r="AX564" s="442" t="s">
        <v>674</v>
      </c>
      <c r="AY564" s="442"/>
      <c r="AZ564" s="442"/>
      <c r="BA564" s="442" t="s">
        <v>679</v>
      </c>
      <c r="BB564" s="442"/>
      <c r="BC564" s="442"/>
      <c r="BD564" s="442"/>
      <c r="BE564" s="444"/>
      <c r="BF564" s="442" t="s">
        <v>298</v>
      </c>
      <c r="BG564" s="442" t="s">
        <v>680</v>
      </c>
      <c r="BH564" s="442" t="s">
        <v>681</v>
      </c>
      <c r="BI564" s="442"/>
    </row>
    <row r="565" spans="1:61">
      <c r="A565" s="442" t="s">
        <v>1072</v>
      </c>
      <c r="B565" s="442" t="s">
        <v>1072</v>
      </c>
      <c r="C565" s="442" t="s">
        <v>1072</v>
      </c>
      <c r="D565" s="442" t="s">
        <v>673</v>
      </c>
      <c r="E565" s="442" t="s">
        <v>3</v>
      </c>
      <c r="F565" s="443" t="s">
        <v>7</v>
      </c>
      <c r="G565" s="443" t="s">
        <v>684</v>
      </c>
      <c r="H565" s="444">
        <v>1397850</v>
      </c>
      <c r="I565" s="444">
        <v>0</v>
      </c>
      <c r="J565" s="444">
        <v>0</v>
      </c>
      <c r="K565" s="444">
        <v>1397850</v>
      </c>
      <c r="L565" s="444">
        <v>0</v>
      </c>
      <c r="M565" s="444">
        <v>0</v>
      </c>
      <c r="N565" s="444">
        <v>1397850</v>
      </c>
      <c r="O565" s="444">
        <v>0</v>
      </c>
      <c r="P565" s="444">
        <v>0</v>
      </c>
      <c r="Q565" s="444">
        <v>0</v>
      </c>
      <c r="R565" s="444">
        <v>0</v>
      </c>
      <c r="S565" s="444">
        <v>0</v>
      </c>
      <c r="T565" s="444">
        <v>0</v>
      </c>
      <c r="U565" s="444">
        <v>0</v>
      </c>
      <c r="V565" s="444">
        <v>0</v>
      </c>
      <c r="W565" s="444">
        <v>0</v>
      </c>
      <c r="X565" s="442" t="s">
        <v>674</v>
      </c>
      <c r="Y565" s="442" t="s">
        <v>675</v>
      </c>
      <c r="Z565" s="442" t="s">
        <v>675</v>
      </c>
      <c r="AA565" s="442" t="s">
        <v>675</v>
      </c>
      <c r="AB565" s="442" t="s">
        <v>675</v>
      </c>
      <c r="AC565" s="442"/>
      <c r="AD565" s="442"/>
      <c r="AE565" s="442"/>
      <c r="AF565" s="442"/>
      <c r="AG565" s="443" t="s">
        <v>1076</v>
      </c>
      <c r="AH565" s="442"/>
      <c r="AI565" s="443" t="s">
        <v>1076</v>
      </c>
      <c r="AJ565" s="443" t="s">
        <v>677</v>
      </c>
      <c r="AK565" s="442" t="s">
        <v>677</v>
      </c>
      <c r="AL565" s="442"/>
      <c r="AM565" s="442"/>
      <c r="AN565" s="442"/>
      <c r="AO565" s="442"/>
      <c r="AP565" s="442"/>
      <c r="AQ565" s="442"/>
      <c r="AR565" s="444"/>
      <c r="AS565" s="442"/>
      <c r="AT565" s="444"/>
      <c r="AU565" s="442" t="s">
        <v>678</v>
      </c>
      <c r="AV565" s="442" t="s">
        <v>677</v>
      </c>
      <c r="AW565" s="442" t="s">
        <v>676</v>
      </c>
      <c r="AX565" s="442" t="s">
        <v>674</v>
      </c>
      <c r="AY565" s="442"/>
      <c r="AZ565" s="442"/>
      <c r="BA565" s="442" t="s">
        <v>679</v>
      </c>
      <c r="BB565" s="442"/>
      <c r="BC565" s="442"/>
      <c r="BD565" s="442"/>
      <c r="BE565" s="444"/>
      <c r="BF565" s="442" t="s">
        <v>298</v>
      </c>
      <c r="BG565" s="442" t="s">
        <v>680</v>
      </c>
      <c r="BH565" s="442" t="s">
        <v>681</v>
      </c>
      <c r="BI565" s="442"/>
    </row>
    <row r="566" spans="1:61">
      <c r="A566" s="442" t="s">
        <v>1072</v>
      </c>
      <c r="B566" s="442" t="s">
        <v>1072</v>
      </c>
      <c r="C566" s="442" t="s">
        <v>1072</v>
      </c>
      <c r="D566" s="442" t="s">
        <v>673</v>
      </c>
      <c r="E566" s="442" t="s">
        <v>3</v>
      </c>
      <c r="F566" s="443" t="s">
        <v>7</v>
      </c>
      <c r="G566" s="443" t="s">
        <v>684</v>
      </c>
      <c r="H566" s="444">
        <v>9410</v>
      </c>
      <c r="I566" s="444">
        <v>0</v>
      </c>
      <c r="J566" s="444">
        <v>0</v>
      </c>
      <c r="K566" s="444">
        <v>9410</v>
      </c>
      <c r="L566" s="444">
        <v>0</v>
      </c>
      <c r="M566" s="444">
        <v>0</v>
      </c>
      <c r="N566" s="444">
        <v>9410</v>
      </c>
      <c r="O566" s="444">
        <v>0</v>
      </c>
      <c r="P566" s="444">
        <v>0</v>
      </c>
      <c r="Q566" s="444">
        <v>0</v>
      </c>
      <c r="R566" s="444">
        <v>0</v>
      </c>
      <c r="S566" s="444">
        <v>0</v>
      </c>
      <c r="T566" s="444">
        <v>0</v>
      </c>
      <c r="U566" s="444">
        <v>0</v>
      </c>
      <c r="V566" s="444">
        <v>0</v>
      </c>
      <c r="W566" s="444">
        <v>0</v>
      </c>
      <c r="X566" s="442" t="s">
        <v>674</v>
      </c>
      <c r="Y566" s="442" t="s">
        <v>675</v>
      </c>
      <c r="Z566" s="442" t="s">
        <v>675</v>
      </c>
      <c r="AA566" s="442" t="s">
        <v>675</v>
      </c>
      <c r="AB566" s="442" t="s">
        <v>675</v>
      </c>
      <c r="AC566" s="442"/>
      <c r="AD566" s="442"/>
      <c r="AE566" s="442"/>
      <c r="AF566" s="442"/>
      <c r="AG566" s="443" t="s">
        <v>1075</v>
      </c>
      <c r="AH566" s="442"/>
      <c r="AI566" s="443" t="s">
        <v>1075</v>
      </c>
      <c r="AJ566" s="443" t="s">
        <v>677</v>
      </c>
      <c r="AK566" s="442" t="s">
        <v>677</v>
      </c>
      <c r="AL566" s="442"/>
      <c r="AM566" s="442"/>
      <c r="AN566" s="442"/>
      <c r="AO566" s="442"/>
      <c r="AP566" s="442"/>
      <c r="AQ566" s="442"/>
      <c r="AR566" s="444"/>
      <c r="AS566" s="442"/>
      <c r="AT566" s="444"/>
      <c r="AU566" s="442" t="s">
        <v>678</v>
      </c>
      <c r="AV566" s="442" t="s">
        <v>677</v>
      </c>
      <c r="AW566" s="442" t="s">
        <v>676</v>
      </c>
      <c r="AX566" s="442" t="s">
        <v>674</v>
      </c>
      <c r="AY566" s="442"/>
      <c r="AZ566" s="442"/>
      <c r="BA566" s="442" t="s">
        <v>679</v>
      </c>
      <c r="BB566" s="442"/>
      <c r="BC566" s="442"/>
      <c r="BD566" s="442"/>
      <c r="BE566" s="444"/>
      <c r="BF566" s="442" t="s">
        <v>298</v>
      </c>
      <c r="BG566" s="442" t="s">
        <v>680</v>
      </c>
      <c r="BH566" s="442" t="s">
        <v>681</v>
      </c>
      <c r="BI566" s="442"/>
    </row>
    <row r="567" spans="1:61">
      <c r="A567" s="442" t="s">
        <v>1077</v>
      </c>
      <c r="B567" s="442" t="s">
        <v>1077</v>
      </c>
      <c r="C567" s="442" t="s">
        <v>1077</v>
      </c>
      <c r="D567" s="442" t="s">
        <v>716</v>
      </c>
      <c r="E567" s="442" t="s">
        <v>3</v>
      </c>
      <c r="F567" s="443" t="s">
        <v>308</v>
      </c>
      <c r="G567" s="443" t="s">
        <v>780</v>
      </c>
      <c r="H567" s="444">
        <v>186410400</v>
      </c>
      <c r="I567" s="444">
        <v>0</v>
      </c>
      <c r="J567" s="444">
        <v>0</v>
      </c>
      <c r="K567" s="444">
        <v>186410400</v>
      </c>
      <c r="L567" s="444">
        <v>0</v>
      </c>
      <c r="M567" s="444">
        <v>0</v>
      </c>
      <c r="N567" s="444">
        <v>169464000</v>
      </c>
      <c r="O567" s="444">
        <v>0</v>
      </c>
      <c r="P567" s="444">
        <v>0</v>
      </c>
      <c r="Q567" s="444">
        <v>16946400</v>
      </c>
      <c r="R567" s="444">
        <v>0</v>
      </c>
      <c r="S567" s="444">
        <v>0</v>
      </c>
      <c r="T567" s="444">
        <v>0</v>
      </c>
      <c r="U567" s="444">
        <v>0</v>
      </c>
      <c r="V567" s="444">
        <v>0</v>
      </c>
      <c r="W567" s="444">
        <v>0</v>
      </c>
      <c r="X567" s="442" t="s">
        <v>674</v>
      </c>
      <c r="Y567" s="442" t="s">
        <v>675</v>
      </c>
      <c r="Z567" s="442" t="s">
        <v>675</v>
      </c>
      <c r="AA567" s="442" t="s">
        <v>675</v>
      </c>
      <c r="AB567" s="442" t="s">
        <v>675</v>
      </c>
      <c r="AC567" s="442"/>
      <c r="AD567" s="442" t="s">
        <v>781</v>
      </c>
      <c r="AE567" s="442"/>
      <c r="AF567" s="442"/>
      <c r="AG567" s="443" t="s">
        <v>1078</v>
      </c>
      <c r="AH567" s="442"/>
      <c r="AI567" s="443" t="s">
        <v>1078</v>
      </c>
      <c r="AJ567" s="443" t="s">
        <v>1079</v>
      </c>
      <c r="AK567" s="442" t="s">
        <v>677</v>
      </c>
      <c r="AL567" s="442"/>
      <c r="AM567" s="442"/>
      <c r="AN567" s="442"/>
      <c r="AO567" s="442"/>
      <c r="AP567" s="442"/>
      <c r="AQ567" s="442"/>
      <c r="AR567" s="444"/>
      <c r="AS567" s="442"/>
      <c r="AT567" s="444"/>
      <c r="AU567" s="442" t="s">
        <v>678</v>
      </c>
      <c r="AV567" s="442" t="s">
        <v>677</v>
      </c>
      <c r="AW567" s="442" t="s">
        <v>676</v>
      </c>
      <c r="AX567" s="442" t="s">
        <v>784</v>
      </c>
      <c r="AY567" s="442" t="s">
        <v>785</v>
      </c>
      <c r="AZ567" s="442" t="s">
        <v>1080</v>
      </c>
      <c r="BA567" s="442" t="s">
        <v>679</v>
      </c>
      <c r="BB567" s="442"/>
      <c r="BC567" s="442"/>
      <c r="BD567" s="442"/>
      <c r="BE567" s="444"/>
      <c r="BF567" s="442" t="s">
        <v>298</v>
      </c>
      <c r="BG567" s="442" t="s">
        <v>680</v>
      </c>
      <c r="BH567" s="442" t="s">
        <v>681</v>
      </c>
      <c r="BI567" s="442"/>
    </row>
  </sheetData>
  <autoFilter ref="A1:BI567" xr:uid="{E576B25A-01AD-42E8-8B58-E88A29E0150F}"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4" showButton="0"/>
    <filterColumn colId="25" showButton="0"/>
    <filterColumn colId="26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9" showButton="0"/>
    <filterColumn colId="50" showButton="0"/>
    <filterColumn colId="52" showButton="0"/>
    <filterColumn colId="53" showButton="0"/>
    <filterColumn colId="54" showButton="0"/>
    <filterColumn colId="55" showButton="0"/>
  </autoFilter>
  <mergeCells count="35">
    <mergeCell ref="F1:F2"/>
    <mergeCell ref="A1:A2"/>
    <mergeCell ref="B1:B2"/>
    <mergeCell ref="C1:C2"/>
    <mergeCell ref="D1:D2"/>
    <mergeCell ref="E1:E2"/>
    <mergeCell ref="AE1:AE2"/>
    <mergeCell ref="G1:G2"/>
    <mergeCell ref="H1:H2"/>
    <mergeCell ref="I1:K1"/>
    <mergeCell ref="L1:N1"/>
    <mergeCell ref="O1:Q1"/>
    <mergeCell ref="R1:T1"/>
    <mergeCell ref="U1:W1"/>
    <mergeCell ref="X1:X2"/>
    <mergeCell ref="Y1:AB1"/>
    <mergeCell ref="AC1:AC2"/>
    <mergeCell ref="AD1:AD2"/>
    <mergeCell ref="AX1:AZ1"/>
    <mergeCell ref="AF1:AF2"/>
    <mergeCell ref="AG1:AG2"/>
    <mergeCell ref="AH1:AH2"/>
    <mergeCell ref="AI1:AI2"/>
    <mergeCell ref="AJ1:AJ2"/>
    <mergeCell ref="AK1:AK2"/>
    <mergeCell ref="AL1:AL2"/>
    <mergeCell ref="AM1:AS1"/>
    <mergeCell ref="AU1:AU2"/>
    <mergeCell ref="AV1:AV2"/>
    <mergeCell ref="AW1:AW2"/>
    <mergeCell ref="BA1:BE1"/>
    <mergeCell ref="BF1:BF2"/>
    <mergeCell ref="BG1:BG2"/>
    <mergeCell ref="BH1:BH2"/>
    <mergeCell ref="BI1:BI2"/>
  </mergeCells>
  <phoneticPr fontId="2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FD71-3C71-426C-A5C2-F4B70ED198BD}">
  <dimension ref="A1:BI569"/>
  <sheetViews>
    <sheetView workbookViewId="0">
      <selection sqref="A1:A2"/>
    </sheetView>
  </sheetViews>
  <sheetFormatPr defaultRowHeight="15"/>
  <sheetData>
    <row r="1" spans="1:61">
      <c r="A1" s="722" t="s">
        <v>616</v>
      </c>
      <c r="B1" s="722" t="s">
        <v>617</v>
      </c>
      <c r="C1" s="722" t="s">
        <v>618</v>
      </c>
      <c r="D1" s="722" t="s">
        <v>619</v>
      </c>
      <c r="E1" s="722" t="s">
        <v>620</v>
      </c>
      <c r="F1" s="722" t="s">
        <v>240</v>
      </c>
      <c r="G1" s="722" t="s">
        <v>621</v>
      </c>
      <c r="H1" s="722" t="s">
        <v>622</v>
      </c>
      <c r="I1" s="722" t="s">
        <v>622</v>
      </c>
      <c r="J1" s="722" t="s">
        <v>622</v>
      </c>
      <c r="K1" s="722" t="s">
        <v>622</v>
      </c>
      <c r="L1" s="722" t="s">
        <v>623</v>
      </c>
      <c r="M1" s="722" t="s">
        <v>623</v>
      </c>
      <c r="N1" s="722" t="s">
        <v>623</v>
      </c>
      <c r="O1" s="722" t="s">
        <v>624</v>
      </c>
      <c r="P1" s="722" t="s">
        <v>624</v>
      </c>
      <c r="Q1" s="722" t="s">
        <v>624</v>
      </c>
      <c r="R1" s="722" t="s">
        <v>625</v>
      </c>
      <c r="S1" s="722" t="s">
        <v>625</v>
      </c>
      <c r="T1" s="722" t="s">
        <v>625</v>
      </c>
      <c r="U1" s="722" t="s">
        <v>626</v>
      </c>
      <c r="V1" s="722" t="s">
        <v>626</v>
      </c>
      <c r="W1" s="722" t="s">
        <v>626</v>
      </c>
      <c r="X1" s="722" t="s">
        <v>627</v>
      </c>
      <c r="Y1" s="722" t="s">
        <v>628</v>
      </c>
      <c r="Z1" s="722" t="s">
        <v>628</v>
      </c>
      <c r="AA1" s="722" t="s">
        <v>628</v>
      </c>
      <c r="AB1" s="722" t="s">
        <v>628</v>
      </c>
      <c r="AC1" s="722" t="s">
        <v>629</v>
      </c>
      <c r="AD1" s="722" t="s">
        <v>630</v>
      </c>
      <c r="AE1" s="722" t="s">
        <v>631</v>
      </c>
      <c r="AF1" s="722" t="s">
        <v>7</v>
      </c>
      <c r="AG1" s="722" t="s">
        <v>632</v>
      </c>
      <c r="AH1" s="722" t="s">
        <v>633</v>
      </c>
      <c r="AI1" s="722" t="s">
        <v>634</v>
      </c>
      <c r="AJ1" s="722" t="s">
        <v>635</v>
      </c>
      <c r="AK1" s="722" t="s">
        <v>636</v>
      </c>
      <c r="AL1" s="722" t="s">
        <v>637</v>
      </c>
      <c r="AM1" s="722" t="s">
        <v>638</v>
      </c>
      <c r="AN1" s="722" t="s">
        <v>638</v>
      </c>
      <c r="AO1" s="722" t="s">
        <v>638</v>
      </c>
      <c r="AP1" s="722" t="s">
        <v>638</v>
      </c>
      <c r="AQ1" s="722" t="s">
        <v>638</v>
      </c>
      <c r="AR1" s="722" t="s">
        <v>638</v>
      </c>
      <c r="AS1" s="722" t="s">
        <v>638</v>
      </c>
      <c r="AT1" s="723" t="s">
        <v>639</v>
      </c>
      <c r="AU1" s="722" t="s">
        <v>640</v>
      </c>
      <c r="AV1" s="722" t="s">
        <v>641</v>
      </c>
      <c r="AW1" s="722" t="s">
        <v>642</v>
      </c>
      <c r="AX1" s="722" t="s">
        <v>643</v>
      </c>
      <c r="AY1" s="722" t="s">
        <v>643</v>
      </c>
      <c r="AZ1" s="722" t="s">
        <v>643</v>
      </c>
      <c r="BA1" s="722" t="s">
        <v>644</v>
      </c>
      <c r="BB1" s="722" t="s">
        <v>644</v>
      </c>
      <c r="BC1" s="722" t="s">
        <v>644</v>
      </c>
      <c r="BD1" s="722" t="s">
        <v>644</v>
      </c>
      <c r="BE1" s="722" t="s">
        <v>644</v>
      </c>
      <c r="BF1" s="722" t="s">
        <v>645</v>
      </c>
      <c r="BG1" s="722" t="s">
        <v>646</v>
      </c>
      <c r="BH1" s="722" t="s">
        <v>647</v>
      </c>
      <c r="BI1" s="722" t="s">
        <v>648</v>
      </c>
    </row>
    <row r="2" spans="1:61" ht="25.5">
      <c r="A2" s="722" t="s">
        <v>616</v>
      </c>
      <c r="B2" s="722" t="s">
        <v>617</v>
      </c>
      <c r="C2" s="722" t="s">
        <v>618</v>
      </c>
      <c r="D2" s="722" t="s">
        <v>619</v>
      </c>
      <c r="E2" s="722" t="s">
        <v>620</v>
      </c>
      <c r="F2" s="722" t="s">
        <v>240</v>
      </c>
      <c r="G2" s="722" t="s">
        <v>621</v>
      </c>
      <c r="H2" s="722" t="s">
        <v>622</v>
      </c>
      <c r="I2" s="723" t="s">
        <v>649</v>
      </c>
      <c r="J2" s="723" t="s">
        <v>650</v>
      </c>
      <c r="K2" s="723" t="s">
        <v>293</v>
      </c>
      <c r="L2" s="723" t="s">
        <v>649</v>
      </c>
      <c r="M2" s="723" t="s">
        <v>650</v>
      </c>
      <c r="N2" s="723" t="s">
        <v>293</v>
      </c>
      <c r="O2" s="723" t="s">
        <v>649</v>
      </c>
      <c r="P2" s="723" t="s">
        <v>650</v>
      </c>
      <c r="Q2" s="723" t="s">
        <v>293</v>
      </c>
      <c r="R2" s="723" t="s">
        <v>649</v>
      </c>
      <c r="S2" s="723" t="s">
        <v>650</v>
      </c>
      <c r="T2" s="723" t="s">
        <v>293</v>
      </c>
      <c r="U2" s="723" t="s">
        <v>649</v>
      </c>
      <c r="V2" s="723" t="s">
        <v>650</v>
      </c>
      <c r="W2" s="723" t="s">
        <v>293</v>
      </c>
      <c r="X2" s="722" t="s">
        <v>627</v>
      </c>
      <c r="Y2" s="723" t="s">
        <v>651</v>
      </c>
      <c r="Z2" s="723" t="s">
        <v>652</v>
      </c>
      <c r="AA2" s="723" t="s">
        <v>653</v>
      </c>
      <c r="AB2" s="723" t="s">
        <v>654</v>
      </c>
      <c r="AC2" s="722" t="s">
        <v>629</v>
      </c>
      <c r="AD2" s="722" t="s">
        <v>630</v>
      </c>
      <c r="AE2" s="722" t="s">
        <v>631</v>
      </c>
      <c r="AF2" s="722" t="s">
        <v>7</v>
      </c>
      <c r="AG2" s="722" t="s">
        <v>632</v>
      </c>
      <c r="AH2" s="722" t="s">
        <v>633</v>
      </c>
      <c r="AI2" s="722" t="s">
        <v>634</v>
      </c>
      <c r="AJ2" s="722" t="s">
        <v>635</v>
      </c>
      <c r="AK2" s="722" t="s">
        <v>636</v>
      </c>
      <c r="AL2" s="722" t="s">
        <v>637</v>
      </c>
      <c r="AM2" s="723" t="s">
        <v>655</v>
      </c>
      <c r="AN2" s="723" t="s">
        <v>656</v>
      </c>
      <c r="AO2" s="723" t="s">
        <v>657</v>
      </c>
      <c r="AP2" s="723" t="s">
        <v>658</v>
      </c>
      <c r="AQ2" s="723" t="s">
        <v>659</v>
      </c>
      <c r="AR2" s="723" t="s">
        <v>660</v>
      </c>
      <c r="AS2" s="723" t="s">
        <v>661</v>
      </c>
      <c r="AT2" s="723" t="s">
        <v>662</v>
      </c>
      <c r="AU2" s="722" t="s">
        <v>640</v>
      </c>
      <c r="AV2" s="722" t="s">
        <v>641</v>
      </c>
      <c r="AW2" s="722" t="s">
        <v>642</v>
      </c>
      <c r="AX2" s="723" t="s">
        <v>663</v>
      </c>
      <c r="AY2" s="723" t="s">
        <v>664</v>
      </c>
      <c r="AZ2" s="723" t="s">
        <v>665</v>
      </c>
      <c r="BA2" s="723" t="s">
        <v>666</v>
      </c>
      <c r="BB2" s="723" t="s">
        <v>667</v>
      </c>
      <c r="BC2" s="723" t="s">
        <v>668</v>
      </c>
      <c r="BD2" s="723" t="s">
        <v>669</v>
      </c>
      <c r="BE2" s="723" t="s">
        <v>670</v>
      </c>
      <c r="BF2" s="722" t="s">
        <v>645</v>
      </c>
      <c r="BG2" s="722" t="s">
        <v>646</v>
      </c>
      <c r="BH2" s="722" t="s">
        <v>647</v>
      </c>
      <c r="BI2" s="722" t="s">
        <v>648</v>
      </c>
    </row>
    <row r="3" spans="1:61">
      <c r="A3" s="724" t="s">
        <v>1203</v>
      </c>
      <c r="B3" s="724" t="s">
        <v>1203</v>
      </c>
      <c r="C3" s="724" t="s">
        <v>1204</v>
      </c>
      <c r="D3" s="724" t="s">
        <v>673</v>
      </c>
      <c r="E3" s="724" t="s">
        <v>3</v>
      </c>
      <c r="F3" s="725" t="s">
        <v>83</v>
      </c>
      <c r="G3" s="725" t="s">
        <v>691</v>
      </c>
      <c r="H3" s="726">
        <v>2462400</v>
      </c>
      <c r="I3" s="726">
        <v>2462400</v>
      </c>
      <c r="J3" s="726">
        <v>0</v>
      </c>
      <c r="K3" s="726">
        <v>0</v>
      </c>
      <c r="L3" s="726">
        <v>2462400</v>
      </c>
      <c r="M3" s="726">
        <v>0</v>
      </c>
      <c r="N3" s="726">
        <v>0</v>
      </c>
      <c r="O3" s="726">
        <v>0</v>
      </c>
      <c r="P3" s="726">
        <v>0</v>
      </c>
      <c r="Q3" s="726">
        <v>0</v>
      </c>
      <c r="R3" s="726">
        <v>0</v>
      </c>
      <c r="S3" s="726">
        <v>0</v>
      </c>
      <c r="T3" s="726">
        <v>0</v>
      </c>
      <c r="U3" s="726">
        <v>0</v>
      </c>
      <c r="V3" s="726">
        <v>0</v>
      </c>
      <c r="W3" s="726">
        <v>0</v>
      </c>
      <c r="X3" s="724" t="s">
        <v>674</v>
      </c>
      <c r="Y3" s="724" t="s">
        <v>1226</v>
      </c>
      <c r="Z3" s="724" t="s">
        <v>1226</v>
      </c>
      <c r="AA3" s="724" t="s">
        <v>675</v>
      </c>
      <c r="AB3" s="724" t="s">
        <v>675</v>
      </c>
      <c r="AC3" s="724"/>
      <c r="AD3" s="724"/>
      <c r="AE3" s="724" t="s">
        <v>676</v>
      </c>
      <c r="AF3" s="724"/>
      <c r="AG3" s="725" t="s">
        <v>736</v>
      </c>
      <c r="AH3" s="724"/>
      <c r="AI3" s="725" t="s">
        <v>736</v>
      </c>
      <c r="AJ3" s="725" t="s">
        <v>677</v>
      </c>
      <c r="AK3" s="724" t="s">
        <v>677</v>
      </c>
      <c r="AL3" s="724"/>
      <c r="AM3" s="724"/>
      <c r="AN3" s="724"/>
      <c r="AO3" s="724"/>
      <c r="AP3" s="724"/>
      <c r="AQ3" s="724"/>
      <c r="AR3" s="726"/>
      <c r="AS3" s="724"/>
      <c r="AT3" s="726"/>
      <c r="AU3" s="724" t="s">
        <v>678</v>
      </c>
      <c r="AV3" s="724" t="s">
        <v>677</v>
      </c>
      <c r="AW3" s="724" t="s">
        <v>676</v>
      </c>
      <c r="AX3" s="724" t="s">
        <v>679</v>
      </c>
      <c r="AY3" s="724"/>
      <c r="AZ3" s="724"/>
      <c r="BA3" s="724" t="s">
        <v>679</v>
      </c>
      <c r="BB3" s="724"/>
      <c r="BC3" s="724"/>
      <c r="BD3" s="724"/>
      <c r="BE3" s="726"/>
      <c r="BF3" s="724" t="s">
        <v>298</v>
      </c>
      <c r="BG3" s="724" t="s">
        <v>680</v>
      </c>
      <c r="BH3" s="724" t="s">
        <v>681</v>
      </c>
      <c r="BI3" s="724"/>
    </row>
    <row r="4" spans="1:61">
      <c r="A4" s="724" t="s">
        <v>1203</v>
      </c>
      <c r="B4" s="724" t="s">
        <v>1203</v>
      </c>
      <c r="C4" s="724" t="s">
        <v>1204</v>
      </c>
      <c r="D4" s="724" t="s">
        <v>673</v>
      </c>
      <c r="E4" s="724" t="s">
        <v>3</v>
      </c>
      <c r="F4" s="725" t="s">
        <v>83</v>
      </c>
      <c r="G4" s="725" t="s">
        <v>691</v>
      </c>
      <c r="H4" s="726">
        <v>88000</v>
      </c>
      <c r="I4" s="726">
        <v>88000</v>
      </c>
      <c r="J4" s="726">
        <v>0</v>
      </c>
      <c r="K4" s="726">
        <v>0</v>
      </c>
      <c r="L4" s="726">
        <v>88000</v>
      </c>
      <c r="M4" s="726">
        <v>0</v>
      </c>
      <c r="N4" s="726">
        <v>0</v>
      </c>
      <c r="O4" s="726">
        <v>0</v>
      </c>
      <c r="P4" s="726">
        <v>0</v>
      </c>
      <c r="Q4" s="726">
        <v>0</v>
      </c>
      <c r="R4" s="726">
        <v>0</v>
      </c>
      <c r="S4" s="726">
        <v>0</v>
      </c>
      <c r="T4" s="726">
        <v>0</v>
      </c>
      <c r="U4" s="726">
        <v>0</v>
      </c>
      <c r="V4" s="726">
        <v>0</v>
      </c>
      <c r="W4" s="726">
        <v>0</v>
      </c>
      <c r="X4" s="724" t="s">
        <v>674</v>
      </c>
      <c r="Y4" s="724" t="s">
        <v>675</v>
      </c>
      <c r="Z4" s="724" t="s">
        <v>675</v>
      </c>
      <c r="AA4" s="724" t="s">
        <v>675</v>
      </c>
      <c r="AB4" s="724" t="s">
        <v>675</v>
      </c>
      <c r="AC4" s="724"/>
      <c r="AD4" s="724"/>
      <c r="AE4" s="724" t="s">
        <v>676</v>
      </c>
      <c r="AF4" s="724"/>
      <c r="AG4" s="725" t="s">
        <v>1205</v>
      </c>
      <c r="AH4" s="724"/>
      <c r="AI4" s="725" t="s">
        <v>1205</v>
      </c>
      <c r="AJ4" s="725" t="s">
        <v>677</v>
      </c>
      <c r="AK4" s="724" t="s">
        <v>677</v>
      </c>
      <c r="AL4" s="724"/>
      <c r="AM4" s="724"/>
      <c r="AN4" s="724"/>
      <c r="AO4" s="724"/>
      <c r="AP4" s="724"/>
      <c r="AQ4" s="724"/>
      <c r="AR4" s="726"/>
      <c r="AS4" s="724"/>
      <c r="AT4" s="726"/>
      <c r="AU4" s="724" t="s">
        <v>678</v>
      </c>
      <c r="AV4" s="724" t="s">
        <v>677</v>
      </c>
      <c r="AW4" s="724" t="s">
        <v>676</v>
      </c>
      <c r="AX4" s="724" t="s">
        <v>679</v>
      </c>
      <c r="AY4" s="724"/>
      <c r="AZ4" s="724"/>
      <c r="BA4" s="724" t="s">
        <v>679</v>
      </c>
      <c r="BB4" s="724"/>
      <c r="BC4" s="724"/>
      <c r="BD4" s="724"/>
      <c r="BE4" s="726"/>
      <c r="BF4" s="724" t="s">
        <v>298</v>
      </c>
      <c r="BG4" s="724" t="s">
        <v>680</v>
      </c>
      <c r="BH4" s="724" t="s">
        <v>681</v>
      </c>
      <c r="BI4" s="724"/>
    </row>
    <row r="5" spans="1:61">
      <c r="A5" s="724" t="s">
        <v>1203</v>
      </c>
      <c r="B5" s="724" t="s">
        <v>1203</v>
      </c>
      <c r="C5" s="724" t="s">
        <v>1204</v>
      </c>
      <c r="D5" s="724" t="s">
        <v>673</v>
      </c>
      <c r="E5" s="724" t="s">
        <v>3</v>
      </c>
      <c r="F5" s="725" t="s">
        <v>83</v>
      </c>
      <c r="G5" s="725" t="s">
        <v>691</v>
      </c>
      <c r="H5" s="726">
        <v>912000</v>
      </c>
      <c r="I5" s="726">
        <v>912000</v>
      </c>
      <c r="J5" s="726">
        <v>0</v>
      </c>
      <c r="K5" s="726">
        <v>0</v>
      </c>
      <c r="L5" s="726">
        <v>912000</v>
      </c>
      <c r="M5" s="726">
        <v>0</v>
      </c>
      <c r="N5" s="726">
        <v>0</v>
      </c>
      <c r="O5" s="726">
        <v>0</v>
      </c>
      <c r="P5" s="726">
        <v>0</v>
      </c>
      <c r="Q5" s="726">
        <v>0</v>
      </c>
      <c r="R5" s="726">
        <v>0</v>
      </c>
      <c r="S5" s="726">
        <v>0</v>
      </c>
      <c r="T5" s="726">
        <v>0</v>
      </c>
      <c r="U5" s="726">
        <v>0</v>
      </c>
      <c r="V5" s="726">
        <v>0</v>
      </c>
      <c r="W5" s="726">
        <v>0</v>
      </c>
      <c r="X5" s="724" t="s">
        <v>674</v>
      </c>
      <c r="Y5" s="724" t="s">
        <v>1226</v>
      </c>
      <c r="Z5" s="724" t="s">
        <v>1226</v>
      </c>
      <c r="AA5" s="724" t="s">
        <v>675</v>
      </c>
      <c r="AB5" s="724" t="s">
        <v>675</v>
      </c>
      <c r="AC5" s="724"/>
      <c r="AD5" s="724"/>
      <c r="AE5" s="724" t="s">
        <v>676</v>
      </c>
      <c r="AF5" s="724"/>
      <c r="AG5" s="725" t="s">
        <v>1206</v>
      </c>
      <c r="AH5" s="724"/>
      <c r="AI5" s="725" t="s">
        <v>1206</v>
      </c>
      <c r="AJ5" s="725" t="s">
        <v>677</v>
      </c>
      <c r="AK5" s="724" t="s">
        <v>677</v>
      </c>
      <c r="AL5" s="724"/>
      <c r="AM5" s="724"/>
      <c r="AN5" s="724"/>
      <c r="AO5" s="724"/>
      <c r="AP5" s="724"/>
      <c r="AQ5" s="724"/>
      <c r="AR5" s="726"/>
      <c r="AS5" s="724"/>
      <c r="AT5" s="726"/>
      <c r="AU5" s="724" t="s">
        <v>678</v>
      </c>
      <c r="AV5" s="724" t="s">
        <v>677</v>
      </c>
      <c r="AW5" s="724" t="s">
        <v>676</v>
      </c>
      <c r="AX5" s="724" t="s">
        <v>679</v>
      </c>
      <c r="AY5" s="724"/>
      <c r="AZ5" s="724"/>
      <c r="BA5" s="724" t="s">
        <v>679</v>
      </c>
      <c r="BB5" s="724"/>
      <c r="BC5" s="724"/>
      <c r="BD5" s="724"/>
      <c r="BE5" s="726"/>
      <c r="BF5" s="724" t="s">
        <v>298</v>
      </c>
      <c r="BG5" s="724" t="s">
        <v>680</v>
      </c>
      <c r="BH5" s="724" t="s">
        <v>681</v>
      </c>
      <c r="BI5" s="724"/>
    </row>
    <row r="6" spans="1:61">
      <c r="A6" s="724" t="s">
        <v>1203</v>
      </c>
      <c r="B6" s="724" t="s">
        <v>1203</v>
      </c>
      <c r="C6" s="724" t="s">
        <v>1204</v>
      </c>
      <c r="D6" s="724" t="s">
        <v>673</v>
      </c>
      <c r="E6" s="724" t="s">
        <v>3</v>
      </c>
      <c r="F6" s="725" t="s">
        <v>83</v>
      </c>
      <c r="G6" s="725" t="s">
        <v>691</v>
      </c>
      <c r="H6" s="726">
        <v>237600</v>
      </c>
      <c r="I6" s="726">
        <v>237600</v>
      </c>
      <c r="J6" s="726">
        <v>0</v>
      </c>
      <c r="K6" s="726">
        <v>0</v>
      </c>
      <c r="L6" s="726">
        <v>237600</v>
      </c>
      <c r="M6" s="726">
        <v>0</v>
      </c>
      <c r="N6" s="726">
        <v>0</v>
      </c>
      <c r="O6" s="726">
        <v>0</v>
      </c>
      <c r="P6" s="726">
        <v>0</v>
      </c>
      <c r="Q6" s="726">
        <v>0</v>
      </c>
      <c r="R6" s="726">
        <v>0</v>
      </c>
      <c r="S6" s="726">
        <v>0</v>
      </c>
      <c r="T6" s="726">
        <v>0</v>
      </c>
      <c r="U6" s="726">
        <v>0</v>
      </c>
      <c r="V6" s="726">
        <v>0</v>
      </c>
      <c r="W6" s="726">
        <v>0</v>
      </c>
      <c r="X6" s="724" t="s">
        <v>674</v>
      </c>
      <c r="Y6" s="724" t="s">
        <v>1226</v>
      </c>
      <c r="Z6" s="724" t="s">
        <v>1226</v>
      </c>
      <c r="AA6" s="724" t="s">
        <v>675</v>
      </c>
      <c r="AB6" s="724" t="s">
        <v>675</v>
      </c>
      <c r="AC6" s="724"/>
      <c r="AD6" s="724"/>
      <c r="AE6" s="724" t="s">
        <v>676</v>
      </c>
      <c r="AF6" s="724"/>
      <c r="AG6" s="725" t="s">
        <v>733</v>
      </c>
      <c r="AH6" s="724"/>
      <c r="AI6" s="725" t="s">
        <v>733</v>
      </c>
      <c r="AJ6" s="725" t="s">
        <v>677</v>
      </c>
      <c r="AK6" s="724" t="s">
        <v>677</v>
      </c>
      <c r="AL6" s="724"/>
      <c r="AM6" s="724"/>
      <c r="AN6" s="724"/>
      <c r="AO6" s="724"/>
      <c r="AP6" s="724"/>
      <c r="AQ6" s="724"/>
      <c r="AR6" s="726"/>
      <c r="AS6" s="724"/>
      <c r="AT6" s="726"/>
      <c r="AU6" s="724" t="s">
        <v>678</v>
      </c>
      <c r="AV6" s="724" t="s">
        <v>677</v>
      </c>
      <c r="AW6" s="724" t="s">
        <v>676</v>
      </c>
      <c r="AX6" s="724" t="s">
        <v>679</v>
      </c>
      <c r="AY6" s="724"/>
      <c r="AZ6" s="724"/>
      <c r="BA6" s="724" t="s">
        <v>679</v>
      </c>
      <c r="BB6" s="724"/>
      <c r="BC6" s="724"/>
      <c r="BD6" s="724"/>
      <c r="BE6" s="726"/>
      <c r="BF6" s="724" t="s">
        <v>298</v>
      </c>
      <c r="BG6" s="724" t="s">
        <v>680</v>
      </c>
      <c r="BH6" s="724" t="s">
        <v>681</v>
      </c>
      <c r="BI6" s="724"/>
    </row>
    <row r="7" spans="1:61">
      <c r="A7" s="724" t="s">
        <v>1227</v>
      </c>
      <c r="B7" s="724" t="s">
        <v>1228</v>
      </c>
      <c r="C7" s="724" t="s">
        <v>1228</v>
      </c>
      <c r="D7" s="724" t="s">
        <v>724</v>
      </c>
      <c r="E7" s="724" t="s">
        <v>3</v>
      </c>
      <c r="F7" s="725" t="s">
        <v>83</v>
      </c>
      <c r="G7" s="725" t="s">
        <v>700</v>
      </c>
      <c r="H7" s="726">
        <v>33000</v>
      </c>
      <c r="I7" s="726">
        <v>33000</v>
      </c>
      <c r="J7" s="726">
        <v>0</v>
      </c>
      <c r="K7" s="726">
        <v>0</v>
      </c>
      <c r="L7" s="726">
        <v>30000</v>
      </c>
      <c r="M7" s="726">
        <v>0</v>
      </c>
      <c r="N7" s="726">
        <v>0</v>
      </c>
      <c r="O7" s="726">
        <v>3000</v>
      </c>
      <c r="P7" s="726">
        <v>0</v>
      </c>
      <c r="Q7" s="726">
        <v>0</v>
      </c>
      <c r="R7" s="726">
        <v>0</v>
      </c>
      <c r="S7" s="726">
        <v>0</v>
      </c>
      <c r="T7" s="726">
        <v>0</v>
      </c>
      <c r="U7" s="726">
        <v>0</v>
      </c>
      <c r="V7" s="726">
        <v>0</v>
      </c>
      <c r="W7" s="726">
        <v>0</v>
      </c>
      <c r="X7" s="724" t="s">
        <v>674</v>
      </c>
      <c r="Y7" s="724" t="s">
        <v>675</v>
      </c>
      <c r="Z7" s="724" t="s">
        <v>675</v>
      </c>
      <c r="AA7" s="724" t="s">
        <v>675</v>
      </c>
      <c r="AB7" s="724" t="s">
        <v>675</v>
      </c>
      <c r="AC7" s="724"/>
      <c r="AD7" s="724"/>
      <c r="AE7" s="724"/>
      <c r="AF7" s="724"/>
      <c r="AG7" s="725" t="s">
        <v>1229</v>
      </c>
      <c r="AH7" s="724"/>
      <c r="AI7" s="725" t="s">
        <v>1229</v>
      </c>
      <c r="AJ7" s="725" t="s">
        <v>945</v>
      </c>
      <c r="AK7" s="724" t="s">
        <v>677</v>
      </c>
      <c r="AL7" s="724"/>
      <c r="AM7" s="724" t="s">
        <v>726</v>
      </c>
      <c r="AN7" s="724" t="s">
        <v>1230</v>
      </c>
      <c r="AO7" s="724" t="s">
        <v>1227</v>
      </c>
      <c r="AP7" s="724" t="s">
        <v>1204</v>
      </c>
      <c r="AQ7" s="724" t="s">
        <v>1184</v>
      </c>
      <c r="AR7" s="726">
        <v>33000</v>
      </c>
      <c r="AS7" s="724" t="s">
        <v>675</v>
      </c>
      <c r="AT7" s="726">
        <v>0</v>
      </c>
      <c r="AU7" s="724" t="s">
        <v>678</v>
      </c>
      <c r="AV7" s="724" t="s">
        <v>677</v>
      </c>
      <c r="AW7" s="724" t="s">
        <v>676</v>
      </c>
      <c r="AX7" s="724" t="s">
        <v>679</v>
      </c>
      <c r="AY7" s="724"/>
      <c r="AZ7" s="724"/>
      <c r="BA7" s="724" t="s">
        <v>679</v>
      </c>
      <c r="BB7" s="724"/>
      <c r="BC7" s="724"/>
      <c r="BD7" s="724"/>
      <c r="BE7" s="726"/>
      <c r="BF7" s="724" t="s">
        <v>298</v>
      </c>
      <c r="BG7" s="724" t="s">
        <v>680</v>
      </c>
      <c r="BH7" s="724" t="s">
        <v>681</v>
      </c>
      <c r="BI7" s="724"/>
    </row>
    <row r="8" spans="1:61">
      <c r="A8" s="724" t="s">
        <v>1204</v>
      </c>
      <c r="B8" s="724" t="s">
        <v>1204</v>
      </c>
      <c r="C8" s="724" t="s">
        <v>1207</v>
      </c>
      <c r="D8" s="724" t="s">
        <v>673</v>
      </c>
      <c r="E8" s="724" t="s">
        <v>3</v>
      </c>
      <c r="F8" s="725" t="s">
        <v>83</v>
      </c>
      <c r="G8" s="725" t="s">
        <v>700</v>
      </c>
      <c r="H8" s="726">
        <v>600000</v>
      </c>
      <c r="I8" s="726">
        <v>600000</v>
      </c>
      <c r="J8" s="726">
        <v>0</v>
      </c>
      <c r="K8" s="726">
        <v>0</v>
      </c>
      <c r="L8" s="726">
        <v>600000</v>
      </c>
      <c r="M8" s="726">
        <v>0</v>
      </c>
      <c r="N8" s="726">
        <v>0</v>
      </c>
      <c r="O8" s="726">
        <v>0</v>
      </c>
      <c r="P8" s="726">
        <v>0</v>
      </c>
      <c r="Q8" s="726">
        <v>0</v>
      </c>
      <c r="R8" s="726">
        <v>0</v>
      </c>
      <c r="S8" s="726">
        <v>0</v>
      </c>
      <c r="T8" s="726">
        <v>0</v>
      </c>
      <c r="U8" s="726">
        <v>0</v>
      </c>
      <c r="V8" s="726">
        <v>0</v>
      </c>
      <c r="W8" s="726">
        <v>0</v>
      </c>
      <c r="X8" s="724" t="s">
        <v>674</v>
      </c>
      <c r="Y8" s="724" t="s">
        <v>1226</v>
      </c>
      <c r="Z8" s="724" t="s">
        <v>1226</v>
      </c>
      <c r="AA8" s="724" t="s">
        <v>675</v>
      </c>
      <c r="AB8" s="724" t="s">
        <v>675</v>
      </c>
      <c r="AC8" s="724"/>
      <c r="AD8" s="724"/>
      <c r="AE8" s="724"/>
      <c r="AF8" s="724"/>
      <c r="AG8" s="725" t="s">
        <v>1208</v>
      </c>
      <c r="AH8" s="724"/>
      <c r="AI8" s="725" t="s">
        <v>1208</v>
      </c>
      <c r="AJ8" s="725" t="s">
        <v>677</v>
      </c>
      <c r="AK8" s="724" t="s">
        <v>677</v>
      </c>
      <c r="AL8" s="724"/>
      <c r="AM8" s="724"/>
      <c r="AN8" s="724"/>
      <c r="AO8" s="724"/>
      <c r="AP8" s="724"/>
      <c r="AQ8" s="724"/>
      <c r="AR8" s="726"/>
      <c r="AS8" s="724"/>
      <c r="AT8" s="726"/>
      <c r="AU8" s="724" t="s">
        <v>678</v>
      </c>
      <c r="AV8" s="724" t="s">
        <v>677</v>
      </c>
      <c r="AW8" s="724" t="s">
        <v>676</v>
      </c>
      <c r="AX8" s="724" t="s">
        <v>679</v>
      </c>
      <c r="AY8" s="724"/>
      <c r="AZ8" s="724"/>
      <c r="BA8" s="724" t="s">
        <v>679</v>
      </c>
      <c r="BB8" s="724"/>
      <c r="BC8" s="724"/>
      <c r="BD8" s="724"/>
      <c r="BE8" s="726"/>
      <c r="BF8" s="724" t="s">
        <v>298</v>
      </c>
      <c r="BG8" s="724" t="s">
        <v>680</v>
      </c>
      <c r="BH8" s="724" t="s">
        <v>681</v>
      </c>
      <c r="BI8" s="724"/>
    </row>
    <row r="9" spans="1:61">
      <c r="A9" s="724" t="s">
        <v>1204</v>
      </c>
      <c r="B9" s="724" t="s">
        <v>1204</v>
      </c>
      <c r="C9" s="724" t="s">
        <v>1207</v>
      </c>
      <c r="D9" s="724" t="s">
        <v>673</v>
      </c>
      <c r="E9" s="724" t="s">
        <v>3</v>
      </c>
      <c r="F9" s="725" t="s">
        <v>83</v>
      </c>
      <c r="G9" s="725" t="s">
        <v>700</v>
      </c>
      <c r="H9" s="726">
        <v>600000</v>
      </c>
      <c r="I9" s="726">
        <v>600000</v>
      </c>
      <c r="J9" s="726">
        <v>0</v>
      </c>
      <c r="K9" s="726">
        <v>0</v>
      </c>
      <c r="L9" s="726">
        <v>600000</v>
      </c>
      <c r="M9" s="726">
        <v>0</v>
      </c>
      <c r="N9" s="726">
        <v>0</v>
      </c>
      <c r="O9" s="726">
        <v>0</v>
      </c>
      <c r="P9" s="726">
        <v>0</v>
      </c>
      <c r="Q9" s="726">
        <v>0</v>
      </c>
      <c r="R9" s="726">
        <v>0</v>
      </c>
      <c r="S9" s="726">
        <v>0</v>
      </c>
      <c r="T9" s="726">
        <v>0</v>
      </c>
      <c r="U9" s="726">
        <v>0</v>
      </c>
      <c r="V9" s="726">
        <v>0</v>
      </c>
      <c r="W9" s="726">
        <v>0</v>
      </c>
      <c r="X9" s="724" t="s">
        <v>674</v>
      </c>
      <c r="Y9" s="724" t="s">
        <v>1226</v>
      </c>
      <c r="Z9" s="724" t="s">
        <v>1226</v>
      </c>
      <c r="AA9" s="724" t="s">
        <v>675</v>
      </c>
      <c r="AB9" s="724" t="s">
        <v>675</v>
      </c>
      <c r="AC9" s="724"/>
      <c r="AD9" s="724"/>
      <c r="AE9" s="724"/>
      <c r="AF9" s="724"/>
      <c r="AG9" s="725" t="s">
        <v>1208</v>
      </c>
      <c r="AH9" s="724"/>
      <c r="AI9" s="725" t="s">
        <v>1208</v>
      </c>
      <c r="AJ9" s="725" t="s">
        <v>677</v>
      </c>
      <c r="AK9" s="724" t="s">
        <v>677</v>
      </c>
      <c r="AL9" s="724"/>
      <c r="AM9" s="724"/>
      <c r="AN9" s="724"/>
      <c r="AO9" s="724"/>
      <c r="AP9" s="724"/>
      <c r="AQ9" s="724"/>
      <c r="AR9" s="726"/>
      <c r="AS9" s="724"/>
      <c r="AT9" s="726"/>
      <c r="AU9" s="724" t="s">
        <v>678</v>
      </c>
      <c r="AV9" s="724" t="s">
        <v>677</v>
      </c>
      <c r="AW9" s="724" t="s">
        <v>676</v>
      </c>
      <c r="AX9" s="724" t="s">
        <v>679</v>
      </c>
      <c r="AY9" s="724"/>
      <c r="AZ9" s="724"/>
      <c r="BA9" s="724" t="s">
        <v>679</v>
      </c>
      <c r="BB9" s="724"/>
      <c r="BC9" s="724"/>
      <c r="BD9" s="724"/>
      <c r="BE9" s="726"/>
      <c r="BF9" s="724" t="s">
        <v>298</v>
      </c>
      <c r="BG9" s="724" t="s">
        <v>680</v>
      </c>
      <c r="BH9" s="724" t="s">
        <v>681</v>
      </c>
      <c r="BI9" s="724"/>
    </row>
    <row r="10" spans="1:61">
      <c r="A10" s="724" t="s">
        <v>1204</v>
      </c>
      <c r="B10" s="724" t="s">
        <v>1204</v>
      </c>
      <c r="C10" s="724" t="s">
        <v>1207</v>
      </c>
      <c r="D10" s="724" t="s">
        <v>673</v>
      </c>
      <c r="E10" s="724" t="s">
        <v>3</v>
      </c>
      <c r="F10" s="725" t="s">
        <v>83</v>
      </c>
      <c r="G10" s="725" t="s">
        <v>700</v>
      </c>
      <c r="H10" s="726">
        <v>600000</v>
      </c>
      <c r="I10" s="726">
        <v>600000</v>
      </c>
      <c r="J10" s="726">
        <v>0</v>
      </c>
      <c r="K10" s="726">
        <v>0</v>
      </c>
      <c r="L10" s="726">
        <v>600000</v>
      </c>
      <c r="M10" s="726">
        <v>0</v>
      </c>
      <c r="N10" s="726">
        <v>0</v>
      </c>
      <c r="O10" s="726">
        <v>0</v>
      </c>
      <c r="P10" s="726">
        <v>0</v>
      </c>
      <c r="Q10" s="726">
        <v>0</v>
      </c>
      <c r="R10" s="726">
        <v>0</v>
      </c>
      <c r="S10" s="726">
        <v>0</v>
      </c>
      <c r="T10" s="726">
        <v>0</v>
      </c>
      <c r="U10" s="726">
        <v>0</v>
      </c>
      <c r="V10" s="726">
        <v>0</v>
      </c>
      <c r="W10" s="726">
        <v>0</v>
      </c>
      <c r="X10" s="724" t="s">
        <v>674</v>
      </c>
      <c r="Y10" s="724" t="s">
        <v>1226</v>
      </c>
      <c r="Z10" s="724" t="s">
        <v>1226</v>
      </c>
      <c r="AA10" s="724" t="s">
        <v>675</v>
      </c>
      <c r="AB10" s="724" t="s">
        <v>675</v>
      </c>
      <c r="AC10" s="724"/>
      <c r="AD10" s="724"/>
      <c r="AE10" s="724"/>
      <c r="AF10" s="724"/>
      <c r="AG10" s="725" t="s">
        <v>1208</v>
      </c>
      <c r="AH10" s="724"/>
      <c r="AI10" s="725" t="s">
        <v>1208</v>
      </c>
      <c r="AJ10" s="725" t="s">
        <v>677</v>
      </c>
      <c r="AK10" s="724" t="s">
        <v>677</v>
      </c>
      <c r="AL10" s="724"/>
      <c r="AM10" s="724"/>
      <c r="AN10" s="724"/>
      <c r="AO10" s="724"/>
      <c r="AP10" s="724"/>
      <c r="AQ10" s="724"/>
      <c r="AR10" s="726"/>
      <c r="AS10" s="724"/>
      <c r="AT10" s="726"/>
      <c r="AU10" s="724" t="s">
        <v>678</v>
      </c>
      <c r="AV10" s="724" t="s">
        <v>677</v>
      </c>
      <c r="AW10" s="724" t="s">
        <v>676</v>
      </c>
      <c r="AX10" s="724" t="s">
        <v>679</v>
      </c>
      <c r="AY10" s="724"/>
      <c r="AZ10" s="724"/>
      <c r="BA10" s="724" t="s">
        <v>679</v>
      </c>
      <c r="BB10" s="724"/>
      <c r="BC10" s="724"/>
      <c r="BD10" s="724"/>
      <c r="BE10" s="726"/>
      <c r="BF10" s="724" t="s">
        <v>298</v>
      </c>
      <c r="BG10" s="724" t="s">
        <v>680</v>
      </c>
      <c r="BH10" s="724" t="s">
        <v>681</v>
      </c>
      <c r="BI10" s="724"/>
    </row>
    <row r="11" spans="1:61">
      <c r="A11" s="724" t="s">
        <v>1204</v>
      </c>
      <c r="B11" s="724" t="s">
        <v>1204</v>
      </c>
      <c r="C11" s="724" t="s">
        <v>1207</v>
      </c>
      <c r="D11" s="724" t="s">
        <v>673</v>
      </c>
      <c r="E11" s="724" t="s">
        <v>3</v>
      </c>
      <c r="F11" s="725" t="s">
        <v>83</v>
      </c>
      <c r="G11" s="725" t="s">
        <v>700</v>
      </c>
      <c r="H11" s="726">
        <v>600000</v>
      </c>
      <c r="I11" s="726">
        <v>600000</v>
      </c>
      <c r="J11" s="726">
        <v>0</v>
      </c>
      <c r="K11" s="726">
        <v>0</v>
      </c>
      <c r="L11" s="726">
        <v>600000</v>
      </c>
      <c r="M11" s="726">
        <v>0</v>
      </c>
      <c r="N11" s="726">
        <v>0</v>
      </c>
      <c r="O11" s="726">
        <v>0</v>
      </c>
      <c r="P11" s="726">
        <v>0</v>
      </c>
      <c r="Q11" s="726">
        <v>0</v>
      </c>
      <c r="R11" s="726">
        <v>0</v>
      </c>
      <c r="S11" s="726">
        <v>0</v>
      </c>
      <c r="T11" s="726">
        <v>0</v>
      </c>
      <c r="U11" s="726">
        <v>0</v>
      </c>
      <c r="V11" s="726">
        <v>0</v>
      </c>
      <c r="W11" s="726">
        <v>0</v>
      </c>
      <c r="X11" s="724" t="s">
        <v>674</v>
      </c>
      <c r="Y11" s="724" t="s">
        <v>1226</v>
      </c>
      <c r="Z11" s="724" t="s">
        <v>1226</v>
      </c>
      <c r="AA11" s="724" t="s">
        <v>675</v>
      </c>
      <c r="AB11" s="724" t="s">
        <v>675</v>
      </c>
      <c r="AC11" s="724"/>
      <c r="AD11" s="724"/>
      <c r="AE11" s="724"/>
      <c r="AF11" s="724"/>
      <c r="AG11" s="725" t="s">
        <v>1208</v>
      </c>
      <c r="AH11" s="724"/>
      <c r="AI11" s="725" t="s">
        <v>1208</v>
      </c>
      <c r="AJ11" s="725" t="s">
        <v>677</v>
      </c>
      <c r="AK11" s="724" t="s">
        <v>677</v>
      </c>
      <c r="AL11" s="724"/>
      <c r="AM11" s="724"/>
      <c r="AN11" s="724"/>
      <c r="AO11" s="724"/>
      <c r="AP11" s="724"/>
      <c r="AQ11" s="724"/>
      <c r="AR11" s="726"/>
      <c r="AS11" s="724"/>
      <c r="AT11" s="726"/>
      <c r="AU11" s="724" t="s">
        <v>678</v>
      </c>
      <c r="AV11" s="724" t="s">
        <v>677</v>
      </c>
      <c r="AW11" s="724" t="s">
        <v>676</v>
      </c>
      <c r="AX11" s="724" t="s">
        <v>679</v>
      </c>
      <c r="AY11" s="724"/>
      <c r="AZ11" s="724"/>
      <c r="BA11" s="724" t="s">
        <v>679</v>
      </c>
      <c r="BB11" s="724"/>
      <c r="BC11" s="724"/>
      <c r="BD11" s="724"/>
      <c r="BE11" s="726"/>
      <c r="BF11" s="724" t="s">
        <v>298</v>
      </c>
      <c r="BG11" s="724" t="s">
        <v>680</v>
      </c>
      <c r="BH11" s="724" t="s">
        <v>681</v>
      </c>
      <c r="BI11" s="724"/>
    </row>
    <row r="12" spans="1:61">
      <c r="A12" s="724" t="s">
        <v>1204</v>
      </c>
      <c r="B12" s="724" t="s">
        <v>1204</v>
      </c>
      <c r="C12" s="724" t="s">
        <v>1207</v>
      </c>
      <c r="D12" s="724" t="s">
        <v>673</v>
      </c>
      <c r="E12" s="724" t="s">
        <v>3</v>
      </c>
      <c r="F12" s="725" t="s">
        <v>83</v>
      </c>
      <c r="G12" s="725" t="s">
        <v>700</v>
      </c>
      <c r="H12" s="726">
        <v>600000</v>
      </c>
      <c r="I12" s="726">
        <v>600000</v>
      </c>
      <c r="J12" s="726">
        <v>0</v>
      </c>
      <c r="K12" s="726">
        <v>0</v>
      </c>
      <c r="L12" s="726">
        <v>600000</v>
      </c>
      <c r="M12" s="726">
        <v>0</v>
      </c>
      <c r="N12" s="726">
        <v>0</v>
      </c>
      <c r="O12" s="726">
        <v>0</v>
      </c>
      <c r="P12" s="726">
        <v>0</v>
      </c>
      <c r="Q12" s="726">
        <v>0</v>
      </c>
      <c r="R12" s="726">
        <v>0</v>
      </c>
      <c r="S12" s="726">
        <v>0</v>
      </c>
      <c r="T12" s="726">
        <v>0</v>
      </c>
      <c r="U12" s="726">
        <v>0</v>
      </c>
      <c r="V12" s="726">
        <v>0</v>
      </c>
      <c r="W12" s="726">
        <v>0</v>
      </c>
      <c r="X12" s="724" t="s">
        <v>674</v>
      </c>
      <c r="Y12" s="724" t="s">
        <v>1226</v>
      </c>
      <c r="Z12" s="724" t="s">
        <v>1226</v>
      </c>
      <c r="AA12" s="724" t="s">
        <v>675</v>
      </c>
      <c r="AB12" s="724" t="s">
        <v>675</v>
      </c>
      <c r="AC12" s="724"/>
      <c r="AD12" s="724"/>
      <c r="AE12" s="724"/>
      <c r="AF12" s="724"/>
      <c r="AG12" s="725" t="s">
        <v>1208</v>
      </c>
      <c r="AH12" s="724"/>
      <c r="AI12" s="725" t="s">
        <v>1208</v>
      </c>
      <c r="AJ12" s="725" t="s">
        <v>677</v>
      </c>
      <c r="AK12" s="724" t="s">
        <v>677</v>
      </c>
      <c r="AL12" s="724"/>
      <c r="AM12" s="724"/>
      <c r="AN12" s="724"/>
      <c r="AO12" s="724"/>
      <c r="AP12" s="724"/>
      <c r="AQ12" s="724"/>
      <c r="AR12" s="726"/>
      <c r="AS12" s="724"/>
      <c r="AT12" s="726"/>
      <c r="AU12" s="724" t="s">
        <v>678</v>
      </c>
      <c r="AV12" s="724" t="s">
        <v>677</v>
      </c>
      <c r="AW12" s="724" t="s">
        <v>676</v>
      </c>
      <c r="AX12" s="724" t="s">
        <v>679</v>
      </c>
      <c r="AY12" s="724"/>
      <c r="AZ12" s="724"/>
      <c r="BA12" s="724" t="s">
        <v>679</v>
      </c>
      <c r="BB12" s="724"/>
      <c r="BC12" s="724"/>
      <c r="BD12" s="724"/>
      <c r="BE12" s="726"/>
      <c r="BF12" s="724" t="s">
        <v>298</v>
      </c>
      <c r="BG12" s="724" t="s">
        <v>680</v>
      </c>
      <c r="BH12" s="724" t="s">
        <v>681</v>
      </c>
      <c r="BI12" s="724"/>
    </row>
    <row r="13" spans="1:61">
      <c r="A13" s="724" t="s">
        <v>1204</v>
      </c>
      <c r="B13" s="724" t="s">
        <v>1204</v>
      </c>
      <c r="C13" s="724" t="s">
        <v>1207</v>
      </c>
      <c r="D13" s="724" t="s">
        <v>673</v>
      </c>
      <c r="E13" s="724" t="s">
        <v>3</v>
      </c>
      <c r="F13" s="725" t="s">
        <v>7</v>
      </c>
      <c r="G13" s="725" t="s">
        <v>684</v>
      </c>
      <c r="H13" s="726">
        <v>425360</v>
      </c>
      <c r="I13" s="726">
        <v>425360</v>
      </c>
      <c r="J13" s="726">
        <v>0</v>
      </c>
      <c r="K13" s="726">
        <v>0</v>
      </c>
      <c r="L13" s="726">
        <v>425360</v>
      </c>
      <c r="M13" s="726">
        <v>0</v>
      </c>
      <c r="N13" s="726">
        <v>0</v>
      </c>
      <c r="O13" s="726">
        <v>0</v>
      </c>
      <c r="P13" s="726">
        <v>0</v>
      </c>
      <c r="Q13" s="726">
        <v>0</v>
      </c>
      <c r="R13" s="726">
        <v>0</v>
      </c>
      <c r="S13" s="726">
        <v>0</v>
      </c>
      <c r="T13" s="726">
        <v>0</v>
      </c>
      <c r="U13" s="726">
        <v>0</v>
      </c>
      <c r="V13" s="726">
        <v>0</v>
      </c>
      <c r="W13" s="726">
        <v>0</v>
      </c>
      <c r="X13" s="724" t="s">
        <v>674</v>
      </c>
      <c r="Y13" s="724" t="s">
        <v>1226</v>
      </c>
      <c r="Z13" s="724" t="s">
        <v>1226</v>
      </c>
      <c r="AA13" s="724" t="s">
        <v>675</v>
      </c>
      <c r="AB13" s="724" t="s">
        <v>675</v>
      </c>
      <c r="AC13" s="724"/>
      <c r="AD13" s="724"/>
      <c r="AE13" s="724"/>
      <c r="AF13" s="724"/>
      <c r="AG13" s="725" t="s">
        <v>1209</v>
      </c>
      <c r="AH13" s="724"/>
      <c r="AI13" s="725" t="s">
        <v>1209</v>
      </c>
      <c r="AJ13" s="725" t="s">
        <v>677</v>
      </c>
      <c r="AK13" s="724" t="s">
        <v>677</v>
      </c>
      <c r="AL13" s="724"/>
      <c r="AM13" s="724"/>
      <c r="AN13" s="724"/>
      <c r="AO13" s="724"/>
      <c r="AP13" s="724"/>
      <c r="AQ13" s="724"/>
      <c r="AR13" s="726"/>
      <c r="AS13" s="724"/>
      <c r="AT13" s="726"/>
      <c r="AU13" s="724" t="s">
        <v>678</v>
      </c>
      <c r="AV13" s="724" t="s">
        <v>677</v>
      </c>
      <c r="AW13" s="724" t="s">
        <v>676</v>
      </c>
      <c r="AX13" s="724" t="s">
        <v>679</v>
      </c>
      <c r="AY13" s="724"/>
      <c r="AZ13" s="724"/>
      <c r="BA13" s="724" t="s">
        <v>679</v>
      </c>
      <c r="BB13" s="724"/>
      <c r="BC13" s="724"/>
      <c r="BD13" s="724"/>
      <c r="BE13" s="726"/>
      <c r="BF13" s="724" t="s">
        <v>298</v>
      </c>
      <c r="BG13" s="724" t="s">
        <v>680</v>
      </c>
      <c r="BH13" s="724" t="s">
        <v>681</v>
      </c>
      <c r="BI13" s="724"/>
    </row>
    <row r="14" spans="1:61">
      <c r="A14" s="724" t="s">
        <v>1204</v>
      </c>
      <c r="B14" s="724" t="s">
        <v>1204</v>
      </c>
      <c r="C14" s="724" t="s">
        <v>1207</v>
      </c>
      <c r="D14" s="724" t="s">
        <v>673</v>
      </c>
      <c r="E14" s="724" t="s">
        <v>3</v>
      </c>
      <c r="F14" s="725" t="s">
        <v>7</v>
      </c>
      <c r="G14" s="725" t="s">
        <v>684</v>
      </c>
      <c r="H14" s="726">
        <v>200870</v>
      </c>
      <c r="I14" s="726">
        <v>200870</v>
      </c>
      <c r="J14" s="726">
        <v>0</v>
      </c>
      <c r="K14" s="726">
        <v>0</v>
      </c>
      <c r="L14" s="726">
        <v>200870</v>
      </c>
      <c r="M14" s="726">
        <v>0</v>
      </c>
      <c r="N14" s="726">
        <v>0</v>
      </c>
      <c r="O14" s="726">
        <v>0</v>
      </c>
      <c r="P14" s="726">
        <v>0</v>
      </c>
      <c r="Q14" s="726">
        <v>0</v>
      </c>
      <c r="R14" s="726">
        <v>0</v>
      </c>
      <c r="S14" s="726">
        <v>0</v>
      </c>
      <c r="T14" s="726">
        <v>0</v>
      </c>
      <c r="U14" s="726">
        <v>0</v>
      </c>
      <c r="V14" s="726">
        <v>0</v>
      </c>
      <c r="W14" s="726">
        <v>0</v>
      </c>
      <c r="X14" s="724" t="s">
        <v>674</v>
      </c>
      <c r="Y14" s="724" t="s">
        <v>1226</v>
      </c>
      <c r="Z14" s="724" t="s">
        <v>1226</v>
      </c>
      <c r="AA14" s="724" t="s">
        <v>675</v>
      </c>
      <c r="AB14" s="724" t="s">
        <v>675</v>
      </c>
      <c r="AC14" s="724"/>
      <c r="AD14" s="724"/>
      <c r="AE14" s="724"/>
      <c r="AF14" s="724"/>
      <c r="AG14" s="725" t="s">
        <v>1210</v>
      </c>
      <c r="AH14" s="724"/>
      <c r="AI14" s="725" t="s">
        <v>1210</v>
      </c>
      <c r="AJ14" s="725" t="s">
        <v>677</v>
      </c>
      <c r="AK14" s="724" t="s">
        <v>677</v>
      </c>
      <c r="AL14" s="724"/>
      <c r="AM14" s="724"/>
      <c r="AN14" s="724"/>
      <c r="AO14" s="724"/>
      <c r="AP14" s="724"/>
      <c r="AQ14" s="724"/>
      <c r="AR14" s="726"/>
      <c r="AS14" s="724"/>
      <c r="AT14" s="726"/>
      <c r="AU14" s="724" t="s">
        <v>678</v>
      </c>
      <c r="AV14" s="724" t="s">
        <v>677</v>
      </c>
      <c r="AW14" s="724" t="s">
        <v>676</v>
      </c>
      <c r="AX14" s="724" t="s">
        <v>679</v>
      </c>
      <c r="AY14" s="724"/>
      <c r="AZ14" s="724"/>
      <c r="BA14" s="724" t="s">
        <v>679</v>
      </c>
      <c r="BB14" s="724"/>
      <c r="BC14" s="724"/>
      <c r="BD14" s="724"/>
      <c r="BE14" s="726"/>
      <c r="BF14" s="724" t="s">
        <v>298</v>
      </c>
      <c r="BG14" s="724" t="s">
        <v>680</v>
      </c>
      <c r="BH14" s="724" t="s">
        <v>681</v>
      </c>
      <c r="BI14" s="724"/>
    </row>
    <row r="15" spans="1:61">
      <c r="A15" s="724" t="s">
        <v>1204</v>
      </c>
      <c r="B15" s="724" t="s">
        <v>1204</v>
      </c>
      <c r="C15" s="724" t="s">
        <v>1207</v>
      </c>
      <c r="D15" s="724" t="s">
        <v>673</v>
      </c>
      <c r="E15" s="724" t="s">
        <v>3</v>
      </c>
      <c r="F15" s="725" t="s">
        <v>7</v>
      </c>
      <c r="G15" s="725" t="s">
        <v>684</v>
      </c>
      <c r="H15" s="726">
        <v>243050</v>
      </c>
      <c r="I15" s="726">
        <v>243050</v>
      </c>
      <c r="J15" s="726">
        <v>0</v>
      </c>
      <c r="K15" s="726">
        <v>0</v>
      </c>
      <c r="L15" s="726">
        <v>243050</v>
      </c>
      <c r="M15" s="726">
        <v>0</v>
      </c>
      <c r="N15" s="726">
        <v>0</v>
      </c>
      <c r="O15" s="726">
        <v>0</v>
      </c>
      <c r="P15" s="726">
        <v>0</v>
      </c>
      <c r="Q15" s="726">
        <v>0</v>
      </c>
      <c r="R15" s="726">
        <v>0</v>
      </c>
      <c r="S15" s="726">
        <v>0</v>
      </c>
      <c r="T15" s="726">
        <v>0</v>
      </c>
      <c r="U15" s="726">
        <v>0</v>
      </c>
      <c r="V15" s="726">
        <v>0</v>
      </c>
      <c r="W15" s="726">
        <v>0</v>
      </c>
      <c r="X15" s="724" t="s">
        <v>674</v>
      </c>
      <c r="Y15" s="724" t="s">
        <v>1226</v>
      </c>
      <c r="Z15" s="724" t="s">
        <v>1226</v>
      </c>
      <c r="AA15" s="724" t="s">
        <v>675</v>
      </c>
      <c r="AB15" s="724" t="s">
        <v>675</v>
      </c>
      <c r="AC15" s="724"/>
      <c r="AD15" s="724"/>
      <c r="AE15" s="724"/>
      <c r="AF15" s="724"/>
      <c r="AG15" s="725" t="s">
        <v>1211</v>
      </c>
      <c r="AH15" s="724"/>
      <c r="AI15" s="725" t="s">
        <v>1211</v>
      </c>
      <c r="AJ15" s="725" t="s">
        <v>677</v>
      </c>
      <c r="AK15" s="724" t="s">
        <v>677</v>
      </c>
      <c r="AL15" s="724"/>
      <c r="AM15" s="724"/>
      <c r="AN15" s="724"/>
      <c r="AO15" s="724"/>
      <c r="AP15" s="724"/>
      <c r="AQ15" s="724"/>
      <c r="AR15" s="726"/>
      <c r="AS15" s="724"/>
      <c r="AT15" s="726"/>
      <c r="AU15" s="724" t="s">
        <v>678</v>
      </c>
      <c r="AV15" s="724" t="s">
        <v>677</v>
      </c>
      <c r="AW15" s="724" t="s">
        <v>676</v>
      </c>
      <c r="AX15" s="724" t="s">
        <v>679</v>
      </c>
      <c r="AY15" s="724"/>
      <c r="AZ15" s="724"/>
      <c r="BA15" s="724" t="s">
        <v>679</v>
      </c>
      <c r="BB15" s="724"/>
      <c r="BC15" s="724"/>
      <c r="BD15" s="724"/>
      <c r="BE15" s="726"/>
      <c r="BF15" s="724" t="s">
        <v>298</v>
      </c>
      <c r="BG15" s="724" t="s">
        <v>680</v>
      </c>
      <c r="BH15" s="724" t="s">
        <v>681</v>
      </c>
      <c r="BI15" s="724"/>
    </row>
    <row r="16" spans="1:61">
      <c r="A16" s="724" t="s">
        <v>1204</v>
      </c>
      <c r="B16" s="724" t="s">
        <v>1204</v>
      </c>
      <c r="C16" s="724" t="s">
        <v>1207</v>
      </c>
      <c r="D16" s="724" t="s">
        <v>673</v>
      </c>
      <c r="E16" s="724" t="s">
        <v>3</v>
      </c>
      <c r="F16" s="725" t="s">
        <v>7</v>
      </c>
      <c r="G16" s="725" t="s">
        <v>684</v>
      </c>
      <c r="H16" s="726">
        <v>326417</v>
      </c>
      <c r="I16" s="726">
        <v>326417</v>
      </c>
      <c r="J16" s="726">
        <v>0</v>
      </c>
      <c r="K16" s="726">
        <v>0</v>
      </c>
      <c r="L16" s="726">
        <v>326417</v>
      </c>
      <c r="M16" s="726">
        <v>0</v>
      </c>
      <c r="N16" s="726">
        <v>0</v>
      </c>
      <c r="O16" s="726">
        <v>0</v>
      </c>
      <c r="P16" s="726">
        <v>0</v>
      </c>
      <c r="Q16" s="726">
        <v>0</v>
      </c>
      <c r="R16" s="726">
        <v>0</v>
      </c>
      <c r="S16" s="726">
        <v>0</v>
      </c>
      <c r="T16" s="726">
        <v>0</v>
      </c>
      <c r="U16" s="726">
        <v>0</v>
      </c>
      <c r="V16" s="726">
        <v>0</v>
      </c>
      <c r="W16" s="726">
        <v>0</v>
      </c>
      <c r="X16" s="724" t="s">
        <v>674</v>
      </c>
      <c r="Y16" s="724" t="s">
        <v>1226</v>
      </c>
      <c r="Z16" s="724" t="s">
        <v>1226</v>
      </c>
      <c r="AA16" s="724" t="s">
        <v>675</v>
      </c>
      <c r="AB16" s="724" t="s">
        <v>675</v>
      </c>
      <c r="AC16" s="724"/>
      <c r="AD16" s="724"/>
      <c r="AE16" s="724"/>
      <c r="AF16" s="724"/>
      <c r="AG16" s="725" t="s">
        <v>1211</v>
      </c>
      <c r="AH16" s="724"/>
      <c r="AI16" s="725" t="s">
        <v>1211</v>
      </c>
      <c r="AJ16" s="725" t="s">
        <v>677</v>
      </c>
      <c r="AK16" s="724" t="s">
        <v>677</v>
      </c>
      <c r="AL16" s="724"/>
      <c r="AM16" s="724"/>
      <c r="AN16" s="724"/>
      <c r="AO16" s="724"/>
      <c r="AP16" s="724"/>
      <c r="AQ16" s="724"/>
      <c r="AR16" s="726"/>
      <c r="AS16" s="724"/>
      <c r="AT16" s="726"/>
      <c r="AU16" s="724" t="s">
        <v>678</v>
      </c>
      <c r="AV16" s="724" t="s">
        <v>677</v>
      </c>
      <c r="AW16" s="724" t="s">
        <v>676</v>
      </c>
      <c r="AX16" s="724" t="s">
        <v>679</v>
      </c>
      <c r="AY16" s="724"/>
      <c r="AZ16" s="724"/>
      <c r="BA16" s="724" t="s">
        <v>679</v>
      </c>
      <c r="BB16" s="724"/>
      <c r="BC16" s="724"/>
      <c r="BD16" s="724"/>
      <c r="BE16" s="726"/>
      <c r="BF16" s="724" t="s">
        <v>298</v>
      </c>
      <c r="BG16" s="724" t="s">
        <v>680</v>
      </c>
      <c r="BH16" s="724" t="s">
        <v>681</v>
      </c>
      <c r="BI16" s="724"/>
    </row>
    <row r="17" spans="1:61">
      <c r="A17" s="724" t="s">
        <v>1204</v>
      </c>
      <c r="B17" s="724" t="s">
        <v>1204</v>
      </c>
      <c r="C17" s="724" t="s">
        <v>1207</v>
      </c>
      <c r="D17" s="724" t="s">
        <v>673</v>
      </c>
      <c r="E17" s="724" t="s">
        <v>3</v>
      </c>
      <c r="F17" s="725" t="s">
        <v>7</v>
      </c>
      <c r="G17" s="725" t="s">
        <v>684</v>
      </c>
      <c r="H17" s="726">
        <v>368340</v>
      </c>
      <c r="I17" s="726">
        <v>368340</v>
      </c>
      <c r="J17" s="726">
        <v>0</v>
      </c>
      <c r="K17" s="726">
        <v>0</v>
      </c>
      <c r="L17" s="726">
        <v>368340</v>
      </c>
      <c r="M17" s="726">
        <v>0</v>
      </c>
      <c r="N17" s="726">
        <v>0</v>
      </c>
      <c r="O17" s="726">
        <v>0</v>
      </c>
      <c r="P17" s="726">
        <v>0</v>
      </c>
      <c r="Q17" s="726">
        <v>0</v>
      </c>
      <c r="R17" s="726">
        <v>0</v>
      </c>
      <c r="S17" s="726">
        <v>0</v>
      </c>
      <c r="T17" s="726">
        <v>0</v>
      </c>
      <c r="U17" s="726">
        <v>0</v>
      </c>
      <c r="V17" s="726">
        <v>0</v>
      </c>
      <c r="W17" s="726">
        <v>0</v>
      </c>
      <c r="X17" s="724" t="s">
        <v>674</v>
      </c>
      <c r="Y17" s="724" t="s">
        <v>1226</v>
      </c>
      <c r="Z17" s="724" t="s">
        <v>1226</v>
      </c>
      <c r="AA17" s="724" t="s">
        <v>675</v>
      </c>
      <c r="AB17" s="724" t="s">
        <v>675</v>
      </c>
      <c r="AC17" s="724"/>
      <c r="AD17" s="724"/>
      <c r="AE17" s="724"/>
      <c r="AF17" s="724"/>
      <c r="AG17" s="725" t="s">
        <v>1212</v>
      </c>
      <c r="AH17" s="724"/>
      <c r="AI17" s="725" t="s">
        <v>1212</v>
      </c>
      <c r="AJ17" s="725" t="s">
        <v>677</v>
      </c>
      <c r="AK17" s="724" t="s">
        <v>677</v>
      </c>
      <c r="AL17" s="724"/>
      <c r="AM17" s="724"/>
      <c r="AN17" s="724"/>
      <c r="AO17" s="724"/>
      <c r="AP17" s="724"/>
      <c r="AQ17" s="724"/>
      <c r="AR17" s="726"/>
      <c r="AS17" s="724"/>
      <c r="AT17" s="726"/>
      <c r="AU17" s="724" t="s">
        <v>678</v>
      </c>
      <c r="AV17" s="724" t="s">
        <v>677</v>
      </c>
      <c r="AW17" s="724" t="s">
        <v>676</v>
      </c>
      <c r="AX17" s="724" t="s">
        <v>679</v>
      </c>
      <c r="AY17" s="724"/>
      <c r="AZ17" s="724"/>
      <c r="BA17" s="724" t="s">
        <v>679</v>
      </c>
      <c r="BB17" s="724"/>
      <c r="BC17" s="724"/>
      <c r="BD17" s="724"/>
      <c r="BE17" s="726"/>
      <c r="BF17" s="724" t="s">
        <v>298</v>
      </c>
      <c r="BG17" s="724" t="s">
        <v>680</v>
      </c>
      <c r="BH17" s="724" t="s">
        <v>681</v>
      </c>
      <c r="BI17" s="724"/>
    </row>
    <row r="18" spans="1:61">
      <c r="A18" s="724" t="s">
        <v>1204</v>
      </c>
      <c r="B18" s="724" t="s">
        <v>1204</v>
      </c>
      <c r="C18" s="724" t="s">
        <v>1207</v>
      </c>
      <c r="D18" s="724" t="s">
        <v>673</v>
      </c>
      <c r="E18" s="724" t="s">
        <v>3</v>
      </c>
      <c r="F18" s="725" t="s">
        <v>7</v>
      </c>
      <c r="G18" s="725" t="s">
        <v>684</v>
      </c>
      <c r="H18" s="726">
        <v>3347790</v>
      </c>
      <c r="I18" s="726">
        <v>3347790</v>
      </c>
      <c r="J18" s="726">
        <v>0</v>
      </c>
      <c r="K18" s="726">
        <v>0</v>
      </c>
      <c r="L18" s="726">
        <v>3347790</v>
      </c>
      <c r="M18" s="726">
        <v>0</v>
      </c>
      <c r="N18" s="726">
        <v>0</v>
      </c>
      <c r="O18" s="726">
        <v>0</v>
      </c>
      <c r="P18" s="726">
        <v>0</v>
      </c>
      <c r="Q18" s="726">
        <v>0</v>
      </c>
      <c r="R18" s="726">
        <v>0</v>
      </c>
      <c r="S18" s="726">
        <v>0</v>
      </c>
      <c r="T18" s="726">
        <v>0</v>
      </c>
      <c r="U18" s="726">
        <v>0</v>
      </c>
      <c r="V18" s="726">
        <v>0</v>
      </c>
      <c r="W18" s="726">
        <v>0</v>
      </c>
      <c r="X18" s="724" t="s">
        <v>674</v>
      </c>
      <c r="Y18" s="724" t="s">
        <v>1226</v>
      </c>
      <c r="Z18" s="724" t="s">
        <v>1226</v>
      </c>
      <c r="AA18" s="724" t="s">
        <v>675</v>
      </c>
      <c r="AB18" s="724" t="s">
        <v>675</v>
      </c>
      <c r="AC18" s="724"/>
      <c r="AD18" s="724"/>
      <c r="AE18" s="724"/>
      <c r="AF18" s="724"/>
      <c r="AG18" s="725" t="s">
        <v>1213</v>
      </c>
      <c r="AH18" s="724"/>
      <c r="AI18" s="725" t="s">
        <v>1213</v>
      </c>
      <c r="AJ18" s="725" t="s">
        <v>677</v>
      </c>
      <c r="AK18" s="724" t="s">
        <v>677</v>
      </c>
      <c r="AL18" s="724"/>
      <c r="AM18" s="724"/>
      <c r="AN18" s="724"/>
      <c r="AO18" s="724"/>
      <c r="AP18" s="724"/>
      <c r="AQ18" s="724"/>
      <c r="AR18" s="726"/>
      <c r="AS18" s="724"/>
      <c r="AT18" s="726"/>
      <c r="AU18" s="724" t="s">
        <v>678</v>
      </c>
      <c r="AV18" s="724" t="s">
        <v>677</v>
      </c>
      <c r="AW18" s="724" t="s">
        <v>676</v>
      </c>
      <c r="AX18" s="724" t="s">
        <v>679</v>
      </c>
      <c r="AY18" s="724"/>
      <c r="AZ18" s="724"/>
      <c r="BA18" s="724" t="s">
        <v>679</v>
      </c>
      <c r="BB18" s="724"/>
      <c r="BC18" s="724"/>
      <c r="BD18" s="724"/>
      <c r="BE18" s="726"/>
      <c r="BF18" s="724" t="s">
        <v>298</v>
      </c>
      <c r="BG18" s="724" t="s">
        <v>680</v>
      </c>
      <c r="BH18" s="724" t="s">
        <v>681</v>
      </c>
      <c r="BI18" s="724"/>
    </row>
    <row r="19" spans="1:61">
      <c r="A19" s="724" t="s">
        <v>1204</v>
      </c>
      <c r="B19" s="724" t="s">
        <v>1204</v>
      </c>
      <c r="C19" s="724" t="s">
        <v>1207</v>
      </c>
      <c r="D19" s="724" t="s">
        <v>673</v>
      </c>
      <c r="E19" s="724" t="s">
        <v>3</v>
      </c>
      <c r="F19" s="725" t="s">
        <v>7</v>
      </c>
      <c r="G19" s="725" t="s">
        <v>684</v>
      </c>
      <c r="H19" s="726">
        <v>316700</v>
      </c>
      <c r="I19" s="726">
        <v>316700</v>
      </c>
      <c r="J19" s="726">
        <v>0</v>
      </c>
      <c r="K19" s="726">
        <v>0</v>
      </c>
      <c r="L19" s="726">
        <v>316700</v>
      </c>
      <c r="M19" s="726">
        <v>0</v>
      </c>
      <c r="N19" s="726">
        <v>0</v>
      </c>
      <c r="O19" s="726">
        <v>0</v>
      </c>
      <c r="P19" s="726">
        <v>0</v>
      </c>
      <c r="Q19" s="726">
        <v>0</v>
      </c>
      <c r="R19" s="726">
        <v>0</v>
      </c>
      <c r="S19" s="726">
        <v>0</v>
      </c>
      <c r="T19" s="726">
        <v>0</v>
      </c>
      <c r="U19" s="726">
        <v>0</v>
      </c>
      <c r="V19" s="726">
        <v>0</v>
      </c>
      <c r="W19" s="726">
        <v>0</v>
      </c>
      <c r="X19" s="724" t="s">
        <v>674</v>
      </c>
      <c r="Y19" s="724" t="s">
        <v>1226</v>
      </c>
      <c r="Z19" s="724" t="s">
        <v>1226</v>
      </c>
      <c r="AA19" s="724" t="s">
        <v>675</v>
      </c>
      <c r="AB19" s="724" t="s">
        <v>675</v>
      </c>
      <c r="AC19" s="724"/>
      <c r="AD19" s="724"/>
      <c r="AE19" s="724"/>
      <c r="AF19" s="724"/>
      <c r="AG19" s="725" t="s">
        <v>1209</v>
      </c>
      <c r="AH19" s="724"/>
      <c r="AI19" s="725" t="s">
        <v>1209</v>
      </c>
      <c r="AJ19" s="725" t="s">
        <v>677</v>
      </c>
      <c r="AK19" s="724" t="s">
        <v>677</v>
      </c>
      <c r="AL19" s="724"/>
      <c r="AM19" s="724"/>
      <c r="AN19" s="724"/>
      <c r="AO19" s="724"/>
      <c r="AP19" s="724"/>
      <c r="AQ19" s="724"/>
      <c r="AR19" s="726"/>
      <c r="AS19" s="724"/>
      <c r="AT19" s="726"/>
      <c r="AU19" s="724" t="s">
        <v>678</v>
      </c>
      <c r="AV19" s="724" t="s">
        <v>677</v>
      </c>
      <c r="AW19" s="724" t="s">
        <v>676</v>
      </c>
      <c r="AX19" s="724" t="s">
        <v>679</v>
      </c>
      <c r="AY19" s="724"/>
      <c r="AZ19" s="724"/>
      <c r="BA19" s="724" t="s">
        <v>679</v>
      </c>
      <c r="BB19" s="724"/>
      <c r="BC19" s="724"/>
      <c r="BD19" s="724"/>
      <c r="BE19" s="726"/>
      <c r="BF19" s="724" t="s">
        <v>298</v>
      </c>
      <c r="BG19" s="724" t="s">
        <v>680</v>
      </c>
      <c r="BH19" s="724" t="s">
        <v>681</v>
      </c>
      <c r="BI19" s="724"/>
    </row>
    <row r="20" spans="1:61">
      <c r="A20" s="724" t="s">
        <v>1204</v>
      </c>
      <c r="B20" s="724" t="s">
        <v>1204</v>
      </c>
      <c r="C20" s="724" t="s">
        <v>1207</v>
      </c>
      <c r="D20" s="724" t="s">
        <v>673</v>
      </c>
      <c r="E20" s="724" t="s">
        <v>3</v>
      </c>
      <c r="F20" s="725" t="s">
        <v>7</v>
      </c>
      <c r="G20" s="725" t="s">
        <v>684</v>
      </c>
      <c r="H20" s="726">
        <v>274240</v>
      </c>
      <c r="I20" s="726">
        <v>274240</v>
      </c>
      <c r="J20" s="726">
        <v>0</v>
      </c>
      <c r="K20" s="726">
        <v>0</v>
      </c>
      <c r="L20" s="726">
        <v>274240</v>
      </c>
      <c r="M20" s="726">
        <v>0</v>
      </c>
      <c r="N20" s="726">
        <v>0</v>
      </c>
      <c r="O20" s="726">
        <v>0</v>
      </c>
      <c r="P20" s="726">
        <v>0</v>
      </c>
      <c r="Q20" s="726">
        <v>0</v>
      </c>
      <c r="R20" s="726">
        <v>0</v>
      </c>
      <c r="S20" s="726">
        <v>0</v>
      </c>
      <c r="T20" s="726">
        <v>0</v>
      </c>
      <c r="U20" s="726">
        <v>0</v>
      </c>
      <c r="V20" s="726">
        <v>0</v>
      </c>
      <c r="W20" s="726">
        <v>0</v>
      </c>
      <c r="X20" s="724" t="s">
        <v>674</v>
      </c>
      <c r="Y20" s="724" t="s">
        <v>1226</v>
      </c>
      <c r="Z20" s="724" t="s">
        <v>1226</v>
      </c>
      <c r="AA20" s="724" t="s">
        <v>675</v>
      </c>
      <c r="AB20" s="724" t="s">
        <v>675</v>
      </c>
      <c r="AC20" s="724"/>
      <c r="AD20" s="724"/>
      <c r="AE20" s="724"/>
      <c r="AF20" s="724"/>
      <c r="AG20" s="725" t="s">
        <v>1212</v>
      </c>
      <c r="AH20" s="724"/>
      <c r="AI20" s="725" t="s">
        <v>1212</v>
      </c>
      <c r="AJ20" s="725" t="s">
        <v>677</v>
      </c>
      <c r="AK20" s="724" t="s">
        <v>677</v>
      </c>
      <c r="AL20" s="724"/>
      <c r="AM20" s="724"/>
      <c r="AN20" s="724"/>
      <c r="AO20" s="724"/>
      <c r="AP20" s="724"/>
      <c r="AQ20" s="724"/>
      <c r="AR20" s="726"/>
      <c r="AS20" s="724"/>
      <c r="AT20" s="726"/>
      <c r="AU20" s="724" t="s">
        <v>678</v>
      </c>
      <c r="AV20" s="724" t="s">
        <v>677</v>
      </c>
      <c r="AW20" s="724" t="s">
        <v>676</v>
      </c>
      <c r="AX20" s="724" t="s">
        <v>679</v>
      </c>
      <c r="AY20" s="724"/>
      <c r="AZ20" s="724"/>
      <c r="BA20" s="724" t="s">
        <v>679</v>
      </c>
      <c r="BB20" s="724"/>
      <c r="BC20" s="724"/>
      <c r="BD20" s="724"/>
      <c r="BE20" s="726"/>
      <c r="BF20" s="724" t="s">
        <v>298</v>
      </c>
      <c r="BG20" s="724" t="s">
        <v>680</v>
      </c>
      <c r="BH20" s="724" t="s">
        <v>681</v>
      </c>
      <c r="BI20" s="724"/>
    </row>
    <row r="21" spans="1:61">
      <c r="A21" s="724" t="s">
        <v>1204</v>
      </c>
      <c r="B21" s="724" t="s">
        <v>1204</v>
      </c>
      <c r="C21" s="724" t="s">
        <v>1207</v>
      </c>
      <c r="D21" s="724" t="s">
        <v>673</v>
      </c>
      <c r="E21" s="724" t="s">
        <v>3</v>
      </c>
      <c r="F21" s="725" t="s">
        <v>7</v>
      </c>
      <c r="G21" s="725" t="s">
        <v>684</v>
      </c>
      <c r="H21" s="726">
        <v>2569587</v>
      </c>
      <c r="I21" s="726">
        <v>2569587</v>
      </c>
      <c r="J21" s="726">
        <v>0</v>
      </c>
      <c r="K21" s="726">
        <v>0</v>
      </c>
      <c r="L21" s="726">
        <v>2569587</v>
      </c>
      <c r="M21" s="726">
        <v>0</v>
      </c>
      <c r="N21" s="726">
        <v>0</v>
      </c>
      <c r="O21" s="726">
        <v>0</v>
      </c>
      <c r="P21" s="726">
        <v>0</v>
      </c>
      <c r="Q21" s="726">
        <v>0</v>
      </c>
      <c r="R21" s="726">
        <v>0</v>
      </c>
      <c r="S21" s="726">
        <v>0</v>
      </c>
      <c r="T21" s="726">
        <v>0</v>
      </c>
      <c r="U21" s="726">
        <v>0</v>
      </c>
      <c r="V21" s="726">
        <v>0</v>
      </c>
      <c r="W21" s="726">
        <v>0</v>
      </c>
      <c r="X21" s="724" t="s">
        <v>674</v>
      </c>
      <c r="Y21" s="724" t="s">
        <v>1226</v>
      </c>
      <c r="Z21" s="724" t="s">
        <v>1226</v>
      </c>
      <c r="AA21" s="724" t="s">
        <v>675</v>
      </c>
      <c r="AB21" s="724" t="s">
        <v>675</v>
      </c>
      <c r="AC21" s="724"/>
      <c r="AD21" s="724"/>
      <c r="AE21" s="724"/>
      <c r="AF21" s="724"/>
      <c r="AG21" s="725" t="s">
        <v>1213</v>
      </c>
      <c r="AH21" s="724"/>
      <c r="AI21" s="725" t="s">
        <v>1213</v>
      </c>
      <c r="AJ21" s="725" t="s">
        <v>677</v>
      </c>
      <c r="AK21" s="724" t="s">
        <v>677</v>
      </c>
      <c r="AL21" s="724"/>
      <c r="AM21" s="724"/>
      <c r="AN21" s="724"/>
      <c r="AO21" s="724"/>
      <c r="AP21" s="724"/>
      <c r="AQ21" s="724"/>
      <c r="AR21" s="726"/>
      <c r="AS21" s="724"/>
      <c r="AT21" s="726"/>
      <c r="AU21" s="724" t="s">
        <v>678</v>
      </c>
      <c r="AV21" s="724" t="s">
        <v>677</v>
      </c>
      <c r="AW21" s="724" t="s">
        <v>676</v>
      </c>
      <c r="AX21" s="724" t="s">
        <v>679</v>
      </c>
      <c r="AY21" s="724"/>
      <c r="AZ21" s="724"/>
      <c r="BA21" s="724" t="s">
        <v>679</v>
      </c>
      <c r="BB21" s="724"/>
      <c r="BC21" s="724"/>
      <c r="BD21" s="724"/>
      <c r="BE21" s="726"/>
      <c r="BF21" s="724" t="s">
        <v>298</v>
      </c>
      <c r="BG21" s="724" t="s">
        <v>680</v>
      </c>
      <c r="BH21" s="724" t="s">
        <v>681</v>
      </c>
      <c r="BI21" s="724"/>
    </row>
    <row r="22" spans="1:61">
      <c r="A22" s="724" t="s">
        <v>1204</v>
      </c>
      <c r="B22" s="724" t="s">
        <v>1204</v>
      </c>
      <c r="C22" s="724" t="s">
        <v>1207</v>
      </c>
      <c r="D22" s="724" t="s">
        <v>673</v>
      </c>
      <c r="E22" s="724" t="s">
        <v>3</v>
      </c>
      <c r="F22" s="725" t="s">
        <v>7</v>
      </c>
      <c r="G22" s="725" t="s">
        <v>684</v>
      </c>
      <c r="H22" s="726">
        <v>171354</v>
      </c>
      <c r="I22" s="726">
        <v>171354</v>
      </c>
      <c r="J22" s="726">
        <v>0</v>
      </c>
      <c r="K22" s="726">
        <v>0</v>
      </c>
      <c r="L22" s="726">
        <v>171354</v>
      </c>
      <c r="M22" s="726">
        <v>0</v>
      </c>
      <c r="N22" s="726">
        <v>0</v>
      </c>
      <c r="O22" s="726">
        <v>0</v>
      </c>
      <c r="P22" s="726">
        <v>0</v>
      </c>
      <c r="Q22" s="726">
        <v>0</v>
      </c>
      <c r="R22" s="726">
        <v>0</v>
      </c>
      <c r="S22" s="726">
        <v>0</v>
      </c>
      <c r="T22" s="726">
        <v>0</v>
      </c>
      <c r="U22" s="726">
        <v>0</v>
      </c>
      <c r="V22" s="726">
        <v>0</v>
      </c>
      <c r="W22" s="726">
        <v>0</v>
      </c>
      <c r="X22" s="724" t="s">
        <v>674</v>
      </c>
      <c r="Y22" s="724" t="s">
        <v>1226</v>
      </c>
      <c r="Z22" s="724" t="s">
        <v>1226</v>
      </c>
      <c r="AA22" s="724" t="s">
        <v>675</v>
      </c>
      <c r="AB22" s="724" t="s">
        <v>675</v>
      </c>
      <c r="AC22" s="724"/>
      <c r="AD22" s="724"/>
      <c r="AE22" s="724"/>
      <c r="AF22" s="724"/>
      <c r="AG22" s="725" t="s">
        <v>1211</v>
      </c>
      <c r="AH22" s="724"/>
      <c r="AI22" s="725" t="s">
        <v>1211</v>
      </c>
      <c r="AJ22" s="725" t="s">
        <v>677</v>
      </c>
      <c r="AK22" s="724" t="s">
        <v>677</v>
      </c>
      <c r="AL22" s="724"/>
      <c r="AM22" s="724"/>
      <c r="AN22" s="724"/>
      <c r="AO22" s="724"/>
      <c r="AP22" s="724"/>
      <c r="AQ22" s="724"/>
      <c r="AR22" s="726"/>
      <c r="AS22" s="724"/>
      <c r="AT22" s="726"/>
      <c r="AU22" s="724" t="s">
        <v>678</v>
      </c>
      <c r="AV22" s="724" t="s">
        <v>677</v>
      </c>
      <c r="AW22" s="724" t="s">
        <v>676</v>
      </c>
      <c r="AX22" s="724" t="s">
        <v>679</v>
      </c>
      <c r="AY22" s="724"/>
      <c r="AZ22" s="724"/>
      <c r="BA22" s="724" t="s">
        <v>679</v>
      </c>
      <c r="BB22" s="724"/>
      <c r="BC22" s="724"/>
      <c r="BD22" s="724"/>
      <c r="BE22" s="726"/>
      <c r="BF22" s="724" t="s">
        <v>298</v>
      </c>
      <c r="BG22" s="724" t="s">
        <v>680</v>
      </c>
      <c r="BH22" s="724" t="s">
        <v>681</v>
      </c>
      <c r="BI22" s="724"/>
    </row>
    <row r="23" spans="1:61">
      <c r="A23" s="724" t="s">
        <v>1204</v>
      </c>
      <c r="B23" s="724" t="s">
        <v>1204</v>
      </c>
      <c r="C23" s="724" t="s">
        <v>1207</v>
      </c>
      <c r="D23" s="724" t="s">
        <v>673</v>
      </c>
      <c r="E23" s="724" t="s">
        <v>3</v>
      </c>
      <c r="F23" s="725" t="s">
        <v>7</v>
      </c>
      <c r="G23" s="725" t="s">
        <v>684</v>
      </c>
      <c r="H23" s="726">
        <v>1839670</v>
      </c>
      <c r="I23" s="726">
        <v>1839670</v>
      </c>
      <c r="J23" s="726">
        <v>0</v>
      </c>
      <c r="K23" s="726">
        <v>0</v>
      </c>
      <c r="L23" s="726">
        <v>1839670</v>
      </c>
      <c r="M23" s="726">
        <v>0</v>
      </c>
      <c r="N23" s="726">
        <v>0</v>
      </c>
      <c r="O23" s="726">
        <v>0</v>
      </c>
      <c r="P23" s="726">
        <v>0</v>
      </c>
      <c r="Q23" s="726">
        <v>0</v>
      </c>
      <c r="R23" s="726">
        <v>0</v>
      </c>
      <c r="S23" s="726">
        <v>0</v>
      </c>
      <c r="T23" s="726">
        <v>0</v>
      </c>
      <c r="U23" s="726">
        <v>0</v>
      </c>
      <c r="V23" s="726">
        <v>0</v>
      </c>
      <c r="W23" s="726">
        <v>0</v>
      </c>
      <c r="X23" s="724" t="s">
        <v>674</v>
      </c>
      <c r="Y23" s="724" t="s">
        <v>1226</v>
      </c>
      <c r="Z23" s="724" t="s">
        <v>1226</v>
      </c>
      <c r="AA23" s="724" t="s">
        <v>675</v>
      </c>
      <c r="AB23" s="724" t="s">
        <v>675</v>
      </c>
      <c r="AC23" s="724"/>
      <c r="AD23" s="724"/>
      <c r="AE23" s="724"/>
      <c r="AF23" s="724"/>
      <c r="AG23" s="725" t="s">
        <v>1213</v>
      </c>
      <c r="AH23" s="724"/>
      <c r="AI23" s="725" t="s">
        <v>1213</v>
      </c>
      <c r="AJ23" s="725" t="s">
        <v>677</v>
      </c>
      <c r="AK23" s="724" t="s">
        <v>677</v>
      </c>
      <c r="AL23" s="724"/>
      <c r="AM23" s="724"/>
      <c r="AN23" s="724"/>
      <c r="AO23" s="724"/>
      <c r="AP23" s="724"/>
      <c r="AQ23" s="724"/>
      <c r="AR23" s="726"/>
      <c r="AS23" s="724"/>
      <c r="AT23" s="726"/>
      <c r="AU23" s="724" t="s">
        <v>678</v>
      </c>
      <c r="AV23" s="724" t="s">
        <v>677</v>
      </c>
      <c r="AW23" s="724" t="s">
        <v>676</v>
      </c>
      <c r="AX23" s="724" t="s">
        <v>679</v>
      </c>
      <c r="AY23" s="724"/>
      <c r="AZ23" s="724"/>
      <c r="BA23" s="724" t="s">
        <v>679</v>
      </c>
      <c r="BB23" s="724"/>
      <c r="BC23" s="724"/>
      <c r="BD23" s="724"/>
      <c r="BE23" s="726"/>
      <c r="BF23" s="724" t="s">
        <v>298</v>
      </c>
      <c r="BG23" s="724" t="s">
        <v>680</v>
      </c>
      <c r="BH23" s="724" t="s">
        <v>681</v>
      </c>
      <c r="BI23" s="724"/>
    </row>
    <row r="24" spans="1:61">
      <c r="A24" s="724" t="s">
        <v>1204</v>
      </c>
      <c r="B24" s="724" t="s">
        <v>1204</v>
      </c>
      <c r="C24" s="724" t="s">
        <v>1207</v>
      </c>
      <c r="D24" s="724" t="s">
        <v>673</v>
      </c>
      <c r="E24" s="724" t="s">
        <v>3</v>
      </c>
      <c r="F24" s="725" t="s">
        <v>7</v>
      </c>
      <c r="G24" s="725" t="s">
        <v>684</v>
      </c>
      <c r="H24" s="726">
        <v>23240</v>
      </c>
      <c r="I24" s="726">
        <v>23240</v>
      </c>
      <c r="J24" s="726">
        <v>0</v>
      </c>
      <c r="K24" s="726">
        <v>0</v>
      </c>
      <c r="L24" s="726">
        <v>23240</v>
      </c>
      <c r="M24" s="726">
        <v>0</v>
      </c>
      <c r="N24" s="726">
        <v>0</v>
      </c>
      <c r="O24" s="726">
        <v>0</v>
      </c>
      <c r="P24" s="726">
        <v>0</v>
      </c>
      <c r="Q24" s="726">
        <v>0</v>
      </c>
      <c r="R24" s="726">
        <v>0</v>
      </c>
      <c r="S24" s="726">
        <v>0</v>
      </c>
      <c r="T24" s="726">
        <v>0</v>
      </c>
      <c r="U24" s="726">
        <v>0</v>
      </c>
      <c r="V24" s="726">
        <v>0</v>
      </c>
      <c r="W24" s="726">
        <v>0</v>
      </c>
      <c r="X24" s="724" t="s">
        <v>674</v>
      </c>
      <c r="Y24" s="724" t="s">
        <v>675</v>
      </c>
      <c r="Z24" s="724" t="s">
        <v>675</v>
      </c>
      <c r="AA24" s="724" t="s">
        <v>675</v>
      </c>
      <c r="AB24" s="724" t="s">
        <v>675</v>
      </c>
      <c r="AC24" s="724"/>
      <c r="AD24" s="724"/>
      <c r="AE24" s="724"/>
      <c r="AF24" s="724"/>
      <c r="AG24" s="725" t="s">
        <v>1210</v>
      </c>
      <c r="AH24" s="724"/>
      <c r="AI24" s="725" t="s">
        <v>1210</v>
      </c>
      <c r="AJ24" s="725" t="s">
        <v>677</v>
      </c>
      <c r="AK24" s="724" t="s">
        <v>677</v>
      </c>
      <c r="AL24" s="724"/>
      <c r="AM24" s="724"/>
      <c r="AN24" s="724"/>
      <c r="AO24" s="724"/>
      <c r="AP24" s="724"/>
      <c r="AQ24" s="724"/>
      <c r="AR24" s="726"/>
      <c r="AS24" s="724"/>
      <c r="AT24" s="726"/>
      <c r="AU24" s="724" t="s">
        <v>678</v>
      </c>
      <c r="AV24" s="724" t="s">
        <v>677</v>
      </c>
      <c r="AW24" s="724" t="s">
        <v>676</v>
      </c>
      <c r="AX24" s="724" t="s">
        <v>679</v>
      </c>
      <c r="AY24" s="724"/>
      <c r="AZ24" s="724"/>
      <c r="BA24" s="724" t="s">
        <v>679</v>
      </c>
      <c r="BB24" s="724"/>
      <c r="BC24" s="724"/>
      <c r="BD24" s="724"/>
      <c r="BE24" s="726"/>
      <c r="BF24" s="724" t="s">
        <v>298</v>
      </c>
      <c r="BG24" s="724" t="s">
        <v>680</v>
      </c>
      <c r="BH24" s="724" t="s">
        <v>681</v>
      </c>
      <c r="BI24" s="724"/>
    </row>
    <row r="25" spans="1:61">
      <c r="A25" s="724" t="s">
        <v>1204</v>
      </c>
      <c r="B25" s="724" t="s">
        <v>1204</v>
      </c>
      <c r="C25" s="724" t="s">
        <v>1207</v>
      </c>
      <c r="D25" s="724" t="s">
        <v>673</v>
      </c>
      <c r="E25" s="724" t="s">
        <v>3</v>
      </c>
      <c r="F25" s="725" t="s">
        <v>7</v>
      </c>
      <c r="G25" s="725" t="s">
        <v>684</v>
      </c>
      <c r="H25" s="726">
        <v>193340</v>
      </c>
      <c r="I25" s="726">
        <v>193340</v>
      </c>
      <c r="J25" s="726">
        <v>0</v>
      </c>
      <c r="K25" s="726">
        <v>0</v>
      </c>
      <c r="L25" s="726">
        <v>193340</v>
      </c>
      <c r="M25" s="726">
        <v>0</v>
      </c>
      <c r="N25" s="726">
        <v>0</v>
      </c>
      <c r="O25" s="726">
        <v>0</v>
      </c>
      <c r="P25" s="726">
        <v>0</v>
      </c>
      <c r="Q25" s="726">
        <v>0</v>
      </c>
      <c r="R25" s="726">
        <v>0</v>
      </c>
      <c r="S25" s="726">
        <v>0</v>
      </c>
      <c r="T25" s="726">
        <v>0</v>
      </c>
      <c r="U25" s="726">
        <v>0</v>
      </c>
      <c r="V25" s="726">
        <v>0</v>
      </c>
      <c r="W25" s="726">
        <v>0</v>
      </c>
      <c r="X25" s="724" t="s">
        <v>674</v>
      </c>
      <c r="Y25" s="724" t="s">
        <v>1226</v>
      </c>
      <c r="Z25" s="724" t="s">
        <v>1226</v>
      </c>
      <c r="AA25" s="724" t="s">
        <v>675</v>
      </c>
      <c r="AB25" s="724" t="s">
        <v>675</v>
      </c>
      <c r="AC25" s="724"/>
      <c r="AD25" s="724"/>
      <c r="AE25" s="724"/>
      <c r="AF25" s="724"/>
      <c r="AG25" s="725" t="s">
        <v>1212</v>
      </c>
      <c r="AH25" s="724"/>
      <c r="AI25" s="725" t="s">
        <v>1212</v>
      </c>
      <c r="AJ25" s="725" t="s">
        <v>677</v>
      </c>
      <c r="AK25" s="724" t="s">
        <v>677</v>
      </c>
      <c r="AL25" s="724"/>
      <c r="AM25" s="724"/>
      <c r="AN25" s="724"/>
      <c r="AO25" s="724"/>
      <c r="AP25" s="724"/>
      <c r="AQ25" s="724"/>
      <c r="AR25" s="726"/>
      <c r="AS25" s="724"/>
      <c r="AT25" s="726"/>
      <c r="AU25" s="724" t="s">
        <v>678</v>
      </c>
      <c r="AV25" s="724" t="s">
        <v>677</v>
      </c>
      <c r="AW25" s="724" t="s">
        <v>676</v>
      </c>
      <c r="AX25" s="724" t="s">
        <v>679</v>
      </c>
      <c r="AY25" s="724"/>
      <c r="AZ25" s="724"/>
      <c r="BA25" s="724" t="s">
        <v>679</v>
      </c>
      <c r="BB25" s="724"/>
      <c r="BC25" s="724"/>
      <c r="BD25" s="724"/>
      <c r="BE25" s="726"/>
      <c r="BF25" s="724" t="s">
        <v>298</v>
      </c>
      <c r="BG25" s="724" t="s">
        <v>680</v>
      </c>
      <c r="BH25" s="724" t="s">
        <v>681</v>
      </c>
      <c r="BI25" s="724"/>
    </row>
    <row r="26" spans="1:61">
      <c r="A26" s="724" t="s">
        <v>1204</v>
      </c>
      <c r="B26" s="724" t="s">
        <v>1204</v>
      </c>
      <c r="C26" s="724" t="s">
        <v>1207</v>
      </c>
      <c r="D26" s="724" t="s">
        <v>673</v>
      </c>
      <c r="E26" s="724" t="s">
        <v>3</v>
      </c>
      <c r="F26" s="725" t="s">
        <v>7</v>
      </c>
      <c r="G26" s="725" t="s">
        <v>684</v>
      </c>
      <c r="H26" s="726">
        <v>425360</v>
      </c>
      <c r="I26" s="726">
        <v>425360</v>
      </c>
      <c r="J26" s="726">
        <v>0</v>
      </c>
      <c r="K26" s="726">
        <v>0</v>
      </c>
      <c r="L26" s="726">
        <v>425360</v>
      </c>
      <c r="M26" s="726">
        <v>0</v>
      </c>
      <c r="N26" s="726">
        <v>0</v>
      </c>
      <c r="O26" s="726">
        <v>0</v>
      </c>
      <c r="P26" s="726">
        <v>0</v>
      </c>
      <c r="Q26" s="726">
        <v>0</v>
      </c>
      <c r="R26" s="726">
        <v>0</v>
      </c>
      <c r="S26" s="726">
        <v>0</v>
      </c>
      <c r="T26" s="726">
        <v>0</v>
      </c>
      <c r="U26" s="726">
        <v>0</v>
      </c>
      <c r="V26" s="726">
        <v>0</v>
      </c>
      <c r="W26" s="726">
        <v>0</v>
      </c>
      <c r="X26" s="724" t="s">
        <v>674</v>
      </c>
      <c r="Y26" s="724" t="s">
        <v>1226</v>
      </c>
      <c r="Z26" s="724" t="s">
        <v>1226</v>
      </c>
      <c r="AA26" s="724" t="s">
        <v>675</v>
      </c>
      <c r="AB26" s="724" t="s">
        <v>675</v>
      </c>
      <c r="AC26" s="724"/>
      <c r="AD26" s="724"/>
      <c r="AE26" s="724"/>
      <c r="AF26" s="724"/>
      <c r="AG26" s="725" t="s">
        <v>1209</v>
      </c>
      <c r="AH26" s="724"/>
      <c r="AI26" s="725" t="s">
        <v>1209</v>
      </c>
      <c r="AJ26" s="725" t="s">
        <v>677</v>
      </c>
      <c r="AK26" s="724" t="s">
        <v>677</v>
      </c>
      <c r="AL26" s="724"/>
      <c r="AM26" s="724"/>
      <c r="AN26" s="724"/>
      <c r="AO26" s="724"/>
      <c r="AP26" s="724"/>
      <c r="AQ26" s="724"/>
      <c r="AR26" s="726"/>
      <c r="AS26" s="724"/>
      <c r="AT26" s="726"/>
      <c r="AU26" s="724" t="s">
        <v>678</v>
      </c>
      <c r="AV26" s="724" t="s">
        <v>677</v>
      </c>
      <c r="AW26" s="724" t="s">
        <v>676</v>
      </c>
      <c r="AX26" s="724" t="s">
        <v>679</v>
      </c>
      <c r="AY26" s="724"/>
      <c r="AZ26" s="724"/>
      <c r="BA26" s="724" t="s">
        <v>679</v>
      </c>
      <c r="BB26" s="724"/>
      <c r="BC26" s="724"/>
      <c r="BD26" s="724"/>
      <c r="BE26" s="726"/>
      <c r="BF26" s="724" t="s">
        <v>298</v>
      </c>
      <c r="BG26" s="724" t="s">
        <v>680</v>
      </c>
      <c r="BH26" s="724" t="s">
        <v>681</v>
      </c>
      <c r="BI26" s="724"/>
    </row>
    <row r="27" spans="1:61">
      <c r="A27" s="724" t="s">
        <v>1204</v>
      </c>
      <c r="B27" s="724" t="s">
        <v>1204</v>
      </c>
      <c r="C27" s="724" t="s">
        <v>1207</v>
      </c>
      <c r="D27" s="724" t="s">
        <v>673</v>
      </c>
      <c r="E27" s="724" t="s">
        <v>3</v>
      </c>
      <c r="F27" s="725" t="s">
        <v>7</v>
      </c>
      <c r="G27" s="725" t="s">
        <v>684</v>
      </c>
      <c r="H27" s="726">
        <v>72840</v>
      </c>
      <c r="I27" s="726">
        <v>72840</v>
      </c>
      <c r="J27" s="726">
        <v>0</v>
      </c>
      <c r="K27" s="726">
        <v>0</v>
      </c>
      <c r="L27" s="726">
        <v>72840</v>
      </c>
      <c r="M27" s="726">
        <v>0</v>
      </c>
      <c r="N27" s="726">
        <v>0</v>
      </c>
      <c r="O27" s="726">
        <v>0</v>
      </c>
      <c r="P27" s="726">
        <v>0</v>
      </c>
      <c r="Q27" s="726">
        <v>0</v>
      </c>
      <c r="R27" s="726">
        <v>0</v>
      </c>
      <c r="S27" s="726">
        <v>0</v>
      </c>
      <c r="T27" s="726">
        <v>0</v>
      </c>
      <c r="U27" s="726">
        <v>0</v>
      </c>
      <c r="V27" s="726">
        <v>0</v>
      </c>
      <c r="W27" s="726">
        <v>0</v>
      </c>
      <c r="X27" s="724" t="s">
        <v>674</v>
      </c>
      <c r="Y27" s="724" t="s">
        <v>675</v>
      </c>
      <c r="Z27" s="724" t="s">
        <v>675</v>
      </c>
      <c r="AA27" s="724" t="s">
        <v>675</v>
      </c>
      <c r="AB27" s="724" t="s">
        <v>675</v>
      </c>
      <c r="AC27" s="724"/>
      <c r="AD27" s="724"/>
      <c r="AE27" s="724"/>
      <c r="AF27" s="724"/>
      <c r="AG27" s="725" t="s">
        <v>1210</v>
      </c>
      <c r="AH27" s="724"/>
      <c r="AI27" s="725" t="s">
        <v>1210</v>
      </c>
      <c r="AJ27" s="725" t="s">
        <v>677</v>
      </c>
      <c r="AK27" s="724" t="s">
        <v>677</v>
      </c>
      <c r="AL27" s="724"/>
      <c r="AM27" s="724"/>
      <c r="AN27" s="724"/>
      <c r="AO27" s="724"/>
      <c r="AP27" s="724"/>
      <c r="AQ27" s="724"/>
      <c r="AR27" s="726"/>
      <c r="AS27" s="724"/>
      <c r="AT27" s="726"/>
      <c r="AU27" s="724" t="s">
        <v>678</v>
      </c>
      <c r="AV27" s="724" t="s">
        <v>677</v>
      </c>
      <c r="AW27" s="724" t="s">
        <v>676</v>
      </c>
      <c r="AX27" s="724" t="s">
        <v>679</v>
      </c>
      <c r="AY27" s="724"/>
      <c r="AZ27" s="724"/>
      <c r="BA27" s="724" t="s">
        <v>679</v>
      </c>
      <c r="BB27" s="724"/>
      <c r="BC27" s="724"/>
      <c r="BD27" s="724"/>
      <c r="BE27" s="726"/>
      <c r="BF27" s="724" t="s">
        <v>298</v>
      </c>
      <c r="BG27" s="724" t="s">
        <v>680</v>
      </c>
      <c r="BH27" s="724" t="s">
        <v>681</v>
      </c>
      <c r="BI27" s="724"/>
    </row>
    <row r="28" spans="1:61">
      <c r="A28" s="724" t="s">
        <v>1204</v>
      </c>
      <c r="B28" s="724" t="s">
        <v>1204</v>
      </c>
      <c r="C28" s="724" t="s">
        <v>1207</v>
      </c>
      <c r="D28" s="724" t="s">
        <v>673</v>
      </c>
      <c r="E28" s="724" t="s">
        <v>3</v>
      </c>
      <c r="F28" s="725" t="s">
        <v>7</v>
      </c>
      <c r="G28" s="725" t="s">
        <v>684</v>
      </c>
      <c r="H28" s="726">
        <v>223280</v>
      </c>
      <c r="I28" s="726">
        <v>223280</v>
      </c>
      <c r="J28" s="726">
        <v>0</v>
      </c>
      <c r="K28" s="726">
        <v>0</v>
      </c>
      <c r="L28" s="726">
        <v>223280</v>
      </c>
      <c r="M28" s="726">
        <v>0</v>
      </c>
      <c r="N28" s="726">
        <v>0</v>
      </c>
      <c r="O28" s="726">
        <v>0</v>
      </c>
      <c r="P28" s="726">
        <v>0</v>
      </c>
      <c r="Q28" s="726">
        <v>0</v>
      </c>
      <c r="R28" s="726">
        <v>0</v>
      </c>
      <c r="S28" s="726">
        <v>0</v>
      </c>
      <c r="T28" s="726">
        <v>0</v>
      </c>
      <c r="U28" s="726">
        <v>0</v>
      </c>
      <c r="V28" s="726">
        <v>0</v>
      </c>
      <c r="W28" s="726">
        <v>0</v>
      </c>
      <c r="X28" s="724" t="s">
        <v>674</v>
      </c>
      <c r="Y28" s="724" t="s">
        <v>1226</v>
      </c>
      <c r="Z28" s="724" t="s">
        <v>1226</v>
      </c>
      <c r="AA28" s="724" t="s">
        <v>675</v>
      </c>
      <c r="AB28" s="724" t="s">
        <v>675</v>
      </c>
      <c r="AC28" s="724"/>
      <c r="AD28" s="724"/>
      <c r="AE28" s="724"/>
      <c r="AF28" s="724"/>
      <c r="AG28" s="725" t="s">
        <v>1209</v>
      </c>
      <c r="AH28" s="724"/>
      <c r="AI28" s="725" t="s">
        <v>1209</v>
      </c>
      <c r="AJ28" s="725" t="s">
        <v>677</v>
      </c>
      <c r="AK28" s="724" t="s">
        <v>677</v>
      </c>
      <c r="AL28" s="724"/>
      <c r="AM28" s="724"/>
      <c r="AN28" s="724"/>
      <c r="AO28" s="724"/>
      <c r="AP28" s="724"/>
      <c r="AQ28" s="724"/>
      <c r="AR28" s="726"/>
      <c r="AS28" s="724"/>
      <c r="AT28" s="726"/>
      <c r="AU28" s="724" t="s">
        <v>678</v>
      </c>
      <c r="AV28" s="724" t="s">
        <v>677</v>
      </c>
      <c r="AW28" s="724" t="s">
        <v>676</v>
      </c>
      <c r="AX28" s="724" t="s">
        <v>679</v>
      </c>
      <c r="AY28" s="724"/>
      <c r="AZ28" s="724"/>
      <c r="BA28" s="724" t="s">
        <v>679</v>
      </c>
      <c r="BB28" s="724"/>
      <c r="BC28" s="724"/>
      <c r="BD28" s="724"/>
      <c r="BE28" s="726"/>
      <c r="BF28" s="724" t="s">
        <v>298</v>
      </c>
      <c r="BG28" s="724" t="s">
        <v>680</v>
      </c>
      <c r="BH28" s="724" t="s">
        <v>681</v>
      </c>
      <c r="BI28" s="724"/>
    </row>
    <row r="29" spans="1:61">
      <c r="A29" s="724" t="s">
        <v>1204</v>
      </c>
      <c r="B29" s="724" t="s">
        <v>1204</v>
      </c>
      <c r="C29" s="724" t="s">
        <v>1207</v>
      </c>
      <c r="D29" s="724" t="s">
        <v>673</v>
      </c>
      <c r="E29" s="724" t="s">
        <v>3</v>
      </c>
      <c r="F29" s="725" t="s">
        <v>7</v>
      </c>
      <c r="G29" s="725" t="s">
        <v>684</v>
      </c>
      <c r="H29" s="726">
        <v>326410</v>
      </c>
      <c r="I29" s="726">
        <v>326410</v>
      </c>
      <c r="J29" s="726">
        <v>0</v>
      </c>
      <c r="K29" s="726">
        <v>0</v>
      </c>
      <c r="L29" s="726">
        <v>326410</v>
      </c>
      <c r="M29" s="726">
        <v>0</v>
      </c>
      <c r="N29" s="726">
        <v>0</v>
      </c>
      <c r="O29" s="726">
        <v>0</v>
      </c>
      <c r="P29" s="726">
        <v>0</v>
      </c>
      <c r="Q29" s="726">
        <v>0</v>
      </c>
      <c r="R29" s="726">
        <v>0</v>
      </c>
      <c r="S29" s="726">
        <v>0</v>
      </c>
      <c r="T29" s="726">
        <v>0</v>
      </c>
      <c r="U29" s="726">
        <v>0</v>
      </c>
      <c r="V29" s="726">
        <v>0</v>
      </c>
      <c r="W29" s="726">
        <v>0</v>
      </c>
      <c r="X29" s="724" t="s">
        <v>674</v>
      </c>
      <c r="Y29" s="724" t="s">
        <v>1226</v>
      </c>
      <c r="Z29" s="724" t="s">
        <v>1226</v>
      </c>
      <c r="AA29" s="724" t="s">
        <v>675</v>
      </c>
      <c r="AB29" s="724" t="s">
        <v>675</v>
      </c>
      <c r="AC29" s="724"/>
      <c r="AD29" s="724"/>
      <c r="AE29" s="724"/>
      <c r="AF29" s="724"/>
      <c r="AG29" s="725" t="s">
        <v>1211</v>
      </c>
      <c r="AH29" s="724"/>
      <c r="AI29" s="725" t="s">
        <v>1211</v>
      </c>
      <c r="AJ29" s="725" t="s">
        <v>677</v>
      </c>
      <c r="AK29" s="724" t="s">
        <v>677</v>
      </c>
      <c r="AL29" s="724"/>
      <c r="AM29" s="724"/>
      <c r="AN29" s="724"/>
      <c r="AO29" s="724"/>
      <c r="AP29" s="724"/>
      <c r="AQ29" s="724"/>
      <c r="AR29" s="726"/>
      <c r="AS29" s="724"/>
      <c r="AT29" s="726"/>
      <c r="AU29" s="724" t="s">
        <v>678</v>
      </c>
      <c r="AV29" s="724" t="s">
        <v>677</v>
      </c>
      <c r="AW29" s="724" t="s">
        <v>676</v>
      </c>
      <c r="AX29" s="724" t="s">
        <v>679</v>
      </c>
      <c r="AY29" s="724"/>
      <c r="AZ29" s="724"/>
      <c r="BA29" s="724" t="s">
        <v>679</v>
      </c>
      <c r="BB29" s="724"/>
      <c r="BC29" s="724"/>
      <c r="BD29" s="724"/>
      <c r="BE29" s="726"/>
      <c r="BF29" s="724" t="s">
        <v>298</v>
      </c>
      <c r="BG29" s="724" t="s">
        <v>680</v>
      </c>
      <c r="BH29" s="724" t="s">
        <v>681</v>
      </c>
      <c r="BI29" s="724"/>
    </row>
    <row r="30" spans="1:61">
      <c r="A30" s="724" t="s">
        <v>1204</v>
      </c>
      <c r="B30" s="724" t="s">
        <v>1204</v>
      </c>
      <c r="C30" s="724" t="s">
        <v>1207</v>
      </c>
      <c r="D30" s="724" t="s">
        <v>673</v>
      </c>
      <c r="E30" s="724" t="s">
        <v>3</v>
      </c>
      <c r="F30" s="725" t="s">
        <v>7</v>
      </c>
      <c r="G30" s="725" t="s">
        <v>684</v>
      </c>
      <c r="H30" s="726">
        <v>200870</v>
      </c>
      <c r="I30" s="726">
        <v>200870</v>
      </c>
      <c r="J30" s="726">
        <v>0</v>
      </c>
      <c r="K30" s="726">
        <v>0</v>
      </c>
      <c r="L30" s="726">
        <v>200870</v>
      </c>
      <c r="M30" s="726">
        <v>0</v>
      </c>
      <c r="N30" s="726">
        <v>0</v>
      </c>
      <c r="O30" s="726">
        <v>0</v>
      </c>
      <c r="P30" s="726">
        <v>0</v>
      </c>
      <c r="Q30" s="726">
        <v>0</v>
      </c>
      <c r="R30" s="726">
        <v>0</v>
      </c>
      <c r="S30" s="726">
        <v>0</v>
      </c>
      <c r="T30" s="726">
        <v>0</v>
      </c>
      <c r="U30" s="726">
        <v>0</v>
      </c>
      <c r="V30" s="726">
        <v>0</v>
      </c>
      <c r="W30" s="726">
        <v>0</v>
      </c>
      <c r="X30" s="724" t="s">
        <v>674</v>
      </c>
      <c r="Y30" s="724" t="s">
        <v>1226</v>
      </c>
      <c r="Z30" s="724" t="s">
        <v>1226</v>
      </c>
      <c r="AA30" s="724" t="s">
        <v>675</v>
      </c>
      <c r="AB30" s="724" t="s">
        <v>675</v>
      </c>
      <c r="AC30" s="724"/>
      <c r="AD30" s="724"/>
      <c r="AE30" s="724"/>
      <c r="AF30" s="724"/>
      <c r="AG30" s="725" t="s">
        <v>1210</v>
      </c>
      <c r="AH30" s="724"/>
      <c r="AI30" s="725" t="s">
        <v>1210</v>
      </c>
      <c r="AJ30" s="725" t="s">
        <v>677</v>
      </c>
      <c r="AK30" s="724" t="s">
        <v>677</v>
      </c>
      <c r="AL30" s="724"/>
      <c r="AM30" s="724"/>
      <c r="AN30" s="724"/>
      <c r="AO30" s="724"/>
      <c r="AP30" s="724"/>
      <c r="AQ30" s="724"/>
      <c r="AR30" s="726"/>
      <c r="AS30" s="724"/>
      <c r="AT30" s="726"/>
      <c r="AU30" s="724" t="s">
        <v>678</v>
      </c>
      <c r="AV30" s="724" t="s">
        <v>677</v>
      </c>
      <c r="AW30" s="724" t="s">
        <v>676</v>
      </c>
      <c r="AX30" s="724" t="s">
        <v>679</v>
      </c>
      <c r="AY30" s="724"/>
      <c r="AZ30" s="724"/>
      <c r="BA30" s="724" t="s">
        <v>679</v>
      </c>
      <c r="BB30" s="724"/>
      <c r="BC30" s="724"/>
      <c r="BD30" s="724"/>
      <c r="BE30" s="726"/>
      <c r="BF30" s="724" t="s">
        <v>298</v>
      </c>
      <c r="BG30" s="724" t="s">
        <v>680</v>
      </c>
      <c r="BH30" s="724" t="s">
        <v>681</v>
      </c>
      <c r="BI30" s="724"/>
    </row>
    <row r="31" spans="1:61">
      <c r="A31" s="724" t="s">
        <v>1204</v>
      </c>
      <c r="B31" s="724" t="s">
        <v>1204</v>
      </c>
      <c r="C31" s="724" t="s">
        <v>1207</v>
      </c>
      <c r="D31" s="724" t="s">
        <v>673</v>
      </c>
      <c r="E31" s="724" t="s">
        <v>3</v>
      </c>
      <c r="F31" s="725" t="s">
        <v>7</v>
      </c>
      <c r="G31" s="725" t="s">
        <v>684</v>
      </c>
      <c r="H31" s="726">
        <v>368340</v>
      </c>
      <c r="I31" s="726">
        <v>368340</v>
      </c>
      <c r="J31" s="726">
        <v>0</v>
      </c>
      <c r="K31" s="726">
        <v>0</v>
      </c>
      <c r="L31" s="726">
        <v>368340</v>
      </c>
      <c r="M31" s="726">
        <v>0</v>
      </c>
      <c r="N31" s="726">
        <v>0</v>
      </c>
      <c r="O31" s="726">
        <v>0</v>
      </c>
      <c r="P31" s="726">
        <v>0</v>
      </c>
      <c r="Q31" s="726">
        <v>0</v>
      </c>
      <c r="R31" s="726">
        <v>0</v>
      </c>
      <c r="S31" s="726">
        <v>0</v>
      </c>
      <c r="T31" s="726">
        <v>0</v>
      </c>
      <c r="U31" s="726">
        <v>0</v>
      </c>
      <c r="V31" s="726">
        <v>0</v>
      </c>
      <c r="W31" s="726">
        <v>0</v>
      </c>
      <c r="X31" s="724" t="s">
        <v>674</v>
      </c>
      <c r="Y31" s="724" t="s">
        <v>1226</v>
      </c>
      <c r="Z31" s="724" t="s">
        <v>1226</v>
      </c>
      <c r="AA31" s="724" t="s">
        <v>675</v>
      </c>
      <c r="AB31" s="724" t="s">
        <v>675</v>
      </c>
      <c r="AC31" s="724"/>
      <c r="AD31" s="724"/>
      <c r="AE31" s="724"/>
      <c r="AF31" s="724"/>
      <c r="AG31" s="725" t="s">
        <v>1212</v>
      </c>
      <c r="AH31" s="724"/>
      <c r="AI31" s="725" t="s">
        <v>1212</v>
      </c>
      <c r="AJ31" s="725" t="s">
        <v>677</v>
      </c>
      <c r="AK31" s="724" t="s">
        <v>677</v>
      </c>
      <c r="AL31" s="724"/>
      <c r="AM31" s="724"/>
      <c r="AN31" s="724"/>
      <c r="AO31" s="724"/>
      <c r="AP31" s="724"/>
      <c r="AQ31" s="724"/>
      <c r="AR31" s="726"/>
      <c r="AS31" s="724"/>
      <c r="AT31" s="726"/>
      <c r="AU31" s="724" t="s">
        <v>678</v>
      </c>
      <c r="AV31" s="724" t="s">
        <v>677</v>
      </c>
      <c r="AW31" s="724" t="s">
        <v>676</v>
      </c>
      <c r="AX31" s="724" t="s">
        <v>679</v>
      </c>
      <c r="AY31" s="724"/>
      <c r="AZ31" s="724"/>
      <c r="BA31" s="724" t="s">
        <v>679</v>
      </c>
      <c r="BB31" s="724"/>
      <c r="BC31" s="724"/>
      <c r="BD31" s="724"/>
      <c r="BE31" s="726"/>
      <c r="BF31" s="724" t="s">
        <v>298</v>
      </c>
      <c r="BG31" s="724" t="s">
        <v>680</v>
      </c>
      <c r="BH31" s="724" t="s">
        <v>681</v>
      </c>
      <c r="BI31" s="724"/>
    </row>
    <row r="32" spans="1:61">
      <c r="A32" s="724" t="s">
        <v>1204</v>
      </c>
      <c r="B32" s="724" t="s">
        <v>1204</v>
      </c>
      <c r="C32" s="724" t="s">
        <v>1207</v>
      </c>
      <c r="D32" s="724" t="s">
        <v>673</v>
      </c>
      <c r="E32" s="724" t="s">
        <v>3</v>
      </c>
      <c r="F32" s="725" t="s">
        <v>7</v>
      </c>
      <c r="G32" s="725" t="s">
        <v>684</v>
      </c>
      <c r="H32" s="726">
        <v>3347790</v>
      </c>
      <c r="I32" s="726">
        <v>3347790</v>
      </c>
      <c r="J32" s="726">
        <v>0</v>
      </c>
      <c r="K32" s="726">
        <v>0</v>
      </c>
      <c r="L32" s="726">
        <v>3347790</v>
      </c>
      <c r="M32" s="726">
        <v>0</v>
      </c>
      <c r="N32" s="726">
        <v>0</v>
      </c>
      <c r="O32" s="726">
        <v>0</v>
      </c>
      <c r="P32" s="726">
        <v>0</v>
      </c>
      <c r="Q32" s="726">
        <v>0</v>
      </c>
      <c r="R32" s="726">
        <v>0</v>
      </c>
      <c r="S32" s="726">
        <v>0</v>
      </c>
      <c r="T32" s="726">
        <v>0</v>
      </c>
      <c r="U32" s="726">
        <v>0</v>
      </c>
      <c r="V32" s="726">
        <v>0</v>
      </c>
      <c r="W32" s="726">
        <v>0</v>
      </c>
      <c r="X32" s="724" t="s">
        <v>674</v>
      </c>
      <c r="Y32" s="724" t="s">
        <v>1226</v>
      </c>
      <c r="Z32" s="724" t="s">
        <v>1226</v>
      </c>
      <c r="AA32" s="724" t="s">
        <v>675</v>
      </c>
      <c r="AB32" s="724" t="s">
        <v>675</v>
      </c>
      <c r="AC32" s="724"/>
      <c r="AD32" s="724"/>
      <c r="AE32" s="724"/>
      <c r="AF32" s="724"/>
      <c r="AG32" s="725" t="s">
        <v>1213</v>
      </c>
      <c r="AH32" s="724"/>
      <c r="AI32" s="725" t="s">
        <v>1213</v>
      </c>
      <c r="AJ32" s="725" t="s">
        <v>677</v>
      </c>
      <c r="AK32" s="724" t="s">
        <v>677</v>
      </c>
      <c r="AL32" s="724"/>
      <c r="AM32" s="724"/>
      <c r="AN32" s="724"/>
      <c r="AO32" s="724"/>
      <c r="AP32" s="724"/>
      <c r="AQ32" s="724"/>
      <c r="AR32" s="726"/>
      <c r="AS32" s="724"/>
      <c r="AT32" s="726"/>
      <c r="AU32" s="724" t="s">
        <v>678</v>
      </c>
      <c r="AV32" s="724" t="s">
        <v>677</v>
      </c>
      <c r="AW32" s="724" t="s">
        <v>676</v>
      </c>
      <c r="AX32" s="724" t="s">
        <v>679</v>
      </c>
      <c r="AY32" s="724"/>
      <c r="AZ32" s="724"/>
      <c r="BA32" s="724" t="s">
        <v>679</v>
      </c>
      <c r="BB32" s="724"/>
      <c r="BC32" s="724"/>
      <c r="BD32" s="724"/>
      <c r="BE32" s="726"/>
      <c r="BF32" s="724" t="s">
        <v>298</v>
      </c>
      <c r="BG32" s="724" t="s">
        <v>680</v>
      </c>
      <c r="BH32" s="724" t="s">
        <v>681</v>
      </c>
      <c r="BI32" s="724"/>
    </row>
    <row r="33" spans="1:61">
      <c r="A33" s="724" t="s">
        <v>1175</v>
      </c>
      <c r="B33" s="724" t="s">
        <v>1203</v>
      </c>
      <c r="C33" s="724" t="s">
        <v>1203</v>
      </c>
      <c r="D33" s="724" t="s">
        <v>724</v>
      </c>
      <c r="E33" s="724" t="s">
        <v>3</v>
      </c>
      <c r="F33" s="725" t="s">
        <v>83</v>
      </c>
      <c r="G33" s="725" t="s">
        <v>700</v>
      </c>
      <c r="H33" s="726">
        <v>3080000</v>
      </c>
      <c r="I33" s="726">
        <v>3080000</v>
      </c>
      <c r="J33" s="726">
        <v>0</v>
      </c>
      <c r="K33" s="726">
        <v>0</v>
      </c>
      <c r="L33" s="726">
        <v>2800000</v>
      </c>
      <c r="M33" s="726">
        <v>0</v>
      </c>
      <c r="N33" s="726">
        <v>0</v>
      </c>
      <c r="O33" s="726">
        <v>280000</v>
      </c>
      <c r="P33" s="726">
        <v>0</v>
      </c>
      <c r="Q33" s="726">
        <v>0</v>
      </c>
      <c r="R33" s="726">
        <v>0</v>
      </c>
      <c r="S33" s="726">
        <v>0</v>
      </c>
      <c r="T33" s="726">
        <v>0</v>
      </c>
      <c r="U33" s="726">
        <v>0</v>
      </c>
      <c r="V33" s="726">
        <v>0</v>
      </c>
      <c r="W33" s="726">
        <v>0</v>
      </c>
      <c r="X33" s="724" t="s">
        <v>674</v>
      </c>
      <c r="Y33" s="724" t="s">
        <v>1226</v>
      </c>
      <c r="Z33" s="724" t="s">
        <v>1226</v>
      </c>
      <c r="AA33" s="724" t="s">
        <v>675</v>
      </c>
      <c r="AB33" s="724" t="s">
        <v>675</v>
      </c>
      <c r="AC33" s="724"/>
      <c r="AD33" s="724"/>
      <c r="AE33" s="724"/>
      <c r="AF33" s="724"/>
      <c r="AG33" s="725" t="s">
        <v>1214</v>
      </c>
      <c r="AH33" s="724"/>
      <c r="AI33" s="725" t="s">
        <v>1214</v>
      </c>
      <c r="AJ33" s="725" t="s">
        <v>945</v>
      </c>
      <c r="AK33" s="724" t="s">
        <v>677</v>
      </c>
      <c r="AL33" s="724"/>
      <c r="AM33" s="724" t="s">
        <v>967</v>
      </c>
      <c r="AN33" s="724" t="s">
        <v>1215</v>
      </c>
      <c r="AO33" s="724" t="s">
        <v>1175</v>
      </c>
      <c r="AP33" s="724" t="s">
        <v>1196</v>
      </c>
      <c r="AQ33" s="724" t="s">
        <v>1184</v>
      </c>
      <c r="AR33" s="726">
        <v>3080000</v>
      </c>
      <c r="AS33" s="724" t="s">
        <v>675</v>
      </c>
      <c r="AT33" s="726">
        <v>0</v>
      </c>
      <c r="AU33" s="724" t="s">
        <v>678</v>
      </c>
      <c r="AV33" s="724" t="s">
        <v>677</v>
      </c>
      <c r="AW33" s="724" t="s">
        <v>676</v>
      </c>
      <c r="AX33" s="724" t="s">
        <v>679</v>
      </c>
      <c r="AY33" s="724"/>
      <c r="AZ33" s="724"/>
      <c r="BA33" s="724" t="s">
        <v>679</v>
      </c>
      <c r="BB33" s="724"/>
      <c r="BC33" s="724"/>
      <c r="BD33" s="724"/>
      <c r="BE33" s="726"/>
      <c r="BF33" s="724" t="s">
        <v>298</v>
      </c>
      <c r="BG33" s="724" t="s">
        <v>680</v>
      </c>
      <c r="BH33" s="724" t="s">
        <v>681</v>
      </c>
      <c r="BI33" s="724"/>
    </row>
    <row r="34" spans="1:61">
      <c r="A34" s="724" t="s">
        <v>1175</v>
      </c>
      <c r="B34" s="724" t="s">
        <v>1203</v>
      </c>
      <c r="C34" s="724" t="s">
        <v>1204</v>
      </c>
      <c r="D34" s="724" t="s">
        <v>724</v>
      </c>
      <c r="E34" s="724" t="s">
        <v>3</v>
      </c>
      <c r="F34" s="725" t="s">
        <v>83</v>
      </c>
      <c r="G34" s="725" t="s">
        <v>829</v>
      </c>
      <c r="H34" s="726">
        <v>465000</v>
      </c>
      <c r="I34" s="726">
        <v>465000</v>
      </c>
      <c r="J34" s="726">
        <v>0</v>
      </c>
      <c r="K34" s="726">
        <v>0</v>
      </c>
      <c r="L34" s="726">
        <v>422728</v>
      </c>
      <c r="M34" s="726">
        <v>0</v>
      </c>
      <c r="N34" s="726">
        <v>0</v>
      </c>
      <c r="O34" s="726">
        <v>42272</v>
      </c>
      <c r="P34" s="726">
        <v>0</v>
      </c>
      <c r="Q34" s="726">
        <v>0</v>
      </c>
      <c r="R34" s="726">
        <v>0</v>
      </c>
      <c r="S34" s="726">
        <v>0</v>
      </c>
      <c r="T34" s="726">
        <v>0</v>
      </c>
      <c r="U34" s="726">
        <v>0</v>
      </c>
      <c r="V34" s="726">
        <v>0</v>
      </c>
      <c r="W34" s="726">
        <v>0</v>
      </c>
      <c r="X34" s="724" t="s">
        <v>674</v>
      </c>
      <c r="Y34" s="724" t="s">
        <v>1226</v>
      </c>
      <c r="Z34" s="724" t="s">
        <v>1226</v>
      </c>
      <c r="AA34" s="724" t="s">
        <v>675</v>
      </c>
      <c r="AB34" s="724" t="s">
        <v>675</v>
      </c>
      <c r="AC34" s="724"/>
      <c r="AD34" s="724"/>
      <c r="AE34" s="724"/>
      <c r="AF34" s="724"/>
      <c r="AG34" s="725" t="s">
        <v>1216</v>
      </c>
      <c r="AH34" s="724"/>
      <c r="AI34" s="725" t="s">
        <v>1216</v>
      </c>
      <c r="AJ34" s="725" t="s">
        <v>762</v>
      </c>
      <c r="AK34" s="724" t="s">
        <v>677</v>
      </c>
      <c r="AL34" s="724"/>
      <c r="AM34" s="724" t="s">
        <v>726</v>
      </c>
      <c r="AN34" s="724" t="s">
        <v>1217</v>
      </c>
      <c r="AO34" s="724" t="s">
        <v>1175</v>
      </c>
      <c r="AP34" s="724" t="s">
        <v>1196</v>
      </c>
      <c r="AQ34" s="724" t="s">
        <v>1184</v>
      </c>
      <c r="AR34" s="726">
        <v>465000</v>
      </c>
      <c r="AS34" s="724" t="s">
        <v>675</v>
      </c>
      <c r="AT34" s="726">
        <v>0</v>
      </c>
      <c r="AU34" s="724" t="s">
        <v>678</v>
      </c>
      <c r="AV34" s="724" t="s">
        <v>677</v>
      </c>
      <c r="AW34" s="724" t="s">
        <v>676</v>
      </c>
      <c r="AX34" s="724" t="s">
        <v>679</v>
      </c>
      <c r="AY34" s="724"/>
      <c r="AZ34" s="724"/>
      <c r="BA34" s="724" t="s">
        <v>679</v>
      </c>
      <c r="BB34" s="724"/>
      <c r="BC34" s="724"/>
      <c r="BD34" s="724"/>
      <c r="BE34" s="726"/>
      <c r="BF34" s="724" t="s">
        <v>298</v>
      </c>
      <c r="BG34" s="724" t="s">
        <v>680</v>
      </c>
      <c r="BH34" s="724" t="s">
        <v>681</v>
      </c>
      <c r="BI34" s="724"/>
    </row>
    <row r="35" spans="1:61">
      <c r="A35" s="724" t="s">
        <v>1175</v>
      </c>
      <c r="B35" s="724" t="s">
        <v>1175</v>
      </c>
      <c r="C35" s="724" t="s">
        <v>1176</v>
      </c>
      <c r="D35" s="724" t="s">
        <v>673</v>
      </c>
      <c r="E35" s="724" t="s">
        <v>3</v>
      </c>
      <c r="F35" s="725" t="s">
        <v>308</v>
      </c>
      <c r="G35" s="725" t="s">
        <v>780</v>
      </c>
      <c r="H35" s="726">
        <v>30000</v>
      </c>
      <c r="I35" s="726">
        <v>30000</v>
      </c>
      <c r="J35" s="726">
        <v>0</v>
      </c>
      <c r="K35" s="726">
        <v>0</v>
      </c>
      <c r="L35" s="726">
        <v>30000</v>
      </c>
      <c r="M35" s="726">
        <v>0</v>
      </c>
      <c r="N35" s="726">
        <v>0</v>
      </c>
      <c r="O35" s="726">
        <v>0</v>
      </c>
      <c r="P35" s="726">
        <v>0</v>
      </c>
      <c r="Q35" s="726">
        <v>0</v>
      </c>
      <c r="R35" s="726">
        <v>0</v>
      </c>
      <c r="S35" s="726">
        <v>0</v>
      </c>
      <c r="T35" s="726">
        <v>0</v>
      </c>
      <c r="U35" s="726">
        <v>0</v>
      </c>
      <c r="V35" s="726">
        <v>0</v>
      </c>
      <c r="W35" s="726">
        <v>0</v>
      </c>
      <c r="X35" s="724" t="s">
        <v>674</v>
      </c>
      <c r="Y35" s="724" t="s">
        <v>675</v>
      </c>
      <c r="Z35" s="724" t="s">
        <v>675</v>
      </c>
      <c r="AA35" s="724" t="s">
        <v>675</v>
      </c>
      <c r="AB35" s="724" t="s">
        <v>675</v>
      </c>
      <c r="AC35" s="724"/>
      <c r="AD35" s="724" t="s">
        <v>807</v>
      </c>
      <c r="AE35" s="724"/>
      <c r="AF35" s="724"/>
      <c r="AG35" s="725" t="s">
        <v>1177</v>
      </c>
      <c r="AH35" s="724"/>
      <c r="AI35" s="725" t="s">
        <v>1177</v>
      </c>
      <c r="AJ35" s="725" t="s">
        <v>677</v>
      </c>
      <c r="AK35" s="724" t="s">
        <v>677</v>
      </c>
      <c r="AL35" s="724"/>
      <c r="AM35" s="724"/>
      <c r="AN35" s="724"/>
      <c r="AO35" s="724"/>
      <c r="AP35" s="724"/>
      <c r="AQ35" s="724"/>
      <c r="AR35" s="726"/>
      <c r="AS35" s="724"/>
      <c r="AT35" s="726"/>
      <c r="AU35" s="724" t="s">
        <v>678</v>
      </c>
      <c r="AV35" s="724" t="s">
        <v>677</v>
      </c>
      <c r="AW35" s="724" t="s">
        <v>676</v>
      </c>
      <c r="AX35" s="724" t="s">
        <v>679</v>
      </c>
      <c r="AY35" s="724"/>
      <c r="AZ35" s="724"/>
      <c r="BA35" s="724" t="s">
        <v>679</v>
      </c>
      <c r="BB35" s="724"/>
      <c r="BC35" s="724"/>
      <c r="BD35" s="724"/>
      <c r="BE35" s="726"/>
      <c r="BF35" s="724" t="s">
        <v>298</v>
      </c>
      <c r="BG35" s="724" t="s">
        <v>680</v>
      </c>
      <c r="BH35" s="724" t="s">
        <v>681</v>
      </c>
      <c r="BI35" s="724"/>
    </row>
    <row r="36" spans="1:61">
      <c r="A36" s="724" t="s">
        <v>1179</v>
      </c>
      <c r="B36" s="724" t="s">
        <v>1228</v>
      </c>
      <c r="C36" s="724" t="s">
        <v>1228</v>
      </c>
      <c r="D36" s="724" t="s">
        <v>724</v>
      </c>
      <c r="E36" s="724" t="s">
        <v>3</v>
      </c>
      <c r="F36" s="725" t="s">
        <v>83</v>
      </c>
      <c r="G36" s="725" t="s">
        <v>700</v>
      </c>
      <c r="H36" s="726">
        <v>154660</v>
      </c>
      <c r="I36" s="726">
        <v>154660</v>
      </c>
      <c r="J36" s="726">
        <v>0</v>
      </c>
      <c r="K36" s="726">
        <v>0</v>
      </c>
      <c r="L36" s="726">
        <v>140600</v>
      </c>
      <c r="M36" s="726">
        <v>0</v>
      </c>
      <c r="N36" s="726">
        <v>0</v>
      </c>
      <c r="O36" s="726">
        <v>14060</v>
      </c>
      <c r="P36" s="726">
        <v>0</v>
      </c>
      <c r="Q36" s="726">
        <v>0</v>
      </c>
      <c r="R36" s="726">
        <v>0</v>
      </c>
      <c r="S36" s="726">
        <v>0</v>
      </c>
      <c r="T36" s="726">
        <v>0</v>
      </c>
      <c r="U36" s="726">
        <v>0</v>
      </c>
      <c r="V36" s="726">
        <v>0</v>
      </c>
      <c r="W36" s="726">
        <v>0</v>
      </c>
      <c r="X36" s="724" t="s">
        <v>674</v>
      </c>
      <c r="Y36" s="724" t="s">
        <v>1226</v>
      </c>
      <c r="Z36" s="724" t="s">
        <v>1226</v>
      </c>
      <c r="AA36" s="724" t="s">
        <v>675</v>
      </c>
      <c r="AB36" s="724" t="s">
        <v>675</v>
      </c>
      <c r="AC36" s="724"/>
      <c r="AD36" s="724"/>
      <c r="AE36" s="724"/>
      <c r="AF36" s="724"/>
      <c r="AG36" s="725" t="s">
        <v>1231</v>
      </c>
      <c r="AH36" s="724"/>
      <c r="AI36" s="725" t="s">
        <v>1231</v>
      </c>
      <c r="AJ36" s="725" t="s">
        <v>945</v>
      </c>
      <c r="AK36" s="724" t="s">
        <v>677</v>
      </c>
      <c r="AL36" s="724"/>
      <c r="AM36" s="724" t="s">
        <v>726</v>
      </c>
      <c r="AN36" s="724" t="s">
        <v>1232</v>
      </c>
      <c r="AO36" s="724" t="s">
        <v>1179</v>
      </c>
      <c r="AP36" s="724" t="s">
        <v>1176</v>
      </c>
      <c r="AQ36" s="724" t="s">
        <v>1184</v>
      </c>
      <c r="AR36" s="726">
        <v>154660</v>
      </c>
      <c r="AS36" s="724" t="s">
        <v>675</v>
      </c>
      <c r="AT36" s="726">
        <v>0</v>
      </c>
      <c r="AU36" s="724" t="s">
        <v>678</v>
      </c>
      <c r="AV36" s="724" t="s">
        <v>677</v>
      </c>
      <c r="AW36" s="724" t="s">
        <v>676</v>
      </c>
      <c r="AX36" s="724" t="s">
        <v>679</v>
      </c>
      <c r="AY36" s="724"/>
      <c r="AZ36" s="724"/>
      <c r="BA36" s="724" t="s">
        <v>679</v>
      </c>
      <c r="BB36" s="724"/>
      <c r="BC36" s="724"/>
      <c r="BD36" s="724"/>
      <c r="BE36" s="726"/>
      <c r="BF36" s="724" t="s">
        <v>298</v>
      </c>
      <c r="BG36" s="724" t="s">
        <v>680</v>
      </c>
      <c r="BH36" s="724" t="s">
        <v>681</v>
      </c>
      <c r="BI36" s="724"/>
    </row>
    <row r="37" spans="1:61">
      <c r="A37" s="724" t="s">
        <v>1204</v>
      </c>
      <c r="B37" s="724" t="s">
        <v>1203</v>
      </c>
      <c r="C37" s="724" t="s">
        <v>1204</v>
      </c>
      <c r="D37" s="724" t="s">
        <v>716</v>
      </c>
      <c r="E37" s="724" t="s">
        <v>3</v>
      </c>
      <c r="F37" s="725" t="s">
        <v>71</v>
      </c>
      <c r="G37" s="725" t="s">
        <v>719</v>
      </c>
      <c r="H37" s="726">
        <v>5500000</v>
      </c>
      <c r="I37" s="726">
        <v>5500000</v>
      </c>
      <c r="J37" s="726">
        <v>0</v>
      </c>
      <c r="K37" s="726">
        <v>0</v>
      </c>
      <c r="L37" s="726">
        <v>5000000</v>
      </c>
      <c r="M37" s="726">
        <v>0</v>
      </c>
      <c r="N37" s="726">
        <v>0</v>
      </c>
      <c r="O37" s="726">
        <v>500000</v>
      </c>
      <c r="P37" s="726">
        <v>0</v>
      </c>
      <c r="Q37" s="726">
        <v>0</v>
      </c>
      <c r="R37" s="726">
        <v>0</v>
      </c>
      <c r="S37" s="726">
        <v>0</v>
      </c>
      <c r="T37" s="726">
        <v>0</v>
      </c>
      <c r="U37" s="726">
        <v>0</v>
      </c>
      <c r="V37" s="726">
        <v>0</v>
      </c>
      <c r="W37" s="726">
        <v>0</v>
      </c>
      <c r="X37" s="724" t="s">
        <v>674</v>
      </c>
      <c r="Y37" s="724" t="s">
        <v>1226</v>
      </c>
      <c r="Z37" s="724" t="s">
        <v>1226</v>
      </c>
      <c r="AA37" s="724" t="s">
        <v>675</v>
      </c>
      <c r="AB37" s="724" t="s">
        <v>675</v>
      </c>
      <c r="AC37" s="724"/>
      <c r="AD37" s="724"/>
      <c r="AE37" s="724"/>
      <c r="AF37" s="724"/>
      <c r="AG37" s="725" t="s">
        <v>1218</v>
      </c>
      <c r="AH37" s="724"/>
      <c r="AI37" s="725" t="s">
        <v>1218</v>
      </c>
      <c r="AJ37" s="725" t="s">
        <v>1219</v>
      </c>
      <c r="AK37" s="724" t="s">
        <v>677</v>
      </c>
      <c r="AL37" s="724"/>
      <c r="AM37" s="724"/>
      <c r="AN37" s="724"/>
      <c r="AO37" s="724"/>
      <c r="AP37" s="724"/>
      <c r="AQ37" s="724"/>
      <c r="AR37" s="726"/>
      <c r="AS37" s="724"/>
      <c r="AT37" s="726"/>
      <c r="AU37" s="724" t="s">
        <v>678</v>
      </c>
      <c r="AV37" s="724" t="s">
        <v>677</v>
      </c>
      <c r="AW37" s="724" t="s">
        <v>676</v>
      </c>
      <c r="AX37" s="724" t="s">
        <v>679</v>
      </c>
      <c r="AY37" s="724"/>
      <c r="AZ37" s="724"/>
      <c r="BA37" s="724" t="s">
        <v>679</v>
      </c>
      <c r="BB37" s="724"/>
      <c r="BC37" s="724"/>
      <c r="BD37" s="724"/>
      <c r="BE37" s="726"/>
      <c r="BF37" s="724" t="s">
        <v>298</v>
      </c>
      <c r="BG37" s="724" t="s">
        <v>680</v>
      </c>
      <c r="BH37" s="724" t="s">
        <v>681</v>
      </c>
      <c r="BI37" s="724"/>
    </row>
    <row r="38" spans="1:61">
      <c r="A38" s="724" t="s">
        <v>1107</v>
      </c>
      <c r="B38" s="724" t="s">
        <v>1203</v>
      </c>
      <c r="C38" s="724" t="s">
        <v>1204</v>
      </c>
      <c r="D38" s="724" t="s">
        <v>724</v>
      </c>
      <c r="E38" s="724" t="s">
        <v>3</v>
      </c>
      <c r="F38" s="725" t="s">
        <v>83</v>
      </c>
      <c r="G38" s="725" t="s">
        <v>829</v>
      </c>
      <c r="H38" s="726">
        <v>73100</v>
      </c>
      <c r="I38" s="726">
        <v>73100</v>
      </c>
      <c r="J38" s="726">
        <v>0</v>
      </c>
      <c r="K38" s="726">
        <v>0</v>
      </c>
      <c r="L38" s="726">
        <v>66455</v>
      </c>
      <c r="M38" s="726">
        <v>0</v>
      </c>
      <c r="N38" s="726">
        <v>0</v>
      </c>
      <c r="O38" s="726">
        <v>6645</v>
      </c>
      <c r="P38" s="726">
        <v>0</v>
      </c>
      <c r="Q38" s="726">
        <v>0</v>
      </c>
      <c r="R38" s="726">
        <v>0</v>
      </c>
      <c r="S38" s="726">
        <v>0</v>
      </c>
      <c r="T38" s="726">
        <v>0</v>
      </c>
      <c r="U38" s="726">
        <v>0</v>
      </c>
      <c r="V38" s="726">
        <v>0</v>
      </c>
      <c r="W38" s="726">
        <v>0</v>
      </c>
      <c r="X38" s="724" t="s">
        <v>674</v>
      </c>
      <c r="Y38" s="724" t="s">
        <v>675</v>
      </c>
      <c r="Z38" s="724" t="s">
        <v>675</v>
      </c>
      <c r="AA38" s="724" t="s">
        <v>675</v>
      </c>
      <c r="AB38" s="724" t="s">
        <v>675</v>
      </c>
      <c r="AC38" s="724"/>
      <c r="AD38" s="724"/>
      <c r="AE38" s="724"/>
      <c r="AF38" s="724"/>
      <c r="AG38" s="725" t="s">
        <v>1220</v>
      </c>
      <c r="AH38" s="724"/>
      <c r="AI38" s="725" t="s">
        <v>1220</v>
      </c>
      <c r="AJ38" s="725" t="s">
        <v>833</v>
      </c>
      <c r="AK38" s="724" t="s">
        <v>677</v>
      </c>
      <c r="AL38" s="724"/>
      <c r="AM38" s="724" t="s">
        <v>726</v>
      </c>
      <c r="AN38" s="724" t="s">
        <v>1221</v>
      </c>
      <c r="AO38" s="724" t="s">
        <v>1107</v>
      </c>
      <c r="AP38" s="724" t="s">
        <v>1222</v>
      </c>
      <c r="AQ38" s="724" t="s">
        <v>1184</v>
      </c>
      <c r="AR38" s="726">
        <v>73100</v>
      </c>
      <c r="AS38" s="724" t="s">
        <v>675</v>
      </c>
      <c r="AT38" s="726">
        <v>0</v>
      </c>
      <c r="AU38" s="724" t="s">
        <v>678</v>
      </c>
      <c r="AV38" s="724" t="s">
        <v>677</v>
      </c>
      <c r="AW38" s="724" t="s">
        <v>676</v>
      </c>
      <c r="AX38" s="724" t="s">
        <v>679</v>
      </c>
      <c r="AY38" s="724"/>
      <c r="AZ38" s="724"/>
      <c r="BA38" s="724" t="s">
        <v>679</v>
      </c>
      <c r="BB38" s="724"/>
      <c r="BC38" s="724"/>
      <c r="BD38" s="724"/>
      <c r="BE38" s="726"/>
      <c r="BF38" s="724" t="s">
        <v>298</v>
      </c>
      <c r="BG38" s="724" t="s">
        <v>680</v>
      </c>
      <c r="BH38" s="724" t="s">
        <v>681</v>
      </c>
      <c r="BI38" s="724"/>
    </row>
    <row r="39" spans="1:61">
      <c r="A39" s="724" t="s">
        <v>1105</v>
      </c>
      <c r="B39" s="724" t="s">
        <v>1105</v>
      </c>
      <c r="C39" s="724" t="s">
        <v>1105</v>
      </c>
      <c r="D39" s="724" t="s">
        <v>673</v>
      </c>
      <c r="E39" s="724" t="s">
        <v>3</v>
      </c>
      <c r="F39" s="725" t="s">
        <v>83</v>
      </c>
      <c r="G39" s="725" t="s">
        <v>700</v>
      </c>
      <c r="H39" s="726">
        <v>60000</v>
      </c>
      <c r="I39" s="726">
        <v>60000</v>
      </c>
      <c r="J39" s="726">
        <v>0</v>
      </c>
      <c r="K39" s="726">
        <v>0</v>
      </c>
      <c r="L39" s="726">
        <v>60000</v>
      </c>
      <c r="M39" s="726">
        <v>0</v>
      </c>
      <c r="N39" s="726">
        <v>0</v>
      </c>
      <c r="O39" s="726">
        <v>0</v>
      </c>
      <c r="P39" s="726">
        <v>0</v>
      </c>
      <c r="Q39" s="726">
        <v>0</v>
      </c>
      <c r="R39" s="726">
        <v>0</v>
      </c>
      <c r="S39" s="726">
        <v>0</v>
      </c>
      <c r="T39" s="726">
        <v>0</v>
      </c>
      <c r="U39" s="726">
        <v>0</v>
      </c>
      <c r="V39" s="726">
        <v>0</v>
      </c>
      <c r="W39" s="726">
        <v>0</v>
      </c>
      <c r="X39" s="724" t="s">
        <v>674</v>
      </c>
      <c r="Y39" s="724" t="s">
        <v>675</v>
      </c>
      <c r="Z39" s="724" t="s">
        <v>675</v>
      </c>
      <c r="AA39" s="724" t="s">
        <v>675</v>
      </c>
      <c r="AB39" s="724" t="s">
        <v>675</v>
      </c>
      <c r="AC39" s="724"/>
      <c r="AD39" s="724"/>
      <c r="AE39" s="724"/>
      <c r="AF39" s="724"/>
      <c r="AG39" s="725" t="s">
        <v>1106</v>
      </c>
      <c r="AH39" s="724"/>
      <c r="AI39" s="725" t="s">
        <v>1106</v>
      </c>
      <c r="AJ39" s="725" t="s">
        <v>677</v>
      </c>
      <c r="AK39" s="724" t="s">
        <v>677</v>
      </c>
      <c r="AL39" s="724"/>
      <c r="AM39" s="724"/>
      <c r="AN39" s="724"/>
      <c r="AO39" s="724"/>
      <c r="AP39" s="724"/>
      <c r="AQ39" s="724"/>
      <c r="AR39" s="726"/>
      <c r="AS39" s="724"/>
      <c r="AT39" s="726"/>
      <c r="AU39" s="724" t="s">
        <v>678</v>
      </c>
      <c r="AV39" s="724" t="s">
        <v>677</v>
      </c>
      <c r="AW39" s="724" t="s">
        <v>676</v>
      </c>
      <c r="AX39" s="724" t="s">
        <v>679</v>
      </c>
      <c r="AY39" s="724"/>
      <c r="AZ39" s="724"/>
      <c r="BA39" s="724" t="s">
        <v>679</v>
      </c>
      <c r="BB39" s="724"/>
      <c r="BC39" s="724"/>
      <c r="BD39" s="724"/>
      <c r="BE39" s="726"/>
      <c r="BF39" s="724" t="s">
        <v>298</v>
      </c>
      <c r="BG39" s="724" t="s">
        <v>680</v>
      </c>
      <c r="BH39" s="724" t="s">
        <v>681</v>
      </c>
      <c r="BI39" s="724"/>
    </row>
    <row r="40" spans="1:61">
      <c r="A40" s="724" t="s">
        <v>1105</v>
      </c>
      <c r="B40" s="724" t="s">
        <v>1105</v>
      </c>
      <c r="C40" s="724" t="s">
        <v>1105</v>
      </c>
      <c r="D40" s="724" t="s">
        <v>673</v>
      </c>
      <c r="E40" s="724" t="s">
        <v>3</v>
      </c>
      <c r="F40" s="725" t="s">
        <v>83</v>
      </c>
      <c r="G40" s="725" t="s">
        <v>700</v>
      </c>
      <c r="H40" s="726">
        <v>60000</v>
      </c>
      <c r="I40" s="726">
        <v>60000</v>
      </c>
      <c r="J40" s="726">
        <v>0</v>
      </c>
      <c r="K40" s="726">
        <v>0</v>
      </c>
      <c r="L40" s="726">
        <v>60000</v>
      </c>
      <c r="M40" s="726">
        <v>0</v>
      </c>
      <c r="N40" s="726">
        <v>0</v>
      </c>
      <c r="O40" s="726">
        <v>0</v>
      </c>
      <c r="P40" s="726">
        <v>0</v>
      </c>
      <c r="Q40" s="726">
        <v>0</v>
      </c>
      <c r="R40" s="726">
        <v>0</v>
      </c>
      <c r="S40" s="726">
        <v>0</v>
      </c>
      <c r="T40" s="726">
        <v>0</v>
      </c>
      <c r="U40" s="726">
        <v>0</v>
      </c>
      <c r="V40" s="726">
        <v>0</v>
      </c>
      <c r="W40" s="726">
        <v>0</v>
      </c>
      <c r="X40" s="724" t="s">
        <v>674</v>
      </c>
      <c r="Y40" s="724" t="s">
        <v>675</v>
      </c>
      <c r="Z40" s="724" t="s">
        <v>675</v>
      </c>
      <c r="AA40" s="724" t="s">
        <v>675</v>
      </c>
      <c r="AB40" s="724" t="s">
        <v>675</v>
      </c>
      <c r="AC40" s="724"/>
      <c r="AD40" s="724"/>
      <c r="AE40" s="724"/>
      <c r="AF40" s="724"/>
      <c r="AG40" s="725" t="s">
        <v>1106</v>
      </c>
      <c r="AH40" s="724"/>
      <c r="AI40" s="725" t="s">
        <v>1106</v>
      </c>
      <c r="AJ40" s="725" t="s">
        <v>677</v>
      </c>
      <c r="AK40" s="724" t="s">
        <v>677</v>
      </c>
      <c r="AL40" s="724"/>
      <c r="AM40" s="724"/>
      <c r="AN40" s="724"/>
      <c r="AO40" s="724"/>
      <c r="AP40" s="724"/>
      <c r="AQ40" s="724"/>
      <c r="AR40" s="726"/>
      <c r="AS40" s="724"/>
      <c r="AT40" s="726"/>
      <c r="AU40" s="724" t="s">
        <v>678</v>
      </c>
      <c r="AV40" s="724" t="s">
        <v>677</v>
      </c>
      <c r="AW40" s="724" t="s">
        <v>676</v>
      </c>
      <c r="AX40" s="724" t="s">
        <v>679</v>
      </c>
      <c r="AY40" s="724"/>
      <c r="AZ40" s="724"/>
      <c r="BA40" s="724" t="s">
        <v>679</v>
      </c>
      <c r="BB40" s="724"/>
      <c r="BC40" s="724"/>
      <c r="BD40" s="724"/>
      <c r="BE40" s="726"/>
      <c r="BF40" s="724" t="s">
        <v>298</v>
      </c>
      <c r="BG40" s="724" t="s">
        <v>680</v>
      </c>
      <c r="BH40" s="724" t="s">
        <v>681</v>
      </c>
      <c r="BI40" s="724"/>
    </row>
    <row r="41" spans="1:61">
      <c r="A41" s="724" t="s">
        <v>1105</v>
      </c>
      <c r="B41" s="724" t="s">
        <v>1105</v>
      </c>
      <c r="C41" s="724" t="s">
        <v>1105</v>
      </c>
      <c r="D41" s="724" t="s">
        <v>673</v>
      </c>
      <c r="E41" s="724" t="s">
        <v>3</v>
      </c>
      <c r="F41" s="725" t="s">
        <v>83</v>
      </c>
      <c r="G41" s="725" t="s">
        <v>700</v>
      </c>
      <c r="H41" s="726">
        <v>60000</v>
      </c>
      <c r="I41" s="726">
        <v>60000</v>
      </c>
      <c r="J41" s="726">
        <v>0</v>
      </c>
      <c r="K41" s="726">
        <v>0</v>
      </c>
      <c r="L41" s="726">
        <v>60000</v>
      </c>
      <c r="M41" s="726">
        <v>0</v>
      </c>
      <c r="N41" s="726">
        <v>0</v>
      </c>
      <c r="O41" s="726">
        <v>0</v>
      </c>
      <c r="P41" s="726">
        <v>0</v>
      </c>
      <c r="Q41" s="726">
        <v>0</v>
      </c>
      <c r="R41" s="726">
        <v>0</v>
      </c>
      <c r="S41" s="726">
        <v>0</v>
      </c>
      <c r="T41" s="726">
        <v>0</v>
      </c>
      <c r="U41" s="726">
        <v>0</v>
      </c>
      <c r="V41" s="726">
        <v>0</v>
      </c>
      <c r="W41" s="726">
        <v>0</v>
      </c>
      <c r="X41" s="724" t="s">
        <v>674</v>
      </c>
      <c r="Y41" s="724" t="s">
        <v>675</v>
      </c>
      <c r="Z41" s="724" t="s">
        <v>675</v>
      </c>
      <c r="AA41" s="724" t="s">
        <v>675</v>
      </c>
      <c r="AB41" s="724" t="s">
        <v>675</v>
      </c>
      <c r="AC41" s="724"/>
      <c r="AD41" s="724"/>
      <c r="AE41" s="724"/>
      <c r="AF41" s="724"/>
      <c r="AG41" s="725" t="s">
        <v>1106</v>
      </c>
      <c r="AH41" s="724"/>
      <c r="AI41" s="725" t="s">
        <v>1106</v>
      </c>
      <c r="AJ41" s="725" t="s">
        <v>677</v>
      </c>
      <c r="AK41" s="724" t="s">
        <v>677</v>
      </c>
      <c r="AL41" s="724"/>
      <c r="AM41" s="724"/>
      <c r="AN41" s="724"/>
      <c r="AO41" s="724"/>
      <c r="AP41" s="724"/>
      <c r="AQ41" s="724"/>
      <c r="AR41" s="726"/>
      <c r="AS41" s="724"/>
      <c r="AT41" s="726"/>
      <c r="AU41" s="724" t="s">
        <v>678</v>
      </c>
      <c r="AV41" s="724" t="s">
        <v>677</v>
      </c>
      <c r="AW41" s="724" t="s">
        <v>676</v>
      </c>
      <c r="AX41" s="724" t="s">
        <v>679</v>
      </c>
      <c r="AY41" s="724"/>
      <c r="AZ41" s="724"/>
      <c r="BA41" s="724" t="s">
        <v>679</v>
      </c>
      <c r="BB41" s="724"/>
      <c r="BC41" s="724"/>
      <c r="BD41" s="724"/>
      <c r="BE41" s="726"/>
      <c r="BF41" s="724" t="s">
        <v>298</v>
      </c>
      <c r="BG41" s="724" t="s">
        <v>680</v>
      </c>
      <c r="BH41" s="724" t="s">
        <v>681</v>
      </c>
      <c r="BI41" s="724"/>
    </row>
    <row r="42" spans="1:61">
      <c r="A42" s="724" t="s">
        <v>1105</v>
      </c>
      <c r="B42" s="724" t="s">
        <v>1105</v>
      </c>
      <c r="C42" s="724" t="s">
        <v>1105</v>
      </c>
      <c r="D42" s="724" t="s">
        <v>673</v>
      </c>
      <c r="E42" s="724" t="s">
        <v>3</v>
      </c>
      <c r="F42" s="725" t="s">
        <v>83</v>
      </c>
      <c r="G42" s="725" t="s">
        <v>700</v>
      </c>
      <c r="H42" s="726">
        <v>60000</v>
      </c>
      <c r="I42" s="726">
        <v>60000</v>
      </c>
      <c r="J42" s="726">
        <v>0</v>
      </c>
      <c r="K42" s="726">
        <v>0</v>
      </c>
      <c r="L42" s="726">
        <v>60000</v>
      </c>
      <c r="M42" s="726">
        <v>0</v>
      </c>
      <c r="N42" s="726">
        <v>0</v>
      </c>
      <c r="O42" s="726">
        <v>0</v>
      </c>
      <c r="P42" s="726">
        <v>0</v>
      </c>
      <c r="Q42" s="726">
        <v>0</v>
      </c>
      <c r="R42" s="726">
        <v>0</v>
      </c>
      <c r="S42" s="726">
        <v>0</v>
      </c>
      <c r="T42" s="726">
        <v>0</v>
      </c>
      <c r="U42" s="726">
        <v>0</v>
      </c>
      <c r="V42" s="726">
        <v>0</v>
      </c>
      <c r="W42" s="726">
        <v>0</v>
      </c>
      <c r="X42" s="724" t="s">
        <v>674</v>
      </c>
      <c r="Y42" s="724" t="s">
        <v>675</v>
      </c>
      <c r="Z42" s="724" t="s">
        <v>675</v>
      </c>
      <c r="AA42" s="724" t="s">
        <v>675</v>
      </c>
      <c r="AB42" s="724" t="s">
        <v>675</v>
      </c>
      <c r="AC42" s="724"/>
      <c r="AD42" s="724"/>
      <c r="AE42" s="724"/>
      <c r="AF42" s="724"/>
      <c r="AG42" s="725" t="s">
        <v>1106</v>
      </c>
      <c r="AH42" s="724"/>
      <c r="AI42" s="725" t="s">
        <v>1106</v>
      </c>
      <c r="AJ42" s="725" t="s">
        <v>677</v>
      </c>
      <c r="AK42" s="724" t="s">
        <v>677</v>
      </c>
      <c r="AL42" s="724"/>
      <c r="AM42" s="724"/>
      <c r="AN42" s="724"/>
      <c r="AO42" s="724"/>
      <c r="AP42" s="724"/>
      <c r="AQ42" s="724"/>
      <c r="AR42" s="726"/>
      <c r="AS42" s="724"/>
      <c r="AT42" s="726"/>
      <c r="AU42" s="724" t="s">
        <v>678</v>
      </c>
      <c r="AV42" s="724" t="s">
        <v>677</v>
      </c>
      <c r="AW42" s="724" t="s">
        <v>676</v>
      </c>
      <c r="AX42" s="724" t="s">
        <v>679</v>
      </c>
      <c r="AY42" s="724"/>
      <c r="AZ42" s="724"/>
      <c r="BA42" s="724" t="s">
        <v>679</v>
      </c>
      <c r="BB42" s="724"/>
      <c r="BC42" s="724"/>
      <c r="BD42" s="724"/>
      <c r="BE42" s="726"/>
      <c r="BF42" s="724" t="s">
        <v>298</v>
      </c>
      <c r="BG42" s="724" t="s">
        <v>680</v>
      </c>
      <c r="BH42" s="724" t="s">
        <v>681</v>
      </c>
      <c r="BI42" s="724"/>
    </row>
    <row r="43" spans="1:61">
      <c r="A43" s="724" t="s">
        <v>1105</v>
      </c>
      <c r="B43" s="724" t="s">
        <v>1105</v>
      </c>
      <c r="C43" s="724" t="s">
        <v>1105</v>
      </c>
      <c r="D43" s="724" t="s">
        <v>673</v>
      </c>
      <c r="E43" s="724" t="s">
        <v>3</v>
      </c>
      <c r="F43" s="725" t="s">
        <v>83</v>
      </c>
      <c r="G43" s="725" t="s">
        <v>700</v>
      </c>
      <c r="H43" s="726">
        <v>150000</v>
      </c>
      <c r="I43" s="726">
        <v>150000</v>
      </c>
      <c r="J43" s="726">
        <v>0</v>
      </c>
      <c r="K43" s="726">
        <v>0</v>
      </c>
      <c r="L43" s="726">
        <v>150000</v>
      </c>
      <c r="M43" s="726">
        <v>0</v>
      </c>
      <c r="N43" s="726">
        <v>0</v>
      </c>
      <c r="O43" s="726">
        <v>0</v>
      </c>
      <c r="P43" s="726">
        <v>0</v>
      </c>
      <c r="Q43" s="726">
        <v>0</v>
      </c>
      <c r="R43" s="726">
        <v>0</v>
      </c>
      <c r="S43" s="726">
        <v>0</v>
      </c>
      <c r="T43" s="726">
        <v>0</v>
      </c>
      <c r="U43" s="726">
        <v>0</v>
      </c>
      <c r="V43" s="726">
        <v>0</v>
      </c>
      <c r="W43" s="726">
        <v>0</v>
      </c>
      <c r="X43" s="724" t="s">
        <v>674</v>
      </c>
      <c r="Y43" s="724" t="s">
        <v>1226</v>
      </c>
      <c r="Z43" s="724" t="s">
        <v>1226</v>
      </c>
      <c r="AA43" s="724" t="s">
        <v>675</v>
      </c>
      <c r="AB43" s="724" t="s">
        <v>675</v>
      </c>
      <c r="AC43" s="724"/>
      <c r="AD43" s="724"/>
      <c r="AE43" s="724"/>
      <c r="AF43" s="724"/>
      <c r="AG43" s="725" t="s">
        <v>1106</v>
      </c>
      <c r="AH43" s="724"/>
      <c r="AI43" s="725" t="s">
        <v>1106</v>
      </c>
      <c r="AJ43" s="725" t="s">
        <v>677</v>
      </c>
      <c r="AK43" s="724" t="s">
        <v>677</v>
      </c>
      <c r="AL43" s="724"/>
      <c r="AM43" s="724"/>
      <c r="AN43" s="724"/>
      <c r="AO43" s="724"/>
      <c r="AP43" s="724"/>
      <c r="AQ43" s="724"/>
      <c r="AR43" s="726"/>
      <c r="AS43" s="724"/>
      <c r="AT43" s="726"/>
      <c r="AU43" s="724" t="s">
        <v>678</v>
      </c>
      <c r="AV43" s="724" t="s">
        <v>677</v>
      </c>
      <c r="AW43" s="724" t="s">
        <v>676</v>
      </c>
      <c r="AX43" s="724" t="s">
        <v>679</v>
      </c>
      <c r="AY43" s="724"/>
      <c r="AZ43" s="724"/>
      <c r="BA43" s="724" t="s">
        <v>679</v>
      </c>
      <c r="BB43" s="724"/>
      <c r="BC43" s="724"/>
      <c r="BD43" s="724"/>
      <c r="BE43" s="726"/>
      <c r="BF43" s="724" t="s">
        <v>298</v>
      </c>
      <c r="BG43" s="724" t="s">
        <v>680</v>
      </c>
      <c r="BH43" s="724" t="s">
        <v>681</v>
      </c>
      <c r="BI43" s="724"/>
    </row>
    <row r="44" spans="1:61">
      <c r="A44" s="724" t="s">
        <v>1105</v>
      </c>
      <c r="B44" s="724" t="s">
        <v>1105</v>
      </c>
      <c r="C44" s="724" t="s">
        <v>1105</v>
      </c>
      <c r="D44" s="724" t="s">
        <v>673</v>
      </c>
      <c r="E44" s="724" t="s">
        <v>3</v>
      </c>
      <c r="F44" s="725" t="s">
        <v>83</v>
      </c>
      <c r="G44" s="725" t="s">
        <v>700</v>
      </c>
      <c r="H44" s="726">
        <v>60000</v>
      </c>
      <c r="I44" s="726">
        <v>60000</v>
      </c>
      <c r="J44" s="726">
        <v>0</v>
      </c>
      <c r="K44" s="726">
        <v>0</v>
      </c>
      <c r="L44" s="726">
        <v>60000</v>
      </c>
      <c r="M44" s="726">
        <v>0</v>
      </c>
      <c r="N44" s="726">
        <v>0</v>
      </c>
      <c r="O44" s="726">
        <v>0</v>
      </c>
      <c r="P44" s="726">
        <v>0</v>
      </c>
      <c r="Q44" s="726">
        <v>0</v>
      </c>
      <c r="R44" s="726">
        <v>0</v>
      </c>
      <c r="S44" s="726">
        <v>0</v>
      </c>
      <c r="T44" s="726">
        <v>0</v>
      </c>
      <c r="U44" s="726">
        <v>0</v>
      </c>
      <c r="V44" s="726">
        <v>0</v>
      </c>
      <c r="W44" s="726">
        <v>0</v>
      </c>
      <c r="X44" s="724" t="s">
        <v>674</v>
      </c>
      <c r="Y44" s="724" t="s">
        <v>675</v>
      </c>
      <c r="Z44" s="724" t="s">
        <v>675</v>
      </c>
      <c r="AA44" s="724" t="s">
        <v>675</v>
      </c>
      <c r="AB44" s="724" t="s">
        <v>675</v>
      </c>
      <c r="AC44" s="724"/>
      <c r="AD44" s="724"/>
      <c r="AE44" s="724"/>
      <c r="AF44" s="724"/>
      <c r="AG44" s="725" t="s">
        <v>1106</v>
      </c>
      <c r="AH44" s="724"/>
      <c r="AI44" s="725" t="s">
        <v>1106</v>
      </c>
      <c r="AJ44" s="725" t="s">
        <v>677</v>
      </c>
      <c r="AK44" s="724" t="s">
        <v>677</v>
      </c>
      <c r="AL44" s="724"/>
      <c r="AM44" s="724"/>
      <c r="AN44" s="724"/>
      <c r="AO44" s="724"/>
      <c r="AP44" s="724"/>
      <c r="AQ44" s="724"/>
      <c r="AR44" s="726"/>
      <c r="AS44" s="724"/>
      <c r="AT44" s="726"/>
      <c r="AU44" s="724" t="s">
        <v>678</v>
      </c>
      <c r="AV44" s="724" t="s">
        <v>677</v>
      </c>
      <c r="AW44" s="724" t="s">
        <v>676</v>
      </c>
      <c r="AX44" s="724" t="s">
        <v>679</v>
      </c>
      <c r="AY44" s="724"/>
      <c r="AZ44" s="724"/>
      <c r="BA44" s="724" t="s">
        <v>679</v>
      </c>
      <c r="BB44" s="724"/>
      <c r="BC44" s="724"/>
      <c r="BD44" s="724"/>
      <c r="BE44" s="726"/>
      <c r="BF44" s="724" t="s">
        <v>298</v>
      </c>
      <c r="BG44" s="724" t="s">
        <v>680</v>
      </c>
      <c r="BH44" s="724" t="s">
        <v>681</v>
      </c>
      <c r="BI44" s="724"/>
    </row>
    <row r="45" spans="1:61">
      <c r="A45" s="724" t="s">
        <v>1105</v>
      </c>
      <c r="B45" s="724" t="s">
        <v>1105</v>
      </c>
      <c r="C45" s="724" t="s">
        <v>1105</v>
      </c>
      <c r="D45" s="724" t="s">
        <v>673</v>
      </c>
      <c r="E45" s="724" t="s">
        <v>3</v>
      </c>
      <c r="F45" s="725" t="s">
        <v>83</v>
      </c>
      <c r="G45" s="725" t="s">
        <v>700</v>
      </c>
      <c r="H45" s="726">
        <v>60000</v>
      </c>
      <c r="I45" s="726">
        <v>60000</v>
      </c>
      <c r="J45" s="726">
        <v>0</v>
      </c>
      <c r="K45" s="726">
        <v>0</v>
      </c>
      <c r="L45" s="726">
        <v>60000</v>
      </c>
      <c r="M45" s="726">
        <v>0</v>
      </c>
      <c r="N45" s="726">
        <v>0</v>
      </c>
      <c r="O45" s="726">
        <v>0</v>
      </c>
      <c r="P45" s="726">
        <v>0</v>
      </c>
      <c r="Q45" s="726">
        <v>0</v>
      </c>
      <c r="R45" s="726">
        <v>0</v>
      </c>
      <c r="S45" s="726">
        <v>0</v>
      </c>
      <c r="T45" s="726">
        <v>0</v>
      </c>
      <c r="U45" s="726">
        <v>0</v>
      </c>
      <c r="V45" s="726">
        <v>0</v>
      </c>
      <c r="W45" s="726">
        <v>0</v>
      </c>
      <c r="X45" s="724" t="s">
        <v>674</v>
      </c>
      <c r="Y45" s="724" t="s">
        <v>675</v>
      </c>
      <c r="Z45" s="724" t="s">
        <v>675</v>
      </c>
      <c r="AA45" s="724" t="s">
        <v>675</v>
      </c>
      <c r="AB45" s="724" t="s">
        <v>675</v>
      </c>
      <c r="AC45" s="724"/>
      <c r="AD45" s="724"/>
      <c r="AE45" s="724"/>
      <c r="AF45" s="724"/>
      <c r="AG45" s="725" t="s">
        <v>1106</v>
      </c>
      <c r="AH45" s="724"/>
      <c r="AI45" s="725" t="s">
        <v>1106</v>
      </c>
      <c r="AJ45" s="725" t="s">
        <v>677</v>
      </c>
      <c r="AK45" s="724" t="s">
        <v>677</v>
      </c>
      <c r="AL45" s="724"/>
      <c r="AM45" s="724"/>
      <c r="AN45" s="724"/>
      <c r="AO45" s="724"/>
      <c r="AP45" s="724"/>
      <c r="AQ45" s="724"/>
      <c r="AR45" s="726"/>
      <c r="AS45" s="724"/>
      <c r="AT45" s="726"/>
      <c r="AU45" s="724" t="s">
        <v>678</v>
      </c>
      <c r="AV45" s="724" t="s">
        <v>677</v>
      </c>
      <c r="AW45" s="724" t="s">
        <v>676</v>
      </c>
      <c r="AX45" s="724" t="s">
        <v>679</v>
      </c>
      <c r="AY45" s="724"/>
      <c r="AZ45" s="724"/>
      <c r="BA45" s="724" t="s">
        <v>679</v>
      </c>
      <c r="BB45" s="724"/>
      <c r="BC45" s="724"/>
      <c r="BD45" s="724"/>
      <c r="BE45" s="726"/>
      <c r="BF45" s="724" t="s">
        <v>298</v>
      </c>
      <c r="BG45" s="724" t="s">
        <v>680</v>
      </c>
      <c r="BH45" s="724" t="s">
        <v>681</v>
      </c>
      <c r="BI45" s="724"/>
    </row>
    <row r="46" spans="1:61">
      <c r="A46" s="724" t="s">
        <v>1105</v>
      </c>
      <c r="B46" s="724" t="s">
        <v>1105</v>
      </c>
      <c r="C46" s="724" t="s">
        <v>1105</v>
      </c>
      <c r="D46" s="724" t="s">
        <v>673</v>
      </c>
      <c r="E46" s="724" t="s">
        <v>3</v>
      </c>
      <c r="F46" s="725" t="s">
        <v>83</v>
      </c>
      <c r="G46" s="725" t="s">
        <v>700</v>
      </c>
      <c r="H46" s="726">
        <v>60000</v>
      </c>
      <c r="I46" s="726">
        <v>60000</v>
      </c>
      <c r="J46" s="726">
        <v>0</v>
      </c>
      <c r="K46" s="726">
        <v>0</v>
      </c>
      <c r="L46" s="726">
        <v>60000</v>
      </c>
      <c r="M46" s="726">
        <v>0</v>
      </c>
      <c r="N46" s="726">
        <v>0</v>
      </c>
      <c r="O46" s="726">
        <v>0</v>
      </c>
      <c r="P46" s="726">
        <v>0</v>
      </c>
      <c r="Q46" s="726">
        <v>0</v>
      </c>
      <c r="R46" s="726">
        <v>0</v>
      </c>
      <c r="S46" s="726">
        <v>0</v>
      </c>
      <c r="T46" s="726">
        <v>0</v>
      </c>
      <c r="U46" s="726">
        <v>0</v>
      </c>
      <c r="V46" s="726">
        <v>0</v>
      </c>
      <c r="W46" s="726">
        <v>0</v>
      </c>
      <c r="X46" s="724" t="s">
        <v>674</v>
      </c>
      <c r="Y46" s="724" t="s">
        <v>675</v>
      </c>
      <c r="Z46" s="724" t="s">
        <v>675</v>
      </c>
      <c r="AA46" s="724" t="s">
        <v>675</v>
      </c>
      <c r="AB46" s="724" t="s">
        <v>675</v>
      </c>
      <c r="AC46" s="724"/>
      <c r="AD46" s="724"/>
      <c r="AE46" s="724"/>
      <c r="AF46" s="724"/>
      <c r="AG46" s="725" t="s">
        <v>1106</v>
      </c>
      <c r="AH46" s="724"/>
      <c r="AI46" s="725" t="s">
        <v>1106</v>
      </c>
      <c r="AJ46" s="725" t="s">
        <v>677</v>
      </c>
      <c r="AK46" s="724" t="s">
        <v>677</v>
      </c>
      <c r="AL46" s="724"/>
      <c r="AM46" s="724"/>
      <c r="AN46" s="724"/>
      <c r="AO46" s="724"/>
      <c r="AP46" s="724"/>
      <c r="AQ46" s="724"/>
      <c r="AR46" s="726"/>
      <c r="AS46" s="724"/>
      <c r="AT46" s="726"/>
      <c r="AU46" s="724" t="s">
        <v>678</v>
      </c>
      <c r="AV46" s="724" t="s">
        <v>677</v>
      </c>
      <c r="AW46" s="724" t="s">
        <v>676</v>
      </c>
      <c r="AX46" s="724" t="s">
        <v>679</v>
      </c>
      <c r="AY46" s="724"/>
      <c r="AZ46" s="724"/>
      <c r="BA46" s="724" t="s">
        <v>679</v>
      </c>
      <c r="BB46" s="724"/>
      <c r="BC46" s="724"/>
      <c r="BD46" s="724"/>
      <c r="BE46" s="726"/>
      <c r="BF46" s="724" t="s">
        <v>298</v>
      </c>
      <c r="BG46" s="724" t="s">
        <v>680</v>
      </c>
      <c r="BH46" s="724" t="s">
        <v>681</v>
      </c>
      <c r="BI46" s="724"/>
    </row>
    <row r="47" spans="1:61">
      <c r="A47" s="724" t="s">
        <v>1105</v>
      </c>
      <c r="B47" s="724" t="s">
        <v>1105</v>
      </c>
      <c r="C47" s="724" t="s">
        <v>1105</v>
      </c>
      <c r="D47" s="724" t="s">
        <v>673</v>
      </c>
      <c r="E47" s="724" t="s">
        <v>3</v>
      </c>
      <c r="F47" s="725" t="s">
        <v>83</v>
      </c>
      <c r="G47" s="725" t="s">
        <v>700</v>
      </c>
      <c r="H47" s="726">
        <v>60000</v>
      </c>
      <c r="I47" s="726">
        <v>60000</v>
      </c>
      <c r="J47" s="726">
        <v>0</v>
      </c>
      <c r="K47" s="726">
        <v>0</v>
      </c>
      <c r="L47" s="726">
        <v>60000</v>
      </c>
      <c r="M47" s="726">
        <v>0</v>
      </c>
      <c r="N47" s="726">
        <v>0</v>
      </c>
      <c r="O47" s="726">
        <v>0</v>
      </c>
      <c r="P47" s="726">
        <v>0</v>
      </c>
      <c r="Q47" s="726">
        <v>0</v>
      </c>
      <c r="R47" s="726">
        <v>0</v>
      </c>
      <c r="S47" s="726">
        <v>0</v>
      </c>
      <c r="T47" s="726">
        <v>0</v>
      </c>
      <c r="U47" s="726">
        <v>0</v>
      </c>
      <c r="V47" s="726">
        <v>0</v>
      </c>
      <c r="W47" s="726">
        <v>0</v>
      </c>
      <c r="X47" s="724" t="s">
        <v>674</v>
      </c>
      <c r="Y47" s="724" t="s">
        <v>675</v>
      </c>
      <c r="Z47" s="724" t="s">
        <v>675</v>
      </c>
      <c r="AA47" s="724" t="s">
        <v>675</v>
      </c>
      <c r="AB47" s="724" t="s">
        <v>675</v>
      </c>
      <c r="AC47" s="724"/>
      <c r="AD47" s="724"/>
      <c r="AE47" s="724"/>
      <c r="AF47" s="724"/>
      <c r="AG47" s="725" t="s">
        <v>1106</v>
      </c>
      <c r="AH47" s="724"/>
      <c r="AI47" s="725" t="s">
        <v>1106</v>
      </c>
      <c r="AJ47" s="725" t="s">
        <v>677</v>
      </c>
      <c r="AK47" s="724" t="s">
        <v>677</v>
      </c>
      <c r="AL47" s="724"/>
      <c r="AM47" s="724"/>
      <c r="AN47" s="724"/>
      <c r="AO47" s="724"/>
      <c r="AP47" s="724"/>
      <c r="AQ47" s="724"/>
      <c r="AR47" s="726"/>
      <c r="AS47" s="724"/>
      <c r="AT47" s="726"/>
      <c r="AU47" s="724" t="s">
        <v>678</v>
      </c>
      <c r="AV47" s="724" t="s">
        <v>677</v>
      </c>
      <c r="AW47" s="724" t="s">
        <v>676</v>
      </c>
      <c r="AX47" s="724" t="s">
        <v>679</v>
      </c>
      <c r="AY47" s="724"/>
      <c r="AZ47" s="724"/>
      <c r="BA47" s="724" t="s">
        <v>679</v>
      </c>
      <c r="BB47" s="724"/>
      <c r="BC47" s="724"/>
      <c r="BD47" s="724"/>
      <c r="BE47" s="726"/>
      <c r="BF47" s="724" t="s">
        <v>298</v>
      </c>
      <c r="BG47" s="724" t="s">
        <v>680</v>
      </c>
      <c r="BH47" s="724" t="s">
        <v>681</v>
      </c>
      <c r="BI47" s="724"/>
    </row>
    <row r="48" spans="1:61">
      <c r="A48" s="724" t="s">
        <v>1105</v>
      </c>
      <c r="B48" s="724" t="s">
        <v>1105</v>
      </c>
      <c r="C48" s="724" t="s">
        <v>1105</v>
      </c>
      <c r="D48" s="724" t="s">
        <v>673</v>
      </c>
      <c r="E48" s="724" t="s">
        <v>3</v>
      </c>
      <c r="F48" s="725" t="s">
        <v>83</v>
      </c>
      <c r="G48" s="725" t="s">
        <v>700</v>
      </c>
      <c r="H48" s="726">
        <v>60000</v>
      </c>
      <c r="I48" s="726">
        <v>60000</v>
      </c>
      <c r="J48" s="726">
        <v>0</v>
      </c>
      <c r="K48" s="726">
        <v>0</v>
      </c>
      <c r="L48" s="726">
        <v>60000</v>
      </c>
      <c r="M48" s="726">
        <v>0</v>
      </c>
      <c r="N48" s="726">
        <v>0</v>
      </c>
      <c r="O48" s="726">
        <v>0</v>
      </c>
      <c r="P48" s="726">
        <v>0</v>
      </c>
      <c r="Q48" s="726">
        <v>0</v>
      </c>
      <c r="R48" s="726">
        <v>0</v>
      </c>
      <c r="S48" s="726">
        <v>0</v>
      </c>
      <c r="T48" s="726">
        <v>0</v>
      </c>
      <c r="U48" s="726">
        <v>0</v>
      </c>
      <c r="V48" s="726">
        <v>0</v>
      </c>
      <c r="W48" s="726">
        <v>0</v>
      </c>
      <c r="X48" s="724" t="s">
        <v>674</v>
      </c>
      <c r="Y48" s="724" t="s">
        <v>675</v>
      </c>
      <c r="Z48" s="724" t="s">
        <v>675</v>
      </c>
      <c r="AA48" s="724" t="s">
        <v>675</v>
      </c>
      <c r="AB48" s="724" t="s">
        <v>675</v>
      </c>
      <c r="AC48" s="724"/>
      <c r="AD48" s="724"/>
      <c r="AE48" s="724"/>
      <c r="AF48" s="724"/>
      <c r="AG48" s="725" t="s">
        <v>1106</v>
      </c>
      <c r="AH48" s="724"/>
      <c r="AI48" s="725" t="s">
        <v>1106</v>
      </c>
      <c r="AJ48" s="725" t="s">
        <v>677</v>
      </c>
      <c r="AK48" s="724" t="s">
        <v>677</v>
      </c>
      <c r="AL48" s="724"/>
      <c r="AM48" s="724"/>
      <c r="AN48" s="724"/>
      <c r="AO48" s="724"/>
      <c r="AP48" s="724"/>
      <c r="AQ48" s="724"/>
      <c r="AR48" s="726"/>
      <c r="AS48" s="724"/>
      <c r="AT48" s="726"/>
      <c r="AU48" s="724" t="s">
        <v>678</v>
      </c>
      <c r="AV48" s="724" t="s">
        <v>677</v>
      </c>
      <c r="AW48" s="724" t="s">
        <v>676</v>
      </c>
      <c r="AX48" s="724" t="s">
        <v>679</v>
      </c>
      <c r="AY48" s="724"/>
      <c r="AZ48" s="724"/>
      <c r="BA48" s="724" t="s">
        <v>679</v>
      </c>
      <c r="BB48" s="724"/>
      <c r="BC48" s="724"/>
      <c r="BD48" s="724"/>
      <c r="BE48" s="726"/>
      <c r="BF48" s="724" t="s">
        <v>298</v>
      </c>
      <c r="BG48" s="724" t="s">
        <v>680</v>
      </c>
      <c r="BH48" s="724" t="s">
        <v>681</v>
      </c>
      <c r="BI48" s="724"/>
    </row>
    <row r="49" spans="1:61">
      <c r="A49" s="724" t="s">
        <v>1105</v>
      </c>
      <c r="B49" s="724" t="s">
        <v>1105</v>
      </c>
      <c r="C49" s="724" t="s">
        <v>1105</v>
      </c>
      <c r="D49" s="724" t="s">
        <v>673</v>
      </c>
      <c r="E49" s="724" t="s">
        <v>3</v>
      </c>
      <c r="F49" s="725" t="s">
        <v>83</v>
      </c>
      <c r="G49" s="725" t="s">
        <v>700</v>
      </c>
      <c r="H49" s="726">
        <v>60000</v>
      </c>
      <c r="I49" s="726">
        <v>60000</v>
      </c>
      <c r="J49" s="726">
        <v>0</v>
      </c>
      <c r="K49" s="726">
        <v>0</v>
      </c>
      <c r="L49" s="726">
        <v>60000</v>
      </c>
      <c r="M49" s="726">
        <v>0</v>
      </c>
      <c r="N49" s="726">
        <v>0</v>
      </c>
      <c r="O49" s="726">
        <v>0</v>
      </c>
      <c r="P49" s="726">
        <v>0</v>
      </c>
      <c r="Q49" s="726">
        <v>0</v>
      </c>
      <c r="R49" s="726">
        <v>0</v>
      </c>
      <c r="S49" s="726">
        <v>0</v>
      </c>
      <c r="T49" s="726">
        <v>0</v>
      </c>
      <c r="U49" s="726">
        <v>0</v>
      </c>
      <c r="V49" s="726">
        <v>0</v>
      </c>
      <c r="W49" s="726">
        <v>0</v>
      </c>
      <c r="X49" s="724" t="s">
        <v>674</v>
      </c>
      <c r="Y49" s="724" t="s">
        <v>675</v>
      </c>
      <c r="Z49" s="724" t="s">
        <v>675</v>
      </c>
      <c r="AA49" s="724" t="s">
        <v>675</v>
      </c>
      <c r="AB49" s="724" t="s">
        <v>675</v>
      </c>
      <c r="AC49" s="724"/>
      <c r="AD49" s="724"/>
      <c r="AE49" s="724"/>
      <c r="AF49" s="724"/>
      <c r="AG49" s="725" t="s">
        <v>1106</v>
      </c>
      <c r="AH49" s="724"/>
      <c r="AI49" s="725" t="s">
        <v>1106</v>
      </c>
      <c r="AJ49" s="725" t="s">
        <v>677</v>
      </c>
      <c r="AK49" s="724" t="s">
        <v>677</v>
      </c>
      <c r="AL49" s="724"/>
      <c r="AM49" s="724"/>
      <c r="AN49" s="724"/>
      <c r="AO49" s="724"/>
      <c r="AP49" s="724"/>
      <c r="AQ49" s="724"/>
      <c r="AR49" s="726"/>
      <c r="AS49" s="724"/>
      <c r="AT49" s="726"/>
      <c r="AU49" s="724" t="s">
        <v>678</v>
      </c>
      <c r="AV49" s="724" t="s">
        <v>677</v>
      </c>
      <c r="AW49" s="724" t="s">
        <v>676</v>
      </c>
      <c r="AX49" s="724" t="s">
        <v>679</v>
      </c>
      <c r="AY49" s="724"/>
      <c r="AZ49" s="724"/>
      <c r="BA49" s="724" t="s">
        <v>679</v>
      </c>
      <c r="BB49" s="724"/>
      <c r="BC49" s="724"/>
      <c r="BD49" s="724"/>
      <c r="BE49" s="726"/>
      <c r="BF49" s="724" t="s">
        <v>298</v>
      </c>
      <c r="BG49" s="724" t="s">
        <v>680</v>
      </c>
      <c r="BH49" s="724" t="s">
        <v>681</v>
      </c>
      <c r="BI49" s="724"/>
    </row>
    <row r="50" spans="1:61">
      <c r="A50" s="724" t="s">
        <v>1105</v>
      </c>
      <c r="B50" s="724" t="s">
        <v>1105</v>
      </c>
      <c r="C50" s="724" t="s">
        <v>1105</v>
      </c>
      <c r="D50" s="724" t="s">
        <v>673</v>
      </c>
      <c r="E50" s="724" t="s">
        <v>3</v>
      </c>
      <c r="F50" s="725" t="s">
        <v>83</v>
      </c>
      <c r="G50" s="725" t="s">
        <v>700</v>
      </c>
      <c r="H50" s="726">
        <v>60000</v>
      </c>
      <c r="I50" s="726">
        <v>60000</v>
      </c>
      <c r="J50" s="726">
        <v>0</v>
      </c>
      <c r="K50" s="726">
        <v>0</v>
      </c>
      <c r="L50" s="726">
        <v>60000</v>
      </c>
      <c r="M50" s="726">
        <v>0</v>
      </c>
      <c r="N50" s="726">
        <v>0</v>
      </c>
      <c r="O50" s="726">
        <v>0</v>
      </c>
      <c r="P50" s="726">
        <v>0</v>
      </c>
      <c r="Q50" s="726">
        <v>0</v>
      </c>
      <c r="R50" s="726">
        <v>0</v>
      </c>
      <c r="S50" s="726">
        <v>0</v>
      </c>
      <c r="T50" s="726">
        <v>0</v>
      </c>
      <c r="U50" s="726">
        <v>0</v>
      </c>
      <c r="V50" s="726">
        <v>0</v>
      </c>
      <c r="W50" s="726">
        <v>0</v>
      </c>
      <c r="X50" s="724" t="s">
        <v>674</v>
      </c>
      <c r="Y50" s="724" t="s">
        <v>675</v>
      </c>
      <c r="Z50" s="724" t="s">
        <v>675</v>
      </c>
      <c r="AA50" s="724" t="s">
        <v>675</v>
      </c>
      <c r="AB50" s="724" t="s">
        <v>675</v>
      </c>
      <c r="AC50" s="724"/>
      <c r="AD50" s="724"/>
      <c r="AE50" s="724"/>
      <c r="AF50" s="724"/>
      <c r="AG50" s="725" t="s">
        <v>1106</v>
      </c>
      <c r="AH50" s="724"/>
      <c r="AI50" s="725" t="s">
        <v>1106</v>
      </c>
      <c r="AJ50" s="725" t="s">
        <v>677</v>
      </c>
      <c r="AK50" s="724" t="s">
        <v>677</v>
      </c>
      <c r="AL50" s="724"/>
      <c r="AM50" s="724"/>
      <c r="AN50" s="724"/>
      <c r="AO50" s="724"/>
      <c r="AP50" s="724"/>
      <c r="AQ50" s="724"/>
      <c r="AR50" s="726"/>
      <c r="AS50" s="724"/>
      <c r="AT50" s="726"/>
      <c r="AU50" s="724" t="s">
        <v>678</v>
      </c>
      <c r="AV50" s="724" t="s">
        <v>677</v>
      </c>
      <c r="AW50" s="724" t="s">
        <v>676</v>
      </c>
      <c r="AX50" s="724" t="s">
        <v>679</v>
      </c>
      <c r="AY50" s="724"/>
      <c r="AZ50" s="724"/>
      <c r="BA50" s="724" t="s">
        <v>679</v>
      </c>
      <c r="BB50" s="724"/>
      <c r="BC50" s="724"/>
      <c r="BD50" s="724"/>
      <c r="BE50" s="726"/>
      <c r="BF50" s="724" t="s">
        <v>298</v>
      </c>
      <c r="BG50" s="724" t="s">
        <v>680</v>
      </c>
      <c r="BH50" s="724" t="s">
        <v>681</v>
      </c>
      <c r="BI50" s="724"/>
    </row>
    <row r="51" spans="1:61">
      <c r="A51" s="724" t="s">
        <v>1105</v>
      </c>
      <c r="B51" s="724" t="s">
        <v>1105</v>
      </c>
      <c r="C51" s="724" t="s">
        <v>1105</v>
      </c>
      <c r="D51" s="724" t="s">
        <v>673</v>
      </c>
      <c r="E51" s="724" t="s">
        <v>3</v>
      </c>
      <c r="F51" s="725" t="s">
        <v>83</v>
      </c>
      <c r="G51" s="725" t="s">
        <v>700</v>
      </c>
      <c r="H51" s="726">
        <v>60000</v>
      </c>
      <c r="I51" s="726">
        <v>60000</v>
      </c>
      <c r="J51" s="726">
        <v>0</v>
      </c>
      <c r="K51" s="726">
        <v>0</v>
      </c>
      <c r="L51" s="726">
        <v>60000</v>
      </c>
      <c r="M51" s="726">
        <v>0</v>
      </c>
      <c r="N51" s="726">
        <v>0</v>
      </c>
      <c r="O51" s="726">
        <v>0</v>
      </c>
      <c r="P51" s="726">
        <v>0</v>
      </c>
      <c r="Q51" s="726">
        <v>0</v>
      </c>
      <c r="R51" s="726">
        <v>0</v>
      </c>
      <c r="S51" s="726">
        <v>0</v>
      </c>
      <c r="T51" s="726">
        <v>0</v>
      </c>
      <c r="U51" s="726">
        <v>0</v>
      </c>
      <c r="V51" s="726">
        <v>0</v>
      </c>
      <c r="W51" s="726">
        <v>0</v>
      </c>
      <c r="X51" s="724" t="s">
        <v>674</v>
      </c>
      <c r="Y51" s="724" t="s">
        <v>675</v>
      </c>
      <c r="Z51" s="724" t="s">
        <v>675</v>
      </c>
      <c r="AA51" s="724" t="s">
        <v>675</v>
      </c>
      <c r="AB51" s="724" t="s">
        <v>675</v>
      </c>
      <c r="AC51" s="724"/>
      <c r="AD51" s="724"/>
      <c r="AE51" s="724"/>
      <c r="AF51" s="724"/>
      <c r="AG51" s="725" t="s">
        <v>1106</v>
      </c>
      <c r="AH51" s="724"/>
      <c r="AI51" s="725" t="s">
        <v>1106</v>
      </c>
      <c r="AJ51" s="725" t="s">
        <v>677</v>
      </c>
      <c r="AK51" s="724" t="s">
        <v>677</v>
      </c>
      <c r="AL51" s="724"/>
      <c r="AM51" s="724"/>
      <c r="AN51" s="724"/>
      <c r="AO51" s="724"/>
      <c r="AP51" s="724"/>
      <c r="AQ51" s="724"/>
      <c r="AR51" s="726"/>
      <c r="AS51" s="724"/>
      <c r="AT51" s="726"/>
      <c r="AU51" s="724" t="s">
        <v>678</v>
      </c>
      <c r="AV51" s="724" t="s">
        <v>677</v>
      </c>
      <c r="AW51" s="724" t="s">
        <v>676</v>
      </c>
      <c r="AX51" s="724" t="s">
        <v>679</v>
      </c>
      <c r="AY51" s="724"/>
      <c r="AZ51" s="724"/>
      <c r="BA51" s="724" t="s">
        <v>679</v>
      </c>
      <c r="BB51" s="724"/>
      <c r="BC51" s="724"/>
      <c r="BD51" s="724"/>
      <c r="BE51" s="726"/>
      <c r="BF51" s="724" t="s">
        <v>298</v>
      </c>
      <c r="BG51" s="724" t="s">
        <v>680</v>
      </c>
      <c r="BH51" s="724" t="s">
        <v>681</v>
      </c>
      <c r="BI51" s="724"/>
    </row>
    <row r="52" spans="1:61">
      <c r="A52" s="724" t="s">
        <v>1105</v>
      </c>
      <c r="B52" s="724" t="s">
        <v>1105</v>
      </c>
      <c r="C52" s="724" t="s">
        <v>1105</v>
      </c>
      <c r="D52" s="724" t="s">
        <v>673</v>
      </c>
      <c r="E52" s="724" t="s">
        <v>3</v>
      </c>
      <c r="F52" s="725" t="s">
        <v>83</v>
      </c>
      <c r="G52" s="725" t="s">
        <v>700</v>
      </c>
      <c r="H52" s="726">
        <v>60000</v>
      </c>
      <c r="I52" s="726">
        <v>60000</v>
      </c>
      <c r="J52" s="726">
        <v>0</v>
      </c>
      <c r="K52" s="726">
        <v>0</v>
      </c>
      <c r="L52" s="726">
        <v>60000</v>
      </c>
      <c r="M52" s="726">
        <v>0</v>
      </c>
      <c r="N52" s="726">
        <v>0</v>
      </c>
      <c r="O52" s="726">
        <v>0</v>
      </c>
      <c r="P52" s="726">
        <v>0</v>
      </c>
      <c r="Q52" s="726">
        <v>0</v>
      </c>
      <c r="R52" s="726">
        <v>0</v>
      </c>
      <c r="S52" s="726">
        <v>0</v>
      </c>
      <c r="T52" s="726">
        <v>0</v>
      </c>
      <c r="U52" s="726">
        <v>0</v>
      </c>
      <c r="V52" s="726">
        <v>0</v>
      </c>
      <c r="W52" s="726">
        <v>0</v>
      </c>
      <c r="X52" s="724" t="s">
        <v>674</v>
      </c>
      <c r="Y52" s="724" t="s">
        <v>675</v>
      </c>
      <c r="Z52" s="724" t="s">
        <v>675</v>
      </c>
      <c r="AA52" s="724" t="s">
        <v>675</v>
      </c>
      <c r="AB52" s="724" t="s">
        <v>675</v>
      </c>
      <c r="AC52" s="724"/>
      <c r="AD52" s="724"/>
      <c r="AE52" s="724"/>
      <c r="AF52" s="724"/>
      <c r="AG52" s="725" t="s">
        <v>1106</v>
      </c>
      <c r="AH52" s="724"/>
      <c r="AI52" s="725" t="s">
        <v>1106</v>
      </c>
      <c r="AJ52" s="725" t="s">
        <v>677</v>
      </c>
      <c r="AK52" s="724" t="s">
        <v>677</v>
      </c>
      <c r="AL52" s="724"/>
      <c r="AM52" s="724"/>
      <c r="AN52" s="724"/>
      <c r="AO52" s="724"/>
      <c r="AP52" s="724"/>
      <c r="AQ52" s="724"/>
      <c r="AR52" s="726"/>
      <c r="AS52" s="724"/>
      <c r="AT52" s="726"/>
      <c r="AU52" s="724" t="s">
        <v>678</v>
      </c>
      <c r="AV52" s="724" t="s">
        <v>677</v>
      </c>
      <c r="AW52" s="724" t="s">
        <v>676</v>
      </c>
      <c r="AX52" s="724" t="s">
        <v>679</v>
      </c>
      <c r="AY52" s="724"/>
      <c r="AZ52" s="724"/>
      <c r="BA52" s="724" t="s">
        <v>679</v>
      </c>
      <c r="BB52" s="724"/>
      <c r="BC52" s="724"/>
      <c r="BD52" s="724"/>
      <c r="BE52" s="726"/>
      <c r="BF52" s="724" t="s">
        <v>298</v>
      </c>
      <c r="BG52" s="724" t="s">
        <v>680</v>
      </c>
      <c r="BH52" s="724" t="s">
        <v>681</v>
      </c>
      <c r="BI52" s="724"/>
    </row>
    <row r="53" spans="1:61">
      <c r="A53" s="724" t="s">
        <v>1105</v>
      </c>
      <c r="B53" s="724" t="s">
        <v>1105</v>
      </c>
      <c r="C53" s="724" t="s">
        <v>1105</v>
      </c>
      <c r="D53" s="724" t="s">
        <v>673</v>
      </c>
      <c r="E53" s="724" t="s">
        <v>3</v>
      </c>
      <c r="F53" s="725" t="s">
        <v>83</v>
      </c>
      <c r="G53" s="725" t="s">
        <v>700</v>
      </c>
      <c r="H53" s="726">
        <v>60000</v>
      </c>
      <c r="I53" s="726">
        <v>60000</v>
      </c>
      <c r="J53" s="726">
        <v>0</v>
      </c>
      <c r="K53" s="726">
        <v>0</v>
      </c>
      <c r="L53" s="726">
        <v>60000</v>
      </c>
      <c r="M53" s="726">
        <v>0</v>
      </c>
      <c r="N53" s="726">
        <v>0</v>
      </c>
      <c r="O53" s="726">
        <v>0</v>
      </c>
      <c r="P53" s="726">
        <v>0</v>
      </c>
      <c r="Q53" s="726">
        <v>0</v>
      </c>
      <c r="R53" s="726">
        <v>0</v>
      </c>
      <c r="S53" s="726">
        <v>0</v>
      </c>
      <c r="T53" s="726">
        <v>0</v>
      </c>
      <c r="U53" s="726">
        <v>0</v>
      </c>
      <c r="V53" s="726">
        <v>0</v>
      </c>
      <c r="W53" s="726">
        <v>0</v>
      </c>
      <c r="X53" s="724" t="s">
        <v>674</v>
      </c>
      <c r="Y53" s="724" t="s">
        <v>675</v>
      </c>
      <c r="Z53" s="724" t="s">
        <v>675</v>
      </c>
      <c r="AA53" s="724" t="s">
        <v>675</v>
      </c>
      <c r="AB53" s="724" t="s">
        <v>675</v>
      </c>
      <c r="AC53" s="724"/>
      <c r="AD53" s="724"/>
      <c r="AE53" s="724"/>
      <c r="AF53" s="724"/>
      <c r="AG53" s="725" t="s">
        <v>1106</v>
      </c>
      <c r="AH53" s="724"/>
      <c r="AI53" s="725" t="s">
        <v>1106</v>
      </c>
      <c r="AJ53" s="725" t="s">
        <v>677</v>
      </c>
      <c r="AK53" s="724" t="s">
        <v>677</v>
      </c>
      <c r="AL53" s="724"/>
      <c r="AM53" s="724"/>
      <c r="AN53" s="724"/>
      <c r="AO53" s="724"/>
      <c r="AP53" s="724"/>
      <c r="AQ53" s="724"/>
      <c r="AR53" s="726"/>
      <c r="AS53" s="724"/>
      <c r="AT53" s="726"/>
      <c r="AU53" s="724" t="s">
        <v>678</v>
      </c>
      <c r="AV53" s="724" t="s">
        <v>677</v>
      </c>
      <c r="AW53" s="724" t="s">
        <v>676</v>
      </c>
      <c r="AX53" s="724" t="s">
        <v>679</v>
      </c>
      <c r="AY53" s="724"/>
      <c r="AZ53" s="724"/>
      <c r="BA53" s="724" t="s">
        <v>679</v>
      </c>
      <c r="BB53" s="724"/>
      <c r="BC53" s="724"/>
      <c r="BD53" s="724"/>
      <c r="BE53" s="726"/>
      <c r="BF53" s="724" t="s">
        <v>298</v>
      </c>
      <c r="BG53" s="724" t="s">
        <v>680</v>
      </c>
      <c r="BH53" s="724" t="s">
        <v>681</v>
      </c>
      <c r="BI53" s="724"/>
    </row>
    <row r="54" spans="1:61">
      <c r="A54" s="724" t="s">
        <v>1105</v>
      </c>
      <c r="B54" s="724" t="s">
        <v>1105</v>
      </c>
      <c r="C54" s="724" t="s">
        <v>1105</v>
      </c>
      <c r="D54" s="724" t="s">
        <v>673</v>
      </c>
      <c r="E54" s="724" t="s">
        <v>3</v>
      </c>
      <c r="F54" s="725" t="s">
        <v>83</v>
      </c>
      <c r="G54" s="725" t="s">
        <v>700</v>
      </c>
      <c r="H54" s="726">
        <v>60000</v>
      </c>
      <c r="I54" s="726">
        <v>60000</v>
      </c>
      <c r="J54" s="726">
        <v>0</v>
      </c>
      <c r="K54" s="726">
        <v>0</v>
      </c>
      <c r="L54" s="726">
        <v>60000</v>
      </c>
      <c r="M54" s="726">
        <v>0</v>
      </c>
      <c r="N54" s="726">
        <v>0</v>
      </c>
      <c r="O54" s="726">
        <v>0</v>
      </c>
      <c r="P54" s="726">
        <v>0</v>
      </c>
      <c r="Q54" s="726">
        <v>0</v>
      </c>
      <c r="R54" s="726">
        <v>0</v>
      </c>
      <c r="S54" s="726">
        <v>0</v>
      </c>
      <c r="T54" s="726">
        <v>0</v>
      </c>
      <c r="U54" s="726">
        <v>0</v>
      </c>
      <c r="V54" s="726">
        <v>0</v>
      </c>
      <c r="W54" s="726">
        <v>0</v>
      </c>
      <c r="X54" s="724" t="s">
        <v>674</v>
      </c>
      <c r="Y54" s="724" t="s">
        <v>675</v>
      </c>
      <c r="Z54" s="724" t="s">
        <v>675</v>
      </c>
      <c r="AA54" s="724" t="s">
        <v>675</v>
      </c>
      <c r="AB54" s="724" t="s">
        <v>675</v>
      </c>
      <c r="AC54" s="724"/>
      <c r="AD54" s="724"/>
      <c r="AE54" s="724"/>
      <c r="AF54" s="724"/>
      <c r="AG54" s="725" t="s">
        <v>1106</v>
      </c>
      <c r="AH54" s="724"/>
      <c r="AI54" s="725" t="s">
        <v>1106</v>
      </c>
      <c r="AJ54" s="725" t="s">
        <v>677</v>
      </c>
      <c r="AK54" s="724" t="s">
        <v>677</v>
      </c>
      <c r="AL54" s="724"/>
      <c r="AM54" s="724"/>
      <c r="AN54" s="724"/>
      <c r="AO54" s="724"/>
      <c r="AP54" s="724"/>
      <c r="AQ54" s="724"/>
      <c r="AR54" s="726"/>
      <c r="AS54" s="724"/>
      <c r="AT54" s="726"/>
      <c r="AU54" s="724" t="s">
        <v>678</v>
      </c>
      <c r="AV54" s="724" t="s">
        <v>677</v>
      </c>
      <c r="AW54" s="724" t="s">
        <v>676</v>
      </c>
      <c r="AX54" s="724" t="s">
        <v>679</v>
      </c>
      <c r="AY54" s="724"/>
      <c r="AZ54" s="724"/>
      <c r="BA54" s="724" t="s">
        <v>679</v>
      </c>
      <c r="BB54" s="724"/>
      <c r="BC54" s="724"/>
      <c r="BD54" s="724"/>
      <c r="BE54" s="726"/>
      <c r="BF54" s="724" t="s">
        <v>298</v>
      </c>
      <c r="BG54" s="724" t="s">
        <v>680</v>
      </c>
      <c r="BH54" s="724" t="s">
        <v>681</v>
      </c>
      <c r="BI54" s="724"/>
    </row>
    <row r="55" spans="1:61">
      <c r="A55" s="724" t="s">
        <v>1105</v>
      </c>
      <c r="B55" s="724" t="s">
        <v>1105</v>
      </c>
      <c r="C55" s="724" t="s">
        <v>1105</v>
      </c>
      <c r="D55" s="724" t="s">
        <v>673</v>
      </c>
      <c r="E55" s="724" t="s">
        <v>3</v>
      </c>
      <c r="F55" s="725" t="s">
        <v>83</v>
      </c>
      <c r="G55" s="725" t="s">
        <v>700</v>
      </c>
      <c r="H55" s="726">
        <v>60000</v>
      </c>
      <c r="I55" s="726">
        <v>60000</v>
      </c>
      <c r="J55" s="726">
        <v>0</v>
      </c>
      <c r="K55" s="726">
        <v>0</v>
      </c>
      <c r="L55" s="726">
        <v>60000</v>
      </c>
      <c r="M55" s="726">
        <v>0</v>
      </c>
      <c r="N55" s="726">
        <v>0</v>
      </c>
      <c r="O55" s="726">
        <v>0</v>
      </c>
      <c r="P55" s="726">
        <v>0</v>
      </c>
      <c r="Q55" s="726">
        <v>0</v>
      </c>
      <c r="R55" s="726">
        <v>0</v>
      </c>
      <c r="S55" s="726">
        <v>0</v>
      </c>
      <c r="T55" s="726">
        <v>0</v>
      </c>
      <c r="U55" s="726">
        <v>0</v>
      </c>
      <c r="V55" s="726">
        <v>0</v>
      </c>
      <c r="W55" s="726">
        <v>0</v>
      </c>
      <c r="X55" s="724" t="s">
        <v>674</v>
      </c>
      <c r="Y55" s="724" t="s">
        <v>675</v>
      </c>
      <c r="Z55" s="724" t="s">
        <v>675</v>
      </c>
      <c r="AA55" s="724" t="s">
        <v>675</v>
      </c>
      <c r="AB55" s="724" t="s">
        <v>675</v>
      </c>
      <c r="AC55" s="724"/>
      <c r="AD55" s="724"/>
      <c r="AE55" s="724"/>
      <c r="AF55" s="724"/>
      <c r="AG55" s="725" t="s">
        <v>1106</v>
      </c>
      <c r="AH55" s="724"/>
      <c r="AI55" s="725" t="s">
        <v>1106</v>
      </c>
      <c r="AJ55" s="725" t="s">
        <v>677</v>
      </c>
      <c r="AK55" s="724" t="s">
        <v>677</v>
      </c>
      <c r="AL55" s="724"/>
      <c r="AM55" s="724"/>
      <c r="AN55" s="724"/>
      <c r="AO55" s="724"/>
      <c r="AP55" s="724"/>
      <c r="AQ55" s="724"/>
      <c r="AR55" s="726"/>
      <c r="AS55" s="724"/>
      <c r="AT55" s="726"/>
      <c r="AU55" s="724" t="s">
        <v>678</v>
      </c>
      <c r="AV55" s="724" t="s">
        <v>677</v>
      </c>
      <c r="AW55" s="724" t="s">
        <v>676</v>
      </c>
      <c r="AX55" s="724" t="s">
        <v>679</v>
      </c>
      <c r="AY55" s="724"/>
      <c r="AZ55" s="724"/>
      <c r="BA55" s="724" t="s">
        <v>679</v>
      </c>
      <c r="BB55" s="724"/>
      <c r="BC55" s="724"/>
      <c r="BD55" s="724"/>
      <c r="BE55" s="726"/>
      <c r="BF55" s="724" t="s">
        <v>298</v>
      </c>
      <c r="BG55" s="724" t="s">
        <v>680</v>
      </c>
      <c r="BH55" s="724" t="s">
        <v>681</v>
      </c>
      <c r="BI55" s="724"/>
    </row>
    <row r="56" spans="1:61">
      <c r="A56" s="724" t="s">
        <v>1105</v>
      </c>
      <c r="B56" s="724" t="s">
        <v>1105</v>
      </c>
      <c r="C56" s="724" t="s">
        <v>1105</v>
      </c>
      <c r="D56" s="724" t="s">
        <v>673</v>
      </c>
      <c r="E56" s="724" t="s">
        <v>3</v>
      </c>
      <c r="F56" s="725" t="s">
        <v>83</v>
      </c>
      <c r="G56" s="725" t="s">
        <v>700</v>
      </c>
      <c r="H56" s="726">
        <v>60000</v>
      </c>
      <c r="I56" s="726">
        <v>60000</v>
      </c>
      <c r="J56" s="726">
        <v>0</v>
      </c>
      <c r="K56" s="726">
        <v>0</v>
      </c>
      <c r="L56" s="726">
        <v>60000</v>
      </c>
      <c r="M56" s="726">
        <v>0</v>
      </c>
      <c r="N56" s="726">
        <v>0</v>
      </c>
      <c r="O56" s="726">
        <v>0</v>
      </c>
      <c r="P56" s="726">
        <v>0</v>
      </c>
      <c r="Q56" s="726">
        <v>0</v>
      </c>
      <c r="R56" s="726">
        <v>0</v>
      </c>
      <c r="S56" s="726">
        <v>0</v>
      </c>
      <c r="T56" s="726">
        <v>0</v>
      </c>
      <c r="U56" s="726">
        <v>0</v>
      </c>
      <c r="V56" s="726">
        <v>0</v>
      </c>
      <c r="W56" s="726">
        <v>0</v>
      </c>
      <c r="X56" s="724" t="s">
        <v>674</v>
      </c>
      <c r="Y56" s="724" t="s">
        <v>675</v>
      </c>
      <c r="Z56" s="724" t="s">
        <v>675</v>
      </c>
      <c r="AA56" s="724" t="s">
        <v>675</v>
      </c>
      <c r="AB56" s="724" t="s">
        <v>675</v>
      </c>
      <c r="AC56" s="724"/>
      <c r="AD56" s="724"/>
      <c r="AE56" s="724"/>
      <c r="AF56" s="724"/>
      <c r="AG56" s="725" t="s">
        <v>1106</v>
      </c>
      <c r="AH56" s="724"/>
      <c r="AI56" s="725" t="s">
        <v>1106</v>
      </c>
      <c r="AJ56" s="725" t="s">
        <v>677</v>
      </c>
      <c r="AK56" s="724" t="s">
        <v>677</v>
      </c>
      <c r="AL56" s="724"/>
      <c r="AM56" s="724"/>
      <c r="AN56" s="724"/>
      <c r="AO56" s="724"/>
      <c r="AP56" s="724"/>
      <c r="AQ56" s="724"/>
      <c r="AR56" s="726"/>
      <c r="AS56" s="724"/>
      <c r="AT56" s="726"/>
      <c r="AU56" s="724" t="s">
        <v>678</v>
      </c>
      <c r="AV56" s="724" t="s">
        <v>677</v>
      </c>
      <c r="AW56" s="724" t="s">
        <v>676</v>
      </c>
      <c r="AX56" s="724" t="s">
        <v>679</v>
      </c>
      <c r="AY56" s="724"/>
      <c r="AZ56" s="724"/>
      <c r="BA56" s="724" t="s">
        <v>679</v>
      </c>
      <c r="BB56" s="724"/>
      <c r="BC56" s="724"/>
      <c r="BD56" s="724"/>
      <c r="BE56" s="726"/>
      <c r="BF56" s="724" t="s">
        <v>298</v>
      </c>
      <c r="BG56" s="724" t="s">
        <v>680</v>
      </c>
      <c r="BH56" s="724" t="s">
        <v>681</v>
      </c>
      <c r="BI56" s="724"/>
    </row>
    <row r="57" spans="1:61">
      <c r="A57" s="724" t="s">
        <v>1105</v>
      </c>
      <c r="B57" s="724" t="s">
        <v>1105</v>
      </c>
      <c r="C57" s="724" t="s">
        <v>1105</v>
      </c>
      <c r="D57" s="724" t="s">
        <v>673</v>
      </c>
      <c r="E57" s="724" t="s">
        <v>3</v>
      </c>
      <c r="F57" s="725" t="s">
        <v>83</v>
      </c>
      <c r="G57" s="725" t="s">
        <v>700</v>
      </c>
      <c r="H57" s="726">
        <v>60000</v>
      </c>
      <c r="I57" s="726">
        <v>60000</v>
      </c>
      <c r="J57" s="726">
        <v>0</v>
      </c>
      <c r="K57" s="726">
        <v>0</v>
      </c>
      <c r="L57" s="726">
        <v>60000</v>
      </c>
      <c r="M57" s="726">
        <v>0</v>
      </c>
      <c r="N57" s="726">
        <v>0</v>
      </c>
      <c r="O57" s="726">
        <v>0</v>
      </c>
      <c r="P57" s="726">
        <v>0</v>
      </c>
      <c r="Q57" s="726">
        <v>0</v>
      </c>
      <c r="R57" s="726">
        <v>0</v>
      </c>
      <c r="S57" s="726">
        <v>0</v>
      </c>
      <c r="T57" s="726">
        <v>0</v>
      </c>
      <c r="U57" s="726">
        <v>0</v>
      </c>
      <c r="V57" s="726">
        <v>0</v>
      </c>
      <c r="W57" s="726">
        <v>0</v>
      </c>
      <c r="X57" s="724" t="s">
        <v>674</v>
      </c>
      <c r="Y57" s="724" t="s">
        <v>675</v>
      </c>
      <c r="Z57" s="724" t="s">
        <v>675</v>
      </c>
      <c r="AA57" s="724" t="s">
        <v>675</v>
      </c>
      <c r="AB57" s="724" t="s">
        <v>675</v>
      </c>
      <c r="AC57" s="724"/>
      <c r="AD57" s="724"/>
      <c r="AE57" s="724"/>
      <c r="AF57" s="724"/>
      <c r="AG57" s="725" t="s">
        <v>1106</v>
      </c>
      <c r="AH57" s="724"/>
      <c r="AI57" s="725" t="s">
        <v>1106</v>
      </c>
      <c r="AJ57" s="725" t="s">
        <v>677</v>
      </c>
      <c r="AK57" s="724" t="s">
        <v>677</v>
      </c>
      <c r="AL57" s="724"/>
      <c r="AM57" s="724"/>
      <c r="AN57" s="724"/>
      <c r="AO57" s="724"/>
      <c r="AP57" s="724"/>
      <c r="AQ57" s="724"/>
      <c r="AR57" s="726"/>
      <c r="AS57" s="724"/>
      <c r="AT57" s="726"/>
      <c r="AU57" s="724" t="s">
        <v>678</v>
      </c>
      <c r="AV57" s="724" t="s">
        <v>677</v>
      </c>
      <c r="AW57" s="724" t="s">
        <v>676</v>
      </c>
      <c r="AX57" s="724" t="s">
        <v>679</v>
      </c>
      <c r="AY57" s="724"/>
      <c r="AZ57" s="724"/>
      <c r="BA57" s="724" t="s">
        <v>679</v>
      </c>
      <c r="BB57" s="724"/>
      <c r="BC57" s="724"/>
      <c r="BD57" s="724"/>
      <c r="BE57" s="726"/>
      <c r="BF57" s="724" t="s">
        <v>298</v>
      </c>
      <c r="BG57" s="724" t="s">
        <v>680</v>
      </c>
      <c r="BH57" s="724" t="s">
        <v>681</v>
      </c>
      <c r="BI57" s="724"/>
    </row>
    <row r="58" spans="1:61">
      <c r="A58" s="724" t="s">
        <v>1105</v>
      </c>
      <c r="B58" s="724" t="s">
        <v>1105</v>
      </c>
      <c r="C58" s="724" t="s">
        <v>1107</v>
      </c>
      <c r="D58" s="724" t="s">
        <v>673</v>
      </c>
      <c r="E58" s="724" t="s">
        <v>3</v>
      </c>
      <c r="F58" s="725" t="s">
        <v>83</v>
      </c>
      <c r="G58" s="725" t="s">
        <v>700</v>
      </c>
      <c r="H58" s="726">
        <v>277200</v>
      </c>
      <c r="I58" s="726">
        <v>277200</v>
      </c>
      <c r="J58" s="726">
        <v>0</v>
      </c>
      <c r="K58" s="726">
        <v>0</v>
      </c>
      <c r="L58" s="726">
        <v>277200</v>
      </c>
      <c r="M58" s="726">
        <v>0</v>
      </c>
      <c r="N58" s="726">
        <v>0</v>
      </c>
      <c r="O58" s="726">
        <v>0</v>
      </c>
      <c r="P58" s="726">
        <v>0</v>
      </c>
      <c r="Q58" s="726">
        <v>0</v>
      </c>
      <c r="R58" s="726">
        <v>0</v>
      </c>
      <c r="S58" s="726">
        <v>0</v>
      </c>
      <c r="T58" s="726">
        <v>0</v>
      </c>
      <c r="U58" s="726">
        <v>0</v>
      </c>
      <c r="V58" s="726">
        <v>0</v>
      </c>
      <c r="W58" s="726">
        <v>0</v>
      </c>
      <c r="X58" s="724" t="s">
        <v>674</v>
      </c>
      <c r="Y58" s="724" t="s">
        <v>1226</v>
      </c>
      <c r="Z58" s="724" t="s">
        <v>1226</v>
      </c>
      <c r="AA58" s="724" t="s">
        <v>675</v>
      </c>
      <c r="AB58" s="724" t="s">
        <v>675</v>
      </c>
      <c r="AC58" s="724"/>
      <c r="AD58" s="724"/>
      <c r="AE58" s="724"/>
      <c r="AF58" s="724"/>
      <c r="AG58" s="725" t="s">
        <v>1108</v>
      </c>
      <c r="AH58" s="724"/>
      <c r="AI58" s="725" t="s">
        <v>1108</v>
      </c>
      <c r="AJ58" s="725" t="s">
        <v>677</v>
      </c>
      <c r="AK58" s="724" t="s">
        <v>677</v>
      </c>
      <c r="AL58" s="724"/>
      <c r="AM58" s="724"/>
      <c r="AN58" s="724"/>
      <c r="AO58" s="724"/>
      <c r="AP58" s="724"/>
      <c r="AQ58" s="724"/>
      <c r="AR58" s="726"/>
      <c r="AS58" s="724"/>
      <c r="AT58" s="726"/>
      <c r="AU58" s="724" t="s">
        <v>678</v>
      </c>
      <c r="AV58" s="724" t="s">
        <v>677</v>
      </c>
      <c r="AW58" s="724" t="s">
        <v>676</v>
      </c>
      <c r="AX58" s="724" t="s">
        <v>679</v>
      </c>
      <c r="AY58" s="724"/>
      <c r="AZ58" s="724"/>
      <c r="BA58" s="724" t="s">
        <v>679</v>
      </c>
      <c r="BB58" s="724"/>
      <c r="BC58" s="724"/>
      <c r="BD58" s="724"/>
      <c r="BE58" s="726"/>
      <c r="BF58" s="724" t="s">
        <v>298</v>
      </c>
      <c r="BG58" s="724" t="s">
        <v>680</v>
      </c>
      <c r="BH58" s="724" t="s">
        <v>681</v>
      </c>
      <c r="BI58" s="724"/>
    </row>
    <row r="59" spans="1:61">
      <c r="A59" s="724" t="s">
        <v>1105</v>
      </c>
      <c r="B59" s="724" t="s">
        <v>1105</v>
      </c>
      <c r="C59" s="724" t="s">
        <v>1107</v>
      </c>
      <c r="D59" s="724" t="s">
        <v>673</v>
      </c>
      <c r="E59" s="724" t="s">
        <v>3</v>
      </c>
      <c r="F59" s="725" t="s">
        <v>83</v>
      </c>
      <c r="G59" s="725" t="s">
        <v>700</v>
      </c>
      <c r="H59" s="726">
        <v>2872800</v>
      </c>
      <c r="I59" s="726">
        <v>2872800</v>
      </c>
      <c r="J59" s="726">
        <v>0</v>
      </c>
      <c r="K59" s="726">
        <v>0</v>
      </c>
      <c r="L59" s="726">
        <v>2872800</v>
      </c>
      <c r="M59" s="726">
        <v>0</v>
      </c>
      <c r="N59" s="726">
        <v>0</v>
      </c>
      <c r="O59" s="726">
        <v>0</v>
      </c>
      <c r="P59" s="726">
        <v>0</v>
      </c>
      <c r="Q59" s="726">
        <v>0</v>
      </c>
      <c r="R59" s="726">
        <v>0</v>
      </c>
      <c r="S59" s="726">
        <v>0</v>
      </c>
      <c r="T59" s="726">
        <v>0</v>
      </c>
      <c r="U59" s="726">
        <v>0</v>
      </c>
      <c r="V59" s="726">
        <v>0</v>
      </c>
      <c r="W59" s="726">
        <v>0</v>
      </c>
      <c r="X59" s="724" t="s">
        <v>674</v>
      </c>
      <c r="Y59" s="724" t="s">
        <v>1226</v>
      </c>
      <c r="Z59" s="724" t="s">
        <v>1226</v>
      </c>
      <c r="AA59" s="724" t="s">
        <v>675</v>
      </c>
      <c r="AB59" s="724" t="s">
        <v>675</v>
      </c>
      <c r="AC59" s="724"/>
      <c r="AD59" s="724"/>
      <c r="AE59" s="724"/>
      <c r="AF59" s="724"/>
      <c r="AG59" s="725" t="s">
        <v>1109</v>
      </c>
      <c r="AH59" s="724"/>
      <c r="AI59" s="725" t="s">
        <v>1109</v>
      </c>
      <c r="AJ59" s="725" t="s">
        <v>677</v>
      </c>
      <c r="AK59" s="724" t="s">
        <v>677</v>
      </c>
      <c r="AL59" s="724"/>
      <c r="AM59" s="724"/>
      <c r="AN59" s="724"/>
      <c r="AO59" s="724"/>
      <c r="AP59" s="724"/>
      <c r="AQ59" s="724"/>
      <c r="AR59" s="726"/>
      <c r="AS59" s="724"/>
      <c r="AT59" s="726"/>
      <c r="AU59" s="724" t="s">
        <v>678</v>
      </c>
      <c r="AV59" s="724" t="s">
        <v>677</v>
      </c>
      <c r="AW59" s="724" t="s">
        <v>676</v>
      </c>
      <c r="AX59" s="724" t="s">
        <v>679</v>
      </c>
      <c r="AY59" s="724"/>
      <c r="AZ59" s="724"/>
      <c r="BA59" s="724" t="s">
        <v>679</v>
      </c>
      <c r="BB59" s="724"/>
      <c r="BC59" s="724"/>
      <c r="BD59" s="724"/>
      <c r="BE59" s="726"/>
      <c r="BF59" s="724" t="s">
        <v>298</v>
      </c>
      <c r="BG59" s="724" t="s">
        <v>680</v>
      </c>
      <c r="BH59" s="724" t="s">
        <v>681</v>
      </c>
      <c r="BI59" s="724"/>
    </row>
    <row r="60" spans="1:61">
      <c r="A60" s="724" t="s">
        <v>1105</v>
      </c>
      <c r="B60" s="724" t="s">
        <v>1105</v>
      </c>
      <c r="C60" s="724" t="s">
        <v>1107</v>
      </c>
      <c r="D60" s="724" t="s">
        <v>673</v>
      </c>
      <c r="E60" s="724" t="s">
        <v>3</v>
      </c>
      <c r="F60" s="725" t="s">
        <v>83</v>
      </c>
      <c r="G60" s="725" t="s">
        <v>700</v>
      </c>
      <c r="H60" s="726">
        <v>150000</v>
      </c>
      <c r="I60" s="726">
        <v>150000</v>
      </c>
      <c r="J60" s="726">
        <v>0</v>
      </c>
      <c r="K60" s="726">
        <v>0</v>
      </c>
      <c r="L60" s="726">
        <v>150000</v>
      </c>
      <c r="M60" s="726">
        <v>0</v>
      </c>
      <c r="N60" s="726">
        <v>0</v>
      </c>
      <c r="O60" s="726">
        <v>0</v>
      </c>
      <c r="P60" s="726">
        <v>0</v>
      </c>
      <c r="Q60" s="726">
        <v>0</v>
      </c>
      <c r="R60" s="726">
        <v>0</v>
      </c>
      <c r="S60" s="726">
        <v>0</v>
      </c>
      <c r="T60" s="726">
        <v>0</v>
      </c>
      <c r="U60" s="726">
        <v>0</v>
      </c>
      <c r="V60" s="726">
        <v>0</v>
      </c>
      <c r="W60" s="726">
        <v>0</v>
      </c>
      <c r="X60" s="724" t="s">
        <v>674</v>
      </c>
      <c r="Y60" s="724" t="s">
        <v>1226</v>
      </c>
      <c r="Z60" s="724" t="s">
        <v>1226</v>
      </c>
      <c r="AA60" s="724" t="s">
        <v>675</v>
      </c>
      <c r="AB60" s="724" t="s">
        <v>675</v>
      </c>
      <c r="AC60" s="724"/>
      <c r="AD60" s="724"/>
      <c r="AE60" s="724"/>
      <c r="AF60" s="724"/>
      <c r="AG60" s="725" t="s">
        <v>1106</v>
      </c>
      <c r="AH60" s="724"/>
      <c r="AI60" s="725" t="s">
        <v>1106</v>
      </c>
      <c r="AJ60" s="725" t="s">
        <v>677</v>
      </c>
      <c r="AK60" s="724" t="s">
        <v>677</v>
      </c>
      <c r="AL60" s="724"/>
      <c r="AM60" s="724"/>
      <c r="AN60" s="724"/>
      <c r="AO60" s="724"/>
      <c r="AP60" s="724"/>
      <c r="AQ60" s="724"/>
      <c r="AR60" s="726"/>
      <c r="AS60" s="724"/>
      <c r="AT60" s="726"/>
      <c r="AU60" s="724" t="s">
        <v>678</v>
      </c>
      <c r="AV60" s="724" t="s">
        <v>677</v>
      </c>
      <c r="AW60" s="724" t="s">
        <v>676</v>
      </c>
      <c r="AX60" s="724" t="s">
        <v>679</v>
      </c>
      <c r="AY60" s="724"/>
      <c r="AZ60" s="724"/>
      <c r="BA60" s="724" t="s">
        <v>679</v>
      </c>
      <c r="BB60" s="724"/>
      <c r="BC60" s="724"/>
      <c r="BD60" s="724"/>
      <c r="BE60" s="726"/>
      <c r="BF60" s="724" t="s">
        <v>298</v>
      </c>
      <c r="BG60" s="724" t="s">
        <v>680</v>
      </c>
      <c r="BH60" s="724" t="s">
        <v>681</v>
      </c>
      <c r="BI60" s="724"/>
    </row>
    <row r="61" spans="1:61">
      <c r="A61" s="724" t="s">
        <v>1105</v>
      </c>
      <c r="B61" s="724" t="s">
        <v>1105</v>
      </c>
      <c r="C61" s="724" t="s">
        <v>1107</v>
      </c>
      <c r="D61" s="724" t="s">
        <v>673</v>
      </c>
      <c r="E61" s="724" t="s">
        <v>3</v>
      </c>
      <c r="F61" s="725" t="s">
        <v>83</v>
      </c>
      <c r="G61" s="725" t="s">
        <v>700</v>
      </c>
      <c r="H61" s="726">
        <v>60000</v>
      </c>
      <c r="I61" s="726">
        <v>60000</v>
      </c>
      <c r="J61" s="726">
        <v>0</v>
      </c>
      <c r="K61" s="726">
        <v>0</v>
      </c>
      <c r="L61" s="726">
        <v>60000</v>
      </c>
      <c r="M61" s="726">
        <v>0</v>
      </c>
      <c r="N61" s="726">
        <v>0</v>
      </c>
      <c r="O61" s="726">
        <v>0</v>
      </c>
      <c r="P61" s="726">
        <v>0</v>
      </c>
      <c r="Q61" s="726">
        <v>0</v>
      </c>
      <c r="R61" s="726">
        <v>0</v>
      </c>
      <c r="S61" s="726">
        <v>0</v>
      </c>
      <c r="T61" s="726">
        <v>0</v>
      </c>
      <c r="U61" s="726">
        <v>0</v>
      </c>
      <c r="V61" s="726">
        <v>0</v>
      </c>
      <c r="W61" s="726">
        <v>0</v>
      </c>
      <c r="X61" s="724" t="s">
        <v>674</v>
      </c>
      <c r="Y61" s="724" t="s">
        <v>675</v>
      </c>
      <c r="Z61" s="724" t="s">
        <v>675</v>
      </c>
      <c r="AA61" s="724" t="s">
        <v>675</v>
      </c>
      <c r="AB61" s="724" t="s">
        <v>675</v>
      </c>
      <c r="AC61" s="724"/>
      <c r="AD61" s="724"/>
      <c r="AE61" s="724"/>
      <c r="AF61" s="724"/>
      <c r="AG61" s="725" t="s">
        <v>1106</v>
      </c>
      <c r="AH61" s="724"/>
      <c r="AI61" s="725" t="s">
        <v>1106</v>
      </c>
      <c r="AJ61" s="725" t="s">
        <v>677</v>
      </c>
      <c r="AK61" s="724" t="s">
        <v>677</v>
      </c>
      <c r="AL61" s="724"/>
      <c r="AM61" s="724"/>
      <c r="AN61" s="724"/>
      <c r="AO61" s="724"/>
      <c r="AP61" s="724"/>
      <c r="AQ61" s="724"/>
      <c r="AR61" s="726"/>
      <c r="AS61" s="724"/>
      <c r="AT61" s="726"/>
      <c r="AU61" s="724" t="s">
        <v>678</v>
      </c>
      <c r="AV61" s="724" t="s">
        <v>677</v>
      </c>
      <c r="AW61" s="724" t="s">
        <v>676</v>
      </c>
      <c r="AX61" s="724" t="s">
        <v>679</v>
      </c>
      <c r="AY61" s="724"/>
      <c r="AZ61" s="724"/>
      <c r="BA61" s="724" t="s">
        <v>679</v>
      </c>
      <c r="BB61" s="724"/>
      <c r="BC61" s="724"/>
      <c r="BD61" s="724"/>
      <c r="BE61" s="726"/>
      <c r="BF61" s="724" t="s">
        <v>298</v>
      </c>
      <c r="BG61" s="724" t="s">
        <v>680</v>
      </c>
      <c r="BH61" s="724" t="s">
        <v>681</v>
      </c>
      <c r="BI61" s="724"/>
    </row>
    <row r="62" spans="1:61">
      <c r="A62" s="724" t="s">
        <v>1105</v>
      </c>
      <c r="B62" s="724" t="s">
        <v>1105</v>
      </c>
      <c r="C62" s="724" t="s">
        <v>1107</v>
      </c>
      <c r="D62" s="724" t="s">
        <v>673</v>
      </c>
      <c r="E62" s="724" t="s">
        <v>3</v>
      </c>
      <c r="F62" s="725" t="s">
        <v>83</v>
      </c>
      <c r="G62" s="725" t="s">
        <v>700</v>
      </c>
      <c r="H62" s="726">
        <v>60000</v>
      </c>
      <c r="I62" s="726">
        <v>60000</v>
      </c>
      <c r="J62" s="726">
        <v>0</v>
      </c>
      <c r="K62" s="726">
        <v>0</v>
      </c>
      <c r="L62" s="726">
        <v>60000</v>
      </c>
      <c r="M62" s="726">
        <v>0</v>
      </c>
      <c r="N62" s="726">
        <v>0</v>
      </c>
      <c r="O62" s="726">
        <v>0</v>
      </c>
      <c r="P62" s="726">
        <v>0</v>
      </c>
      <c r="Q62" s="726">
        <v>0</v>
      </c>
      <c r="R62" s="726">
        <v>0</v>
      </c>
      <c r="S62" s="726">
        <v>0</v>
      </c>
      <c r="T62" s="726">
        <v>0</v>
      </c>
      <c r="U62" s="726">
        <v>0</v>
      </c>
      <c r="V62" s="726">
        <v>0</v>
      </c>
      <c r="W62" s="726">
        <v>0</v>
      </c>
      <c r="X62" s="724" t="s">
        <v>674</v>
      </c>
      <c r="Y62" s="724" t="s">
        <v>675</v>
      </c>
      <c r="Z62" s="724" t="s">
        <v>675</v>
      </c>
      <c r="AA62" s="724" t="s">
        <v>675</v>
      </c>
      <c r="AB62" s="724" t="s">
        <v>675</v>
      </c>
      <c r="AC62" s="724"/>
      <c r="AD62" s="724"/>
      <c r="AE62" s="724"/>
      <c r="AF62" s="724"/>
      <c r="AG62" s="725" t="s">
        <v>1106</v>
      </c>
      <c r="AH62" s="724"/>
      <c r="AI62" s="725" t="s">
        <v>1106</v>
      </c>
      <c r="AJ62" s="725" t="s">
        <v>677</v>
      </c>
      <c r="AK62" s="724" t="s">
        <v>677</v>
      </c>
      <c r="AL62" s="724"/>
      <c r="AM62" s="724"/>
      <c r="AN62" s="724"/>
      <c r="AO62" s="724"/>
      <c r="AP62" s="724"/>
      <c r="AQ62" s="724"/>
      <c r="AR62" s="726"/>
      <c r="AS62" s="724"/>
      <c r="AT62" s="726"/>
      <c r="AU62" s="724" t="s">
        <v>678</v>
      </c>
      <c r="AV62" s="724" t="s">
        <v>677</v>
      </c>
      <c r="AW62" s="724" t="s">
        <v>676</v>
      </c>
      <c r="AX62" s="724" t="s">
        <v>679</v>
      </c>
      <c r="AY62" s="724"/>
      <c r="AZ62" s="724"/>
      <c r="BA62" s="724" t="s">
        <v>679</v>
      </c>
      <c r="BB62" s="724"/>
      <c r="BC62" s="724"/>
      <c r="BD62" s="724"/>
      <c r="BE62" s="726"/>
      <c r="BF62" s="724" t="s">
        <v>298</v>
      </c>
      <c r="BG62" s="724" t="s">
        <v>680</v>
      </c>
      <c r="BH62" s="724" t="s">
        <v>681</v>
      </c>
      <c r="BI62" s="724"/>
    </row>
    <row r="63" spans="1:61">
      <c r="A63" s="724" t="s">
        <v>1105</v>
      </c>
      <c r="B63" s="724" t="s">
        <v>1105</v>
      </c>
      <c r="C63" s="724" t="s">
        <v>1107</v>
      </c>
      <c r="D63" s="724" t="s">
        <v>673</v>
      </c>
      <c r="E63" s="724" t="s">
        <v>3</v>
      </c>
      <c r="F63" s="725" t="s">
        <v>83</v>
      </c>
      <c r="G63" s="725" t="s">
        <v>700</v>
      </c>
      <c r="H63" s="726">
        <v>60000</v>
      </c>
      <c r="I63" s="726">
        <v>60000</v>
      </c>
      <c r="J63" s="726">
        <v>0</v>
      </c>
      <c r="K63" s="726">
        <v>0</v>
      </c>
      <c r="L63" s="726">
        <v>60000</v>
      </c>
      <c r="M63" s="726">
        <v>0</v>
      </c>
      <c r="N63" s="726">
        <v>0</v>
      </c>
      <c r="O63" s="726">
        <v>0</v>
      </c>
      <c r="P63" s="726">
        <v>0</v>
      </c>
      <c r="Q63" s="726">
        <v>0</v>
      </c>
      <c r="R63" s="726">
        <v>0</v>
      </c>
      <c r="S63" s="726">
        <v>0</v>
      </c>
      <c r="T63" s="726">
        <v>0</v>
      </c>
      <c r="U63" s="726">
        <v>0</v>
      </c>
      <c r="V63" s="726">
        <v>0</v>
      </c>
      <c r="W63" s="726">
        <v>0</v>
      </c>
      <c r="X63" s="724" t="s">
        <v>674</v>
      </c>
      <c r="Y63" s="724" t="s">
        <v>675</v>
      </c>
      <c r="Z63" s="724" t="s">
        <v>675</v>
      </c>
      <c r="AA63" s="724" t="s">
        <v>675</v>
      </c>
      <c r="AB63" s="724" t="s">
        <v>675</v>
      </c>
      <c r="AC63" s="724"/>
      <c r="AD63" s="724"/>
      <c r="AE63" s="724"/>
      <c r="AF63" s="724"/>
      <c r="AG63" s="725" t="s">
        <v>1106</v>
      </c>
      <c r="AH63" s="724"/>
      <c r="AI63" s="725" t="s">
        <v>1106</v>
      </c>
      <c r="AJ63" s="725" t="s">
        <v>677</v>
      </c>
      <c r="AK63" s="724" t="s">
        <v>677</v>
      </c>
      <c r="AL63" s="724"/>
      <c r="AM63" s="724"/>
      <c r="AN63" s="724"/>
      <c r="AO63" s="724"/>
      <c r="AP63" s="724"/>
      <c r="AQ63" s="724"/>
      <c r="AR63" s="726"/>
      <c r="AS63" s="724"/>
      <c r="AT63" s="726"/>
      <c r="AU63" s="724" t="s">
        <v>678</v>
      </c>
      <c r="AV63" s="724" t="s">
        <v>677</v>
      </c>
      <c r="AW63" s="724" t="s">
        <v>676</v>
      </c>
      <c r="AX63" s="724" t="s">
        <v>679</v>
      </c>
      <c r="AY63" s="724"/>
      <c r="AZ63" s="724"/>
      <c r="BA63" s="724" t="s">
        <v>679</v>
      </c>
      <c r="BB63" s="724"/>
      <c r="BC63" s="724"/>
      <c r="BD63" s="724"/>
      <c r="BE63" s="726"/>
      <c r="BF63" s="724" t="s">
        <v>298</v>
      </c>
      <c r="BG63" s="724" t="s">
        <v>680</v>
      </c>
      <c r="BH63" s="724" t="s">
        <v>681</v>
      </c>
      <c r="BI63" s="724"/>
    </row>
    <row r="64" spans="1:61">
      <c r="A64" s="724" t="s">
        <v>1105</v>
      </c>
      <c r="B64" s="724" t="s">
        <v>1105</v>
      </c>
      <c r="C64" s="724" t="s">
        <v>1107</v>
      </c>
      <c r="D64" s="724" t="s">
        <v>673</v>
      </c>
      <c r="E64" s="724" t="s">
        <v>3</v>
      </c>
      <c r="F64" s="725" t="s">
        <v>83</v>
      </c>
      <c r="G64" s="725" t="s">
        <v>700</v>
      </c>
      <c r="H64" s="726">
        <v>60000</v>
      </c>
      <c r="I64" s="726">
        <v>60000</v>
      </c>
      <c r="J64" s="726">
        <v>0</v>
      </c>
      <c r="K64" s="726">
        <v>0</v>
      </c>
      <c r="L64" s="726">
        <v>60000</v>
      </c>
      <c r="M64" s="726">
        <v>0</v>
      </c>
      <c r="N64" s="726">
        <v>0</v>
      </c>
      <c r="O64" s="726">
        <v>0</v>
      </c>
      <c r="P64" s="726">
        <v>0</v>
      </c>
      <c r="Q64" s="726">
        <v>0</v>
      </c>
      <c r="R64" s="726">
        <v>0</v>
      </c>
      <c r="S64" s="726">
        <v>0</v>
      </c>
      <c r="T64" s="726">
        <v>0</v>
      </c>
      <c r="U64" s="726">
        <v>0</v>
      </c>
      <c r="V64" s="726">
        <v>0</v>
      </c>
      <c r="W64" s="726">
        <v>0</v>
      </c>
      <c r="X64" s="724" t="s">
        <v>674</v>
      </c>
      <c r="Y64" s="724" t="s">
        <v>675</v>
      </c>
      <c r="Z64" s="724" t="s">
        <v>675</v>
      </c>
      <c r="AA64" s="724" t="s">
        <v>675</v>
      </c>
      <c r="AB64" s="724" t="s">
        <v>675</v>
      </c>
      <c r="AC64" s="724"/>
      <c r="AD64" s="724"/>
      <c r="AE64" s="724"/>
      <c r="AF64" s="724"/>
      <c r="AG64" s="725" t="s">
        <v>1106</v>
      </c>
      <c r="AH64" s="724"/>
      <c r="AI64" s="725" t="s">
        <v>1106</v>
      </c>
      <c r="AJ64" s="725" t="s">
        <v>677</v>
      </c>
      <c r="AK64" s="724" t="s">
        <v>677</v>
      </c>
      <c r="AL64" s="724"/>
      <c r="AM64" s="724"/>
      <c r="AN64" s="724"/>
      <c r="AO64" s="724"/>
      <c r="AP64" s="724"/>
      <c r="AQ64" s="724"/>
      <c r="AR64" s="726"/>
      <c r="AS64" s="724"/>
      <c r="AT64" s="726"/>
      <c r="AU64" s="724" t="s">
        <v>678</v>
      </c>
      <c r="AV64" s="724" t="s">
        <v>677</v>
      </c>
      <c r="AW64" s="724" t="s">
        <v>676</v>
      </c>
      <c r="AX64" s="724" t="s">
        <v>679</v>
      </c>
      <c r="AY64" s="724"/>
      <c r="AZ64" s="724"/>
      <c r="BA64" s="724" t="s">
        <v>679</v>
      </c>
      <c r="BB64" s="724"/>
      <c r="BC64" s="724"/>
      <c r="BD64" s="724"/>
      <c r="BE64" s="726"/>
      <c r="BF64" s="724" t="s">
        <v>298</v>
      </c>
      <c r="BG64" s="724" t="s">
        <v>680</v>
      </c>
      <c r="BH64" s="724" t="s">
        <v>681</v>
      </c>
      <c r="BI64" s="724"/>
    </row>
    <row r="65" spans="1:61">
      <c r="A65" s="724" t="s">
        <v>1105</v>
      </c>
      <c r="B65" s="724" t="s">
        <v>1105</v>
      </c>
      <c r="C65" s="724" t="s">
        <v>1107</v>
      </c>
      <c r="D65" s="724" t="s">
        <v>673</v>
      </c>
      <c r="E65" s="724" t="s">
        <v>3</v>
      </c>
      <c r="F65" s="725" t="s">
        <v>83</v>
      </c>
      <c r="G65" s="725" t="s">
        <v>700</v>
      </c>
      <c r="H65" s="726">
        <v>60000</v>
      </c>
      <c r="I65" s="726">
        <v>60000</v>
      </c>
      <c r="J65" s="726">
        <v>0</v>
      </c>
      <c r="K65" s="726">
        <v>0</v>
      </c>
      <c r="L65" s="726">
        <v>60000</v>
      </c>
      <c r="M65" s="726">
        <v>0</v>
      </c>
      <c r="N65" s="726">
        <v>0</v>
      </c>
      <c r="O65" s="726">
        <v>0</v>
      </c>
      <c r="P65" s="726">
        <v>0</v>
      </c>
      <c r="Q65" s="726">
        <v>0</v>
      </c>
      <c r="R65" s="726">
        <v>0</v>
      </c>
      <c r="S65" s="726">
        <v>0</v>
      </c>
      <c r="T65" s="726">
        <v>0</v>
      </c>
      <c r="U65" s="726">
        <v>0</v>
      </c>
      <c r="V65" s="726">
        <v>0</v>
      </c>
      <c r="W65" s="726">
        <v>0</v>
      </c>
      <c r="X65" s="724" t="s">
        <v>674</v>
      </c>
      <c r="Y65" s="724" t="s">
        <v>675</v>
      </c>
      <c r="Z65" s="724" t="s">
        <v>675</v>
      </c>
      <c r="AA65" s="724" t="s">
        <v>675</v>
      </c>
      <c r="AB65" s="724" t="s">
        <v>675</v>
      </c>
      <c r="AC65" s="724"/>
      <c r="AD65" s="724"/>
      <c r="AE65" s="724"/>
      <c r="AF65" s="724"/>
      <c r="AG65" s="725" t="s">
        <v>1106</v>
      </c>
      <c r="AH65" s="724"/>
      <c r="AI65" s="725" t="s">
        <v>1106</v>
      </c>
      <c r="AJ65" s="725" t="s">
        <v>677</v>
      </c>
      <c r="AK65" s="724" t="s">
        <v>677</v>
      </c>
      <c r="AL65" s="724"/>
      <c r="AM65" s="724"/>
      <c r="AN65" s="724"/>
      <c r="AO65" s="724"/>
      <c r="AP65" s="724"/>
      <c r="AQ65" s="724"/>
      <c r="AR65" s="726"/>
      <c r="AS65" s="724"/>
      <c r="AT65" s="726"/>
      <c r="AU65" s="724" t="s">
        <v>678</v>
      </c>
      <c r="AV65" s="724" t="s">
        <v>677</v>
      </c>
      <c r="AW65" s="724" t="s">
        <v>676</v>
      </c>
      <c r="AX65" s="724" t="s">
        <v>679</v>
      </c>
      <c r="AY65" s="724"/>
      <c r="AZ65" s="724"/>
      <c r="BA65" s="724" t="s">
        <v>679</v>
      </c>
      <c r="BB65" s="724"/>
      <c r="BC65" s="724"/>
      <c r="BD65" s="724"/>
      <c r="BE65" s="726"/>
      <c r="BF65" s="724" t="s">
        <v>298</v>
      </c>
      <c r="BG65" s="724" t="s">
        <v>680</v>
      </c>
      <c r="BH65" s="724" t="s">
        <v>681</v>
      </c>
      <c r="BI65" s="724"/>
    </row>
    <row r="66" spans="1:61">
      <c r="A66" s="724" t="s">
        <v>1105</v>
      </c>
      <c r="B66" s="724" t="s">
        <v>1105</v>
      </c>
      <c r="C66" s="724" t="s">
        <v>1107</v>
      </c>
      <c r="D66" s="724" t="s">
        <v>673</v>
      </c>
      <c r="E66" s="724" t="s">
        <v>3</v>
      </c>
      <c r="F66" s="725" t="s">
        <v>83</v>
      </c>
      <c r="G66" s="725" t="s">
        <v>700</v>
      </c>
      <c r="H66" s="726">
        <v>60000</v>
      </c>
      <c r="I66" s="726">
        <v>60000</v>
      </c>
      <c r="J66" s="726">
        <v>0</v>
      </c>
      <c r="K66" s="726">
        <v>0</v>
      </c>
      <c r="L66" s="726">
        <v>60000</v>
      </c>
      <c r="M66" s="726">
        <v>0</v>
      </c>
      <c r="N66" s="726">
        <v>0</v>
      </c>
      <c r="O66" s="726">
        <v>0</v>
      </c>
      <c r="P66" s="726">
        <v>0</v>
      </c>
      <c r="Q66" s="726">
        <v>0</v>
      </c>
      <c r="R66" s="726">
        <v>0</v>
      </c>
      <c r="S66" s="726">
        <v>0</v>
      </c>
      <c r="T66" s="726">
        <v>0</v>
      </c>
      <c r="U66" s="726">
        <v>0</v>
      </c>
      <c r="V66" s="726">
        <v>0</v>
      </c>
      <c r="W66" s="726">
        <v>0</v>
      </c>
      <c r="X66" s="724" t="s">
        <v>674</v>
      </c>
      <c r="Y66" s="724" t="s">
        <v>675</v>
      </c>
      <c r="Z66" s="724" t="s">
        <v>675</v>
      </c>
      <c r="AA66" s="724" t="s">
        <v>675</v>
      </c>
      <c r="AB66" s="724" t="s">
        <v>675</v>
      </c>
      <c r="AC66" s="724"/>
      <c r="AD66" s="724"/>
      <c r="AE66" s="724"/>
      <c r="AF66" s="724"/>
      <c r="AG66" s="725" t="s">
        <v>1106</v>
      </c>
      <c r="AH66" s="724"/>
      <c r="AI66" s="725" t="s">
        <v>1106</v>
      </c>
      <c r="AJ66" s="725" t="s">
        <v>677</v>
      </c>
      <c r="AK66" s="724" t="s">
        <v>677</v>
      </c>
      <c r="AL66" s="724"/>
      <c r="AM66" s="724"/>
      <c r="AN66" s="724"/>
      <c r="AO66" s="724"/>
      <c r="AP66" s="724"/>
      <c r="AQ66" s="724"/>
      <c r="AR66" s="726"/>
      <c r="AS66" s="724"/>
      <c r="AT66" s="726"/>
      <c r="AU66" s="724" t="s">
        <v>678</v>
      </c>
      <c r="AV66" s="724" t="s">
        <v>677</v>
      </c>
      <c r="AW66" s="724" t="s">
        <v>676</v>
      </c>
      <c r="AX66" s="724" t="s">
        <v>679</v>
      </c>
      <c r="AY66" s="724"/>
      <c r="AZ66" s="724"/>
      <c r="BA66" s="724" t="s">
        <v>679</v>
      </c>
      <c r="BB66" s="724"/>
      <c r="BC66" s="724"/>
      <c r="BD66" s="724"/>
      <c r="BE66" s="726"/>
      <c r="BF66" s="724" t="s">
        <v>298</v>
      </c>
      <c r="BG66" s="724" t="s">
        <v>680</v>
      </c>
      <c r="BH66" s="724" t="s">
        <v>681</v>
      </c>
      <c r="BI66" s="724"/>
    </row>
    <row r="67" spans="1:61">
      <c r="A67" s="724" t="s">
        <v>1105</v>
      </c>
      <c r="B67" s="724" t="s">
        <v>1105</v>
      </c>
      <c r="C67" s="724" t="s">
        <v>1107</v>
      </c>
      <c r="D67" s="724" t="s">
        <v>673</v>
      </c>
      <c r="E67" s="724" t="s">
        <v>3</v>
      </c>
      <c r="F67" s="725" t="s">
        <v>83</v>
      </c>
      <c r="G67" s="725" t="s">
        <v>700</v>
      </c>
      <c r="H67" s="726">
        <v>60000</v>
      </c>
      <c r="I67" s="726">
        <v>60000</v>
      </c>
      <c r="J67" s="726">
        <v>0</v>
      </c>
      <c r="K67" s="726">
        <v>0</v>
      </c>
      <c r="L67" s="726">
        <v>60000</v>
      </c>
      <c r="M67" s="726">
        <v>0</v>
      </c>
      <c r="N67" s="726">
        <v>0</v>
      </c>
      <c r="O67" s="726">
        <v>0</v>
      </c>
      <c r="P67" s="726">
        <v>0</v>
      </c>
      <c r="Q67" s="726">
        <v>0</v>
      </c>
      <c r="R67" s="726">
        <v>0</v>
      </c>
      <c r="S67" s="726">
        <v>0</v>
      </c>
      <c r="T67" s="726">
        <v>0</v>
      </c>
      <c r="U67" s="726">
        <v>0</v>
      </c>
      <c r="V67" s="726">
        <v>0</v>
      </c>
      <c r="W67" s="726">
        <v>0</v>
      </c>
      <c r="X67" s="724" t="s">
        <v>674</v>
      </c>
      <c r="Y67" s="724" t="s">
        <v>675</v>
      </c>
      <c r="Z67" s="724" t="s">
        <v>675</v>
      </c>
      <c r="AA67" s="724" t="s">
        <v>675</v>
      </c>
      <c r="AB67" s="724" t="s">
        <v>675</v>
      </c>
      <c r="AC67" s="724"/>
      <c r="AD67" s="724"/>
      <c r="AE67" s="724"/>
      <c r="AF67" s="724"/>
      <c r="AG67" s="725" t="s">
        <v>1106</v>
      </c>
      <c r="AH67" s="724"/>
      <c r="AI67" s="725" t="s">
        <v>1106</v>
      </c>
      <c r="AJ67" s="725" t="s">
        <v>677</v>
      </c>
      <c r="AK67" s="724" t="s">
        <v>677</v>
      </c>
      <c r="AL67" s="724"/>
      <c r="AM67" s="724"/>
      <c r="AN67" s="724"/>
      <c r="AO67" s="724"/>
      <c r="AP67" s="724"/>
      <c r="AQ67" s="724"/>
      <c r="AR67" s="726"/>
      <c r="AS67" s="724"/>
      <c r="AT67" s="726"/>
      <c r="AU67" s="724" t="s">
        <v>678</v>
      </c>
      <c r="AV67" s="724" t="s">
        <v>677</v>
      </c>
      <c r="AW67" s="724" t="s">
        <v>676</v>
      </c>
      <c r="AX67" s="724" t="s">
        <v>679</v>
      </c>
      <c r="AY67" s="724"/>
      <c r="AZ67" s="724"/>
      <c r="BA67" s="724" t="s">
        <v>679</v>
      </c>
      <c r="BB67" s="724"/>
      <c r="BC67" s="724"/>
      <c r="BD67" s="724"/>
      <c r="BE67" s="726"/>
      <c r="BF67" s="724" t="s">
        <v>298</v>
      </c>
      <c r="BG67" s="724" t="s">
        <v>680</v>
      </c>
      <c r="BH67" s="724" t="s">
        <v>681</v>
      </c>
      <c r="BI67" s="724"/>
    </row>
    <row r="68" spans="1:61">
      <c r="A68" s="724" t="s">
        <v>1204</v>
      </c>
      <c r="B68" s="724" t="s">
        <v>1203</v>
      </c>
      <c r="C68" s="724" t="s">
        <v>1204</v>
      </c>
      <c r="D68" s="724" t="s">
        <v>716</v>
      </c>
      <c r="E68" s="724" t="s">
        <v>3</v>
      </c>
      <c r="F68" s="725" t="s">
        <v>71</v>
      </c>
      <c r="G68" s="725" t="s">
        <v>719</v>
      </c>
      <c r="H68" s="726">
        <v>453970</v>
      </c>
      <c r="I68" s="726">
        <v>453970</v>
      </c>
      <c r="J68" s="726">
        <v>0</v>
      </c>
      <c r="K68" s="726">
        <v>0</v>
      </c>
      <c r="L68" s="726">
        <v>412700</v>
      </c>
      <c r="M68" s="726">
        <v>0</v>
      </c>
      <c r="N68" s="726">
        <v>0</v>
      </c>
      <c r="O68" s="726">
        <v>41270</v>
      </c>
      <c r="P68" s="726">
        <v>0</v>
      </c>
      <c r="Q68" s="726">
        <v>0</v>
      </c>
      <c r="R68" s="726">
        <v>0</v>
      </c>
      <c r="S68" s="726">
        <v>0</v>
      </c>
      <c r="T68" s="726">
        <v>0</v>
      </c>
      <c r="U68" s="726">
        <v>0</v>
      </c>
      <c r="V68" s="726">
        <v>0</v>
      </c>
      <c r="W68" s="726">
        <v>0</v>
      </c>
      <c r="X68" s="724" t="s">
        <v>674</v>
      </c>
      <c r="Y68" s="724" t="s">
        <v>1226</v>
      </c>
      <c r="Z68" s="724" t="s">
        <v>1226</v>
      </c>
      <c r="AA68" s="724" t="s">
        <v>675</v>
      </c>
      <c r="AB68" s="724" t="s">
        <v>675</v>
      </c>
      <c r="AC68" s="724"/>
      <c r="AD68" s="724"/>
      <c r="AE68" s="724"/>
      <c r="AF68" s="724"/>
      <c r="AG68" s="725" t="s">
        <v>1223</v>
      </c>
      <c r="AH68" s="724"/>
      <c r="AI68" s="725" t="s">
        <v>1223</v>
      </c>
      <c r="AJ68" s="725" t="s">
        <v>815</v>
      </c>
      <c r="AK68" s="724" t="s">
        <v>677</v>
      </c>
      <c r="AL68" s="724"/>
      <c r="AM68" s="724"/>
      <c r="AN68" s="724"/>
      <c r="AO68" s="724"/>
      <c r="AP68" s="724"/>
      <c r="AQ68" s="724"/>
      <c r="AR68" s="726"/>
      <c r="AS68" s="724"/>
      <c r="AT68" s="726"/>
      <c r="AU68" s="724" t="s">
        <v>678</v>
      </c>
      <c r="AV68" s="724" t="s">
        <v>677</v>
      </c>
      <c r="AW68" s="724" t="s">
        <v>676</v>
      </c>
      <c r="AX68" s="724" t="s">
        <v>679</v>
      </c>
      <c r="AY68" s="724"/>
      <c r="AZ68" s="724"/>
      <c r="BA68" s="724" t="s">
        <v>679</v>
      </c>
      <c r="BB68" s="724"/>
      <c r="BC68" s="724"/>
      <c r="BD68" s="724"/>
      <c r="BE68" s="726"/>
      <c r="BF68" s="724" t="s">
        <v>298</v>
      </c>
      <c r="BG68" s="724" t="s">
        <v>680</v>
      </c>
      <c r="BH68" s="724" t="s">
        <v>681</v>
      </c>
      <c r="BI68" s="724"/>
    </row>
    <row r="69" spans="1:61">
      <c r="A69" s="724" t="s">
        <v>1107</v>
      </c>
      <c r="B69" s="724" t="s">
        <v>1105</v>
      </c>
      <c r="C69" s="724" t="s">
        <v>1107</v>
      </c>
      <c r="D69" s="724" t="s">
        <v>716</v>
      </c>
      <c r="E69" s="724" t="s">
        <v>3</v>
      </c>
      <c r="F69" s="725" t="s">
        <v>308</v>
      </c>
      <c r="G69" s="725" t="s">
        <v>780</v>
      </c>
      <c r="H69" s="726">
        <v>506088000</v>
      </c>
      <c r="I69" s="726">
        <v>410100190</v>
      </c>
      <c r="J69" s="726">
        <v>0</v>
      </c>
      <c r="K69" s="726">
        <v>95987810</v>
      </c>
      <c r="L69" s="726">
        <v>372818355</v>
      </c>
      <c r="M69" s="726">
        <v>0</v>
      </c>
      <c r="N69" s="726">
        <v>87261645</v>
      </c>
      <c r="O69" s="726">
        <v>37281835</v>
      </c>
      <c r="P69" s="726">
        <v>0</v>
      </c>
      <c r="Q69" s="726">
        <v>8726165</v>
      </c>
      <c r="R69" s="726">
        <v>0</v>
      </c>
      <c r="S69" s="726">
        <v>0</v>
      </c>
      <c r="T69" s="726">
        <v>0</v>
      </c>
      <c r="U69" s="726">
        <v>0</v>
      </c>
      <c r="V69" s="726">
        <v>0</v>
      </c>
      <c r="W69" s="726">
        <v>0</v>
      </c>
      <c r="X69" s="724" t="s">
        <v>674</v>
      </c>
      <c r="Y69" s="724" t="s">
        <v>1226</v>
      </c>
      <c r="Z69" s="724" t="s">
        <v>1226</v>
      </c>
      <c r="AA69" s="724" t="s">
        <v>675</v>
      </c>
      <c r="AB69" s="724" t="s">
        <v>675</v>
      </c>
      <c r="AC69" s="724"/>
      <c r="AD69" s="724" t="s">
        <v>781</v>
      </c>
      <c r="AE69" s="724"/>
      <c r="AF69" s="724"/>
      <c r="AG69" s="725" t="s">
        <v>1110</v>
      </c>
      <c r="AH69" s="724"/>
      <c r="AI69" s="725" t="s">
        <v>1110</v>
      </c>
      <c r="AJ69" s="725" t="s">
        <v>1111</v>
      </c>
      <c r="AK69" s="724" t="s">
        <v>677</v>
      </c>
      <c r="AL69" s="724"/>
      <c r="AM69" s="724"/>
      <c r="AN69" s="724"/>
      <c r="AO69" s="724"/>
      <c r="AP69" s="724"/>
      <c r="AQ69" s="724"/>
      <c r="AR69" s="726"/>
      <c r="AS69" s="724"/>
      <c r="AT69" s="726"/>
      <c r="AU69" s="724" t="s">
        <v>678</v>
      </c>
      <c r="AV69" s="724" t="s">
        <v>677</v>
      </c>
      <c r="AW69" s="724" t="s">
        <v>676</v>
      </c>
      <c r="AX69" s="724" t="s">
        <v>679</v>
      </c>
      <c r="AY69" s="724"/>
      <c r="AZ69" s="724"/>
      <c r="BA69" s="724" t="s">
        <v>679</v>
      </c>
      <c r="BB69" s="724"/>
      <c r="BC69" s="724"/>
      <c r="BD69" s="724"/>
      <c r="BE69" s="726"/>
      <c r="BF69" s="724" t="s">
        <v>298</v>
      </c>
      <c r="BG69" s="724" t="s">
        <v>680</v>
      </c>
      <c r="BH69" s="724" t="s">
        <v>681</v>
      </c>
      <c r="BI69" s="724"/>
    </row>
    <row r="70" spans="1:61">
      <c r="A70" s="724" t="s">
        <v>671</v>
      </c>
      <c r="B70" s="724" t="s">
        <v>671</v>
      </c>
      <c r="C70" s="724" t="s">
        <v>672</v>
      </c>
      <c r="D70" s="724" t="s">
        <v>673</v>
      </c>
      <c r="E70" s="724" t="s">
        <v>3</v>
      </c>
      <c r="F70" s="725" t="s">
        <v>83</v>
      </c>
      <c r="G70" s="725" t="s">
        <v>93</v>
      </c>
      <c r="H70" s="726">
        <v>83700</v>
      </c>
      <c r="I70" s="726">
        <v>83700</v>
      </c>
      <c r="J70" s="726">
        <v>0</v>
      </c>
      <c r="K70" s="726">
        <v>0</v>
      </c>
      <c r="L70" s="726">
        <v>83700</v>
      </c>
      <c r="M70" s="726">
        <v>0</v>
      </c>
      <c r="N70" s="726">
        <v>0</v>
      </c>
      <c r="O70" s="726">
        <v>0</v>
      </c>
      <c r="P70" s="726">
        <v>0</v>
      </c>
      <c r="Q70" s="726">
        <v>0</v>
      </c>
      <c r="R70" s="726">
        <v>0</v>
      </c>
      <c r="S70" s="726">
        <v>0</v>
      </c>
      <c r="T70" s="726">
        <v>0</v>
      </c>
      <c r="U70" s="726">
        <v>0</v>
      </c>
      <c r="V70" s="726">
        <v>0</v>
      </c>
      <c r="W70" s="726">
        <v>0</v>
      </c>
      <c r="X70" s="724" t="s">
        <v>674</v>
      </c>
      <c r="Y70" s="724" t="s">
        <v>675</v>
      </c>
      <c r="Z70" s="724" t="s">
        <v>675</v>
      </c>
      <c r="AA70" s="724" t="s">
        <v>675</v>
      </c>
      <c r="AB70" s="724" t="s">
        <v>675</v>
      </c>
      <c r="AC70" s="724"/>
      <c r="AD70" s="724"/>
      <c r="AE70" s="724" t="s">
        <v>676</v>
      </c>
      <c r="AF70" s="724"/>
      <c r="AG70" s="725" t="s">
        <v>557</v>
      </c>
      <c r="AH70" s="724"/>
      <c r="AI70" s="725" t="s">
        <v>557</v>
      </c>
      <c r="AJ70" s="725" t="s">
        <v>677</v>
      </c>
      <c r="AK70" s="724" t="s">
        <v>677</v>
      </c>
      <c r="AL70" s="724"/>
      <c r="AM70" s="724"/>
      <c r="AN70" s="724"/>
      <c r="AO70" s="724"/>
      <c r="AP70" s="724"/>
      <c r="AQ70" s="724"/>
      <c r="AR70" s="726"/>
      <c r="AS70" s="724"/>
      <c r="AT70" s="726"/>
      <c r="AU70" s="724" t="s">
        <v>678</v>
      </c>
      <c r="AV70" s="724" t="s">
        <v>677</v>
      </c>
      <c r="AW70" s="724" t="s">
        <v>676</v>
      </c>
      <c r="AX70" s="724" t="s">
        <v>784</v>
      </c>
      <c r="AY70" s="724" t="s">
        <v>785</v>
      </c>
      <c r="AZ70" s="724" t="s">
        <v>1178</v>
      </c>
      <c r="BA70" s="724" t="s">
        <v>679</v>
      </c>
      <c r="BB70" s="724"/>
      <c r="BC70" s="724"/>
      <c r="BD70" s="724"/>
      <c r="BE70" s="726"/>
      <c r="BF70" s="724" t="s">
        <v>298</v>
      </c>
      <c r="BG70" s="724" t="s">
        <v>680</v>
      </c>
      <c r="BH70" s="724" t="s">
        <v>681</v>
      </c>
      <c r="BI70" s="724"/>
    </row>
    <row r="71" spans="1:61">
      <c r="A71" s="724" t="s">
        <v>671</v>
      </c>
      <c r="B71" s="724" t="s">
        <v>671</v>
      </c>
      <c r="C71" s="724" t="s">
        <v>672</v>
      </c>
      <c r="D71" s="724" t="s">
        <v>673</v>
      </c>
      <c r="E71" s="724" t="s">
        <v>3</v>
      </c>
      <c r="F71" s="725" t="s">
        <v>83</v>
      </c>
      <c r="G71" s="725" t="s">
        <v>93</v>
      </c>
      <c r="H71" s="726">
        <v>70000</v>
      </c>
      <c r="I71" s="726">
        <v>70000</v>
      </c>
      <c r="J71" s="726">
        <v>0</v>
      </c>
      <c r="K71" s="726">
        <v>0</v>
      </c>
      <c r="L71" s="726">
        <v>70000</v>
      </c>
      <c r="M71" s="726">
        <v>0</v>
      </c>
      <c r="N71" s="726">
        <v>0</v>
      </c>
      <c r="O71" s="726">
        <v>0</v>
      </c>
      <c r="P71" s="726">
        <v>0</v>
      </c>
      <c r="Q71" s="726">
        <v>0</v>
      </c>
      <c r="R71" s="726">
        <v>0</v>
      </c>
      <c r="S71" s="726">
        <v>0</v>
      </c>
      <c r="T71" s="726">
        <v>0</v>
      </c>
      <c r="U71" s="726">
        <v>0</v>
      </c>
      <c r="V71" s="726">
        <v>0</v>
      </c>
      <c r="W71" s="726">
        <v>0</v>
      </c>
      <c r="X71" s="724" t="s">
        <v>674</v>
      </c>
      <c r="Y71" s="724" t="s">
        <v>675</v>
      </c>
      <c r="Z71" s="724" t="s">
        <v>675</v>
      </c>
      <c r="AA71" s="724" t="s">
        <v>675</v>
      </c>
      <c r="AB71" s="724" t="s">
        <v>675</v>
      </c>
      <c r="AC71" s="724"/>
      <c r="AD71" s="724"/>
      <c r="AE71" s="724" t="s">
        <v>676</v>
      </c>
      <c r="AF71" s="724"/>
      <c r="AG71" s="725" t="s">
        <v>557</v>
      </c>
      <c r="AH71" s="724"/>
      <c r="AI71" s="725" t="s">
        <v>557</v>
      </c>
      <c r="AJ71" s="725" t="s">
        <v>677</v>
      </c>
      <c r="AK71" s="724" t="s">
        <v>677</v>
      </c>
      <c r="AL71" s="724"/>
      <c r="AM71" s="724"/>
      <c r="AN71" s="724"/>
      <c r="AO71" s="724"/>
      <c r="AP71" s="724"/>
      <c r="AQ71" s="724"/>
      <c r="AR71" s="726"/>
      <c r="AS71" s="724"/>
      <c r="AT71" s="726"/>
      <c r="AU71" s="724" t="s">
        <v>678</v>
      </c>
      <c r="AV71" s="724" t="s">
        <v>677</v>
      </c>
      <c r="AW71" s="724" t="s">
        <v>676</v>
      </c>
      <c r="AX71" s="724" t="s">
        <v>674</v>
      </c>
      <c r="AY71" s="724"/>
      <c r="AZ71" s="724"/>
      <c r="BA71" s="724" t="s">
        <v>679</v>
      </c>
      <c r="BB71" s="724"/>
      <c r="BC71" s="724"/>
      <c r="BD71" s="724"/>
      <c r="BE71" s="726"/>
      <c r="BF71" s="724" t="s">
        <v>298</v>
      </c>
      <c r="BG71" s="724" t="s">
        <v>680</v>
      </c>
      <c r="BH71" s="724" t="s">
        <v>681</v>
      </c>
      <c r="BI71" s="724"/>
    </row>
    <row r="72" spans="1:61">
      <c r="A72" s="724" t="s">
        <v>683</v>
      </c>
      <c r="B72" s="724" t="s">
        <v>1179</v>
      </c>
      <c r="C72" s="724" t="s">
        <v>729</v>
      </c>
      <c r="D72" s="724" t="s">
        <v>724</v>
      </c>
      <c r="E72" s="724" t="s">
        <v>3</v>
      </c>
      <c r="F72" s="725" t="s">
        <v>83</v>
      </c>
      <c r="G72" s="725" t="s">
        <v>93</v>
      </c>
      <c r="H72" s="726">
        <v>39800</v>
      </c>
      <c r="I72" s="726">
        <v>39800</v>
      </c>
      <c r="J72" s="726">
        <v>0</v>
      </c>
      <c r="K72" s="726">
        <v>0</v>
      </c>
      <c r="L72" s="726">
        <v>36182</v>
      </c>
      <c r="M72" s="726">
        <v>0</v>
      </c>
      <c r="N72" s="726">
        <v>0</v>
      </c>
      <c r="O72" s="726">
        <v>3618</v>
      </c>
      <c r="P72" s="726">
        <v>0</v>
      </c>
      <c r="Q72" s="726">
        <v>0</v>
      </c>
      <c r="R72" s="726">
        <v>0</v>
      </c>
      <c r="S72" s="726">
        <v>0</v>
      </c>
      <c r="T72" s="726">
        <v>0</v>
      </c>
      <c r="U72" s="726">
        <v>0</v>
      </c>
      <c r="V72" s="726">
        <v>0</v>
      </c>
      <c r="W72" s="726">
        <v>0</v>
      </c>
      <c r="X72" s="724" t="s">
        <v>674</v>
      </c>
      <c r="Y72" s="724" t="s">
        <v>675</v>
      </c>
      <c r="Z72" s="724" t="s">
        <v>675</v>
      </c>
      <c r="AA72" s="724" t="s">
        <v>675</v>
      </c>
      <c r="AB72" s="724" t="s">
        <v>675</v>
      </c>
      <c r="AC72" s="724"/>
      <c r="AD72" s="724"/>
      <c r="AE72" s="724" t="s">
        <v>676</v>
      </c>
      <c r="AF72" s="724"/>
      <c r="AG72" s="725" t="s">
        <v>1180</v>
      </c>
      <c r="AH72" s="724"/>
      <c r="AI72" s="725" t="s">
        <v>1180</v>
      </c>
      <c r="AJ72" s="725" t="s">
        <v>1181</v>
      </c>
      <c r="AK72" s="724" t="s">
        <v>677</v>
      </c>
      <c r="AL72" s="724"/>
      <c r="AM72" s="724" t="s">
        <v>726</v>
      </c>
      <c r="AN72" s="724" t="s">
        <v>1182</v>
      </c>
      <c r="AO72" s="724" t="s">
        <v>683</v>
      </c>
      <c r="AP72" s="724" t="s">
        <v>1183</v>
      </c>
      <c r="AQ72" s="724" t="s">
        <v>1184</v>
      </c>
      <c r="AR72" s="726">
        <v>39800</v>
      </c>
      <c r="AS72" s="724" t="s">
        <v>675</v>
      </c>
      <c r="AT72" s="726">
        <v>0</v>
      </c>
      <c r="AU72" s="724" t="s">
        <v>678</v>
      </c>
      <c r="AV72" s="724" t="s">
        <v>677</v>
      </c>
      <c r="AW72" s="724" t="s">
        <v>676</v>
      </c>
      <c r="AX72" s="724" t="s">
        <v>674</v>
      </c>
      <c r="AY72" s="724"/>
      <c r="AZ72" s="724"/>
      <c r="BA72" s="724" t="s">
        <v>679</v>
      </c>
      <c r="BB72" s="724"/>
      <c r="BC72" s="724"/>
      <c r="BD72" s="724"/>
      <c r="BE72" s="726"/>
      <c r="BF72" s="724" t="s">
        <v>298</v>
      </c>
      <c r="BG72" s="724" t="s">
        <v>680</v>
      </c>
      <c r="BH72" s="724" t="s">
        <v>681</v>
      </c>
      <c r="BI72" s="724"/>
    </row>
    <row r="73" spans="1:61">
      <c r="A73" s="724" t="s">
        <v>683</v>
      </c>
      <c r="B73" s="724" t="s">
        <v>1179</v>
      </c>
      <c r="C73" s="724" t="s">
        <v>729</v>
      </c>
      <c r="D73" s="724" t="s">
        <v>724</v>
      </c>
      <c r="E73" s="724" t="s">
        <v>3</v>
      </c>
      <c r="F73" s="725" t="s">
        <v>83</v>
      </c>
      <c r="G73" s="725" t="s">
        <v>700</v>
      </c>
      <c r="H73" s="726">
        <v>517400</v>
      </c>
      <c r="I73" s="726">
        <v>517400</v>
      </c>
      <c r="J73" s="726">
        <v>0</v>
      </c>
      <c r="K73" s="726">
        <v>0</v>
      </c>
      <c r="L73" s="726">
        <v>470364</v>
      </c>
      <c r="M73" s="726">
        <v>0</v>
      </c>
      <c r="N73" s="726">
        <v>0</v>
      </c>
      <c r="O73" s="726">
        <v>47036</v>
      </c>
      <c r="P73" s="726">
        <v>0</v>
      </c>
      <c r="Q73" s="726">
        <v>0</v>
      </c>
      <c r="R73" s="726">
        <v>0</v>
      </c>
      <c r="S73" s="726">
        <v>0</v>
      </c>
      <c r="T73" s="726">
        <v>0</v>
      </c>
      <c r="U73" s="726">
        <v>0</v>
      </c>
      <c r="V73" s="726">
        <v>0</v>
      </c>
      <c r="W73" s="726">
        <v>0</v>
      </c>
      <c r="X73" s="724" t="s">
        <v>674</v>
      </c>
      <c r="Y73" s="724" t="s">
        <v>1226</v>
      </c>
      <c r="Z73" s="724" t="s">
        <v>1226</v>
      </c>
      <c r="AA73" s="724" t="s">
        <v>675</v>
      </c>
      <c r="AB73" s="724" t="s">
        <v>675</v>
      </c>
      <c r="AC73" s="724"/>
      <c r="AD73" s="724"/>
      <c r="AE73" s="724"/>
      <c r="AF73" s="724"/>
      <c r="AG73" s="725" t="s">
        <v>1185</v>
      </c>
      <c r="AH73" s="724"/>
      <c r="AI73" s="725" t="s">
        <v>1185</v>
      </c>
      <c r="AJ73" s="725" t="s">
        <v>1181</v>
      </c>
      <c r="AK73" s="724" t="s">
        <v>677</v>
      </c>
      <c r="AL73" s="724"/>
      <c r="AM73" s="724" t="s">
        <v>726</v>
      </c>
      <c r="AN73" s="724" t="s">
        <v>1186</v>
      </c>
      <c r="AO73" s="724" t="s">
        <v>683</v>
      </c>
      <c r="AP73" s="724" t="s">
        <v>1183</v>
      </c>
      <c r="AQ73" s="724" t="s">
        <v>1184</v>
      </c>
      <c r="AR73" s="726">
        <v>517400</v>
      </c>
      <c r="AS73" s="724" t="s">
        <v>675</v>
      </c>
      <c r="AT73" s="726">
        <v>0</v>
      </c>
      <c r="AU73" s="724" t="s">
        <v>678</v>
      </c>
      <c r="AV73" s="724" t="s">
        <v>677</v>
      </c>
      <c r="AW73" s="724" t="s">
        <v>676</v>
      </c>
      <c r="AX73" s="724" t="s">
        <v>674</v>
      </c>
      <c r="AY73" s="724"/>
      <c r="AZ73" s="724"/>
      <c r="BA73" s="724" t="s">
        <v>679</v>
      </c>
      <c r="BB73" s="724"/>
      <c r="BC73" s="724"/>
      <c r="BD73" s="724"/>
      <c r="BE73" s="726"/>
      <c r="BF73" s="724" t="s">
        <v>298</v>
      </c>
      <c r="BG73" s="724" t="s">
        <v>680</v>
      </c>
      <c r="BH73" s="724" t="s">
        <v>681</v>
      </c>
      <c r="BI73" s="724"/>
    </row>
    <row r="74" spans="1:61">
      <c r="A74" s="724" t="s">
        <v>682</v>
      </c>
      <c r="B74" s="724" t="s">
        <v>682</v>
      </c>
      <c r="C74" s="724" t="s">
        <v>683</v>
      </c>
      <c r="D74" s="724" t="s">
        <v>673</v>
      </c>
      <c r="E74" s="724" t="s">
        <v>3</v>
      </c>
      <c r="F74" s="725" t="s">
        <v>7</v>
      </c>
      <c r="G74" s="725" t="s">
        <v>684</v>
      </c>
      <c r="H74" s="726">
        <v>3347790</v>
      </c>
      <c r="I74" s="726">
        <v>3347790</v>
      </c>
      <c r="J74" s="726">
        <v>0</v>
      </c>
      <c r="K74" s="726">
        <v>0</v>
      </c>
      <c r="L74" s="726">
        <v>3347790</v>
      </c>
      <c r="M74" s="726">
        <v>0</v>
      </c>
      <c r="N74" s="726">
        <v>0</v>
      </c>
      <c r="O74" s="726">
        <v>0</v>
      </c>
      <c r="P74" s="726">
        <v>0</v>
      </c>
      <c r="Q74" s="726">
        <v>0</v>
      </c>
      <c r="R74" s="726">
        <v>0</v>
      </c>
      <c r="S74" s="726">
        <v>0</v>
      </c>
      <c r="T74" s="726">
        <v>0</v>
      </c>
      <c r="U74" s="726">
        <v>0</v>
      </c>
      <c r="V74" s="726">
        <v>0</v>
      </c>
      <c r="W74" s="726">
        <v>0</v>
      </c>
      <c r="X74" s="724" t="s">
        <v>674</v>
      </c>
      <c r="Y74" s="724" t="s">
        <v>1226</v>
      </c>
      <c r="Z74" s="724" t="s">
        <v>1226</v>
      </c>
      <c r="AA74" s="724" t="s">
        <v>675</v>
      </c>
      <c r="AB74" s="724" t="s">
        <v>675</v>
      </c>
      <c r="AC74" s="724"/>
      <c r="AD74" s="724"/>
      <c r="AE74" s="724"/>
      <c r="AF74" s="724"/>
      <c r="AG74" s="725" t="s">
        <v>685</v>
      </c>
      <c r="AH74" s="724"/>
      <c r="AI74" s="725" t="s">
        <v>685</v>
      </c>
      <c r="AJ74" s="725" t="s">
        <v>677</v>
      </c>
      <c r="AK74" s="724" t="s">
        <v>677</v>
      </c>
      <c r="AL74" s="724"/>
      <c r="AM74" s="724"/>
      <c r="AN74" s="724"/>
      <c r="AO74" s="724"/>
      <c r="AP74" s="724"/>
      <c r="AQ74" s="724"/>
      <c r="AR74" s="726"/>
      <c r="AS74" s="724"/>
      <c r="AT74" s="726"/>
      <c r="AU74" s="724" t="s">
        <v>678</v>
      </c>
      <c r="AV74" s="724" t="s">
        <v>677</v>
      </c>
      <c r="AW74" s="724" t="s">
        <v>676</v>
      </c>
      <c r="AX74" s="724" t="s">
        <v>674</v>
      </c>
      <c r="AY74" s="724"/>
      <c r="AZ74" s="724"/>
      <c r="BA74" s="724" t="s">
        <v>679</v>
      </c>
      <c r="BB74" s="724"/>
      <c r="BC74" s="724"/>
      <c r="BD74" s="724"/>
      <c r="BE74" s="726"/>
      <c r="BF74" s="724" t="s">
        <v>298</v>
      </c>
      <c r="BG74" s="724" t="s">
        <v>680</v>
      </c>
      <c r="BH74" s="724" t="s">
        <v>681</v>
      </c>
      <c r="BI74" s="724"/>
    </row>
    <row r="75" spans="1:61">
      <c r="A75" s="724" t="s">
        <v>682</v>
      </c>
      <c r="B75" s="724" t="s">
        <v>682</v>
      </c>
      <c r="C75" s="724" t="s">
        <v>683</v>
      </c>
      <c r="D75" s="724" t="s">
        <v>673</v>
      </c>
      <c r="E75" s="724" t="s">
        <v>3</v>
      </c>
      <c r="F75" s="725" t="s">
        <v>7</v>
      </c>
      <c r="G75" s="725" t="s">
        <v>684</v>
      </c>
      <c r="H75" s="726">
        <v>368340</v>
      </c>
      <c r="I75" s="726">
        <v>368340</v>
      </c>
      <c r="J75" s="726">
        <v>0</v>
      </c>
      <c r="K75" s="726">
        <v>0</v>
      </c>
      <c r="L75" s="726">
        <v>368340</v>
      </c>
      <c r="M75" s="726">
        <v>0</v>
      </c>
      <c r="N75" s="726">
        <v>0</v>
      </c>
      <c r="O75" s="726">
        <v>0</v>
      </c>
      <c r="P75" s="726">
        <v>0</v>
      </c>
      <c r="Q75" s="726">
        <v>0</v>
      </c>
      <c r="R75" s="726">
        <v>0</v>
      </c>
      <c r="S75" s="726">
        <v>0</v>
      </c>
      <c r="T75" s="726">
        <v>0</v>
      </c>
      <c r="U75" s="726">
        <v>0</v>
      </c>
      <c r="V75" s="726">
        <v>0</v>
      </c>
      <c r="W75" s="726">
        <v>0</v>
      </c>
      <c r="X75" s="724" t="s">
        <v>674</v>
      </c>
      <c r="Y75" s="724" t="s">
        <v>1226</v>
      </c>
      <c r="Z75" s="724" t="s">
        <v>1226</v>
      </c>
      <c r="AA75" s="724" t="s">
        <v>675</v>
      </c>
      <c r="AB75" s="724" t="s">
        <v>675</v>
      </c>
      <c r="AC75" s="724"/>
      <c r="AD75" s="724"/>
      <c r="AE75" s="724"/>
      <c r="AF75" s="724"/>
      <c r="AG75" s="725" t="s">
        <v>686</v>
      </c>
      <c r="AH75" s="724"/>
      <c r="AI75" s="725" t="s">
        <v>686</v>
      </c>
      <c r="AJ75" s="725" t="s">
        <v>677</v>
      </c>
      <c r="AK75" s="724" t="s">
        <v>677</v>
      </c>
      <c r="AL75" s="724"/>
      <c r="AM75" s="724"/>
      <c r="AN75" s="724"/>
      <c r="AO75" s="724"/>
      <c r="AP75" s="724"/>
      <c r="AQ75" s="724"/>
      <c r="AR75" s="726"/>
      <c r="AS75" s="724"/>
      <c r="AT75" s="726"/>
      <c r="AU75" s="724" t="s">
        <v>678</v>
      </c>
      <c r="AV75" s="724" t="s">
        <v>677</v>
      </c>
      <c r="AW75" s="724" t="s">
        <v>676</v>
      </c>
      <c r="AX75" s="724" t="s">
        <v>674</v>
      </c>
      <c r="AY75" s="724"/>
      <c r="AZ75" s="724"/>
      <c r="BA75" s="724" t="s">
        <v>679</v>
      </c>
      <c r="BB75" s="724"/>
      <c r="BC75" s="724"/>
      <c r="BD75" s="724"/>
      <c r="BE75" s="726"/>
      <c r="BF75" s="724" t="s">
        <v>298</v>
      </c>
      <c r="BG75" s="724" t="s">
        <v>680</v>
      </c>
      <c r="BH75" s="724" t="s">
        <v>681</v>
      </c>
      <c r="BI75" s="724"/>
    </row>
    <row r="76" spans="1:61">
      <c r="A76" s="724" t="s">
        <v>682</v>
      </c>
      <c r="B76" s="724" t="s">
        <v>682</v>
      </c>
      <c r="C76" s="724" t="s">
        <v>683</v>
      </c>
      <c r="D76" s="724" t="s">
        <v>673</v>
      </c>
      <c r="E76" s="724" t="s">
        <v>3</v>
      </c>
      <c r="F76" s="725" t="s">
        <v>7</v>
      </c>
      <c r="G76" s="725" t="s">
        <v>684</v>
      </c>
      <c r="H76" s="726">
        <v>200870</v>
      </c>
      <c r="I76" s="726">
        <v>200870</v>
      </c>
      <c r="J76" s="726">
        <v>0</v>
      </c>
      <c r="K76" s="726">
        <v>0</v>
      </c>
      <c r="L76" s="726">
        <v>200870</v>
      </c>
      <c r="M76" s="726">
        <v>0</v>
      </c>
      <c r="N76" s="726">
        <v>0</v>
      </c>
      <c r="O76" s="726">
        <v>0</v>
      </c>
      <c r="P76" s="726">
        <v>0</v>
      </c>
      <c r="Q76" s="726">
        <v>0</v>
      </c>
      <c r="R76" s="726">
        <v>0</v>
      </c>
      <c r="S76" s="726">
        <v>0</v>
      </c>
      <c r="T76" s="726">
        <v>0</v>
      </c>
      <c r="U76" s="726">
        <v>0</v>
      </c>
      <c r="V76" s="726">
        <v>0</v>
      </c>
      <c r="W76" s="726">
        <v>0</v>
      </c>
      <c r="X76" s="724" t="s">
        <v>674</v>
      </c>
      <c r="Y76" s="724" t="s">
        <v>1226</v>
      </c>
      <c r="Z76" s="724" t="s">
        <v>1226</v>
      </c>
      <c r="AA76" s="724" t="s">
        <v>675</v>
      </c>
      <c r="AB76" s="724" t="s">
        <v>675</v>
      </c>
      <c r="AC76" s="724"/>
      <c r="AD76" s="724"/>
      <c r="AE76" s="724"/>
      <c r="AF76" s="724"/>
      <c r="AG76" s="725" t="s">
        <v>687</v>
      </c>
      <c r="AH76" s="724"/>
      <c r="AI76" s="725" t="s">
        <v>687</v>
      </c>
      <c r="AJ76" s="725" t="s">
        <v>677</v>
      </c>
      <c r="AK76" s="724" t="s">
        <v>677</v>
      </c>
      <c r="AL76" s="724"/>
      <c r="AM76" s="724"/>
      <c r="AN76" s="724"/>
      <c r="AO76" s="724"/>
      <c r="AP76" s="724"/>
      <c r="AQ76" s="724"/>
      <c r="AR76" s="726"/>
      <c r="AS76" s="724"/>
      <c r="AT76" s="726"/>
      <c r="AU76" s="724" t="s">
        <v>678</v>
      </c>
      <c r="AV76" s="724" t="s">
        <v>677</v>
      </c>
      <c r="AW76" s="724" t="s">
        <v>676</v>
      </c>
      <c r="AX76" s="724" t="s">
        <v>674</v>
      </c>
      <c r="AY76" s="724"/>
      <c r="AZ76" s="724"/>
      <c r="BA76" s="724" t="s">
        <v>679</v>
      </c>
      <c r="BB76" s="724"/>
      <c r="BC76" s="724"/>
      <c r="BD76" s="724"/>
      <c r="BE76" s="726"/>
      <c r="BF76" s="724" t="s">
        <v>298</v>
      </c>
      <c r="BG76" s="724" t="s">
        <v>680</v>
      </c>
      <c r="BH76" s="724" t="s">
        <v>681</v>
      </c>
      <c r="BI76" s="724"/>
    </row>
    <row r="77" spans="1:61">
      <c r="A77" s="724" t="s">
        <v>682</v>
      </c>
      <c r="B77" s="724" t="s">
        <v>682</v>
      </c>
      <c r="C77" s="724" t="s">
        <v>683</v>
      </c>
      <c r="D77" s="724" t="s">
        <v>673</v>
      </c>
      <c r="E77" s="724" t="s">
        <v>3</v>
      </c>
      <c r="F77" s="725" t="s">
        <v>7</v>
      </c>
      <c r="G77" s="725" t="s">
        <v>684</v>
      </c>
      <c r="H77" s="726">
        <v>425360</v>
      </c>
      <c r="I77" s="726">
        <v>425360</v>
      </c>
      <c r="J77" s="726">
        <v>0</v>
      </c>
      <c r="K77" s="726">
        <v>0</v>
      </c>
      <c r="L77" s="726">
        <v>425360</v>
      </c>
      <c r="M77" s="726">
        <v>0</v>
      </c>
      <c r="N77" s="726">
        <v>0</v>
      </c>
      <c r="O77" s="726">
        <v>0</v>
      </c>
      <c r="P77" s="726">
        <v>0</v>
      </c>
      <c r="Q77" s="726">
        <v>0</v>
      </c>
      <c r="R77" s="726">
        <v>0</v>
      </c>
      <c r="S77" s="726">
        <v>0</v>
      </c>
      <c r="T77" s="726">
        <v>0</v>
      </c>
      <c r="U77" s="726">
        <v>0</v>
      </c>
      <c r="V77" s="726">
        <v>0</v>
      </c>
      <c r="W77" s="726">
        <v>0</v>
      </c>
      <c r="X77" s="724" t="s">
        <v>674</v>
      </c>
      <c r="Y77" s="724" t="s">
        <v>1226</v>
      </c>
      <c r="Z77" s="724" t="s">
        <v>1226</v>
      </c>
      <c r="AA77" s="724" t="s">
        <v>675</v>
      </c>
      <c r="AB77" s="724" t="s">
        <v>675</v>
      </c>
      <c r="AC77" s="724"/>
      <c r="AD77" s="724"/>
      <c r="AE77" s="724"/>
      <c r="AF77" s="724"/>
      <c r="AG77" s="725" t="s">
        <v>688</v>
      </c>
      <c r="AH77" s="724"/>
      <c r="AI77" s="725" t="s">
        <v>688</v>
      </c>
      <c r="AJ77" s="725" t="s">
        <v>677</v>
      </c>
      <c r="AK77" s="724" t="s">
        <v>677</v>
      </c>
      <c r="AL77" s="724"/>
      <c r="AM77" s="724"/>
      <c r="AN77" s="724"/>
      <c r="AO77" s="724"/>
      <c r="AP77" s="724"/>
      <c r="AQ77" s="724"/>
      <c r="AR77" s="726"/>
      <c r="AS77" s="724"/>
      <c r="AT77" s="726"/>
      <c r="AU77" s="724" t="s">
        <v>678</v>
      </c>
      <c r="AV77" s="724" t="s">
        <v>677</v>
      </c>
      <c r="AW77" s="724" t="s">
        <v>676</v>
      </c>
      <c r="AX77" s="724" t="s">
        <v>674</v>
      </c>
      <c r="AY77" s="724"/>
      <c r="AZ77" s="724"/>
      <c r="BA77" s="724" t="s">
        <v>679</v>
      </c>
      <c r="BB77" s="724"/>
      <c r="BC77" s="724"/>
      <c r="BD77" s="724"/>
      <c r="BE77" s="726"/>
      <c r="BF77" s="724" t="s">
        <v>298</v>
      </c>
      <c r="BG77" s="724" t="s">
        <v>680</v>
      </c>
      <c r="BH77" s="724" t="s">
        <v>681</v>
      </c>
      <c r="BI77" s="724"/>
    </row>
    <row r="78" spans="1:61">
      <c r="A78" s="724" t="s">
        <v>682</v>
      </c>
      <c r="B78" s="724" t="s">
        <v>682</v>
      </c>
      <c r="C78" s="724" t="s">
        <v>683</v>
      </c>
      <c r="D78" s="724" t="s">
        <v>673</v>
      </c>
      <c r="E78" s="724" t="s">
        <v>3</v>
      </c>
      <c r="F78" s="725" t="s">
        <v>7</v>
      </c>
      <c r="G78" s="725" t="s">
        <v>684</v>
      </c>
      <c r="H78" s="726">
        <v>368340</v>
      </c>
      <c r="I78" s="726">
        <v>368340</v>
      </c>
      <c r="J78" s="726">
        <v>0</v>
      </c>
      <c r="K78" s="726">
        <v>0</v>
      </c>
      <c r="L78" s="726">
        <v>368340</v>
      </c>
      <c r="M78" s="726">
        <v>0</v>
      </c>
      <c r="N78" s="726">
        <v>0</v>
      </c>
      <c r="O78" s="726">
        <v>0</v>
      </c>
      <c r="P78" s="726">
        <v>0</v>
      </c>
      <c r="Q78" s="726">
        <v>0</v>
      </c>
      <c r="R78" s="726">
        <v>0</v>
      </c>
      <c r="S78" s="726">
        <v>0</v>
      </c>
      <c r="T78" s="726">
        <v>0</v>
      </c>
      <c r="U78" s="726">
        <v>0</v>
      </c>
      <c r="V78" s="726">
        <v>0</v>
      </c>
      <c r="W78" s="726">
        <v>0</v>
      </c>
      <c r="X78" s="724" t="s">
        <v>674</v>
      </c>
      <c r="Y78" s="724" t="s">
        <v>1226</v>
      </c>
      <c r="Z78" s="724" t="s">
        <v>1226</v>
      </c>
      <c r="AA78" s="724" t="s">
        <v>675</v>
      </c>
      <c r="AB78" s="724" t="s">
        <v>675</v>
      </c>
      <c r="AC78" s="724"/>
      <c r="AD78" s="724"/>
      <c r="AE78" s="724"/>
      <c r="AF78" s="724"/>
      <c r="AG78" s="725" t="s">
        <v>686</v>
      </c>
      <c r="AH78" s="724"/>
      <c r="AI78" s="725" t="s">
        <v>686</v>
      </c>
      <c r="AJ78" s="725" t="s">
        <v>677</v>
      </c>
      <c r="AK78" s="724" t="s">
        <v>677</v>
      </c>
      <c r="AL78" s="724"/>
      <c r="AM78" s="724"/>
      <c r="AN78" s="724"/>
      <c r="AO78" s="724"/>
      <c r="AP78" s="724"/>
      <c r="AQ78" s="724"/>
      <c r="AR78" s="726"/>
      <c r="AS78" s="724"/>
      <c r="AT78" s="726"/>
      <c r="AU78" s="724" t="s">
        <v>678</v>
      </c>
      <c r="AV78" s="724" t="s">
        <v>677</v>
      </c>
      <c r="AW78" s="724" t="s">
        <v>676</v>
      </c>
      <c r="AX78" s="724" t="s">
        <v>674</v>
      </c>
      <c r="AY78" s="724"/>
      <c r="AZ78" s="724"/>
      <c r="BA78" s="724" t="s">
        <v>679</v>
      </c>
      <c r="BB78" s="724"/>
      <c r="BC78" s="724"/>
      <c r="BD78" s="724"/>
      <c r="BE78" s="726"/>
      <c r="BF78" s="724" t="s">
        <v>298</v>
      </c>
      <c r="BG78" s="724" t="s">
        <v>680</v>
      </c>
      <c r="BH78" s="724" t="s">
        <v>681</v>
      </c>
      <c r="BI78" s="724"/>
    </row>
    <row r="79" spans="1:61">
      <c r="A79" s="724" t="s">
        <v>682</v>
      </c>
      <c r="B79" s="724" t="s">
        <v>682</v>
      </c>
      <c r="C79" s="724" t="s">
        <v>683</v>
      </c>
      <c r="D79" s="724" t="s">
        <v>673</v>
      </c>
      <c r="E79" s="724" t="s">
        <v>3</v>
      </c>
      <c r="F79" s="725" t="s">
        <v>7</v>
      </c>
      <c r="G79" s="725" t="s">
        <v>684</v>
      </c>
      <c r="H79" s="726">
        <v>72840</v>
      </c>
      <c r="I79" s="726">
        <v>72840</v>
      </c>
      <c r="J79" s="726">
        <v>0</v>
      </c>
      <c r="K79" s="726">
        <v>0</v>
      </c>
      <c r="L79" s="726">
        <v>72840</v>
      </c>
      <c r="M79" s="726">
        <v>0</v>
      </c>
      <c r="N79" s="726">
        <v>0</v>
      </c>
      <c r="O79" s="726">
        <v>0</v>
      </c>
      <c r="P79" s="726">
        <v>0</v>
      </c>
      <c r="Q79" s="726">
        <v>0</v>
      </c>
      <c r="R79" s="726">
        <v>0</v>
      </c>
      <c r="S79" s="726">
        <v>0</v>
      </c>
      <c r="T79" s="726">
        <v>0</v>
      </c>
      <c r="U79" s="726">
        <v>0</v>
      </c>
      <c r="V79" s="726">
        <v>0</v>
      </c>
      <c r="W79" s="726">
        <v>0</v>
      </c>
      <c r="X79" s="724" t="s">
        <v>674</v>
      </c>
      <c r="Y79" s="724" t="s">
        <v>675</v>
      </c>
      <c r="Z79" s="724" t="s">
        <v>675</v>
      </c>
      <c r="AA79" s="724" t="s">
        <v>675</v>
      </c>
      <c r="AB79" s="724" t="s">
        <v>675</v>
      </c>
      <c r="AC79" s="724"/>
      <c r="AD79" s="724"/>
      <c r="AE79" s="724"/>
      <c r="AF79" s="724"/>
      <c r="AG79" s="725" t="s">
        <v>687</v>
      </c>
      <c r="AH79" s="724"/>
      <c r="AI79" s="725" t="s">
        <v>687</v>
      </c>
      <c r="AJ79" s="725" t="s">
        <v>677</v>
      </c>
      <c r="AK79" s="724" t="s">
        <v>677</v>
      </c>
      <c r="AL79" s="724"/>
      <c r="AM79" s="724"/>
      <c r="AN79" s="724"/>
      <c r="AO79" s="724"/>
      <c r="AP79" s="724"/>
      <c r="AQ79" s="724"/>
      <c r="AR79" s="726"/>
      <c r="AS79" s="724"/>
      <c r="AT79" s="726"/>
      <c r="AU79" s="724" t="s">
        <v>678</v>
      </c>
      <c r="AV79" s="724" t="s">
        <v>677</v>
      </c>
      <c r="AW79" s="724" t="s">
        <v>676</v>
      </c>
      <c r="AX79" s="724" t="s">
        <v>674</v>
      </c>
      <c r="AY79" s="724"/>
      <c r="AZ79" s="724"/>
      <c r="BA79" s="724" t="s">
        <v>679</v>
      </c>
      <c r="BB79" s="724"/>
      <c r="BC79" s="724"/>
      <c r="BD79" s="724"/>
      <c r="BE79" s="726"/>
      <c r="BF79" s="724" t="s">
        <v>298</v>
      </c>
      <c r="BG79" s="724" t="s">
        <v>680</v>
      </c>
      <c r="BH79" s="724" t="s">
        <v>681</v>
      </c>
      <c r="BI79" s="724"/>
    </row>
    <row r="80" spans="1:61">
      <c r="A80" s="724" t="s">
        <v>682</v>
      </c>
      <c r="B80" s="724" t="s">
        <v>682</v>
      </c>
      <c r="C80" s="724" t="s">
        <v>683</v>
      </c>
      <c r="D80" s="724" t="s">
        <v>673</v>
      </c>
      <c r="E80" s="724" t="s">
        <v>3</v>
      </c>
      <c r="F80" s="725" t="s">
        <v>7</v>
      </c>
      <c r="G80" s="725" t="s">
        <v>684</v>
      </c>
      <c r="H80" s="726">
        <v>223280</v>
      </c>
      <c r="I80" s="726">
        <v>223280</v>
      </c>
      <c r="J80" s="726">
        <v>0</v>
      </c>
      <c r="K80" s="726">
        <v>0</v>
      </c>
      <c r="L80" s="726">
        <v>223280</v>
      </c>
      <c r="M80" s="726">
        <v>0</v>
      </c>
      <c r="N80" s="726">
        <v>0</v>
      </c>
      <c r="O80" s="726">
        <v>0</v>
      </c>
      <c r="P80" s="726">
        <v>0</v>
      </c>
      <c r="Q80" s="726">
        <v>0</v>
      </c>
      <c r="R80" s="726">
        <v>0</v>
      </c>
      <c r="S80" s="726">
        <v>0</v>
      </c>
      <c r="T80" s="726">
        <v>0</v>
      </c>
      <c r="U80" s="726">
        <v>0</v>
      </c>
      <c r="V80" s="726">
        <v>0</v>
      </c>
      <c r="W80" s="726">
        <v>0</v>
      </c>
      <c r="X80" s="724" t="s">
        <v>674</v>
      </c>
      <c r="Y80" s="724" t="s">
        <v>1226</v>
      </c>
      <c r="Z80" s="724" t="s">
        <v>1226</v>
      </c>
      <c r="AA80" s="724" t="s">
        <v>675</v>
      </c>
      <c r="AB80" s="724" t="s">
        <v>675</v>
      </c>
      <c r="AC80" s="724"/>
      <c r="AD80" s="724"/>
      <c r="AE80" s="724"/>
      <c r="AF80" s="724"/>
      <c r="AG80" s="725" t="s">
        <v>688</v>
      </c>
      <c r="AH80" s="724"/>
      <c r="AI80" s="725" t="s">
        <v>688</v>
      </c>
      <c r="AJ80" s="725" t="s">
        <v>677</v>
      </c>
      <c r="AK80" s="724" t="s">
        <v>677</v>
      </c>
      <c r="AL80" s="724"/>
      <c r="AM80" s="724"/>
      <c r="AN80" s="724"/>
      <c r="AO80" s="724"/>
      <c r="AP80" s="724"/>
      <c r="AQ80" s="724"/>
      <c r="AR80" s="726"/>
      <c r="AS80" s="724"/>
      <c r="AT80" s="726"/>
      <c r="AU80" s="724" t="s">
        <v>678</v>
      </c>
      <c r="AV80" s="724" t="s">
        <v>677</v>
      </c>
      <c r="AW80" s="724" t="s">
        <v>676</v>
      </c>
      <c r="AX80" s="724" t="s">
        <v>674</v>
      </c>
      <c r="AY80" s="724"/>
      <c r="AZ80" s="724"/>
      <c r="BA80" s="724" t="s">
        <v>679</v>
      </c>
      <c r="BB80" s="724"/>
      <c r="BC80" s="724"/>
      <c r="BD80" s="724"/>
      <c r="BE80" s="726"/>
      <c r="BF80" s="724" t="s">
        <v>298</v>
      </c>
      <c r="BG80" s="724" t="s">
        <v>680</v>
      </c>
      <c r="BH80" s="724" t="s">
        <v>681</v>
      </c>
      <c r="BI80" s="724"/>
    </row>
    <row r="81" spans="1:61">
      <c r="A81" s="724" t="s">
        <v>682</v>
      </c>
      <c r="B81" s="724" t="s">
        <v>682</v>
      </c>
      <c r="C81" s="724" t="s">
        <v>683</v>
      </c>
      <c r="D81" s="724" t="s">
        <v>673</v>
      </c>
      <c r="E81" s="724" t="s">
        <v>3</v>
      </c>
      <c r="F81" s="725" t="s">
        <v>7</v>
      </c>
      <c r="G81" s="725" t="s">
        <v>684</v>
      </c>
      <c r="H81" s="726">
        <v>326410</v>
      </c>
      <c r="I81" s="726">
        <v>326410</v>
      </c>
      <c r="J81" s="726">
        <v>0</v>
      </c>
      <c r="K81" s="726">
        <v>0</v>
      </c>
      <c r="L81" s="726">
        <v>326410</v>
      </c>
      <c r="M81" s="726">
        <v>0</v>
      </c>
      <c r="N81" s="726">
        <v>0</v>
      </c>
      <c r="O81" s="726">
        <v>0</v>
      </c>
      <c r="P81" s="726">
        <v>0</v>
      </c>
      <c r="Q81" s="726">
        <v>0</v>
      </c>
      <c r="R81" s="726">
        <v>0</v>
      </c>
      <c r="S81" s="726">
        <v>0</v>
      </c>
      <c r="T81" s="726">
        <v>0</v>
      </c>
      <c r="U81" s="726">
        <v>0</v>
      </c>
      <c r="V81" s="726">
        <v>0</v>
      </c>
      <c r="W81" s="726">
        <v>0</v>
      </c>
      <c r="X81" s="724" t="s">
        <v>674</v>
      </c>
      <c r="Y81" s="724" t="s">
        <v>1226</v>
      </c>
      <c r="Z81" s="724" t="s">
        <v>1226</v>
      </c>
      <c r="AA81" s="724" t="s">
        <v>675</v>
      </c>
      <c r="AB81" s="724" t="s">
        <v>675</v>
      </c>
      <c r="AC81" s="724"/>
      <c r="AD81" s="724"/>
      <c r="AE81" s="724"/>
      <c r="AF81" s="724"/>
      <c r="AG81" s="725" t="s">
        <v>689</v>
      </c>
      <c r="AH81" s="724"/>
      <c r="AI81" s="725" t="s">
        <v>689</v>
      </c>
      <c r="AJ81" s="725" t="s">
        <v>677</v>
      </c>
      <c r="AK81" s="724" t="s">
        <v>677</v>
      </c>
      <c r="AL81" s="724"/>
      <c r="AM81" s="724"/>
      <c r="AN81" s="724"/>
      <c r="AO81" s="724"/>
      <c r="AP81" s="724"/>
      <c r="AQ81" s="724"/>
      <c r="AR81" s="726"/>
      <c r="AS81" s="724"/>
      <c r="AT81" s="726"/>
      <c r="AU81" s="724" t="s">
        <v>678</v>
      </c>
      <c r="AV81" s="724" t="s">
        <v>677</v>
      </c>
      <c r="AW81" s="724" t="s">
        <v>676</v>
      </c>
      <c r="AX81" s="724" t="s">
        <v>674</v>
      </c>
      <c r="AY81" s="724"/>
      <c r="AZ81" s="724"/>
      <c r="BA81" s="724" t="s">
        <v>679</v>
      </c>
      <c r="BB81" s="724"/>
      <c r="BC81" s="724"/>
      <c r="BD81" s="724"/>
      <c r="BE81" s="726"/>
      <c r="BF81" s="724" t="s">
        <v>298</v>
      </c>
      <c r="BG81" s="724" t="s">
        <v>680</v>
      </c>
      <c r="BH81" s="724" t="s">
        <v>681</v>
      </c>
      <c r="BI81" s="724"/>
    </row>
    <row r="82" spans="1:61">
      <c r="A82" s="724" t="s">
        <v>682</v>
      </c>
      <c r="B82" s="724" t="s">
        <v>682</v>
      </c>
      <c r="C82" s="724" t="s">
        <v>683</v>
      </c>
      <c r="D82" s="724" t="s">
        <v>673</v>
      </c>
      <c r="E82" s="724" t="s">
        <v>3</v>
      </c>
      <c r="F82" s="725" t="s">
        <v>7</v>
      </c>
      <c r="G82" s="725" t="s">
        <v>684</v>
      </c>
      <c r="H82" s="726">
        <v>425360</v>
      </c>
      <c r="I82" s="726">
        <v>425360</v>
      </c>
      <c r="J82" s="726">
        <v>0</v>
      </c>
      <c r="K82" s="726">
        <v>0</v>
      </c>
      <c r="L82" s="726">
        <v>425360</v>
      </c>
      <c r="M82" s="726">
        <v>0</v>
      </c>
      <c r="N82" s="726">
        <v>0</v>
      </c>
      <c r="O82" s="726">
        <v>0</v>
      </c>
      <c r="P82" s="726">
        <v>0</v>
      </c>
      <c r="Q82" s="726">
        <v>0</v>
      </c>
      <c r="R82" s="726">
        <v>0</v>
      </c>
      <c r="S82" s="726">
        <v>0</v>
      </c>
      <c r="T82" s="726">
        <v>0</v>
      </c>
      <c r="U82" s="726">
        <v>0</v>
      </c>
      <c r="V82" s="726">
        <v>0</v>
      </c>
      <c r="W82" s="726">
        <v>0</v>
      </c>
      <c r="X82" s="724" t="s">
        <v>674</v>
      </c>
      <c r="Y82" s="724" t="s">
        <v>1226</v>
      </c>
      <c r="Z82" s="724" t="s">
        <v>1226</v>
      </c>
      <c r="AA82" s="724" t="s">
        <v>675</v>
      </c>
      <c r="AB82" s="724" t="s">
        <v>675</v>
      </c>
      <c r="AC82" s="724"/>
      <c r="AD82" s="724"/>
      <c r="AE82" s="724"/>
      <c r="AF82" s="724"/>
      <c r="AG82" s="725" t="s">
        <v>688</v>
      </c>
      <c r="AH82" s="724"/>
      <c r="AI82" s="725" t="s">
        <v>688</v>
      </c>
      <c r="AJ82" s="725" t="s">
        <v>677</v>
      </c>
      <c r="AK82" s="724" t="s">
        <v>677</v>
      </c>
      <c r="AL82" s="724"/>
      <c r="AM82" s="724"/>
      <c r="AN82" s="724"/>
      <c r="AO82" s="724"/>
      <c r="AP82" s="724"/>
      <c r="AQ82" s="724"/>
      <c r="AR82" s="726"/>
      <c r="AS82" s="724"/>
      <c r="AT82" s="726"/>
      <c r="AU82" s="724" t="s">
        <v>678</v>
      </c>
      <c r="AV82" s="724" t="s">
        <v>677</v>
      </c>
      <c r="AW82" s="724" t="s">
        <v>676</v>
      </c>
      <c r="AX82" s="724" t="s">
        <v>674</v>
      </c>
      <c r="AY82" s="724"/>
      <c r="AZ82" s="724"/>
      <c r="BA82" s="724" t="s">
        <v>679</v>
      </c>
      <c r="BB82" s="724"/>
      <c r="BC82" s="724"/>
      <c r="BD82" s="724"/>
      <c r="BE82" s="726"/>
      <c r="BF82" s="724" t="s">
        <v>298</v>
      </c>
      <c r="BG82" s="724" t="s">
        <v>680</v>
      </c>
      <c r="BH82" s="724" t="s">
        <v>681</v>
      </c>
      <c r="BI82" s="724"/>
    </row>
    <row r="83" spans="1:61">
      <c r="A83" s="724" t="s">
        <v>682</v>
      </c>
      <c r="B83" s="724" t="s">
        <v>682</v>
      </c>
      <c r="C83" s="724" t="s">
        <v>683</v>
      </c>
      <c r="D83" s="724" t="s">
        <v>673</v>
      </c>
      <c r="E83" s="724" t="s">
        <v>3</v>
      </c>
      <c r="F83" s="725" t="s">
        <v>7</v>
      </c>
      <c r="G83" s="725" t="s">
        <v>684</v>
      </c>
      <c r="H83" s="726">
        <v>326417</v>
      </c>
      <c r="I83" s="726">
        <v>326417</v>
      </c>
      <c r="J83" s="726">
        <v>0</v>
      </c>
      <c r="K83" s="726">
        <v>0</v>
      </c>
      <c r="L83" s="726">
        <v>326417</v>
      </c>
      <c r="M83" s="726">
        <v>0</v>
      </c>
      <c r="N83" s="726">
        <v>0</v>
      </c>
      <c r="O83" s="726">
        <v>0</v>
      </c>
      <c r="P83" s="726">
        <v>0</v>
      </c>
      <c r="Q83" s="726">
        <v>0</v>
      </c>
      <c r="R83" s="726">
        <v>0</v>
      </c>
      <c r="S83" s="726">
        <v>0</v>
      </c>
      <c r="T83" s="726">
        <v>0</v>
      </c>
      <c r="U83" s="726">
        <v>0</v>
      </c>
      <c r="V83" s="726">
        <v>0</v>
      </c>
      <c r="W83" s="726">
        <v>0</v>
      </c>
      <c r="X83" s="724" t="s">
        <v>674</v>
      </c>
      <c r="Y83" s="724" t="s">
        <v>1226</v>
      </c>
      <c r="Z83" s="724" t="s">
        <v>1226</v>
      </c>
      <c r="AA83" s="724" t="s">
        <v>675</v>
      </c>
      <c r="AB83" s="724" t="s">
        <v>675</v>
      </c>
      <c r="AC83" s="724"/>
      <c r="AD83" s="724"/>
      <c r="AE83" s="724"/>
      <c r="AF83" s="724"/>
      <c r="AG83" s="725" t="s">
        <v>689</v>
      </c>
      <c r="AH83" s="724"/>
      <c r="AI83" s="725" t="s">
        <v>689</v>
      </c>
      <c r="AJ83" s="725" t="s">
        <v>677</v>
      </c>
      <c r="AK83" s="724" t="s">
        <v>677</v>
      </c>
      <c r="AL83" s="724"/>
      <c r="AM83" s="724"/>
      <c r="AN83" s="724"/>
      <c r="AO83" s="724"/>
      <c r="AP83" s="724"/>
      <c r="AQ83" s="724"/>
      <c r="AR83" s="726"/>
      <c r="AS83" s="724"/>
      <c r="AT83" s="726"/>
      <c r="AU83" s="724" t="s">
        <v>678</v>
      </c>
      <c r="AV83" s="724" t="s">
        <v>677</v>
      </c>
      <c r="AW83" s="724" t="s">
        <v>676</v>
      </c>
      <c r="AX83" s="724" t="s">
        <v>674</v>
      </c>
      <c r="AY83" s="724"/>
      <c r="AZ83" s="724"/>
      <c r="BA83" s="724" t="s">
        <v>679</v>
      </c>
      <c r="BB83" s="724"/>
      <c r="BC83" s="724"/>
      <c r="BD83" s="724"/>
      <c r="BE83" s="726"/>
      <c r="BF83" s="724" t="s">
        <v>298</v>
      </c>
      <c r="BG83" s="724" t="s">
        <v>680</v>
      </c>
      <c r="BH83" s="724" t="s">
        <v>681</v>
      </c>
      <c r="BI83" s="724"/>
    </row>
    <row r="84" spans="1:61">
      <c r="A84" s="724" t="s">
        <v>682</v>
      </c>
      <c r="B84" s="724" t="s">
        <v>682</v>
      </c>
      <c r="C84" s="724" t="s">
        <v>683</v>
      </c>
      <c r="D84" s="724" t="s">
        <v>673</v>
      </c>
      <c r="E84" s="724" t="s">
        <v>3</v>
      </c>
      <c r="F84" s="725" t="s">
        <v>7</v>
      </c>
      <c r="G84" s="725" t="s">
        <v>684</v>
      </c>
      <c r="H84" s="726">
        <v>200870</v>
      </c>
      <c r="I84" s="726">
        <v>200870</v>
      </c>
      <c r="J84" s="726">
        <v>0</v>
      </c>
      <c r="K84" s="726">
        <v>0</v>
      </c>
      <c r="L84" s="726">
        <v>200870</v>
      </c>
      <c r="M84" s="726">
        <v>0</v>
      </c>
      <c r="N84" s="726">
        <v>0</v>
      </c>
      <c r="O84" s="726">
        <v>0</v>
      </c>
      <c r="P84" s="726">
        <v>0</v>
      </c>
      <c r="Q84" s="726">
        <v>0</v>
      </c>
      <c r="R84" s="726">
        <v>0</v>
      </c>
      <c r="S84" s="726">
        <v>0</v>
      </c>
      <c r="T84" s="726">
        <v>0</v>
      </c>
      <c r="U84" s="726">
        <v>0</v>
      </c>
      <c r="V84" s="726">
        <v>0</v>
      </c>
      <c r="W84" s="726">
        <v>0</v>
      </c>
      <c r="X84" s="724" t="s">
        <v>674</v>
      </c>
      <c r="Y84" s="724" t="s">
        <v>1226</v>
      </c>
      <c r="Z84" s="724" t="s">
        <v>1226</v>
      </c>
      <c r="AA84" s="724" t="s">
        <v>675</v>
      </c>
      <c r="AB84" s="724" t="s">
        <v>675</v>
      </c>
      <c r="AC84" s="724"/>
      <c r="AD84" s="724"/>
      <c r="AE84" s="724"/>
      <c r="AF84" s="724"/>
      <c r="AG84" s="725" t="s">
        <v>687</v>
      </c>
      <c r="AH84" s="724"/>
      <c r="AI84" s="725" t="s">
        <v>687</v>
      </c>
      <c r="AJ84" s="725" t="s">
        <v>677</v>
      </c>
      <c r="AK84" s="724" t="s">
        <v>677</v>
      </c>
      <c r="AL84" s="724"/>
      <c r="AM84" s="724"/>
      <c r="AN84" s="724"/>
      <c r="AO84" s="724"/>
      <c r="AP84" s="724"/>
      <c r="AQ84" s="724"/>
      <c r="AR84" s="726"/>
      <c r="AS84" s="724"/>
      <c r="AT84" s="726"/>
      <c r="AU84" s="724" t="s">
        <v>678</v>
      </c>
      <c r="AV84" s="724" t="s">
        <v>677</v>
      </c>
      <c r="AW84" s="724" t="s">
        <v>676</v>
      </c>
      <c r="AX84" s="724" t="s">
        <v>674</v>
      </c>
      <c r="AY84" s="724"/>
      <c r="AZ84" s="724"/>
      <c r="BA84" s="724" t="s">
        <v>679</v>
      </c>
      <c r="BB84" s="724"/>
      <c r="BC84" s="724"/>
      <c r="BD84" s="724"/>
      <c r="BE84" s="726"/>
      <c r="BF84" s="724" t="s">
        <v>298</v>
      </c>
      <c r="BG84" s="724" t="s">
        <v>680</v>
      </c>
      <c r="BH84" s="724" t="s">
        <v>681</v>
      </c>
      <c r="BI84" s="724"/>
    </row>
    <row r="85" spans="1:61">
      <c r="A85" s="724" t="s">
        <v>682</v>
      </c>
      <c r="B85" s="724" t="s">
        <v>682</v>
      </c>
      <c r="C85" s="724" t="s">
        <v>683</v>
      </c>
      <c r="D85" s="724" t="s">
        <v>673</v>
      </c>
      <c r="E85" s="724" t="s">
        <v>3</v>
      </c>
      <c r="F85" s="725" t="s">
        <v>7</v>
      </c>
      <c r="G85" s="725" t="s">
        <v>684</v>
      </c>
      <c r="H85" s="726">
        <v>3347790</v>
      </c>
      <c r="I85" s="726">
        <v>3347790</v>
      </c>
      <c r="J85" s="726">
        <v>0</v>
      </c>
      <c r="K85" s="726">
        <v>0</v>
      </c>
      <c r="L85" s="726">
        <v>3347790</v>
      </c>
      <c r="M85" s="726">
        <v>0</v>
      </c>
      <c r="N85" s="726">
        <v>0</v>
      </c>
      <c r="O85" s="726">
        <v>0</v>
      </c>
      <c r="P85" s="726">
        <v>0</v>
      </c>
      <c r="Q85" s="726">
        <v>0</v>
      </c>
      <c r="R85" s="726">
        <v>0</v>
      </c>
      <c r="S85" s="726">
        <v>0</v>
      </c>
      <c r="T85" s="726">
        <v>0</v>
      </c>
      <c r="U85" s="726">
        <v>0</v>
      </c>
      <c r="V85" s="726">
        <v>0</v>
      </c>
      <c r="W85" s="726">
        <v>0</v>
      </c>
      <c r="X85" s="724" t="s">
        <v>674</v>
      </c>
      <c r="Y85" s="724" t="s">
        <v>1226</v>
      </c>
      <c r="Z85" s="724" t="s">
        <v>1226</v>
      </c>
      <c r="AA85" s="724" t="s">
        <v>675</v>
      </c>
      <c r="AB85" s="724" t="s">
        <v>675</v>
      </c>
      <c r="AC85" s="724"/>
      <c r="AD85" s="724"/>
      <c r="AE85" s="724"/>
      <c r="AF85" s="724"/>
      <c r="AG85" s="725" t="s">
        <v>685</v>
      </c>
      <c r="AH85" s="724"/>
      <c r="AI85" s="725" t="s">
        <v>685</v>
      </c>
      <c r="AJ85" s="725" t="s">
        <v>677</v>
      </c>
      <c r="AK85" s="724" t="s">
        <v>677</v>
      </c>
      <c r="AL85" s="724"/>
      <c r="AM85" s="724"/>
      <c r="AN85" s="724"/>
      <c r="AO85" s="724"/>
      <c r="AP85" s="724"/>
      <c r="AQ85" s="724"/>
      <c r="AR85" s="726"/>
      <c r="AS85" s="724"/>
      <c r="AT85" s="726"/>
      <c r="AU85" s="724" t="s">
        <v>678</v>
      </c>
      <c r="AV85" s="724" t="s">
        <v>677</v>
      </c>
      <c r="AW85" s="724" t="s">
        <v>676</v>
      </c>
      <c r="AX85" s="724" t="s">
        <v>674</v>
      </c>
      <c r="AY85" s="724"/>
      <c r="AZ85" s="724"/>
      <c r="BA85" s="724" t="s">
        <v>679</v>
      </c>
      <c r="BB85" s="724"/>
      <c r="BC85" s="724"/>
      <c r="BD85" s="724"/>
      <c r="BE85" s="726"/>
      <c r="BF85" s="724" t="s">
        <v>298</v>
      </c>
      <c r="BG85" s="724" t="s">
        <v>680</v>
      </c>
      <c r="BH85" s="724" t="s">
        <v>681</v>
      </c>
      <c r="BI85" s="724"/>
    </row>
    <row r="86" spans="1:61">
      <c r="A86" s="724" t="s">
        <v>682</v>
      </c>
      <c r="B86" s="724" t="s">
        <v>682</v>
      </c>
      <c r="C86" s="724" t="s">
        <v>683</v>
      </c>
      <c r="D86" s="724" t="s">
        <v>673</v>
      </c>
      <c r="E86" s="724" t="s">
        <v>3</v>
      </c>
      <c r="F86" s="725" t="s">
        <v>7</v>
      </c>
      <c r="G86" s="725" t="s">
        <v>684</v>
      </c>
      <c r="H86" s="726">
        <v>243050</v>
      </c>
      <c r="I86" s="726">
        <v>243050</v>
      </c>
      <c r="J86" s="726">
        <v>0</v>
      </c>
      <c r="K86" s="726">
        <v>0</v>
      </c>
      <c r="L86" s="726">
        <v>243050</v>
      </c>
      <c r="M86" s="726">
        <v>0</v>
      </c>
      <c r="N86" s="726">
        <v>0</v>
      </c>
      <c r="O86" s="726">
        <v>0</v>
      </c>
      <c r="P86" s="726">
        <v>0</v>
      </c>
      <c r="Q86" s="726">
        <v>0</v>
      </c>
      <c r="R86" s="726">
        <v>0</v>
      </c>
      <c r="S86" s="726">
        <v>0</v>
      </c>
      <c r="T86" s="726">
        <v>0</v>
      </c>
      <c r="U86" s="726">
        <v>0</v>
      </c>
      <c r="V86" s="726">
        <v>0</v>
      </c>
      <c r="W86" s="726">
        <v>0</v>
      </c>
      <c r="X86" s="724" t="s">
        <v>674</v>
      </c>
      <c r="Y86" s="724" t="s">
        <v>1226</v>
      </c>
      <c r="Z86" s="724" t="s">
        <v>1226</v>
      </c>
      <c r="AA86" s="724" t="s">
        <v>675</v>
      </c>
      <c r="AB86" s="724" t="s">
        <v>675</v>
      </c>
      <c r="AC86" s="724"/>
      <c r="AD86" s="724"/>
      <c r="AE86" s="724"/>
      <c r="AF86" s="724"/>
      <c r="AG86" s="725" t="s">
        <v>689</v>
      </c>
      <c r="AH86" s="724"/>
      <c r="AI86" s="725" t="s">
        <v>689</v>
      </c>
      <c r="AJ86" s="725" t="s">
        <v>677</v>
      </c>
      <c r="AK86" s="724" t="s">
        <v>677</v>
      </c>
      <c r="AL86" s="724"/>
      <c r="AM86" s="724"/>
      <c r="AN86" s="724"/>
      <c r="AO86" s="724"/>
      <c r="AP86" s="724"/>
      <c r="AQ86" s="724"/>
      <c r="AR86" s="726"/>
      <c r="AS86" s="724"/>
      <c r="AT86" s="726"/>
      <c r="AU86" s="724" t="s">
        <v>678</v>
      </c>
      <c r="AV86" s="724" t="s">
        <v>677</v>
      </c>
      <c r="AW86" s="724" t="s">
        <v>676</v>
      </c>
      <c r="AX86" s="724" t="s">
        <v>674</v>
      </c>
      <c r="AY86" s="724"/>
      <c r="AZ86" s="724"/>
      <c r="BA86" s="724" t="s">
        <v>679</v>
      </c>
      <c r="BB86" s="724"/>
      <c r="BC86" s="724"/>
      <c r="BD86" s="724"/>
      <c r="BE86" s="726"/>
      <c r="BF86" s="724" t="s">
        <v>298</v>
      </c>
      <c r="BG86" s="724" t="s">
        <v>680</v>
      </c>
      <c r="BH86" s="724" t="s">
        <v>681</v>
      </c>
      <c r="BI86" s="724"/>
    </row>
    <row r="87" spans="1:61">
      <c r="A87" s="724" t="s">
        <v>682</v>
      </c>
      <c r="B87" s="724" t="s">
        <v>682</v>
      </c>
      <c r="C87" s="724" t="s">
        <v>683</v>
      </c>
      <c r="D87" s="724" t="s">
        <v>673</v>
      </c>
      <c r="E87" s="724" t="s">
        <v>3</v>
      </c>
      <c r="F87" s="725" t="s">
        <v>7</v>
      </c>
      <c r="G87" s="725" t="s">
        <v>684</v>
      </c>
      <c r="H87" s="726">
        <v>316700</v>
      </c>
      <c r="I87" s="726">
        <v>316700</v>
      </c>
      <c r="J87" s="726">
        <v>0</v>
      </c>
      <c r="K87" s="726">
        <v>0</v>
      </c>
      <c r="L87" s="726">
        <v>316700</v>
      </c>
      <c r="M87" s="726">
        <v>0</v>
      </c>
      <c r="N87" s="726">
        <v>0</v>
      </c>
      <c r="O87" s="726">
        <v>0</v>
      </c>
      <c r="P87" s="726">
        <v>0</v>
      </c>
      <c r="Q87" s="726">
        <v>0</v>
      </c>
      <c r="R87" s="726">
        <v>0</v>
      </c>
      <c r="S87" s="726">
        <v>0</v>
      </c>
      <c r="T87" s="726">
        <v>0</v>
      </c>
      <c r="U87" s="726">
        <v>0</v>
      </c>
      <c r="V87" s="726">
        <v>0</v>
      </c>
      <c r="W87" s="726">
        <v>0</v>
      </c>
      <c r="X87" s="724" t="s">
        <v>674</v>
      </c>
      <c r="Y87" s="724" t="s">
        <v>1226</v>
      </c>
      <c r="Z87" s="724" t="s">
        <v>1226</v>
      </c>
      <c r="AA87" s="724" t="s">
        <v>675</v>
      </c>
      <c r="AB87" s="724" t="s">
        <v>675</v>
      </c>
      <c r="AC87" s="724"/>
      <c r="AD87" s="724"/>
      <c r="AE87" s="724"/>
      <c r="AF87" s="724"/>
      <c r="AG87" s="725" t="s">
        <v>688</v>
      </c>
      <c r="AH87" s="724"/>
      <c r="AI87" s="725" t="s">
        <v>688</v>
      </c>
      <c r="AJ87" s="725" t="s">
        <v>677</v>
      </c>
      <c r="AK87" s="724" t="s">
        <v>677</v>
      </c>
      <c r="AL87" s="724"/>
      <c r="AM87" s="724"/>
      <c r="AN87" s="724"/>
      <c r="AO87" s="724"/>
      <c r="AP87" s="724"/>
      <c r="AQ87" s="724"/>
      <c r="AR87" s="726"/>
      <c r="AS87" s="724"/>
      <c r="AT87" s="726"/>
      <c r="AU87" s="724" t="s">
        <v>678</v>
      </c>
      <c r="AV87" s="724" t="s">
        <v>677</v>
      </c>
      <c r="AW87" s="724" t="s">
        <v>676</v>
      </c>
      <c r="AX87" s="724" t="s">
        <v>674</v>
      </c>
      <c r="AY87" s="724"/>
      <c r="AZ87" s="724"/>
      <c r="BA87" s="724" t="s">
        <v>679</v>
      </c>
      <c r="BB87" s="724"/>
      <c r="BC87" s="724"/>
      <c r="BD87" s="724"/>
      <c r="BE87" s="726"/>
      <c r="BF87" s="724" t="s">
        <v>298</v>
      </c>
      <c r="BG87" s="724" t="s">
        <v>680</v>
      </c>
      <c r="BH87" s="724" t="s">
        <v>681</v>
      </c>
      <c r="BI87" s="724"/>
    </row>
    <row r="88" spans="1:61">
      <c r="A88" s="724" t="s">
        <v>682</v>
      </c>
      <c r="B88" s="724" t="s">
        <v>682</v>
      </c>
      <c r="C88" s="724" t="s">
        <v>683</v>
      </c>
      <c r="D88" s="724" t="s">
        <v>673</v>
      </c>
      <c r="E88" s="724" t="s">
        <v>3</v>
      </c>
      <c r="F88" s="725" t="s">
        <v>7</v>
      </c>
      <c r="G88" s="725" t="s">
        <v>684</v>
      </c>
      <c r="H88" s="726">
        <v>274240</v>
      </c>
      <c r="I88" s="726">
        <v>274240</v>
      </c>
      <c r="J88" s="726">
        <v>0</v>
      </c>
      <c r="K88" s="726">
        <v>0</v>
      </c>
      <c r="L88" s="726">
        <v>274240</v>
      </c>
      <c r="M88" s="726">
        <v>0</v>
      </c>
      <c r="N88" s="726">
        <v>0</v>
      </c>
      <c r="O88" s="726">
        <v>0</v>
      </c>
      <c r="P88" s="726">
        <v>0</v>
      </c>
      <c r="Q88" s="726">
        <v>0</v>
      </c>
      <c r="R88" s="726">
        <v>0</v>
      </c>
      <c r="S88" s="726">
        <v>0</v>
      </c>
      <c r="T88" s="726">
        <v>0</v>
      </c>
      <c r="U88" s="726">
        <v>0</v>
      </c>
      <c r="V88" s="726">
        <v>0</v>
      </c>
      <c r="W88" s="726">
        <v>0</v>
      </c>
      <c r="X88" s="724" t="s">
        <v>674</v>
      </c>
      <c r="Y88" s="724" t="s">
        <v>1226</v>
      </c>
      <c r="Z88" s="724" t="s">
        <v>1226</v>
      </c>
      <c r="AA88" s="724" t="s">
        <v>675</v>
      </c>
      <c r="AB88" s="724" t="s">
        <v>675</v>
      </c>
      <c r="AC88" s="724"/>
      <c r="AD88" s="724"/>
      <c r="AE88" s="724"/>
      <c r="AF88" s="724"/>
      <c r="AG88" s="725" t="s">
        <v>686</v>
      </c>
      <c r="AH88" s="724"/>
      <c r="AI88" s="725" t="s">
        <v>686</v>
      </c>
      <c r="AJ88" s="725" t="s">
        <v>677</v>
      </c>
      <c r="AK88" s="724" t="s">
        <v>677</v>
      </c>
      <c r="AL88" s="724"/>
      <c r="AM88" s="724"/>
      <c r="AN88" s="724"/>
      <c r="AO88" s="724"/>
      <c r="AP88" s="724"/>
      <c r="AQ88" s="724"/>
      <c r="AR88" s="726"/>
      <c r="AS88" s="724"/>
      <c r="AT88" s="726"/>
      <c r="AU88" s="724" t="s">
        <v>678</v>
      </c>
      <c r="AV88" s="724" t="s">
        <v>677</v>
      </c>
      <c r="AW88" s="724" t="s">
        <v>676</v>
      </c>
      <c r="AX88" s="724" t="s">
        <v>674</v>
      </c>
      <c r="AY88" s="724"/>
      <c r="AZ88" s="724"/>
      <c r="BA88" s="724" t="s">
        <v>679</v>
      </c>
      <c r="BB88" s="724"/>
      <c r="BC88" s="724"/>
      <c r="BD88" s="724"/>
      <c r="BE88" s="726"/>
      <c r="BF88" s="724" t="s">
        <v>298</v>
      </c>
      <c r="BG88" s="724" t="s">
        <v>680</v>
      </c>
      <c r="BH88" s="724" t="s">
        <v>681</v>
      </c>
      <c r="BI88" s="724"/>
    </row>
    <row r="89" spans="1:61">
      <c r="A89" s="724" t="s">
        <v>682</v>
      </c>
      <c r="B89" s="724" t="s">
        <v>682</v>
      </c>
      <c r="C89" s="724" t="s">
        <v>683</v>
      </c>
      <c r="D89" s="724" t="s">
        <v>673</v>
      </c>
      <c r="E89" s="724" t="s">
        <v>3</v>
      </c>
      <c r="F89" s="725" t="s">
        <v>7</v>
      </c>
      <c r="G89" s="725" t="s">
        <v>684</v>
      </c>
      <c r="H89" s="726">
        <v>2569587</v>
      </c>
      <c r="I89" s="726">
        <v>2569587</v>
      </c>
      <c r="J89" s="726">
        <v>0</v>
      </c>
      <c r="K89" s="726">
        <v>0</v>
      </c>
      <c r="L89" s="726">
        <v>2569587</v>
      </c>
      <c r="M89" s="726">
        <v>0</v>
      </c>
      <c r="N89" s="726">
        <v>0</v>
      </c>
      <c r="O89" s="726">
        <v>0</v>
      </c>
      <c r="P89" s="726">
        <v>0</v>
      </c>
      <c r="Q89" s="726">
        <v>0</v>
      </c>
      <c r="R89" s="726">
        <v>0</v>
      </c>
      <c r="S89" s="726">
        <v>0</v>
      </c>
      <c r="T89" s="726">
        <v>0</v>
      </c>
      <c r="U89" s="726">
        <v>0</v>
      </c>
      <c r="V89" s="726">
        <v>0</v>
      </c>
      <c r="W89" s="726">
        <v>0</v>
      </c>
      <c r="X89" s="724" t="s">
        <v>674</v>
      </c>
      <c r="Y89" s="724" t="s">
        <v>1226</v>
      </c>
      <c r="Z89" s="724" t="s">
        <v>1226</v>
      </c>
      <c r="AA89" s="724" t="s">
        <v>675</v>
      </c>
      <c r="AB89" s="724" t="s">
        <v>675</v>
      </c>
      <c r="AC89" s="724"/>
      <c r="AD89" s="724"/>
      <c r="AE89" s="724"/>
      <c r="AF89" s="724"/>
      <c r="AG89" s="725" t="s">
        <v>685</v>
      </c>
      <c r="AH89" s="724"/>
      <c r="AI89" s="725" t="s">
        <v>685</v>
      </c>
      <c r="AJ89" s="725" t="s">
        <v>677</v>
      </c>
      <c r="AK89" s="724" t="s">
        <v>677</v>
      </c>
      <c r="AL89" s="724"/>
      <c r="AM89" s="724"/>
      <c r="AN89" s="724"/>
      <c r="AO89" s="724"/>
      <c r="AP89" s="724"/>
      <c r="AQ89" s="724"/>
      <c r="AR89" s="726"/>
      <c r="AS89" s="724"/>
      <c r="AT89" s="726"/>
      <c r="AU89" s="724" t="s">
        <v>678</v>
      </c>
      <c r="AV89" s="724" t="s">
        <v>677</v>
      </c>
      <c r="AW89" s="724" t="s">
        <v>676</v>
      </c>
      <c r="AX89" s="724" t="s">
        <v>674</v>
      </c>
      <c r="AY89" s="724"/>
      <c r="AZ89" s="724"/>
      <c r="BA89" s="724" t="s">
        <v>679</v>
      </c>
      <c r="BB89" s="724"/>
      <c r="BC89" s="724"/>
      <c r="BD89" s="724"/>
      <c r="BE89" s="726"/>
      <c r="BF89" s="724" t="s">
        <v>298</v>
      </c>
      <c r="BG89" s="724" t="s">
        <v>680</v>
      </c>
      <c r="BH89" s="724" t="s">
        <v>681</v>
      </c>
      <c r="BI89" s="724"/>
    </row>
    <row r="90" spans="1:61">
      <c r="A90" s="724" t="s">
        <v>682</v>
      </c>
      <c r="B90" s="724" t="s">
        <v>682</v>
      </c>
      <c r="C90" s="724" t="s">
        <v>683</v>
      </c>
      <c r="D90" s="724" t="s">
        <v>673</v>
      </c>
      <c r="E90" s="724" t="s">
        <v>3</v>
      </c>
      <c r="F90" s="725" t="s">
        <v>7</v>
      </c>
      <c r="G90" s="725" t="s">
        <v>684</v>
      </c>
      <c r="H90" s="726">
        <v>171354</v>
      </c>
      <c r="I90" s="726">
        <v>171354</v>
      </c>
      <c r="J90" s="726">
        <v>0</v>
      </c>
      <c r="K90" s="726">
        <v>0</v>
      </c>
      <c r="L90" s="726">
        <v>171354</v>
      </c>
      <c r="M90" s="726">
        <v>0</v>
      </c>
      <c r="N90" s="726">
        <v>0</v>
      </c>
      <c r="O90" s="726">
        <v>0</v>
      </c>
      <c r="P90" s="726">
        <v>0</v>
      </c>
      <c r="Q90" s="726">
        <v>0</v>
      </c>
      <c r="R90" s="726">
        <v>0</v>
      </c>
      <c r="S90" s="726">
        <v>0</v>
      </c>
      <c r="T90" s="726">
        <v>0</v>
      </c>
      <c r="U90" s="726">
        <v>0</v>
      </c>
      <c r="V90" s="726">
        <v>0</v>
      </c>
      <c r="W90" s="726">
        <v>0</v>
      </c>
      <c r="X90" s="724" t="s">
        <v>674</v>
      </c>
      <c r="Y90" s="724" t="s">
        <v>1226</v>
      </c>
      <c r="Z90" s="724" t="s">
        <v>1226</v>
      </c>
      <c r="AA90" s="724" t="s">
        <v>675</v>
      </c>
      <c r="AB90" s="724" t="s">
        <v>675</v>
      </c>
      <c r="AC90" s="724"/>
      <c r="AD90" s="724"/>
      <c r="AE90" s="724"/>
      <c r="AF90" s="724"/>
      <c r="AG90" s="725" t="s">
        <v>689</v>
      </c>
      <c r="AH90" s="724"/>
      <c r="AI90" s="725" t="s">
        <v>689</v>
      </c>
      <c r="AJ90" s="725" t="s">
        <v>677</v>
      </c>
      <c r="AK90" s="724" t="s">
        <v>677</v>
      </c>
      <c r="AL90" s="724"/>
      <c r="AM90" s="724"/>
      <c r="AN90" s="724"/>
      <c r="AO90" s="724"/>
      <c r="AP90" s="724"/>
      <c r="AQ90" s="724"/>
      <c r="AR90" s="726"/>
      <c r="AS90" s="724"/>
      <c r="AT90" s="726"/>
      <c r="AU90" s="724" t="s">
        <v>678</v>
      </c>
      <c r="AV90" s="724" t="s">
        <v>677</v>
      </c>
      <c r="AW90" s="724" t="s">
        <v>676</v>
      </c>
      <c r="AX90" s="724" t="s">
        <v>674</v>
      </c>
      <c r="AY90" s="724"/>
      <c r="AZ90" s="724"/>
      <c r="BA90" s="724" t="s">
        <v>679</v>
      </c>
      <c r="BB90" s="724"/>
      <c r="BC90" s="724"/>
      <c r="BD90" s="724"/>
      <c r="BE90" s="726"/>
      <c r="BF90" s="724" t="s">
        <v>298</v>
      </c>
      <c r="BG90" s="724" t="s">
        <v>680</v>
      </c>
      <c r="BH90" s="724" t="s">
        <v>681</v>
      </c>
      <c r="BI90" s="724"/>
    </row>
    <row r="91" spans="1:61">
      <c r="A91" s="724" t="s">
        <v>682</v>
      </c>
      <c r="B91" s="724" t="s">
        <v>682</v>
      </c>
      <c r="C91" s="724" t="s">
        <v>683</v>
      </c>
      <c r="D91" s="724" t="s">
        <v>673</v>
      </c>
      <c r="E91" s="724" t="s">
        <v>3</v>
      </c>
      <c r="F91" s="725" t="s">
        <v>7</v>
      </c>
      <c r="G91" s="725" t="s">
        <v>684</v>
      </c>
      <c r="H91" s="726">
        <v>23240</v>
      </c>
      <c r="I91" s="726">
        <v>23240</v>
      </c>
      <c r="J91" s="726">
        <v>0</v>
      </c>
      <c r="K91" s="726">
        <v>0</v>
      </c>
      <c r="L91" s="726">
        <v>23240</v>
      </c>
      <c r="M91" s="726">
        <v>0</v>
      </c>
      <c r="N91" s="726">
        <v>0</v>
      </c>
      <c r="O91" s="726">
        <v>0</v>
      </c>
      <c r="P91" s="726">
        <v>0</v>
      </c>
      <c r="Q91" s="726">
        <v>0</v>
      </c>
      <c r="R91" s="726">
        <v>0</v>
      </c>
      <c r="S91" s="726">
        <v>0</v>
      </c>
      <c r="T91" s="726">
        <v>0</v>
      </c>
      <c r="U91" s="726">
        <v>0</v>
      </c>
      <c r="V91" s="726">
        <v>0</v>
      </c>
      <c r="W91" s="726">
        <v>0</v>
      </c>
      <c r="X91" s="724" t="s">
        <v>674</v>
      </c>
      <c r="Y91" s="724" t="s">
        <v>675</v>
      </c>
      <c r="Z91" s="724" t="s">
        <v>675</v>
      </c>
      <c r="AA91" s="724" t="s">
        <v>675</v>
      </c>
      <c r="AB91" s="724" t="s">
        <v>675</v>
      </c>
      <c r="AC91" s="724"/>
      <c r="AD91" s="724"/>
      <c r="AE91" s="724"/>
      <c r="AF91" s="724"/>
      <c r="AG91" s="725" t="s">
        <v>687</v>
      </c>
      <c r="AH91" s="724"/>
      <c r="AI91" s="725" t="s">
        <v>687</v>
      </c>
      <c r="AJ91" s="725" t="s">
        <v>677</v>
      </c>
      <c r="AK91" s="724" t="s">
        <v>677</v>
      </c>
      <c r="AL91" s="724"/>
      <c r="AM91" s="724"/>
      <c r="AN91" s="724"/>
      <c r="AO91" s="724"/>
      <c r="AP91" s="724"/>
      <c r="AQ91" s="724"/>
      <c r="AR91" s="726"/>
      <c r="AS91" s="724"/>
      <c r="AT91" s="726"/>
      <c r="AU91" s="724" t="s">
        <v>678</v>
      </c>
      <c r="AV91" s="724" t="s">
        <v>677</v>
      </c>
      <c r="AW91" s="724" t="s">
        <v>676</v>
      </c>
      <c r="AX91" s="724" t="s">
        <v>674</v>
      </c>
      <c r="AY91" s="724"/>
      <c r="AZ91" s="724"/>
      <c r="BA91" s="724" t="s">
        <v>679</v>
      </c>
      <c r="BB91" s="724"/>
      <c r="BC91" s="724"/>
      <c r="BD91" s="724"/>
      <c r="BE91" s="726"/>
      <c r="BF91" s="724" t="s">
        <v>298</v>
      </c>
      <c r="BG91" s="724" t="s">
        <v>680</v>
      </c>
      <c r="BH91" s="724" t="s">
        <v>681</v>
      </c>
      <c r="BI91" s="724"/>
    </row>
    <row r="92" spans="1:61">
      <c r="A92" s="724" t="s">
        <v>682</v>
      </c>
      <c r="B92" s="724" t="s">
        <v>682</v>
      </c>
      <c r="C92" s="724" t="s">
        <v>683</v>
      </c>
      <c r="D92" s="724" t="s">
        <v>673</v>
      </c>
      <c r="E92" s="724" t="s">
        <v>3</v>
      </c>
      <c r="F92" s="725" t="s">
        <v>7</v>
      </c>
      <c r="G92" s="725" t="s">
        <v>684</v>
      </c>
      <c r="H92" s="726">
        <v>193340</v>
      </c>
      <c r="I92" s="726">
        <v>193340</v>
      </c>
      <c r="J92" s="726">
        <v>0</v>
      </c>
      <c r="K92" s="726">
        <v>0</v>
      </c>
      <c r="L92" s="726">
        <v>193340</v>
      </c>
      <c r="M92" s="726">
        <v>0</v>
      </c>
      <c r="N92" s="726">
        <v>0</v>
      </c>
      <c r="O92" s="726">
        <v>0</v>
      </c>
      <c r="P92" s="726">
        <v>0</v>
      </c>
      <c r="Q92" s="726">
        <v>0</v>
      </c>
      <c r="R92" s="726">
        <v>0</v>
      </c>
      <c r="S92" s="726">
        <v>0</v>
      </c>
      <c r="T92" s="726">
        <v>0</v>
      </c>
      <c r="U92" s="726">
        <v>0</v>
      </c>
      <c r="V92" s="726">
        <v>0</v>
      </c>
      <c r="W92" s="726">
        <v>0</v>
      </c>
      <c r="X92" s="724" t="s">
        <v>674</v>
      </c>
      <c r="Y92" s="724" t="s">
        <v>1226</v>
      </c>
      <c r="Z92" s="724" t="s">
        <v>1226</v>
      </c>
      <c r="AA92" s="724" t="s">
        <v>675</v>
      </c>
      <c r="AB92" s="724" t="s">
        <v>675</v>
      </c>
      <c r="AC92" s="724"/>
      <c r="AD92" s="724"/>
      <c r="AE92" s="724"/>
      <c r="AF92" s="724"/>
      <c r="AG92" s="725" t="s">
        <v>686</v>
      </c>
      <c r="AH92" s="724"/>
      <c r="AI92" s="725" t="s">
        <v>686</v>
      </c>
      <c r="AJ92" s="725" t="s">
        <v>677</v>
      </c>
      <c r="AK92" s="724" t="s">
        <v>677</v>
      </c>
      <c r="AL92" s="724"/>
      <c r="AM92" s="724"/>
      <c r="AN92" s="724"/>
      <c r="AO92" s="724"/>
      <c r="AP92" s="724"/>
      <c r="AQ92" s="724"/>
      <c r="AR92" s="726"/>
      <c r="AS92" s="724"/>
      <c r="AT92" s="726"/>
      <c r="AU92" s="724" t="s">
        <v>678</v>
      </c>
      <c r="AV92" s="724" t="s">
        <v>677</v>
      </c>
      <c r="AW92" s="724" t="s">
        <v>676</v>
      </c>
      <c r="AX92" s="724" t="s">
        <v>674</v>
      </c>
      <c r="AY92" s="724"/>
      <c r="AZ92" s="724"/>
      <c r="BA92" s="724" t="s">
        <v>679</v>
      </c>
      <c r="BB92" s="724"/>
      <c r="BC92" s="724"/>
      <c r="BD92" s="724"/>
      <c r="BE92" s="726"/>
      <c r="BF92" s="724" t="s">
        <v>298</v>
      </c>
      <c r="BG92" s="724" t="s">
        <v>680</v>
      </c>
      <c r="BH92" s="724" t="s">
        <v>681</v>
      </c>
      <c r="BI92" s="724"/>
    </row>
    <row r="93" spans="1:61">
      <c r="A93" s="724" t="s">
        <v>682</v>
      </c>
      <c r="B93" s="724" t="s">
        <v>682</v>
      </c>
      <c r="C93" s="724" t="s">
        <v>683</v>
      </c>
      <c r="D93" s="724" t="s">
        <v>673</v>
      </c>
      <c r="E93" s="724" t="s">
        <v>3</v>
      </c>
      <c r="F93" s="725" t="s">
        <v>7</v>
      </c>
      <c r="G93" s="725" t="s">
        <v>684</v>
      </c>
      <c r="H93" s="726">
        <v>1839670</v>
      </c>
      <c r="I93" s="726">
        <v>1839670</v>
      </c>
      <c r="J93" s="726">
        <v>0</v>
      </c>
      <c r="K93" s="726">
        <v>0</v>
      </c>
      <c r="L93" s="726">
        <v>1839670</v>
      </c>
      <c r="M93" s="726">
        <v>0</v>
      </c>
      <c r="N93" s="726">
        <v>0</v>
      </c>
      <c r="O93" s="726">
        <v>0</v>
      </c>
      <c r="P93" s="726">
        <v>0</v>
      </c>
      <c r="Q93" s="726">
        <v>0</v>
      </c>
      <c r="R93" s="726">
        <v>0</v>
      </c>
      <c r="S93" s="726">
        <v>0</v>
      </c>
      <c r="T93" s="726">
        <v>0</v>
      </c>
      <c r="U93" s="726">
        <v>0</v>
      </c>
      <c r="V93" s="726">
        <v>0</v>
      </c>
      <c r="W93" s="726">
        <v>0</v>
      </c>
      <c r="X93" s="724" t="s">
        <v>674</v>
      </c>
      <c r="Y93" s="724" t="s">
        <v>1226</v>
      </c>
      <c r="Z93" s="724" t="s">
        <v>1226</v>
      </c>
      <c r="AA93" s="724" t="s">
        <v>675</v>
      </c>
      <c r="AB93" s="724" t="s">
        <v>675</v>
      </c>
      <c r="AC93" s="724"/>
      <c r="AD93" s="724"/>
      <c r="AE93" s="724"/>
      <c r="AF93" s="724"/>
      <c r="AG93" s="725" t="s">
        <v>685</v>
      </c>
      <c r="AH93" s="724"/>
      <c r="AI93" s="725" t="s">
        <v>685</v>
      </c>
      <c r="AJ93" s="725" t="s">
        <v>677</v>
      </c>
      <c r="AK93" s="724" t="s">
        <v>677</v>
      </c>
      <c r="AL93" s="724"/>
      <c r="AM93" s="724"/>
      <c r="AN93" s="724"/>
      <c r="AO93" s="724"/>
      <c r="AP93" s="724"/>
      <c r="AQ93" s="724"/>
      <c r="AR93" s="726"/>
      <c r="AS93" s="724"/>
      <c r="AT93" s="726"/>
      <c r="AU93" s="724" t="s">
        <v>678</v>
      </c>
      <c r="AV93" s="724" t="s">
        <v>677</v>
      </c>
      <c r="AW93" s="724" t="s">
        <v>676</v>
      </c>
      <c r="AX93" s="724" t="s">
        <v>674</v>
      </c>
      <c r="AY93" s="724"/>
      <c r="AZ93" s="724"/>
      <c r="BA93" s="724" t="s">
        <v>679</v>
      </c>
      <c r="BB93" s="724"/>
      <c r="BC93" s="724"/>
      <c r="BD93" s="724"/>
      <c r="BE93" s="726"/>
      <c r="BF93" s="724" t="s">
        <v>298</v>
      </c>
      <c r="BG93" s="724" t="s">
        <v>680</v>
      </c>
      <c r="BH93" s="724" t="s">
        <v>681</v>
      </c>
      <c r="BI93" s="724"/>
    </row>
    <row r="94" spans="1:61">
      <c r="A94" s="724" t="s">
        <v>885</v>
      </c>
      <c r="B94" s="724" t="s">
        <v>1179</v>
      </c>
      <c r="C94" s="724" t="s">
        <v>729</v>
      </c>
      <c r="D94" s="724" t="s">
        <v>724</v>
      </c>
      <c r="E94" s="724" t="s">
        <v>3</v>
      </c>
      <c r="F94" s="725" t="s">
        <v>83</v>
      </c>
      <c r="G94" s="725" t="s">
        <v>93</v>
      </c>
      <c r="H94" s="726">
        <v>19900</v>
      </c>
      <c r="I94" s="726">
        <v>19900</v>
      </c>
      <c r="J94" s="726">
        <v>0</v>
      </c>
      <c r="K94" s="726">
        <v>0</v>
      </c>
      <c r="L94" s="726">
        <v>18091</v>
      </c>
      <c r="M94" s="726">
        <v>0</v>
      </c>
      <c r="N94" s="726">
        <v>0</v>
      </c>
      <c r="O94" s="726">
        <v>1809</v>
      </c>
      <c r="P94" s="726">
        <v>0</v>
      </c>
      <c r="Q94" s="726">
        <v>0</v>
      </c>
      <c r="R94" s="726">
        <v>0</v>
      </c>
      <c r="S94" s="726">
        <v>0</v>
      </c>
      <c r="T94" s="726">
        <v>0</v>
      </c>
      <c r="U94" s="726">
        <v>0</v>
      </c>
      <c r="V94" s="726">
        <v>0</v>
      </c>
      <c r="W94" s="726">
        <v>0</v>
      </c>
      <c r="X94" s="724" t="s">
        <v>674</v>
      </c>
      <c r="Y94" s="724" t="s">
        <v>675</v>
      </c>
      <c r="Z94" s="724" t="s">
        <v>675</v>
      </c>
      <c r="AA94" s="724" t="s">
        <v>675</v>
      </c>
      <c r="AB94" s="724" t="s">
        <v>675</v>
      </c>
      <c r="AC94" s="724"/>
      <c r="AD94" s="724"/>
      <c r="AE94" s="724" t="s">
        <v>676</v>
      </c>
      <c r="AF94" s="724"/>
      <c r="AG94" s="725" t="s">
        <v>1180</v>
      </c>
      <c r="AH94" s="724"/>
      <c r="AI94" s="725" t="s">
        <v>1180</v>
      </c>
      <c r="AJ94" s="725" t="s">
        <v>1181</v>
      </c>
      <c r="AK94" s="724" t="s">
        <v>677</v>
      </c>
      <c r="AL94" s="724"/>
      <c r="AM94" s="724" t="s">
        <v>726</v>
      </c>
      <c r="AN94" s="724" t="s">
        <v>1187</v>
      </c>
      <c r="AO94" s="724" t="s">
        <v>885</v>
      </c>
      <c r="AP94" s="724" t="s">
        <v>683</v>
      </c>
      <c r="AQ94" s="724" t="s">
        <v>1184</v>
      </c>
      <c r="AR94" s="726">
        <v>19900</v>
      </c>
      <c r="AS94" s="724" t="s">
        <v>675</v>
      </c>
      <c r="AT94" s="726">
        <v>0</v>
      </c>
      <c r="AU94" s="724" t="s">
        <v>678</v>
      </c>
      <c r="AV94" s="724" t="s">
        <v>677</v>
      </c>
      <c r="AW94" s="724" t="s">
        <v>676</v>
      </c>
      <c r="AX94" s="724" t="s">
        <v>674</v>
      </c>
      <c r="AY94" s="724"/>
      <c r="AZ94" s="724"/>
      <c r="BA94" s="724" t="s">
        <v>679</v>
      </c>
      <c r="BB94" s="724"/>
      <c r="BC94" s="724"/>
      <c r="BD94" s="724"/>
      <c r="BE94" s="726"/>
      <c r="BF94" s="724" t="s">
        <v>298</v>
      </c>
      <c r="BG94" s="724" t="s">
        <v>680</v>
      </c>
      <c r="BH94" s="724" t="s">
        <v>681</v>
      </c>
      <c r="BI94" s="724"/>
    </row>
    <row r="95" spans="1:61">
      <c r="A95" s="724" t="s">
        <v>885</v>
      </c>
      <c r="B95" s="724" t="s">
        <v>1179</v>
      </c>
      <c r="C95" s="724" t="s">
        <v>729</v>
      </c>
      <c r="D95" s="724" t="s">
        <v>724</v>
      </c>
      <c r="E95" s="724" t="s">
        <v>3</v>
      </c>
      <c r="F95" s="725" t="s">
        <v>83</v>
      </c>
      <c r="G95" s="725" t="s">
        <v>700</v>
      </c>
      <c r="H95" s="726">
        <v>318400</v>
      </c>
      <c r="I95" s="726">
        <v>318400</v>
      </c>
      <c r="J95" s="726">
        <v>0</v>
      </c>
      <c r="K95" s="726">
        <v>0</v>
      </c>
      <c r="L95" s="726">
        <v>289455</v>
      </c>
      <c r="M95" s="726">
        <v>0</v>
      </c>
      <c r="N95" s="726">
        <v>0</v>
      </c>
      <c r="O95" s="726">
        <v>28945</v>
      </c>
      <c r="P95" s="726">
        <v>0</v>
      </c>
      <c r="Q95" s="726">
        <v>0</v>
      </c>
      <c r="R95" s="726">
        <v>0</v>
      </c>
      <c r="S95" s="726">
        <v>0</v>
      </c>
      <c r="T95" s="726">
        <v>0</v>
      </c>
      <c r="U95" s="726">
        <v>0</v>
      </c>
      <c r="V95" s="726">
        <v>0</v>
      </c>
      <c r="W95" s="726">
        <v>0</v>
      </c>
      <c r="X95" s="724" t="s">
        <v>674</v>
      </c>
      <c r="Y95" s="724" t="s">
        <v>1226</v>
      </c>
      <c r="Z95" s="724" t="s">
        <v>1226</v>
      </c>
      <c r="AA95" s="724" t="s">
        <v>675</v>
      </c>
      <c r="AB95" s="724" t="s">
        <v>675</v>
      </c>
      <c r="AC95" s="724"/>
      <c r="AD95" s="724"/>
      <c r="AE95" s="724"/>
      <c r="AF95" s="724"/>
      <c r="AG95" s="725" t="s">
        <v>1185</v>
      </c>
      <c r="AH95" s="724"/>
      <c r="AI95" s="725" t="s">
        <v>1185</v>
      </c>
      <c r="AJ95" s="725" t="s">
        <v>1181</v>
      </c>
      <c r="AK95" s="724" t="s">
        <v>677</v>
      </c>
      <c r="AL95" s="724"/>
      <c r="AM95" s="724" t="s">
        <v>726</v>
      </c>
      <c r="AN95" s="724" t="s">
        <v>1188</v>
      </c>
      <c r="AO95" s="724" t="s">
        <v>885</v>
      </c>
      <c r="AP95" s="724" t="s">
        <v>683</v>
      </c>
      <c r="AQ95" s="724" t="s">
        <v>1184</v>
      </c>
      <c r="AR95" s="726">
        <v>318400</v>
      </c>
      <c r="AS95" s="724" t="s">
        <v>675</v>
      </c>
      <c r="AT95" s="726">
        <v>0</v>
      </c>
      <c r="AU95" s="724" t="s">
        <v>678</v>
      </c>
      <c r="AV95" s="724" t="s">
        <v>677</v>
      </c>
      <c r="AW95" s="724" t="s">
        <v>676</v>
      </c>
      <c r="AX95" s="724" t="s">
        <v>674</v>
      </c>
      <c r="AY95" s="724"/>
      <c r="AZ95" s="724"/>
      <c r="BA95" s="724" t="s">
        <v>679</v>
      </c>
      <c r="BB95" s="724"/>
      <c r="BC95" s="724"/>
      <c r="BD95" s="724"/>
      <c r="BE95" s="726"/>
      <c r="BF95" s="724" t="s">
        <v>298</v>
      </c>
      <c r="BG95" s="724" t="s">
        <v>680</v>
      </c>
      <c r="BH95" s="724" t="s">
        <v>681</v>
      </c>
      <c r="BI95" s="724"/>
    </row>
    <row r="96" spans="1:61">
      <c r="A96" s="724" t="s">
        <v>885</v>
      </c>
      <c r="B96" s="724" t="s">
        <v>1179</v>
      </c>
      <c r="C96" s="724" t="s">
        <v>729</v>
      </c>
      <c r="D96" s="724" t="s">
        <v>724</v>
      </c>
      <c r="E96" s="724" t="s">
        <v>3</v>
      </c>
      <c r="F96" s="725" t="s">
        <v>83</v>
      </c>
      <c r="G96" s="725" t="s">
        <v>700</v>
      </c>
      <c r="H96" s="726">
        <v>34760</v>
      </c>
      <c r="I96" s="726">
        <v>34760</v>
      </c>
      <c r="J96" s="726">
        <v>0</v>
      </c>
      <c r="K96" s="726">
        <v>0</v>
      </c>
      <c r="L96" s="726">
        <v>31600</v>
      </c>
      <c r="M96" s="726">
        <v>0</v>
      </c>
      <c r="N96" s="726">
        <v>0</v>
      </c>
      <c r="O96" s="726">
        <v>3160</v>
      </c>
      <c r="P96" s="726">
        <v>0</v>
      </c>
      <c r="Q96" s="726">
        <v>0</v>
      </c>
      <c r="R96" s="726">
        <v>0</v>
      </c>
      <c r="S96" s="726">
        <v>0</v>
      </c>
      <c r="T96" s="726">
        <v>0</v>
      </c>
      <c r="U96" s="726">
        <v>0</v>
      </c>
      <c r="V96" s="726">
        <v>0</v>
      </c>
      <c r="W96" s="726">
        <v>0</v>
      </c>
      <c r="X96" s="724" t="s">
        <v>674</v>
      </c>
      <c r="Y96" s="724" t="s">
        <v>675</v>
      </c>
      <c r="Z96" s="724" t="s">
        <v>675</v>
      </c>
      <c r="AA96" s="724" t="s">
        <v>675</v>
      </c>
      <c r="AB96" s="724" t="s">
        <v>675</v>
      </c>
      <c r="AC96" s="724"/>
      <c r="AD96" s="724"/>
      <c r="AE96" s="724"/>
      <c r="AF96" s="724"/>
      <c r="AG96" s="725" t="s">
        <v>1189</v>
      </c>
      <c r="AH96" s="724"/>
      <c r="AI96" s="725" t="s">
        <v>1189</v>
      </c>
      <c r="AJ96" s="725" t="s">
        <v>945</v>
      </c>
      <c r="AK96" s="724" t="s">
        <v>677</v>
      </c>
      <c r="AL96" s="724"/>
      <c r="AM96" s="724" t="s">
        <v>763</v>
      </c>
      <c r="AN96" s="724" t="s">
        <v>1190</v>
      </c>
      <c r="AO96" s="724" t="s">
        <v>885</v>
      </c>
      <c r="AP96" s="724" t="s">
        <v>683</v>
      </c>
      <c r="AQ96" s="724" t="s">
        <v>1184</v>
      </c>
      <c r="AR96" s="726">
        <v>34760</v>
      </c>
      <c r="AS96" s="724" t="s">
        <v>675</v>
      </c>
      <c r="AT96" s="726">
        <v>0</v>
      </c>
      <c r="AU96" s="724" t="s">
        <v>678</v>
      </c>
      <c r="AV96" s="724" t="s">
        <v>677</v>
      </c>
      <c r="AW96" s="724" t="s">
        <v>676</v>
      </c>
      <c r="AX96" s="724" t="s">
        <v>674</v>
      </c>
      <c r="AY96" s="724"/>
      <c r="AZ96" s="724"/>
      <c r="BA96" s="724" t="s">
        <v>679</v>
      </c>
      <c r="BB96" s="724"/>
      <c r="BC96" s="724"/>
      <c r="BD96" s="724"/>
      <c r="BE96" s="726"/>
      <c r="BF96" s="724" t="s">
        <v>298</v>
      </c>
      <c r="BG96" s="724" t="s">
        <v>680</v>
      </c>
      <c r="BH96" s="724" t="s">
        <v>681</v>
      </c>
      <c r="BI96" s="724"/>
    </row>
    <row r="97" spans="1:61">
      <c r="A97" s="724" t="s">
        <v>690</v>
      </c>
      <c r="B97" s="724" t="s">
        <v>1179</v>
      </c>
      <c r="C97" s="724" t="s">
        <v>729</v>
      </c>
      <c r="D97" s="724" t="s">
        <v>724</v>
      </c>
      <c r="E97" s="724" t="s">
        <v>3</v>
      </c>
      <c r="F97" s="725" t="s">
        <v>83</v>
      </c>
      <c r="G97" s="725" t="s">
        <v>93</v>
      </c>
      <c r="H97" s="726">
        <v>59700</v>
      </c>
      <c r="I97" s="726">
        <v>59700</v>
      </c>
      <c r="J97" s="726">
        <v>0</v>
      </c>
      <c r="K97" s="726">
        <v>0</v>
      </c>
      <c r="L97" s="726">
        <v>54273</v>
      </c>
      <c r="M97" s="726">
        <v>0</v>
      </c>
      <c r="N97" s="726">
        <v>0</v>
      </c>
      <c r="O97" s="726">
        <v>5427</v>
      </c>
      <c r="P97" s="726">
        <v>0</v>
      </c>
      <c r="Q97" s="726">
        <v>0</v>
      </c>
      <c r="R97" s="726">
        <v>0</v>
      </c>
      <c r="S97" s="726">
        <v>0</v>
      </c>
      <c r="T97" s="726">
        <v>0</v>
      </c>
      <c r="U97" s="726">
        <v>0</v>
      </c>
      <c r="V97" s="726">
        <v>0</v>
      </c>
      <c r="W97" s="726">
        <v>0</v>
      </c>
      <c r="X97" s="724" t="s">
        <v>674</v>
      </c>
      <c r="Y97" s="724" t="s">
        <v>675</v>
      </c>
      <c r="Z97" s="724" t="s">
        <v>675</v>
      </c>
      <c r="AA97" s="724" t="s">
        <v>675</v>
      </c>
      <c r="AB97" s="724" t="s">
        <v>675</v>
      </c>
      <c r="AC97" s="724"/>
      <c r="AD97" s="724"/>
      <c r="AE97" s="724" t="s">
        <v>676</v>
      </c>
      <c r="AF97" s="724"/>
      <c r="AG97" s="725" t="s">
        <v>1180</v>
      </c>
      <c r="AH97" s="724"/>
      <c r="AI97" s="725" t="s">
        <v>1180</v>
      </c>
      <c r="AJ97" s="725" t="s">
        <v>1181</v>
      </c>
      <c r="AK97" s="724" t="s">
        <v>677</v>
      </c>
      <c r="AL97" s="724"/>
      <c r="AM97" s="724" t="s">
        <v>726</v>
      </c>
      <c r="AN97" s="724" t="s">
        <v>1191</v>
      </c>
      <c r="AO97" s="724" t="s">
        <v>690</v>
      </c>
      <c r="AP97" s="724" t="s">
        <v>885</v>
      </c>
      <c r="AQ97" s="724" t="s">
        <v>1184</v>
      </c>
      <c r="AR97" s="726">
        <v>59700</v>
      </c>
      <c r="AS97" s="724" t="s">
        <v>675</v>
      </c>
      <c r="AT97" s="726">
        <v>0</v>
      </c>
      <c r="AU97" s="724" t="s">
        <v>678</v>
      </c>
      <c r="AV97" s="724" t="s">
        <v>677</v>
      </c>
      <c r="AW97" s="724" t="s">
        <v>676</v>
      </c>
      <c r="AX97" s="724" t="s">
        <v>674</v>
      </c>
      <c r="AY97" s="724"/>
      <c r="AZ97" s="724"/>
      <c r="BA97" s="724" t="s">
        <v>679</v>
      </c>
      <c r="BB97" s="724"/>
      <c r="BC97" s="724"/>
      <c r="BD97" s="724"/>
      <c r="BE97" s="726"/>
      <c r="BF97" s="724" t="s">
        <v>298</v>
      </c>
      <c r="BG97" s="724" t="s">
        <v>680</v>
      </c>
      <c r="BH97" s="724" t="s">
        <v>681</v>
      </c>
      <c r="BI97" s="724"/>
    </row>
    <row r="98" spans="1:61">
      <c r="A98" s="724" t="s">
        <v>690</v>
      </c>
      <c r="B98" s="724" t="s">
        <v>1179</v>
      </c>
      <c r="C98" s="724" t="s">
        <v>729</v>
      </c>
      <c r="D98" s="724" t="s">
        <v>724</v>
      </c>
      <c r="E98" s="724" t="s">
        <v>3</v>
      </c>
      <c r="F98" s="725" t="s">
        <v>83</v>
      </c>
      <c r="G98" s="725" t="s">
        <v>93</v>
      </c>
      <c r="H98" s="726">
        <v>19900</v>
      </c>
      <c r="I98" s="726">
        <v>19900</v>
      </c>
      <c r="J98" s="726">
        <v>0</v>
      </c>
      <c r="K98" s="726">
        <v>0</v>
      </c>
      <c r="L98" s="726">
        <v>18091</v>
      </c>
      <c r="M98" s="726">
        <v>0</v>
      </c>
      <c r="N98" s="726">
        <v>0</v>
      </c>
      <c r="O98" s="726">
        <v>1809</v>
      </c>
      <c r="P98" s="726">
        <v>0</v>
      </c>
      <c r="Q98" s="726">
        <v>0</v>
      </c>
      <c r="R98" s="726">
        <v>0</v>
      </c>
      <c r="S98" s="726">
        <v>0</v>
      </c>
      <c r="T98" s="726">
        <v>0</v>
      </c>
      <c r="U98" s="726">
        <v>0</v>
      </c>
      <c r="V98" s="726">
        <v>0</v>
      </c>
      <c r="W98" s="726">
        <v>0</v>
      </c>
      <c r="X98" s="724" t="s">
        <v>674</v>
      </c>
      <c r="Y98" s="724" t="s">
        <v>675</v>
      </c>
      <c r="Z98" s="724" t="s">
        <v>675</v>
      </c>
      <c r="AA98" s="724" t="s">
        <v>675</v>
      </c>
      <c r="AB98" s="724" t="s">
        <v>675</v>
      </c>
      <c r="AC98" s="724"/>
      <c r="AD98" s="724"/>
      <c r="AE98" s="724" t="s">
        <v>676</v>
      </c>
      <c r="AF98" s="724"/>
      <c r="AG98" s="725" t="s">
        <v>1180</v>
      </c>
      <c r="AH98" s="724"/>
      <c r="AI98" s="725" t="s">
        <v>1180</v>
      </c>
      <c r="AJ98" s="725" t="s">
        <v>1181</v>
      </c>
      <c r="AK98" s="724" t="s">
        <v>677</v>
      </c>
      <c r="AL98" s="724"/>
      <c r="AM98" s="724" t="s">
        <v>726</v>
      </c>
      <c r="AN98" s="724" t="s">
        <v>1192</v>
      </c>
      <c r="AO98" s="724" t="s">
        <v>690</v>
      </c>
      <c r="AP98" s="724" t="s">
        <v>885</v>
      </c>
      <c r="AQ98" s="724" t="s">
        <v>1184</v>
      </c>
      <c r="AR98" s="726">
        <v>19900</v>
      </c>
      <c r="AS98" s="724" t="s">
        <v>675</v>
      </c>
      <c r="AT98" s="726">
        <v>0</v>
      </c>
      <c r="AU98" s="724" t="s">
        <v>678</v>
      </c>
      <c r="AV98" s="724" t="s">
        <v>677</v>
      </c>
      <c r="AW98" s="724" t="s">
        <v>676</v>
      </c>
      <c r="AX98" s="724" t="s">
        <v>674</v>
      </c>
      <c r="AY98" s="724"/>
      <c r="AZ98" s="724"/>
      <c r="BA98" s="724" t="s">
        <v>679</v>
      </c>
      <c r="BB98" s="724"/>
      <c r="BC98" s="724"/>
      <c r="BD98" s="724"/>
      <c r="BE98" s="726"/>
      <c r="BF98" s="724" t="s">
        <v>298</v>
      </c>
      <c r="BG98" s="724" t="s">
        <v>680</v>
      </c>
      <c r="BH98" s="724" t="s">
        <v>681</v>
      </c>
      <c r="BI98" s="724"/>
    </row>
    <row r="99" spans="1:61">
      <c r="A99" s="724" t="s">
        <v>690</v>
      </c>
      <c r="B99" s="724" t="s">
        <v>1179</v>
      </c>
      <c r="C99" s="724" t="s">
        <v>729</v>
      </c>
      <c r="D99" s="724" t="s">
        <v>724</v>
      </c>
      <c r="E99" s="724" t="s">
        <v>3</v>
      </c>
      <c r="F99" s="725" t="s">
        <v>83</v>
      </c>
      <c r="G99" s="725" t="s">
        <v>700</v>
      </c>
      <c r="H99" s="726">
        <v>159200</v>
      </c>
      <c r="I99" s="726">
        <v>159200</v>
      </c>
      <c r="J99" s="726">
        <v>0</v>
      </c>
      <c r="K99" s="726">
        <v>0</v>
      </c>
      <c r="L99" s="726">
        <v>144728</v>
      </c>
      <c r="M99" s="726">
        <v>0</v>
      </c>
      <c r="N99" s="726">
        <v>0</v>
      </c>
      <c r="O99" s="726">
        <v>14472</v>
      </c>
      <c r="P99" s="726">
        <v>0</v>
      </c>
      <c r="Q99" s="726">
        <v>0</v>
      </c>
      <c r="R99" s="726">
        <v>0</v>
      </c>
      <c r="S99" s="726">
        <v>0</v>
      </c>
      <c r="T99" s="726">
        <v>0</v>
      </c>
      <c r="U99" s="726">
        <v>0</v>
      </c>
      <c r="V99" s="726">
        <v>0</v>
      </c>
      <c r="W99" s="726">
        <v>0</v>
      </c>
      <c r="X99" s="724" t="s">
        <v>674</v>
      </c>
      <c r="Y99" s="724" t="s">
        <v>1226</v>
      </c>
      <c r="Z99" s="724" t="s">
        <v>1226</v>
      </c>
      <c r="AA99" s="724" t="s">
        <v>675</v>
      </c>
      <c r="AB99" s="724" t="s">
        <v>675</v>
      </c>
      <c r="AC99" s="724"/>
      <c r="AD99" s="724"/>
      <c r="AE99" s="724"/>
      <c r="AF99" s="724"/>
      <c r="AG99" s="725" t="s">
        <v>1185</v>
      </c>
      <c r="AH99" s="724"/>
      <c r="AI99" s="725" t="s">
        <v>1185</v>
      </c>
      <c r="AJ99" s="725" t="s">
        <v>1181</v>
      </c>
      <c r="AK99" s="724" t="s">
        <v>677</v>
      </c>
      <c r="AL99" s="724"/>
      <c r="AM99" s="724" t="s">
        <v>726</v>
      </c>
      <c r="AN99" s="724" t="s">
        <v>1193</v>
      </c>
      <c r="AO99" s="724" t="s">
        <v>690</v>
      </c>
      <c r="AP99" s="724" t="s">
        <v>885</v>
      </c>
      <c r="AQ99" s="724" t="s">
        <v>1184</v>
      </c>
      <c r="AR99" s="726">
        <v>159200</v>
      </c>
      <c r="AS99" s="724" t="s">
        <v>675</v>
      </c>
      <c r="AT99" s="726">
        <v>0</v>
      </c>
      <c r="AU99" s="724" t="s">
        <v>678</v>
      </c>
      <c r="AV99" s="724" t="s">
        <v>677</v>
      </c>
      <c r="AW99" s="724" t="s">
        <v>676</v>
      </c>
      <c r="AX99" s="724" t="s">
        <v>674</v>
      </c>
      <c r="AY99" s="724"/>
      <c r="AZ99" s="724"/>
      <c r="BA99" s="724" t="s">
        <v>679</v>
      </c>
      <c r="BB99" s="724"/>
      <c r="BC99" s="724"/>
      <c r="BD99" s="724"/>
      <c r="BE99" s="726"/>
      <c r="BF99" s="724" t="s">
        <v>298</v>
      </c>
      <c r="BG99" s="724" t="s">
        <v>680</v>
      </c>
      <c r="BH99" s="724" t="s">
        <v>681</v>
      </c>
      <c r="BI99" s="724"/>
    </row>
    <row r="100" spans="1:61">
      <c r="A100" s="724" t="s">
        <v>690</v>
      </c>
      <c r="B100" s="724" t="s">
        <v>1179</v>
      </c>
      <c r="C100" s="724" t="s">
        <v>729</v>
      </c>
      <c r="D100" s="724" t="s">
        <v>724</v>
      </c>
      <c r="E100" s="724" t="s">
        <v>3</v>
      </c>
      <c r="F100" s="725" t="s">
        <v>83</v>
      </c>
      <c r="G100" s="725" t="s">
        <v>700</v>
      </c>
      <c r="H100" s="726">
        <v>19900</v>
      </c>
      <c r="I100" s="726">
        <v>19900</v>
      </c>
      <c r="J100" s="726">
        <v>0</v>
      </c>
      <c r="K100" s="726">
        <v>0</v>
      </c>
      <c r="L100" s="726">
        <v>18091</v>
      </c>
      <c r="M100" s="726">
        <v>0</v>
      </c>
      <c r="N100" s="726">
        <v>0</v>
      </c>
      <c r="O100" s="726">
        <v>1809</v>
      </c>
      <c r="P100" s="726">
        <v>0</v>
      </c>
      <c r="Q100" s="726">
        <v>0</v>
      </c>
      <c r="R100" s="726">
        <v>0</v>
      </c>
      <c r="S100" s="726">
        <v>0</v>
      </c>
      <c r="T100" s="726">
        <v>0</v>
      </c>
      <c r="U100" s="726">
        <v>0</v>
      </c>
      <c r="V100" s="726">
        <v>0</v>
      </c>
      <c r="W100" s="726">
        <v>0</v>
      </c>
      <c r="X100" s="724" t="s">
        <v>674</v>
      </c>
      <c r="Y100" s="724" t="s">
        <v>675</v>
      </c>
      <c r="Z100" s="724" t="s">
        <v>675</v>
      </c>
      <c r="AA100" s="724" t="s">
        <v>675</v>
      </c>
      <c r="AB100" s="724" t="s">
        <v>675</v>
      </c>
      <c r="AC100" s="724"/>
      <c r="AD100" s="724"/>
      <c r="AE100" s="724"/>
      <c r="AF100" s="724"/>
      <c r="AG100" s="725" t="s">
        <v>1185</v>
      </c>
      <c r="AH100" s="724"/>
      <c r="AI100" s="725" t="s">
        <v>1185</v>
      </c>
      <c r="AJ100" s="725" t="s">
        <v>1181</v>
      </c>
      <c r="AK100" s="724" t="s">
        <v>677</v>
      </c>
      <c r="AL100" s="724"/>
      <c r="AM100" s="724" t="s">
        <v>726</v>
      </c>
      <c r="AN100" s="724" t="s">
        <v>1194</v>
      </c>
      <c r="AO100" s="724" t="s">
        <v>690</v>
      </c>
      <c r="AP100" s="724" t="s">
        <v>683</v>
      </c>
      <c r="AQ100" s="724" t="s">
        <v>1184</v>
      </c>
      <c r="AR100" s="726">
        <v>19900</v>
      </c>
      <c r="AS100" s="724" t="s">
        <v>675</v>
      </c>
      <c r="AT100" s="726">
        <v>0</v>
      </c>
      <c r="AU100" s="724" t="s">
        <v>678</v>
      </c>
      <c r="AV100" s="724" t="s">
        <v>677</v>
      </c>
      <c r="AW100" s="724" t="s">
        <v>676</v>
      </c>
      <c r="AX100" s="724" t="s">
        <v>674</v>
      </c>
      <c r="AY100" s="724"/>
      <c r="AZ100" s="724"/>
      <c r="BA100" s="724" t="s">
        <v>679</v>
      </c>
      <c r="BB100" s="724"/>
      <c r="BC100" s="724"/>
      <c r="BD100" s="724"/>
      <c r="BE100" s="726"/>
      <c r="BF100" s="724" t="s">
        <v>298</v>
      </c>
      <c r="BG100" s="724" t="s">
        <v>680</v>
      </c>
      <c r="BH100" s="724" t="s">
        <v>681</v>
      </c>
      <c r="BI100" s="724"/>
    </row>
    <row r="101" spans="1:61">
      <c r="A101" s="724" t="s">
        <v>690</v>
      </c>
      <c r="B101" s="724" t="s">
        <v>1179</v>
      </c>
      <c r="C101" s="724" t="s">
        <v>729</v>
      </c>
      <c r="D101" s="724" t="s">
        <v>724</v>
      </c>
      <c r="E101" s="724" t="s">
        <v>3</v>
      </c>
      <c r="F101" s="725" t="s">
        <v>83</v>
      </c>
      <c r="G101" s="725" t="s">
        <v>700</v>
      </c>
      <c r="H101" s="726">
        <v>19900</v>
      </c>
      <c r="I101" s="726">
        <v>19900</v>
      </c>
      <c r="J101" s="726">
        <v>0</v>
      </c>
      <c r="K101" s="726">
        <v>0</v>
      </c>
      <c r="L101" s="726">
        <v>18091</v>
      </c>
      <c r="M101" s="726">
        <v>0</v>
      </c>
      <c r="N101" s="726">
        <v>0</v>
      </c>
      <c r="O101" s="726">
        <v>1809</v>
      </c>
      <c r="P101" s="726">
        <v>0</v>
      </c>
      <c r="Q101" s="726">
        <v>0</v>
      </c>
      <c r="R101" s="726">
        <v>0</v>
      </c>
      <c r="S101" s="726">
        <v>0</v>
      </c>
      <c r="T101" s="726">
        <v>0</v>
      </c>
      <c r="U101" s="726">
        <v>0</v>
      </c>
      <c r="V101" s="726">
        <v>0</v>
      </c>
      <c r="W101" s="726">
        <v>0</v>
      </c>
      <c r="X101" s="724" t="s">
        <v>674</v>
      </c>
      <c r="Y101" s="724" t="s">
        <v>675</v>
      </c>
      <c r="Z101" s="724" t="s">
        <v>675</v>
      </c>
      <c r="AA101" s="724" t="s">
        <v>675</v>
      </c>
      <c r="AB101" s="724" t="s">
        <v>675</v>
      </c>
      <c r="AC101" s="724"/>
      <c r="AD101" s="724"/>
      <c r="AE101" s="724"/>
      <c r="AF101" s="724"/>
      <c r="AG101" s="725" t="s">
        <v>1185</v>
      </c>
      <c r="AH101" s="724"/>
      <c r="AI101" s="725" t="s">
        <v>1185</v>
      </c>
      <c r="AJ101" s="725" t="s">
        <v>1181</v>
      </c>
      <c r="AK101" s="724" t="s">
        <v>677</v>
      </c>
      <c r="AL101" s="724"/>
      <c r="AM101" s="724" t="s">
        <v>726</v>
      </c>
      <c r="AN101" s="724" t="s">
        <v>1195</v>
      </c>
      <c r="AO101" s="724" t="s">
        <v>690</v>
      </c>
      <c r="AP101" s="724" t="s">
        <v>683</v>
      </c>
      <c r="AQ101" s="724" t="s">
        <v>1184</v>
      </c>
      <c r="AR101" s="726">
        <v>19900</v>
      </c>
      <c r="AS101" s="724" t="s">
        <v>675</v>
      </c>
      <c r="AT101" s="726">
        <v>0</v>
      </c>
      <c r="AU101" s="724" t="s">
        <v>678</v>
      </c>
      <c r="AV101" s="724" t="s">
        <v>677</v>
      </c>
      <c r="AW101" s="724" t="s">
        <v>676</v>
      </c>
      <c r="AX101" s="724" t="s">
        <v>674</v>
      </c>
      <c r="AY101" s="724"/>
      <c r="AZ101" s="724"/>
      <c r="BA101" s="724" t="s">
        <v>679</v>
      </c>
      <c r="BB101" s="724"/>
      <c r="BC101" s="724"/>
      <c r="BD101" s="724"/>
      <c r="BE101" s="726"/>
      <c r="BF101" s="724" t="s">
        <v>298</v>
      </c>
      <c r="BG101" s="724" t="s">
        <v>680</v>
      </c>
      <c r="BH101" s="724" t="s">
        <v>681</v>
      </c>
      <c r="BI101" s="724"/>
    </row>
    <row r="102" spans="1:61">
      <c r="A102" s="724" t="s">
        <v>690</v>
      </c>
      <c r="B102" s="724" t="s">
        <v>1112</v>
      </c>
      <c r="C102" s="724" t="s">
        <v>1105</v>
      </c>
      <c r="D102" s="724" t="s">
        <v>724</v>
      </c>
      <c r="E102" s="724" t="s">
        <v>3</v>
      </c>
      <c r="F102" s="725" t="s">
        <v>83</v>
      </c>
      <c r="G102" s="725" t="s">
        <v>700</v>
      </c>
      <c r="H102" s="726">
        <v>2180000</v>
      </c>
      <c r="I102" s="726">
        <v>2180000</v>
      </c>
      <c r="J102" s="726">
        <v>0</v>
      </c>
      <c r="K102" s="726">
        <v>0</v>
      </c>
      <c r="L102" s="726">
        <v>1981819</v>
      </c>
      <c r="M102" s="726">
        <v>0</v>
      </c>
      <c r="N102" s="726">
        <v>0</v>
      </c>
      <c r="O102" s="726">
        <v>198181</v>
      </c>
      <c r="P102" s="726">
        <v>0</v>
      </c>
      <c r="Q102" s="726">
        <v>0</v>
      </c>
      <c r="R102" s="726">
        <v>0</v>
      </c>
      <c r="S102" s="726">
        <v>0</v>
      </c>
      <c r="T102" s="726">
        <v>0</v>
      </c>
      <c r="U102" s="726">
        <v>0</v>
      </c>
      <c r="V102" s="726">
        <v>0</v>
      </c>
      <c r="W102" s="726">
        <v>0</v>
      </c>
      <c r="X102" s="724" t="s">
        <v>674</v>
      </c>
      <c r="Y102" s="724" t="s">
        <v>1226</v>
      </c>
      <c r="Z102" s="724" t="s">
        <v>1226</v>
      </c>
      <c r="AA102" s="724" t="s">
        <v>675</v>
      </c>
      <c r="AB102" s="724" t="s">
        <v>675</v>
      </c>
      <c r="AC102" s="724"/>
      <c r="AD102" s="724"/>
      <c r="AE102" s="724"/>
      <c r="AF102" s="724"/>
      <c r="AG102" s="725" t="s">
        <v>1113</v>
      </c>
      <c r="AH102" s="724"/>
      <c r="AI102" s="725" t="s">
        <v>1113</v>
      </c>
      <c r="AJ102" s="725" t="s">
        <v>890</v>
      </c>
      <c r="AK102" s="724" t="s">
        <v>677</v>
      </c>
      <c r="AL102" s="724"/>
      <c r="AM102" s="724" t="s">
        <v>967</v>
      </c>
      <c r="AN102" s="724" t="s">
        <v>1114</v>
      </c>
      <c r="AO102" s="724" t="s">
        <v>690</v>
      </c>
      <c r="AP102" s="724" t="s">
        <v>683</v>
      </c>
      <c r="AQ102" s="724" t="s">
        <v>729</v>
      </c>
      <c r="AR102" s="726">
        <v>2180000</v>
      </c>
      <c r="AS102" s="724" t="s">
        <v>675</v>
      </c>
      <c r="AT102" s="726">
        <v>0</v>
      </c>
      <c r="AU102" s="724" t="s">
        <v>678</v>
      </c>
      <c r="AV102" s="724" t="s">
        <v>677</v>
      </c>
      <c r="AW102" s="724" t="s">
        <v>676</v>
      </c>
      <c r="AX102" s="724" t="s">
        <v>674</v>
      </c>
      <c r="AY102" s="724"/>
      <c r="AZ102" s="724"/>
      <c r="BA102" s="724" t="s">
        <v>679</v>
      </c>
      <c r="BB102" s="724"/>
      <c r="BC102" s="724"/>
      <c r="BD102" s="724"/>
      <c r="BE102" s="726"/>
      <c r="BF102" s="724" t="s">
        <v>298</v>
      </c>
      <c r="BG102" s="724" t="s">
        <v>680</v>
      </c>
      <c r="BH102" s="724" t="s">
        <v>681</v>
      </c>
      <c r="BI102" s="724"/>
    </row>
    <row r="103" spans="1:61">
      <c r="A103" s="724" t="s">
        <v>690</v>
      </c>
      <c r="B103" s="724" t="s">
        <v>1112</v>
      </c>
      <c r="C103" s="724" t="s">
        <v>1105</v>
      </c>
      <c r="D103" s="724" t="s">
        <v>724</v>
      </c>
      <c r="E103" s="724" t="s">
        <v>3</v>
      </c>
      <c r="F103" s="725" t="s">
        <v>83</v>
      </c>
      <c r="G103" s="725" t="s">
        <v>700</v>
      </c>
      <c r="H103" s="726">
        <v>2180000</v>
      </c>
      <c r="I103" s="726">
        <v>2180000</v>
      </c>
      <c r="J103" s="726">
        <v>0</v>
      </c>
      <c r="K103" s="726">
        <v>0</v>
      </c>
      <c r="L103" s="726">
        <v>1981819</v>
      </c>
      <c r="M103" s="726">
        <v>0</v>
      </c>
      <c r="N103" s="726">
        <v>0</v>
      </c>
      <c r="O103" s="726">
        <v>198181</v>
      </c>
      <c r="P103" s="726">
        <v>0</v>
      </c>
      <c r="Q103" s="726">
        <v>0</v>
      </c>
      <c r="R103" s="726">
        <v>0</v>
      </c>
      <c r="S103" s="726">
        <v>0</v>
      </c>
      <c r="T103" s="726">
        <v>0</v>
      </c>
      <c r="U103" s="726">
        <v>0</v>
      </c>
      <c r="V103" s="726">
        <v>0</v>
      </c>
      <c r="W103" s="726">
        <v>0</v>
      </c>
      <c r="X103" s="724" t="s">
        <v>674</v>
      </c>
      <c r="Y103" s="724" t="s">
        <v>1226</v>
      </c>
      <c r="Z103" s="724" t="s">
        <v>1226</v>
      </c>
      <c r="AA103" s="724" t="s">
        <v>675</v>
      </c>
      <c r="AB103" s="724" t="s">
        <v>675</v>
      </c>
      <c r="AC103" s="724"/>
      <c r="AD103" s="724"/>
      <c r="AE103" s="724"/>
      <c r="AF103" s="724"/>
      <c r="AG103" s="725" t="s">
        <v>1113</v>
      </c>
      <c r="AH103" s="724"/>
      <c r="AI103" s="725" t="s">
        <v>1113</v>
      </c>
      <c r="AJ103" s="725" t="s">
        <v>890</v>
      </c>
      <c r="AK103" s="724" t="s">
        <v>677</v>
      </c>
      <c r="AL103" s="724"/>
      <c r="AM103" s="724" t="s">
        <v>967</v>
      </c>
      <c r="AN103" s="724" t="s">
        <v>1115</v>
      </c>
      <c r="AO103" s="724" t="s">
        <v>690</v>
      </c>
      <c r="AP103" s="724" t="s">
        <v>885</v>
      </c>
      <c r="AQ103" s="724" t="s">
        <v>729</v>
      </c>
      <c r="AR103" s="726">
        <v>2180000</v>
      </c>
      <c r="AS103" s="724" t="s">
        <v>675</v>
      </c>
      <c r="AT103" s="726">
        <v>0</v>
      </c>
      <c r="AU103" s="724" t="s">
        <v>678</v>
      </c>
      <c r="AV103" s="724" t="s">
        <v>677</v>
      </c>
      <c r="AW103" s="724" t="s">
        <v>676</v>
      </c>
      <c r="AX103" s="724" t="s">
        <v>674</v>
      </c>
      <c r="AY103" s="724"/>
      <c r="AZ103" s="724"/>
      <c r="BA103" s="724" t="s">
        <v>679</v>
      </c>
      <c r="BB103" s="724"/>
      <c r="BC103" s="724"/>
      <c r="BD103" s="724"/>
      <c r="BE103" s="726"/>
      <c r="BF103" s="724" t="s">
        <v>298</v>
      </c>
      <c r="BG103" s="724" t="s">
        <v>680</v>
      </c>
      <c r="BH103" s="724" t="s">
        <v>681</v>
      </c>
      <c r="BI103" s="724"/>
    </row>
    <row r="104" spans="1:61">
      <c r="A104" s="724" t="s">
        <v>690</v>
      </c>
      <c r="B104" s="724" t="s">
        <v>690</v>
      </c>
      <c r="C104" s="724" t="s">
        <v>690</v>
      </c>
      <c r="D104" s="724" t="s">
        <v>673</v>
      </c>
      <c r="E104" s="724" t="s">
        <v>3</v>
      </c>
      <c r="F104" s="725" t="s">
        <v>83</v>
      </c>
      <c r="G104" s="725" t="s">
        <v>691</v>
      </c>
      <c r="H104" s="726">
        <v>96800</v>
      </c>
      <c r="I104" s="726">
        <v>96800</v>
      </c>
      <c r="J104" s="726">
        <v>0</v>
      </c>
      <c r="K104" s="726">
        <v>0</v>
      </c>
      <c r="L104" s="726">
        <v>96800</v>
      </c>
      <c r="M104" s="726">
        <v>0</v>
      </c>
      <c r="N104" s="726">
        <v>0</v>
      </c>
      <c r="O104" s="726">
        <v>0</v>
      </c>
      <c r="P104" s="726">
        <v>0</v>
      </c>
      <c r="Q104" s="726">
        <v>0</v>
      </c>
      <c r="R104" s="726">
        <v>0</v>
      </c>
      <c r="S104" s="726">
        <v>0</v>
      </c>
      <c r="T104" s="726">
        <v>0</v>
      </c>
      <c r="U104" s="726">
        <v>0</v>
      </c>
      <c r="V104" s="726">
        <v>0</v>
      </c>
      <c r="W104" s="726">
        <v>0</v>
      </c>
      <c r="X104" s="724" t="s">
        <v>674</v>
      </c>
      <c r="Y104" s="724" t="s">
        <v>675</v>
      </c>
      <c r="Z104" s="724" t="s">
        <v>675</v>
      </c>
      <c r="AA104" s="724" t="s">
        <v>675</v>
      </c>
      <c r="AB104" s="724" t="s">
        <v>675</v>
      </c>
      <c r="AC104" s="724"/>
      <c r="AD104" s="724"/>
      <c r="AE104" s="724" t="s">
        <v>676</v>
      </c>
      <c r="AF104" s="724"/>
      <c r="AG104" s="725" t="s">
        <v>692</v>
      </c>
      <c r="AH104" s="724"/>
      <c r="AI104" s="725" t="s">
        <v>692</v>
      </c>
      <c r="AJ104" s="725" t="s">
        <v>677</v>
      </c>
      <c r="AK104" s="724" t="s">
        <v>677</v>
      </c>
      <c r="AL104" s="724"/>
      <c r="AM104" s="724"/>
      <c r="AN104" s="724"/>
      <c r="AO104" s="724"/>
      <c r="AP104" s="724"/>
      <c r="AQ104" s="724"/>
      <c r="AR104" s="726"/>
      <c r="AS104" s="724"/>
      <c r="AT104" s="726"/>
      <c r="AU104" s="724" t="s">
        <v>678</v>
      </c>
      <c r="AV104" s="724" t="s">
        <v>677</v>
      </c>
      <c r="AW104" s="724" t="s">
        <v>676</v>
      </c>
      <c r="AX104" s="724" t="s">
        <v>674</v>
      </c>
      <c r="AY104" s="724"/>
      <c r="AZ104" s="724"/>
      <c r="BA104" s="724" t="s">
        <v>679</v>
      </c>
      <c r="BB104" s="724"/>
      <c r="BC104" s="724"/>
      <c r="BD104" s="724"/>
      <c r="BE104" s="726"/>
      <c r="BF104" s="724" t="s">
        <v>298</v>
      </c>
      <c r="BG104" s="724" t="s">
        <v>680</v>
      </c>
      <c r="BH104" s="724" t="s">
        <v>681</v>
      </c>
      <c r="BI104" s="724"/>
    </row>
    <row r="105" spans="1:61">
      <c r="A105" s="724" t="s">
        <v>690</v>
      </c>
      <c r="B105" s="724" t="s">
        <v>690</v>
      </c>
      <c r="C105" s="724" t="s">
        <v>690</v>
      </c>
      <c r="D105" s="724" t="s">
        <v>673</v>
      </c>
      <c r="E105" s="724" t="s">
        <v>3</v>
      </c>
      <c r="F105" s="725" t="s">
        <v>83</v>
      </c>
      <c r="G105" s="725" t="s">
        <v>691</v>
      </c>
      <c r="H105" s="726">
        <v>1003200</v>
      </c>
      <c r="I105" s="726">
        <v>1003200</v>
      </c>
      <c r="J105" s="726">
        <v>0</v>
      </c>
      <c r="K105" s="726">
        <v>0</v>
      </c>
      <c r="L105" s="726">
        <v>1003200</v>
      </c>
      <c r="M105" s="726">
        <v>0</v>
      </c>
      <c r="N105" s="726">
        <v>0</v>
      </c>
      <c r="O105" s="726">
        <v>0</v>
      </c>
      <c r="P105" s="726">
        <v>0</v>
      </c>
      <c r="Q105" s="726">
        <v>0</v>
      </c>
      <c r="R105" s="726">
        <v>0</v>
      </c>
      <c r="S105" s="726">
        <v>0</v>
      </c>
      <c r="T105" s="726">
        <v>0</v>
      </c>
      <c r="U105" s="726">
        <v>0</v>
      </c>
      <c r="V105" s="726">
        <v>0</v>
      </c>
      <c r="W105" s="726">
        <v>0</v>
      </c>
      <c r="X105" s="724" t="s">
        <v>674</v>
      </c>
      <c r="Y105" s="724" t="s">
        <v>1226</v>
      </c>
      <c r="Z105" s="724" t="s">
        <v>1226</v>
      </c>
      <c r="AA105" s="724" t="s">
        <v>675</v>
      </c>
      <c r="AB105" s="724" t="s">
        <v>675</v>
      </c>
      <c r="AC105" s="724"/>
      <c r="AD105" s="724"/>
      <c r="AE105" s="724" t="s">
        <v>676</v>
      </c>
      <c r="AF105" s="724"/>
      <c r="AG105" s="725" t="s">
        <v>693</v>
      </c>
      <c r="AH105" s="724"/>
      <c r="AI105" s="725" t="s">
        <v>693</v>
      </c>
      <c r="AJ105" s="725" t="s">
        <v>677</v>
      </c>
      <c r="AK105" s="724" t="s">
        <v>677</v>
      </c>
      <c r="AL105" s="724"/>
      <c r="AM105" s="724"/>
      <c r="AN105" s="724"/>
      <c r="AO105" s="724"/>
      <c r="AP105" s="724"/>
      <c r="AQ105" s="724"/>
      <c r="AR105" s="726"/>
      <c r="AS105" s="724"/>
      <c r="AT105" s="726"/>
      <c r="AU105" s="724" t="s">
        <v>678</v>
      </c>
      <c r="AV105" s="724" t="s">
        <v>677</v>
      </c>
      <c r="AW105" s="724" t="s">
        <v>676</v>
      </c>
      <c r="AX105" s="724" t="s">
        <v>674</v>
      </c>
      <c r="AY105" s="724"/>
      <c r="AZ105" s="724"/>
      <c r="BA105" s="724" t="s">
        <v>679</v>
      </c>
      <c r="BB105" s="724"/>
      <c r="BC105" s="724"/>
      <c r="BD105" s="724"/>
      <c r="BE105" s="726"/>
      <c r="BF105" s="724" t="s">
        <v>298</v>
      </c>
      <c r="BG105" s="724" t="s">
        <v>680</v>
      </c>
      <c r="BH105" s="724" t="s">
        <v>681</v>
      </c>
      <c r="BI105" s="724"/>
    </row>
    <row r="106" spans="1:61">
      <c r="A106" s="724" t="s">
        <v>690</v>
      </c>
      <c r="B106" s="724" t="s">
        <v>690</v>
      </c>
      <c r="C106" s="724" t="s">
        <v>690</v>
      </c>
      <c r="D106" s="724" t="s">
        <v>673</v>
      </c>
      <c r="E106" s="724" t="s">
        <v>3</v>
      </c>
      <c r="F106" s="725" t="s">
        <v>83</v>
      </c>
      <c r="G106" s="725" t="s">
        <v>691</v>
      </c>
      <c r="H106" s="726">
        <v>547200</v>
      </c>
      <c r="I106" s="726">
        <v>547200</v>
      </c>
      <c r="J106" s="726">
        <v>0</v>
      </c>
      <c r="K106" s="726">
        <v>0</v>
      </c>
      <c r="L106" s="726">
        <v>547200</v>
      </c>
      <c r="M106" s="726">
        <v>0</v>
      </c>
      <c r="N106" s="726">
        <v>0</v>
      </c>
      <c r="O106" s="726">
        <v>0</v>
      </c>
      <c r="P106" s="726">
        <v>0</v>
      </c>
      <c r="Q106" s="726">
        <v>0</v>
      </c>
      <c r="R106" s="726">
        <v>0</v>
      </c>
      <c r="S106" s="726">
        <v>0</v>
      </c>
      <c r="T106" s="726">
        <v>0</v>
      </c>
      <c r="U106" s="726">
        <v>0</v>
      </c>
      <c r="V106" s="726">
        <v>0</v>
      </c>
      <c r="W106" s="726">
        <v>0</v>
      </c>
      <c r="X106" s="724" t="s">
        <v>674</v>
      </c>
      <c r="Y106" s="724" t="s">
        <v>1226</v>
      </c>
      <c r="Z106" s="724" t="s">
        <v>1226</v>
      </c>
      <c r="AA106" s="724" t="s">
        <v>675</v>
      </c>
      <c r="AB106" s="724" t="s">
        <v>675</v>
      </c>
      <c r="AC106" s="724"/>
      <c r="AD106" s="724"/>
      <c r="AE106" s="724" t="s">
        <v>694</v>
      </c>
      <c r="AF106" s="724"/>
      <c r="AG106" s="725" t="s">
        <v>693</v>
      </c>
      <c r="AH106" s="724"/>
      <c r="AI106" s="725" t="s">
        <v>693</v>
      </c>
      <c r="AJ106" s="725" t="s">
        <v>677</v>
      </c>
      <c r="AK106" s="724" t="s">
        <v>677</v>
      </c>
      <c r="AL106" s="724"/>
      <c r="AM106" s="724"/>
      <c r="AN106" s="724"/>
      <c r="AO106" s="724"/>
      <c r="AP106" s="724"/>
      <c r="AQ106" s="724"/>
      <c r="AR106" s="726"/>
      <c r="AS106" s="724"/>
      <c r="AT106" s="726"/>
      <c r="AU106" s="724" t="s">
        <v>678</v>
      </c>
      <c r="AV106" s="724" t="s">
        <v>677</v>
      </c>
      <c r="AW106" s="724" t="s">
        <v>676</v>
      </c>
      <c r="AX106" s="724" t="s">
        <v>674</v>
      </c>
      <c r="AY106" s="724"/>
      <c r="AZ106" s="724"/>
      <c r="BA106" s="724" t="s">
        <v>679</v>
      </c>
      <c r="BB106" s="724"/>
      <c r="BC106" s="724"/>
      <c r="BD106" s="724"/>
      <c r="BE106" s="726"/>
      <c r="BF106" s="724" t="s">
        <v>298</v>
      </c>
      <c r="BG106" s="724" t="s">
        <v>680</v>
      </c>
      <c r="BH106" s="724" t="s">
        <v>681</v>
      </c>
      <c r="BI106" s="724"/>
    </row>
    <row r="107" spans="1:61">
      <c r="A107" s="724" t="s">
        <v>690</v>
      </c>
      <c r="B107" s="724" t="s">
        <v>690</v>
      </c>
      <c r="C107" s="724" t="s">
        <v>690</v>
      </c>
      <c r="D107" s="724" t="s">
        <v>673</v>
      </c>
      <c r="E107" s="724" t="s">
        <v>3</v>
      </c>
      <c r="F107" s="725" t="s">
        <v>83</v>
      </c>
      <c r="G107" s="725" t="s">
        <v>691</v>
      </c>
      <c r="H107" s="726">
        <v>547200</v>
      </c>
      <c r="I107" s="726">
        <v>547200</v>
      </c>
      <c r="J107" s="726">
        <v>0</v>
      </c>
      <c r="K107" s="726">
        <v>0</v>
      </c>
      <c r="L107" s="726">
        <v>547200</v>
      </c>
      <c r="M107" s="726">
        <v>0</v>
      </c>
      <c r="N107" s="726">
        <v>0</v>
      </c>
      <c r="O107" s="726">
        <v>0</v>
      </c>
      <c r="P107" s="726">
        <v>0</v>
      </c>
      <c r="Q107" s="726">
        <v>0</v>
      </c>
      <c r="R107" s="726">
        <v>0</v>
      </c>
      <c r="S107" s="726">
        <v>0</v>
      </c>
      <c r="T107" s="726">
        <v>0</v>
      </c>
      <c r="U107" s="726">
        <v>0</v>
      </c>
      <c r="V107" s="726">
        <v>0</v>
      </c>
      <c r="W107" s="726">
        <v>0</v>
      </c>
      <c r="X107" s="724" t="s">
        <v>674</v>
      </c>
      <c r="Y107" s="724" t="s">
        <v>1226</v>
      </c>
      <c r="Z107" s="724" t="s">
        <v>1226</v>
      </c>
      <c r="AA107" s="724" t="s">
        <v>675</v>
      </c>
      <c r="AB107" s="724" t="s">
        <v>675</v>
      </c>
      <c r="AC107" s="724"/>
      <c r="AD107" s="724"/>
      <c r="AE107" s="724" t="s">
        <v>676</v>
      </c>
      <c r="AF107" s="724"/>
      <c r="AG107" s="725" t="s">
        <v>693</v>
      </c>
      <c r="AH107" s="724"/>
      <c r="AI107" s="725" t="s">
        <v>693</v>
      </c>
      <c r="AJ107" s="725" t="s">
        <v>677</v>
      </c>
      <c r="AK107" s="724" t="s">
        <v>677</v>
      </c>
      <c r="AL107" s="724"/>
      <c r="AM107" s="724"/>
      <c r="AN107" s="724"/>
      <c r="AO107" s="724"/>
      <c r="AP107" s="724"/>
      <c r="AQ107" s="724"/>
      <c r="AR107" s="726"/>
      <c r="AS107" s="724"/>
      <c r="AT107" s="726"/>
      <c r="AU107" s="724" t="s">
        <v>678</v>
      </c>
      <c r="AV107" s="724" t="s">
        <v>677</v>
      </c>
      <c r="AW107" s="724" t="s">
        <v>676</v>
      </c>
      <c r="AX107" s="724" t="s">
        <v>674</v>
      </c>
      <c r="AY107" s="724"/>
      <c r="AZ107" s="724"/>
      <c r="BA107" s="724" t="s">
        <v>679</v>
      </c>
      <c r="BB107" s="724"/>
      <c r="BC107" s="724"/>
      <c r="BD107" s="724"/>
      <c r="BE107" s="726"/>
      <c r="BF107" s="724" t="s">
        <v>298</v>
      </c>
      <c r="BG107" s="724" t="s">
        <v>680</v>
      </c>
      <c r="BH107" s="724" t="s">
        <v>681</v>
      </c>
      <c r="BI107" s="724"/>
    </row>
    <row r="108" spans="1:61">
      <c r="A108" s="724" t="s">
        <v>690</v>
      </c>
      <c r="B108" s="724" t="s">
        <v>690</v>
      </c>
      <c r="C108" s="724" t="s">
        <v>690</v>
      </c>
      <c r="D108" s="724" t="s">
        <v>673</v>
      </c>
      <c r="E108" s="724" t="s">
        <v>3</v>
      </c>
      <c r="F108" s="725" t="s">
        <v>83</v>
      </c>
      <c r="G108" s="725" t="s">
        <v>691</v>
      </c>
      <c r="H108" s="726">
        <v>52800</v>
      </c>
      <c r="I108" s="726">
        <v>52800</v>
      </c>
      <c r="J108" s="726">
        <v>0</v>
      </c>
      <c r="K108" s="726">
        <v>0</v>
      </c>
      <c r="L108" s="726">
        <v>52800</v>
      </c>
      <c r="M108" s="726">
        <v>0</v>
      </c>
      <c r="N108" s="726">
        <v>0</v>
      </c>
      <c r="O108" s="726">
        <v>0</v>
      </c>
      <c r="P108" s="726">
        <v>0</v>
      </c>
      <c r="Q108" s="726">
        <v>0</v>
      </c>
      <c r="R108" s="726">
        <v>0</v>
      </c>
      <c r="S108" s="726">
        <v>0</v>
      </c>
      <c r="T108" s="726">
        <v>0</v>
      </c>
      <c r="U108" s="726">
        <v>0</v>
      </c>
      <c r="V108" s="726">
        <v>0</v>
      </c>
      <c r="W108" s="726">
        <v>0</v>
      </c>
      <c r="X108" s="724" t="s">
        <v>674</v>
      </c>
      <c r="Y108" s="724" t="s">
        <v>675</v>
      </c>
      <c r="Z108" s="724" t="s">
        <v>675</v>
      </c>
      <c r="AA108" s="724" t="s">
        <v>675</v>
      </c>
      <c r="AB108" s="724" t="s">
        <v>675</v>
      </c>
      <c r="AC108" s="724"/>
      <c r="AD108" s="724"/>
      <c r="AE108" s="724" t="s">
        <v>676</v>
      </c>
      <c r="AF108" s="724"/>
      <c r="AG108" s="725" t="s">
        <v>692</v>
      </c>
      <c r="AH108" s="724"/>
      <c r="AI108" s="725" t="s">
        <v>692</v>
      </c>
      <c r="AJ108" s="725" t="s">
        <v>677</v>
      </c>
      <c r="AK108" s="724" t="s">
        <v>677</v>
      </c>
      <c r="AL108" s="724"/>
      <c r="AM108" s="724"/>
      <c r="AN108" s="724"/>
      <c r="AO108" s="724"/>
      <c r="AP108" s="724"/>
      <c r="AQ108" s="724"/>
      <c r="AR108" s="726"/>
      <c r="AS108" s="724"/>
      <c r="AT108" s="726"/>
      <c r="AU108" s="724" t="s">
        <v>678</v>
      </c>
      <c r="AV108" s="724" t="s">
        <v>677</v>
      </c>
      <c r="AW108" s="724" t="s">
        <v>676</v>
      </c>
      <c r="AX108" s="724" t="s">
        <v>674</v>
      </c>
      <c r="AY108" s="724"/>
      <c r="AZ108" s="724"/>
      <c r="BA108" s="724" t="s">
        <v>679</v>
      </c>
      <c r="BB108" s="724"/>
      <c r="BC108" s="724"/>
      <c r="BD108" s="724"/>
      <c r="BE108" s="726"/>
      <c r="BF108" s="724" t="s">
        <v>298</v>
      </c>
      <c r="BG108" s="724" t="s">
        <v>680</v>
      </c>
      <c r="BH108" s="724" t="s">
        <v>681</v>
      </c>
      <c r="BI108" s="724"/>
    </row>
    <row r="109" spans="1:61">
      <c r="A109" s="724" t="s">
        <v>690</v>
      </c>
      <c r="B109" s="724" t="s">
        <v>690</v>
      </c>
      <c r="C109" s="724" t="s">
        <v>690</v>
      </c>
      <c r="D109" s="724" t="s">
        <v>673</v>
      </c>
      <c r="E109" s="724" t="s">
        <v>3</v>
      </c>
      <c r="F109" s="725" t="s">
        <v>83</v>
      </c>
      <c r="G109" s="725" t="s">
        <v>691</v>
      </c>
      <c r="H109" s="726">
        <v>140800</v>
      </c>
      <c r="I109" s="726">
        <v>140800</v>
      </c>
      <c r="J109" s="726">
        <v>0</v>
      </c>
      <c r="K109" s="726">
        <v>0</v>
      </c>
      <c r="L109" s="726">
        <v>140800</v>
      </c>
      <c r="M109" s="726">
        <v>0</v>
      </c>
      <c r="N109" s="726">
        <v>0</v>
      </c>
      <c r="O109" s="726">
        <v>0</v>
      </c>
      <c r="P109" s="726">
        <v>0</v>
      </c>
      <c r="Q109" s="726">
        <v>0</v>
      </c>
      <c r="R109" s="726">
        <v>0</v>
      </c>
      <c r="S109" s="726">
        <v>0</v>
      </c>
      <c r="T109" s="726">
        <v>0</v>
      </c>
      <c r="U109" s="726">
        <v>0</v>
      </c>
      <c r="V109" s="726">
        <v>0</v>
      </c>
      <c r="W109" s="726">
        <v>0</v>
      </c>
      <c r="X109" s="724" t="s">
        <v>674</v>
      </c>
      <c r="Y109" s="724" t="s">
        <v>1226</v>
      </c>
      <c r="Z109" s="724" t="s">
        <v>1226</v>
      </c>
      <c r="AA109" s="724" t="s">
        <v>675</v>
      </c>
      <c r="AB109" s="724" t="s">
        <v>675</v>
      </c>
      <c r="AC109" s="724"/>
      <c r="AD109" s="724"/>
      <c r="AE109" s="724" t="s">
        <v>676</v>
      </c>
      <c r="AF109" s="724"/>
      <c r="AG109" s="725" t="s">
        <v>692</v>
      </c>
      <c r="AH109" s="724"/>
      <c r="AI109" s="725" t="s">
        <v>692</v>
      </c>
      <c r="AJ109" s="725" t="s">
        <v>677</v>
      </c>
      <c r="AK109" s="724" t="s">
        <v>677</v>
      </c>
      <c r="AL109" s="724"/>
      <c r="AM109" s="724"/>
      <c r="AN109" s="724"/>
      <c r="AO109" s="724"/>
      <c r="AP109" s="724"/>
      <c r="AQ109" s="724"/>
      <c r="AR109" s="726"/>
      <c r="AS109" s="724"/>
      <c r="AT109" s="726"/>
      <c r="AU109" s="724" t="s">
        <v>678</v>
      </c>
      <c r="AV109" s="724" t="s">
        <v>677</v>
      </c>
      <c r="AW109" s="724" t="s">
        <v>676</v>
      </c>
      <c r="AX109" s="724" t="s">
        <v>674</v>
      </c>
      <c r="AY109" s="724"/>
      <c r="AZ109" s="724"/>
      <c r="BA109" s="724" t="s">
        <v>679</v>
      </c>
      <c r="BB109" s="724"/>
      <c r="BC109" s="724"/>
      <c r="BD109" s="724"/>
      <c r="BE109" s="726"/>
      <c r="BF109" s="724" t="s">
        <v>298</v>
      </c>
      <c r="BG109" s="724" t="s">
        <v>680</v>
      </c>
      <c r="BH109" s="724" t="s">
        <v>681</v>
      </c>
      <c r="BI109" s="724"/>
    </row>
    <row r="110" spans="1:61">
      <c r="A110" s="724" t="s">
        <v>690</v>
      </c>
      <c r="B110" s="724" t="s">
        <v>690</v>
      </c>
      <c r="C110" s="724" t="s">
        <v>690</v>
      </c>
      <c r="D110" s="724" t="s">
        <v>673</v>
      </c>
      <c r="E110" s="724" t="s">
        <v>3</v>
      </c>
      <c r="F110" s="725" t="s">
        <v>83</v>
      </c>
      <c r="G110" s="725" t="s">
        <v>691</v>
      </c>
      <c r="H110" s="726">
        <v>547200</v>
      </c>
      <c r="I110" s="726">
        <v>547200</v>
      </c>
      <c r="J110" s="726">
        <v>0</v>
      </c>
      <c r="K110" s="726">
        <v>0</v>
      </c>
      <c r="L110" s="726">
        <v>547200</v>
      </c>
      <c r="M110" s="726">
        <v>0</v>
      </c>
      <c r="N110" s="726">
        <v>0</v>
      </c>
      <c r="O110" s="726">
        <v>0</v>
      </c>
      <c r="P110" s="726">
        <v>0</v>
      </c>
      <c r="Q110" s="726">
        <v>0</v>
      </c>
      <c r="R110" s="726">
        <v>0</v>
      </c>
      <c r="S110" s="726">
        <v>0</v>
      </c>
      <c r="T110" s="726">
        <v>0</v>
      </c>
      <c r="U110" s="726">
        <v>0</v>
      </c>
      <c r="V110" s="726">
        <v>0</v>
      </c>
      <c r="W110" s="726">
        <v>0</v>
      </c>
      <c r="X110" s="724" t="s">
        <v>674</v>
      </c>
      <c r="Y110" s="724" t="s">
        <v>1226</v>
      </c>
      <c r="Z110" s="724" t="s">
        <v>1226</v>
      </c>
      <c r="AA110" s="724" t="s">
        <v>675</v>
      </c>
      <c r="AB110" s="724" t="s">
        <v>675</v>
      </c>
      <c r="AC110" s="724"/>
      <c r="AD110" s="724"/>
      <c r="AE110" s="724" t="s">
        <v>676</v>
      </c>
      <c r="AF110" s="724"/>
      <c r="AG110" s="725" t="s">
        <v>693</v>
      </c>
      <c r="AH110" s="724"/>
      <c r="AI110" s="725" t="s">
        <v>693</v>
      </c>
      <c r="AJ110" s="725" t="s">
        <v>677</v>
      </c>
      <c r="AK110" s="724" t="s">
        <v>677</v>
      </c>
      <c r="AL110" s="724"/>
      <c r="AM110" s="724"/>
      <c r="AN110" s="724"/>
      <c r="AO110" s="724"/>
      <c r="AP110" s="724"/>
      <c r="AQ110" s="724"/>
      <c r="AR110" s="726"/>
      <c r="AS110" s="724"/>
      <c r="AT110" s="726"/>
      <c r="AU110" s="724" t="s">
        <v>678</v>
      </c>
      <c r="AV110" s="724" t="s">
        <v>677</v>
      </c>
      <c r="AW110" s="724" t="s">
        <v>676</v>
      </c>
      <c r="AX110" s="724" t="s">
        <v>674</v>
      </c>
      <c r="AY110" s="724"/>
      <c r="AZ110" s="724"/>
      <c r="BA110" s="724" t="s">
        <v>679</v>
      </c>
      <c r="BB110" s="724"/>
      <c r="BC110" s="724"/>
      <c r="BD110" s="724"/>
      <c r="BE110" s="726"/>
      <c r="BF110" s="724" t="s">
        <v>298</v>
      </c>
      <c r="BG110" s="724" t="s">
        <v>680</v>
      </c>
      <c r="BH110" s="724" t="s">
        <v>681</v>
      </c>
      <c r="BI110" s="724"/>
    </row>
    <row r="111" spans="1:61">
      <c r="A111" s="724" t="s">
        <v>690</v>
      </c>
      <c r="B111" s="724" t="s">
        <v>690</v>
      </c>
      <c r="C111" s="724" t="s">
        <v>690</v>
      </c>
      <c r="D111" s="724" t="s">
        <v>673</v>
      </c>
      <c r="E111" s="724" t="s">
        <v>3</v>
      </c>
      <c r="F111" s="725" t="s">
        <v>83</v>
      </c>
      <c r="G111" s="725" t="s">
        <v>691</v>
      </c>
      <c r="H111" s="726">
        <v>52800</v>
      </c>
      <c r="I111" s="726">
        <v>52800</v>
      </c>
      <c r="J111" s="726">
        <v>0</v>
      </c>
      <c r="K111" s="726">
        <v>0</v>
      </c>
      <c r="L111" s="726">
        <v>52800</v>
      </c>
      <c r="M111" s="726">
        <v>0</v>
      </c>
      <c r="N111" s="726">
        <v>0</v>
      </c>
      <c r="O111" s="726">
        <v>0</v>
      </c>
      <c r="P111" s="726">
        <v>0</v>
      </c>
      <c r="Q111" s="726">
        <v>0</v>
      </c>
      <c r="R111" s="726">
        <v>0</v>
      </c>
      <c r="S111" s="726">
        <v>0</v>
      </c>
      <c r="T111" s="726">
        <v>0</v>
      </c>
      <c r="U111" s="726">
        <v>0</v>
      </c>
      <c r="V111" s="726">
        <v>0</v>
      </c>
      <c r="W111" s="726">
        <v>0</v>
      </c>
      <c r="X111" s="724" t="s">
        <v>674</v>
      </c>
      <c r="Y111" s="724" t="s">
        <v>675</v>
      </c>
      <c r="Z111" s="724" t="s">
        <v>675</v>
      </c>
      <c r="AA111" s="724" t="s">
        <v>675</v>
      </c>
      <c r="AB111" s="724" t="s">
        <v>675</v>
      </c>
      <c r="AC111" s="724"/>
      <c r="AD111" s="724"/>
      <c r="AE111" s="724" t="s">
        <v>676</v>
      </c>
      <c r="AF111" s="724"/>
      <c r="AG111" s="725" t="s">
        <v>692</v>
      </c>
      <c r="AH111" s="724"/>
      <c r="AI111" s="725" t="s">
        <v>692</v>
      </c>
      <c r="AJ111" s="725" t="s">
        <v>677</v>
      </c>
      <c r="AK111" s="724" t="s">
        <v>677</v>
      </c>
      <c r="AL111" s="724"/>
      <c r="AM111" s="724"/>
      <c r="AN111" s="724"/>
      <c r="AO111" s="724"/>
      <c r="AP111" s="724"/>
      <c r="AQ111" s="724"/>
      <c r="AR111" s="726"/>
      <c r="AS111" s="724"/>
      <c r="AT111" s="726"/>
      <c r="AU111" s="724" t="s">
        <v>678</v>
      </c>
      <c r="AV111" s="724" t="s">
        <v>677</v>
      </c>
      <c r="AW111" s="724" t="s">
        <v>676</v>
      </c>
      <c r="AX111" s="724" t="s">
        <v>674</v>
      </c>
      <c r="AY111" s="724"/>
      <c r="AZ111" s="724"/>
      <c r="BA111" s="724" t="s">
        <v>679</v>
      </c>
      <c r="BB111" s="724"/>
      <c r="BC111" s="724"/>
      <c r="BD111" s="724"/>
      <c r="BE111" s="726"/>
      <c r="BF111" s="724" t="s">
        <v>298</v>
      </c>
      <c r="BG111" s="724" t="s">
        <v>680</v>
      </c>
      <c r="BH111" s="724" t="s">
        <v>681</v>
      </c>
      <c r="BI111" s="724"/>
    </row>
    <row r="112" spans="1:61">
      <c r="A112" s="724" t="s">
        <v>690</v>
      </c>
      <c r="B112" s="724" t="s">
        <v>690</v>
      </c>
      <c r="C112" s="724" t="s">
        <v>690</v>
      </c>
      <c r="D112" s="724" t="s">
        <v>673</v>
      </c>
      <c r="E112" s="724" t="s">
        <v>3</v>
      </c>
      <c r="F112" s="725" t="s">
        <v>83</v>
      </c>
      <c r="G112" s="725" t="s">
        <v>691</v>
      </c>
      <c r="H112" s="726">
        <v>1003200</v>
      </c>
      <c r="I112" s="726">
        <v>1003200</v>
      </c>
      <c r="J112" s="726">
        <v>0</v>
      </c>
      <c r="K112" s="726">
        <v>0</v>
      </c>
      <c r="L112" s="726">
        <v>1003200</v>
      </c>
      <c r="M112" s="726">
        <v>0</v>
      </c>
      <c r="N112" s="726">
        <v>0</v>
      </c>
      <c r="O112" s="726">
        <v>0</v>
      </c>
      <c r="P112" s="726">
        <v>0</v>
      </c>
      <c r="Q112" s="726">
        <v>0</v>
      </c>
      <c r="R112" s="726">
        <v>0</v>
      </c>
      <c r="S112" s="726">
        <v>0</v>
      </c>
      <c r="T112" s="726">
        <v>0</v>
      </c>
      <c r="U112" s="726">
        <v>0</v>
      </c>
      <c r="V112" s="726">
        <v>0</v>
      </c>
      <c r="W112" s="726">
        <v>0</v>
      </c>
      <c r="X112" s="724" t="s">
        <v>674</v>
      </c>
      <c r="Y112" s="724" t="s">
        <v>1226</v>
      </c>
      <c r="Z112" s="724" t="s">
        <v>1226</v>
      </c>
      <c r="AA112" s="724" t="s">
        <v>675</v>
      </c>
      <c r="AB112" s="724" t="s">
        <v>675</v>
      </c>
      <c r="AC112" s="724"/>
      <c r="AD112" s="724"/>
      <c r="AE112" s="724" t="s">
        <v>676</v>
      </c>
      <c r="AF112" s="724"/>
      <c r="AG112" s="725" t="s">
        <v>693</v>
      </c>
      <c r="AH112" s="724"/>
      <c r="AI112" s="725" t="s">
        <v>693</v>
      </c>
      <c r="AJ112" s="725" t="s">
        <v>677</v>
      </c>
      <c r="AK112" s="724" t="s">
        <v>677</v>
      </c>
      <c r="AL112" s="724"/>
      <c r="AM112" s="724"/>
      <c r="AN112" s="724"/>
      <c r="AO112" s="724"/>
      <c r="AP112" s="724"/>
      <c r="AQ112" s="724"/>
      <c r="AR112" s="726"/>
      <c r="AS112" s="724"/>
      <c r="AT112" s="726"/>
      <c r="AU112" s="724" t="s">
        <v>678</v>
      </c>
      <c r="AV112" s="724" t="s">
        <v>677</v>
      </c>
      <c r="AW112" s="724" t="s">
        <v>676</v>
      </c>
      <c r="AX112" s="724" t="s">
        <v>674</v>
      </c>
      <c r="AY112" s="724"/>
      <c r="AZ112" s="724"/>
      <c r="BA112" s="724" t="s">
        <v>679</v>
      </c>
      <c r="BB112" s="724"/>
      <c r="BC112" s="724"/>
      <c r="BD112" s="724"/>
      <c r="BE112" s="726"/>
      <c r="BF112" s="724" t="s">
        <v>298</v>
      </c>
      <c r="BG112" s="724" t="s">
        <v>680</v>
      </c>
      <c r="BH112" s="724" t="s">
        <v>681</v>
      </c>
      <c r="BI112" s="724"/>
    </row>
    <row r="113" spans="1:61">
      <c r="A113" s="724" t="s">
        <v>690</v>
      </c>
      <c r="B113" s="724" t="s">
        <v>690</v>
      </c>
      <c r="C113" s="724" t="s">
        <v>690</v>
      </c>
      <c r="D113" s="724" t="s">
        <v>673</v>
      </c>
      <c r="E113" s="724" t="s">
        <v>3</v>
      </c>
      <c r="F113" s="725" t="s">
        <v>83</v>
      </c>
      <c r="G113" s="725" t="s">
        <v>691</v>
      </c>
      <c r="H113" s="726">
        <v>52800</v>
      </c>
      <c r="I113" s="726">
        <v>52800</v>
      </c>
      <c r="J113" s="726">
        <v>0</v>
      </c>
      <c r="K113" s="726">
        <v>0</v>
      </c>
      <c r="L113" s="726">
        <v>52800</v>
      </c>
      <c r="M113" s="726">
        <v>0</v>
      </c>
      <c r="N113" s="726">
        <v>0</v>
      </c>
      <c r="O113" s="726">
        <v>0</v>
      </c>
      <c r="P113" s="726">
        <v>0</v>
      </c>
      <c r="Q113" s="726">
        <v>0</v>
      </c>
      <c r="R113" s="726">
        <v>0</v>
      </c>
      <c r="S113" s="726">
        <v>0</v>
      </c>
      <c r="T113" s="726">
        <v>0</v>
      </c>
      <c r="U113" s="726">
        <v>0</v>
      </c>
      <c r="V113" s="726">
        <v>0</v>
      </c>
      <c r="W113" s="726">
        <v>0</v>
      </c>
      <c r="X113" s="724" t="s">
        <v>674</v>
      </c>
      <c r="Y113" s="724" t="s">
        <v>675</v>
      </c>
      <c r="Z113" s="724" t="s">
        <v>675</v>
      </c>
      <c r="AA113" s="724" t="s">
        <v>675</v>
      </c>
      <c r="AB113" s="724" t="s">
        <v>675</v>
      </c>
      <c r="AC113" s="724"/>
      <c r="AD113" s="724"/>
      <c r="AE113" s="724" t="s">
        <v>676</v>
      </c>
      <c r="AF113" s="724"/>
      <c r="AG113" s="725" t="s">
        <v>692</v>
      </c>
      <c r="AH113" s="724"/>
      <c r="AI113" s="725" t="s">
        <v>692</v>
      </c>
      <c r="AJ113" s="725" t="s">
        <v>677</v>
      </c>
      <c r="AK113" s="724" t="s">
        <v>677</v>
      </c>
      <c r="AL113" s="724"/>
      <c r="AM113" s="724"/>
      <c r="AN113" s="724"/>
      <c r="AO113" s="724"/>
      <c r="AP113" s="724"/>
      <c r="AQ113" s="724"/>
      <c r="AR113" s="726"/>
      <c r="AS113" s="724"/>
      <c r="AT113" s="726"/>
      <c r="AU113" s="724" t="s">
        <v>678</v>
      </c>
      <c r="AV113" s="724" t="s">
        <v>677</v>
      </c>
      <c r="AW113" s="724" t="s">
        <v>676</v>
      </c>
      <c r="AX113" s="724" t="s">
        <v>674</v>
      </c>
      <c r="AY113" s="724"/>
      <c r="AZ113" s="724"/>
      <c r="BA113" s="724" t="s">
        <v>679</v>
      </c>
      <c r="BB113" s="724"/>
      <c r="BC113" s="724"/>
      <c r="BD113" s="724"/>
      <c r="BE113" s="726"/>
      <c r="BF113" s="724" t="s">
        <v>298</v>
      </c>
      <c r="BG113" s="724" t="s">
        <v>680</v>
      </c>
      <c r="BH113" s="724" t="s">
        <v>681</v>
      </c>
      <c r="BI113" s="724"/>
    </row>
    <row r="114" spans="1:61">
      <c r="A114" s="724" t="s">
        <v>690</v>
      </c>
      <c r="B114" s="724" t="s">
        <v>690</v>
      </c>
      <c r="C114" s="724" t="s">
        <v>690</v>
      </c>
      <c r="D114" s="724" t="s">
        <v>673</v>
      </c>
      <c r="E114" s="724" t="s">
        <v>3</v>
      </c>
      <c r="F114" s="725" t="s">
        <v>83</v>
      </c>
      <c r="G114" s="725" t="s">
        <v>691</v>
      </c>
      <c r="H114" s="726">
        <v>88000</v>
      </c>
      <c r="I114" s="726">
        <v>88000</v>
      </c>
      <c r="J114" s="726">
        <v>0</v>
      </c>
      <c r="K114" s="726">
        <v>0</v>
      </c>
      <c r="L114" s="726">
        <v>88000</v>
      </c>
      <c r="M114" s="726">
        <v>0</v>
      </c>
      <c r="N114" s="726">
        <v>0</v>
      </c>
      <c r="O114" s="726">
        <v>0</v>
      </c>
      <c r="P114" s="726">
        <v>0</v>
      </c>
      <c r="Q114" s="726">
        <v>0</v>
      </c>
      <c r="R114" s="726">
        <v>0</v>
      </c>
      <c r="S114" s="726">
        <v>0</v>
      </c>
      <c r="T114" s="726">
        <v>0</v>
      </c>
      <c r="U114" s="726">
        <v>0</v>
      </c>
      <c r="V114" s="726">
        <v>0</v>
      </c>
      <c r="W114" s="726">
        <v>0</v>
      </c>
      <c r="X114" s="724" t="s">
        <v>674</v>
      </c>
      <c r="Y114" s="724" t="s">
        <v>675</v>
      </c>
      <c r="Z114" s="724" t="s">
        <v>675</v>
      </c>
      <c r="AA114" s="724" t="s">
        <v>675</v>
      </c>
      <c r="AB114" s="724" t="s">
        <v>675</v>
      </c>
      <c r="AC114" s="724"/>
      <c r="AD114" s="724"/>
      <c r="AE114" s="724" t="s">
        <v>676</v>
      </c>
      <c r="AF114" s="724"/>
      <c r="AG114" s="725" t="s">
        <v>695</v>
      </c>
      <c r="AH114" s="724"/>
      <c r="AI114" s="725" t="s">
        <v>695</v>
      </c>
      <c r="AJ114" s="725" t="s">
        <v>677</v>
      </c>
      <c r="AK114" s="724" t="s">
        <v>677</v>
      </c>
      <c r="AL114" s="724"/>
      <c r="AM114" s="724"/>
      <c r="AN114" s="724"/>
      <c r="AO114" s="724"/>
      <c r="AP114" s="724"/>
      <c r="AQ114" s="724"/>
      <c r="AR114" s="726"/>
      <c r="AS114" s="724"/>
      <c r="AT114" s="726"/>
      <c r="AU114" s="724" t="s">
        <v>678</v>
      </c>
      <c r="AV114" s="724" t="s">
        <v>677</v>
      </c>
      <c r="AW114" s="724" t="s">
        <v>676</v>
      </c>
      <c r="AX114" s="724" t="s">
        <v>674</v>
      </c>
      <c r="AY114" s="724"/>
      <c r="AZ114" s="724"/>
      <c r="BA114" s="724" t="s">
        <v>679</v>
      </c>
      <c r="BB114" s="724"/>
      <c r="BC114" s="724"/>
      <c r="BD114" s="724"/>
      <c r="BE114" s="726"/>
      <c r="BF114" s="724" t="s">
        <v>298</v>
      </c>
      <c r="BG114" s="724" t="s">
        <v>680</v>
      </c>
      <c r="BH114" s="724" t="s">
        <v>681</v>
      </c>
      <c r="BI114" s="724"/>
    </row>
    <row r="115" spans="1:61">
      <c r="A115" s="724" t="s">
        <v>690</v>
      </c>
      <c r="B115" s="724" t="s">
        <v>690</v>
      </c>
      <c r="C115" s="724" t="s">
        <v>690</v>
      </c>
      <c r="D115" s="724" t="s">
        <v>673</v>
      </c>
      <c r="E115" s="724" t="s">
        <v>3</v>
      </c>
      <c r="F115" s="725" t="s">
        <v>83</v>
      </c>
      <c r="G115" s="725" t="s">
        <v>691</v>
      </c>
      <c r="H115" s="726">
        <v>912000</v>
      </c>
      <c r="I115" s="726">
        <v>912000</v>
      </c>
      <c r="J115" s="726">
        <v>0</v>
      </c>
      <c r="K115" s="726">
        <v>0</v>
      </c>
      <c r="L115" s="726">
        <v>912000</v>
      </c>
      <c r="M115" s="726">
        <v>0</v>
      </c>
      <c r="N115" s="726">
        <v>0</v>
      </c>
      <c r="O115" s="726">
        <v>0</v>
      </c>
      <c r="P115" s="726">
        <v>0</v>
      </c>
      <c r="Q115" s="726">
        <v>0</v>
      </c>
      <c r="R115" s="726">
        <v>0</v>
      </c>
      <c r="S115" s="726">
        <v>0</v>
      </c>
      <c r="T115" s="726">
        <v>0</v>
      </c>
      <c r="U115" s="726">
        <v>0</v>
      </c>
      <c r="V115" s="726">
        <v>0</v>
      </c>
      <c r="W115" s="726">
        <v>0</v>
      </c>
      <c r="X115" s="724" t="s">
        <v>674</v>
      </c>
      <c r="Y115" s="724" t="s">
        <v>1226</v>
      </c>
      <c r="Z115" s="724" t="s">
        <v>1226</v>
      </c>
      <c r="AA115" s="724" t="s">
        <v>675</v>
      </c>
      <c r="AB115" s="724" t="s">
        <v>675</v>
      </c>
      <c r="AC115" s="724"/>
      <c r="AD115" s="724"/>
      <c r="AE115" s="724" t="s">
        <v>676</v>
      </c>
      <c r="AF115" s="724"/>
      <c r="AG115" s="725" t="s">
        <v>696</v>
      </c>
      <c r="AH115" s="724"/>
      <c r="AI115" s="725" t="s">
        <v>696</v>
      </c>
      <c r="AJ115" s="725" t="s">
        <v>677</v>
      </c>
      <c r="AK115" s="724" t="s">
        <v>677</v>
      </c>
      <c r="AL115" s="724"/>
      <c r="AM115" s="724"/>
      <c r="AN115" s="724"/>
      <c r="AO115" s="724"/>
      <c r="AP115" s="724"/>
      <c r="AQ115" s="724"/>
      <c r="AR115" s="726"/>
      <c r="AS115" s="724"/>
      <c r="AT115" s="726"/>
      <c r="AU115" s="724" t="s">
        <v>678</v>
      </c>
      <c r="AV115" s="724" t="s">
        <v>677</v>
      </c>
      <c r="AW115" s="724" t="s">
        <v>676</v>
      </c>
      <c r="AX115" s="724" t="s">
        <v>674</v>
      </c>
      <c r="AY115" s="724"/>
      <c r="AZ115" s="724"/>
      <c r="BA115" s="724" t="s">
        <v>679</v>
      </c>
      <c r="BB115" s="724"/>
      <c r="BC115" s="724"/>
      <c r="BD115" s="724"/>
      <c r="BE115" s="726"/>
      <c r="BF115" s="724" t="s">
        <v>298</v>
      </c>
      <c r="BG115" s="724" t="s">
        <v>680</v>
      </c>
      <c r="BH115" s="724" t="s">
        <v>681</v>
      </c>
      <c r="BI115" s="724"/>
    </row>
    <row r="116" spans="1:61">
      <c r="A116" s="724" t="s">
        <v>690</v>
      </c>
      <c r="B116" s="724" t="s">
        <v>690</v>
      </c>
      <c r="C116" s="724" t="s">
        <v>690</v>
      </c>
      <c r="D116" s="724" t="s">
        <v>673</v>
      </c>
      <c r="E116" s="724" t="s">
        <v>3</v>
      </c>
      <c r="F116" s="725" t="s">
        <v>83</v>
      </c>
      <c r="G116" s="725" t="s">
        <v>691</v>
      </c>
      <c r="H116" s="726">
        <v>547200</v>
      </c>
      <c r="I116" s="726">
        <v>547200</v>
      </c>
      <c r="J116" s="726">
        <v>0</v>
      </c>
      <c r="K116" s="726">
        <v>0</v>
      </c>
      <c r="L116" s="726">
        <v>547200</v>
      </c>
      <c r="M116" s="726">
        <v>0</v>
      </c>
      <c r="N116" s="726">
        <v>0</v>
      </c>
      <c r="O116" s="726">
        <v>0</v>
      </c>
      <c r="P116" s="726">
        <v>0</v>
      </c>
      <c r="Q116" s="726">
        <v>0</v>
      </c>
      <c r="R116" s="726">
        <v>0</v>
      </c>
      <c r="S116" s="726">
        <v>0</v>
      </c>
      <c r="T116" s="726">
        <v>0</v>
      </c>
      <c r="U116" s="726">
        <v>0</v>
      </c>
      <c r="V116" s="726">
        <v>0</v>
      </c>
      <c r="W116" s="726">
        <v>0</v>
      </c>
      <c r="X116" s="724" t="s">
        <v>674</v>
      </c>
      <c r="Y116" s="724" t="s">
        <v>1226</v>
      </c>
      <c r="Z116" s="724" t="s">
        <v>1226</v>
      </c>
      <c r="AA116" s="724" t="s">
        <v>675</v>
      </c>
      <c r="AB116" s="724" t="s">
        <v>675</v>
      </c>
      <c r="AC116" s="724"/>
      <c r="AD116" s="724"/>
      <c r="AE116" s="724" t="s">
        <v>676</v>
      </c>
      <c r="AF116" s="724"/>
      <c r="AG116" s="725" t="s">
        <v>693</v>
      </c>
      <c r="AH116" s="724"/>
      <c r="AI116" s="725" t="s">
        <v>693</v>
      </c>
      <c r="AJ116" s="725" t="s">
        <v>677</v>
      </c>
      <c r="AK116" s="724" t="s">
        <v>677</v>
      </c>
      <c r="AL116" s="724"/>
      <c r="AM116" s="724"/>
      <c r="AN116" s="724"/>
      <c r="AO116" s="724"/>
      <c r="AP116" s="724"/>
      <c r="AQ116" s="724"/>
      <c r="AR116" s="726"/>
      <c r="AS116" s="724"/>
      <c r="AT116" s="726"/>
      <c r="AU116" s="724" t="s">
        <v>678</v>
      </c>
      <c r="AV116" s="724" t="s">
        <v>677</v>
      </c>
      <c r="AW116" s="724" t="s">
        <v>676</v>
      </c>
      <c r="AX116" s="724" t="s">
        <v>674</v>
      </c>
      <c r="AY116" s="724"/>
      <c r="AZ116" s="724"/>
      <c r="BA116" s="724" t="s">
        <v>679</v>
      </c>
      <c r="BB116" s="724"/>
      <c r="BC116" s="724"/>
      <c r="BD116" s="724"/>
      <c r="BE116" s="726"/>
      <c r="BF116" s="724" t="s">
        <v>298</v>
      </c>
      <c r="BG116" s="724" t="s">
        <v>680</v>
      </c>
      <c r="BH116" s="724" t="s">
        <v>681</v>
      </c>
      <c r="BI116" s="724"/>
    </row>
    <row r="117" spans="1:61">
      <c r="A117" s="724" t="s">
        <v>690</v>
      </c>
      <c r="B117" s="724" t="s">
        <v>690</v>
      </c>
      <c r="C117" s="724" t="s">
        <v>690</v>
      </c>
      <c r="D117" s="724" t="s">
        <v>673</v>
      </c>
      <c r="E117" s="724" t="s">
        <v>3</v>
      </c>
      <c r="F117" s="725" t="s">
        <v>83</v>
      </c>
      <c r="G117" s="725" t="s">
        <v>691</v>
      </c>
      <c r="H117" s="726">
        <v>547200</v>
      </c>
      <c r="I117" s="726">
        <v>547200</v>
      </c>
      <c r="J117" s="726">
        <v>0</v>
      </c>
      <c r="K117" s="726">
        <v>0</v>
      </c>
      <c r="L117" s="726">
        <v>547200</v>
      </c>
      <c r="M117" s="726">
        <v>0</v>
      </c>
      <c r="N117" s="726">
        <v>0</v>
      </c>
      <c r="O117" s="726">
        <v>0</v>
      </c>
      <c r="P117" s="726">
        <v>0</v>
      </c>
      <c r="Q117" s="726">
        <v>0</v>
      </c>
      <c r="R117" s="726">
        <v>0</v>
      </c>
      <c r="S117" s="726">
        <v>0</v>
      </c>
      <c r="T117" s="726">
        <v>0</v>
      </c>
      <c r="U117" s="726">
        <v>0</v>
      </c>
      <c r="V117" s="726">
        <v>0</v>
      </c>
      <c r="W117" s="726">
        <v>0</v>
      </c>
      <c r="X117" s="724" t="s">
        <v>674</v>
      </c>
      <c r="Y117" s="724" t="s">
        <v>1226</v>
      </c>
      <c r="Z117" s="724" t="s">
        <v>1226</v>
      </c>
      <c r="AA117" s="724" t="s">
        <v>675</v>
      </c>
      <c r="AB117" s="724" t="s">
        <v>675</v>
      </c>
      <c r="AC117" s="724"/>
      <c r="AD117" s="724"/>
      <c r="AE117" s="724" t="s">
        <v>676</v>
      </c>
      <c r="AF117" s="724"/>
      <c r="AG117" s="725" t="s">
        <v>693</v>
      </c>
      <c r="AH117" s="724"/>
      <c r="AI117" s="725" t="s">
        <v>693</v>
      </c>
      <c r="AJ117" s="725" t="s">
        <v>677</v>
      </c>
      <c r="AK117" s="724" t="s">
        <v>677</v>
      </c>
      <c r="AL117" s="724"/>
      <c r="AM117" s="724"/>
      <c r="AN117" s="724"/>
      <c r="AO117" s="724"/>
      <c r="AP117" s="724"/>
      <c r="AQ117" s="724"/>
      <c r="AR117" s="726"/>
      <c r="AS117" s="724"/>
      <c r="AT117" s="726"/>
      <c r="AU117" s="724" t="s">
        <v>678</v>
      </c>
      <c r="AV117" s="724" t="s">
        <v>677</v>
      </c>
      <c r="AW117" s="724" t="s">
        <v>676</v>
      </c>
      <c r="AX117" s="724" t="s">
        <v>674</v>
      </c>
      <c r="AY117" s="724"/>
      <c r="AZ117" s="724"/>
      <c r="BA117" s="724" t="s">
        <v>679</v>
      </c>
      <c r="BB117" s="724"/>
      <c r="BC117" s="724"/>
      <c r="BD117" s="724"/>
      <c r="BE117" s="726"/>
      <c r="BF117" s="724" t="s">
        <v>298</v>
      </c>
      <c r="BG117" s="724" t="s">
        <v>680</v>
      </c>
      <c r="BH117" s="724" t="s">
        <v>681</v>
      </c>
      <c r="BI117" s="724"/>
    </row>
    <row r="118" spans="1:61">
      <c r="A118" s="724" t="s">
        <v>690</v>
      </c>
      <c r="B118" s="724" t="s">
        <v>690</v>
      </c>
      <c r="C118" s="724" t="s">
        <v>690</v>
      </c>
      <c r="D118" s="724" t="s">
        <v>673</v>
      </c>
      <c r="E118" s="724" t="s">
        <v>3</v>
      </c>
      <c r="F118" s="725" t="s">
        <v>83</v>
      </c>
      <c r="G118" s="725" t="s">
        <v>691</v>
      </c>
      <c r="H118" s="726">
        <v>52800</v>
      </c>
      <c r="I118" s="726">
        <v>52800</v>
      </c>
      <c r="J118" s="726">
        <v>0</v>
      </c>
      <c r="K118" s="726">
        <v>0</v>
      </c>
      <c r="L118" s="726">
        <v>52800</v>
      </c>
      <c r="M118" s="726">
        <v>0</v>
      </c>
      <c r="N118" s="726">
        <v>0</v>
      </c>
      <c r="O118" s="726">
        <v>0</v>
      </c>
      <c r="P118" s="726">
        <v>0</v>
      </c>
      <c r="Q118" s="726">
        <v>0</v>
      </c>
      <c r="R118" s="726">
        <v>0</v>
      </c>
      <c r="S118" s="726">
        <v>0</v>
      </c>
      <c r="T118" s="726">
        <v>0</v>
      </c>
      <c r="U118" s="726">
        <v>0</v>
      </c>
      <c r="V118" s="726">
        <v>0</v>
      </c>
      <c r="W118" s="726">
        <v>0</v>
      </c>
      <c r="X118" s="724" t="s">
        <v>674</v>
      </c>
      <c r="Y118" s="724" t="s">
        <v>675</v>
      </c>
      <c r="Z118" s="724" t="s">
        <v>675</v>
      </c>
      <c r="AA118" s="724" t="s">
        <v>675</v>
      </c>
      <c r="AB118" s="724" t="s">
        <v>675</v>
      </c>
      <c r="AC118" s="724"/>
      <c r="AD118" s="724"/>
      <c r="AE118" s="724" t="s">
        <v>676</v>
      </c>
      <c r="AF118" s="724"/>
      <c r="AG118" s="725" t="s">
        <v>692</v>
      </c>
      <c r="AH118" s="724"/>
      <c r="AI118" s="725" t="s">
        <v>692</v>
      </c>
      <c r="AJ118" s="725" t="s">
        <v>677</v>
      </c>
      <c r="AK118" s="724" t="s">
        <v>677</v>
      </c>
      <c r="AL118" s="724"/>
      <c r="AM118" s="724"/>
      <c r="AN118" s="724"/>
      <c r="AO118" s="724"/>
      <c r="AP118" s="724"/>
      <c r="AQ118" s="724"/>
      <c r="AR118" s="726"/>
      <c r="AS118" s="724"/>
      <c r="AT118" s="726"/>
      <c r="AU118" s="724" t="s">
        <v>678</v>
      </c>
      <c r="AV118" s="724" t="s">
        <v>677</v>
      </c>
      <c r="AW118" s="724" t="s">
        <v>676</v>
      </c>
      <c r="AX118" s="724" t="s">
        <v>674</v>
      </c>
      <c r="AY118" s="724"/>
      <c r="AZ118" s="724"/>
      <c r="BA118" s="724" t="s">
        <v>679</v>
      </c>
      <c r="BB118" s="724"/>
      <c r="BC118" s="724"/>
      <c r="BD118" s="724"/>
      <c r="BE118" s="726"/>
      <c r="BF118" s="724" t="s">
        <v>298</v>
      </c>
      <c r="BG118" s="724" t="s">
        <v>680</v>
      </c>
      <c r="BH118" s="724" t="s">
        <v>681</v>
      </c>
      <c r="BI118" s="724"/>
    </row>
    <row r="119" spans="1:61">
      <c r="A119" s="724" t="s">
        <v>690</v>
      </c>
      <c r="B119" s="724" t="s">
        <v>690</v>
      </c>
      <c r="C119" s="724" t="s">
        <v>690</v>
      </c>
      <c r="D119" s="724" t="s">
        <v>673</v>
      </c>
      <c r="E119" s="724" t="s">
        <v>3</v>
      </c>
      <c r="F119" s="725" t="s">
        <v>83</v>
      </c>
      <c r="G119" s="725" t="s">
        <v>691</v>
      </c>
      <c r="H119" s="726">
        <v>52800</v>
      </c>
      <c r="I119" s="726">
        <v>52800</v>
      </c>
      <c r="J119" s="726">
        <v>0</v>
      </c>
      <c r="K119" s="726">
        <v>0</v>
      </c>
      <c r="L119" s="726">
        <v>52800</v>
      </c>
      <c r="M119" s="726">
        <v>0</v>
      </c>
      <c r="N119" s="726">
        <v>0</v>
      </c>
      <c r="O119" s="726">
        <v>0</v>
      </c>
      <c r="P119" s="726">
        <v>0</v>
      </c>
      <c r="Q119" s="726">
        <v>0</v>
      </c>
      <c r="R119" s="726">
        <v>0</v>
      </c>
      <c r="S119" s="726">
        <v>0</v>
      </c>
      <c r="T119" s="726">
        <v>0</v>
      </c>
      <c r="U119" s="726">
        <v>0</v>
      </c>
      <c r="V119" s="726">
        <v>0</v>
      </c>
      <c r="W119" s="726">
        <v>0</v>
      </c>
      <c r="X119" s="724" t="s">
        <v>674</v>
      </c>
      <c r="Y119" s="724" t="s">
        <v>675</v>
      </c>
      <c r="Z119" s="724" t="s">
        <v>675</v>
      </c>
      <c r="AA119" s="724" t="s">
        <v>675</v>
      </c>
      <c r="AB119" s="724" t="s">
        <v>675</v>
      </c>
      <c r="AC119" s="724"/>
      <c r="AD119" s="724"/>
      <c r="AE119" s="724" t="s">
        <v>676</v>
      </c>
      <c r="AF119" s="724"/>
      <c r="AG119" s="725" t="s">
        <v>692</v>
      </c>
      <c r="AH119" s="724"/>
      <c r="AI119" s="725" t="s">
        <v>692</v>
      </c>
      <c r="AJ119" s="725" t="s">
        <v>677</v>
      </c>
      <c r="AK119" s="724" t="s">
        <v>677</v>
      </c>
      <c r="AL119" s="724"/>
      <c r="AM119" s="724"/>
      <c r="AN119" s="724"/>
      <c r="AO119" s="724"/>
      <c r="AP119" s="724"/>
      <c r="AQ119" s="724"/>
      <c r="AR119" s="726"/>
      <c r="AS119" s="724"/>
      <c r="AT119" s="726"/>
      <c r="AU119" s="724" t="s">
        <v>678</v>
      </c>
      <c r="AV119" s="724" t="s">
        <v>677</v>
      </c>
      <c r="AW119" s="724" t="s">
        <v>676</v>
      </c>
      <c r="AX119" s="724" t="s">
        <v>674</v>
      </c>
      <c r="AY119" s="724"/>
      <c r="AZ119" s="724"/>
      <c r="BA119" s="724" t="s">
        <v>679</v>
      </c>
      <c r="BB119" s="724"/>
      <c r="BC119" s="724"/>
      <c r="BD119" s="724"/>
      <c r="BE119" s="726"/>
      <c r="BF119" s="724" t="s">
        <v>298</v>
      </c>
      <c r="BG119" s="724" t="s">
        <v>680</v>
      </c>
      <c r="BH119" s="724" t="s">
        <v>681</v>
      </c>
      <c r="BI119" s="724"/>
    </row>
    <row r="120" spans="1:61">
      <c r="A120" s="724" t="s">
        <v>690</v>
      </c>
      <c r="B120" s="724" t="s">
        <v>690</v>
      </c>
      <c r="C120" s="724" t="s">
        <v>690</v>
      </c>
      <c r="D120" s="724" t="s">
        <v>673</v>
      </c>
      <c r="E120" s="724" t="s">
        <v>3</v>
      </c>
      <c r="F120" s="725" t="s">
        <v>83</v>
      </c>
      <c r="G120" s="725" t="s">
        <v>691</v>
      </c>
      <c r="H120" s="726">
        <v>96800</v>
      </c>
      <c r="I120" s="726">
        <v>96800</v>
      </c>
      <c r="J120" s="726">
        <v>0</v>
      </c>
      <c r="K120" s="726">
        <v>0</v>
      </c>
      <c r="L120" s="726">
        <v>96800</v>
      </c>
      <c r="M120" s="726">
        <v>0</v>
      </c>
      <c r="N120" s="726">
        <v>0</v>
      </c>
      <c r="O120" s="726">
        <v>0</v>
      </c>
      <c r="P120" s="726">
        <v>0</v>
      </c>
      <c r="Q120" s="726">
        <v>0</v>
      </c>
      <c r="R120" s="726">
        <v>0</v>
      </c>
      <c r="S120" s="726">
        <v>0</v>
      </c>
      <c r="T120" s="726">
        <v>0</v>
      </c>
      <c r="U120" s="726">
        <v>0</v>
      </c>
      <c r="V120" s="726">
        <v>0</v>
      </c>
      <c r="W120" s="726">
        <v>0</v>
      </c>
      <c r="X120" s="724" t="s">
        <v>674</v>
      </c>
      <c r="Y120" s="724" t="s">
        <v>675</v>
      </c>
      <c r="Z120" s="724" t="s">
        <v>675</v>
      </c>
      <c r="AA120" s="724" t="s">
        <v>675</v>
      </c>
      <c r="AB120" s="724" t="s">
        <v>675</v>
      </c>
      <c r="AC120" s="724"/>
      <c r="AD120" s="724"/>
      <c r="AE120" s="724" t="s">
        <v>676</v>
      </c>
      <c r="AF120" s="724"/>
      <c r="AG120" s="725" t="s">
        <v>692</v>
      </c>
      <c r="AH120" s="724"/>
      <c r="AI120" s="725" t="s">
        <v>692</v>
      </c>
      <c r="AJ120" s="725" t="s">
        <v>677</v>
      </c>
      <c r="AK120" s="724" t="s">
        <v>677</v>
      </c>
      <c r="AL120" s="724"/>
      <c r="AM120" s="724"/>
      <c r="AN120" s="724"/>
      <c r="AO120" s="724"/>
      <c r="AP120" s="724"/>
      <c r="AQ120" s="724"/>
      <c r="AR120" s="726"/>
      <c r="AS120" s="724"/>
      <c r="AT120" s="726"/>
      <c r="AU120" s="724" t="s">
        <v>678</v>
      </c>
      <c r="AV120" s="724" t="s">
        <v>677</v>
      </c>
      <c r="AW120" s="724" t="s">
        <v>676</v>
      </c>
      <c r="AX120" s="724" t="s">
        <v>674</v>
      </c>
      <c r="AY120" s="724"/>
      <c r="AZ120" s="724"/>
      <c r="BA120" s="724" t="s">
        <v>679</v>
      </c>
      <c r="BB120" s="724"/>
      <c r="BC120" s="724"/>
      <c r="BD120" s="724"/>
      <c r="BE120" s="726"/>
      <c r="BF120" s="724" t="s">
        <v>298</v>
      </c>
      <c r="BG120" s="724" t="s">
        <v>680</v>
      </c>
      <c r="BH120" s="724" t="s">
        <v>681</v>
      </c>
      <c r="BI120" s="724"/>
    </row>
    <row r="121" spans="1:61">
      <c r="A121" s="724" t="s">
        <v>690</v>
      </c>
      <c r="B121" s="724" t="s">
        <v>690</v>
      </c>
      <c r="C121" s="724" t="s">
        <v>690</v>
      </c>
      <c r="D121" s="724" t="s">
        <v>673</v>
      </c>
      <c r="E121" s="724" t="s">
        <v>3</v>
      </c>
      <c r="F121" s="725" t="s">
        <v>83</v>
      </c>
      <c r="G121" s="725" t="s">
        <v>691</v>
      </c>
      <c r="H121" s="726">
        <v>547200</v>
      </c>
      <c r="I121" s="726">
        <v>547200</v>
      </c>
      <c r="J121" s="726">
        <v>0</v>
      </c>
      <c r="K121" s="726">
        <v>0</v>
      </c>
      <c r="L121" s="726">
        <v>547200</v>
      </c>
      <c r="M121" s="726">
        <v>0</v>
      </c>
      <c r="N121" s="726">
        <v>0</v>
      </c>
      <c r="O121" s="726">
        <v>0</v>
      </c>
      <c r="P121" s="726">
        <v>0</v>
      </c>
      <c r="Q121" s="726">
        <v>0</v>
      </c>
      <c r="R121" s="726">
        <v>0</v>
      </c>
      <c r="S121" s="726">
        <v>0</v>
      </c>
      <c r="T121" s="726">
        <v>0</v>
      </c>
      <c r="U121" s="726">
        <v>0</v>
      </c>
      <c r="V121" s="726">
        <v>0</v>
      </c>
      <c r="W121" s="726">
        <v>0</v>
      </c>
      <c r="X121" s="724" t="s">
        <v>674</v>
      </c>
      <c r="Y121" s="724" t="s">
        <v>1226</v>
      </c>
      <c r="Z121" s="724" t="s">
        <v>1226</v>
      </c>
      <c r="AA121" s="724" t="s">
        <v>675</v>
      </c>
      <c r="AB121" s="724" t="s">
        <v>675</v>
      </c>
      <c r="AC121" s="724"/>
      <c r="AD121" s="724"/>
      <c r="AE121" s="724" t="s">
        <v>676</v>
      </c>
      <c r="AF121" s="724"/>
      <c r="AG121" s="725" t="s">
        <v>693</v>
      </c>
      <c r="AH121" s="724"/>
      <c r="AI121" s="725" t="s">
        <v>693</v>
      </c>
      <c r="AJ121" s="725" t="s">
        <v>677</v>
      </c>
      <c r="AK121" s="724" t="s">
        <v>677</v>
      </c>
      <c r="AL121" s="724"/>
      <c r="AM121" s="724"/>
      <c r="AN121" s="724"/>
      <c r="AO121" s="724"/>
      <c r="AP121" s="724"/>
      <c r="AQ121" s="724"/>
      <c r="AR121" s="726"/>
      <c r="AS121" s="724"/>
      <c r="AT121" s="726"/>
      <c r="AU121" s="724" t="s">
        <v>678</v>
      </c>
      <c r="AV121" s="724" t="s">
        <v>677</v>
      </c>
      <c r="AW121" s="724" t="s">
        <v>676</v>
      </c>
      <c r="AX121" s="724" t="s">
        <v>674</v>
      </c>
      <c r="AY121" s="724"/>
      <c r="AZ121" s="724"/>
      <c r="BA121" s="724" t="s">
        <v>679</v>
      </c>
      <c r="BB121" s="724"/>
      <c r="BC121" s="724"/>
      <c r="BD121" s="724"/>
      <c r="BE121" s="726"/>
      <c r="BF121" s="724" t="s">
        <v>298</v>
      </c>
      <c r="BG121" s="724" t="s">
        <v>680</v>
      </c>
      <c r="BH121" s="724" t="s">
        <v>681</v>
      </c>
      <c r="BI121" s="724"/>
    </row>
    <row r="122" spans="1:61">
      <c r="A122" s="724" t="s">
        <v>690</v>
      </c>
      <c r="B122" s="724" t="s">
        <v>690</v>
      </c>
      <c r="C122" s="724" t="s">
        <v>690</v>
      </c>
      <c r="D122" s="724" t="s">
        <v>673</v>
      </c>
      <c r="E122" s="724" t="s">
        <v>3</v>
      </c>
      <c r="F122" s="725" t="s">
        <v>83</v>
      </c>
      <c r="G122" s="725" t="s">
        <v>691</v>
      </c>
      <c r="H122" s="726">
        <v>547200</v>
      </c>
      <c r="I122" s="726">
        <v>547200</v>
      </c>
      <c r="J122" s="726">
        <v>0</v>
      </c>
      <c r="K122" s="726">
        <v>0</v>
      </c>
      <c r="L122" s="726">
        <v>547200</v>
      </c>
      <c r="M122" s="726">
        <v>0</v>
      </c>
      <c r="N122" s="726">
        <v>0</v>
      </c>
      <c r="O122" s="726">
        <v>0</v>
      </c>
      <c r="P122" s="726">
        <v>0</v>
      </c>
      <c r="Q122" s="726">
        <v>0</v>
      </c>
      <c r="R122" s="726">
        <v>0</v>
      </c>
      <c r="S122" s="726">
        <v>0</v>
      </c>
      <c r="T122" s="726">
        <v>0</v>
      </c>
      <c r="U122" s="726">
        <v>0</v>
      </c>
      <c r="V122" s="726">
        <v>0</v>
      </c>
      <c r="W122" s="726">
        <v>0</v>
      </c>
      <c r="X122" s="724" t="s">
        <v>674</v>
      </c>
      <c r="Y122" s="724" t="s">
        <v>1226</v>
      </c>
      <c r="Z122" s="724" t="s">
        <v>1226</v>
      </c>
      <c r="AA122" s="724" t="s">
        <v>675</v>
      </c>
      <c r="AB122" s="724" t="s">
        <v>675</v>
      </c>
      <c r="AC122" s="724"/>
      <c r="AD122" s="724"/>
      <c r="AE122" s="724" t="s">
        <v>676</v>
      </c>
      <c r="AF122" s="724"/>
      <c r="AG122" s="725" t="s">
        <v>693</v>
      </c>
      <c r="AH122" s="724"/>
      <c r="AI122" s="725" t="s">
        <v>693</v>
      </c>
      <c r="AJ122" s="725" t="s">
        <v>677</v>
      </c>
      <c r="AK122" s="724" t="s">
        <v>677</v>
      </c>
      <c r="AL122" s="724"/>
      <c r="AM122" s="724"/>
      <c r="AN122" s="724"/>
      <c r="AO122" s="724"/>
      <c r="AP122" s="724"/>
      <c r="AQ122" s="724"/>
      <c r="AR122" s="726"/>
      <c r="AS122" s="724"/>
      <c r="AT122" s="726"/>
      <c r="AU122" s="724" t="s">
        <v>678</v>
      </c>
      <c r="AV122" s="724" t="s">
        <v>677</v>
      </c>
      <c r="AW122" s="724" t="s">
        <v>676</v>
      </c>
      <c r="AX122" s="724" t="s">
        <v>674</v>
      </c>
      <c r="AY122" s="724"/>
      <c r="AZ122" s="724"/>
      <c r="BA122" s="724" t="s">
        <v>679</v>
      </c>
      <c r="BB122" s="724"/>
      <c r="BC122" s="724"/>
      <c r="BD122" s="724"/>
      <c r="BE122" s="726"/>
      <c r="BF122" s="724" t="s">
        <v>298</v>
      </c>
      <c r="BG122" s="724" t="s">
        <v>680</v>
      </c>
      <c r="BH122" s="724" t="s">
        <v>681</v>
      </c>
      <c r="BI122" s="724"/>
    </row>
    <row r="123" spans="1:61">
      <c r="A123" s="724" t="s">
        <v>690</v>
      </c>
      <c r="B123" s="724" t="s">
        <v>690</v>
      </c>
      <c r="C123" s="724" t="s">
        <v>690</v>
      </c>
      <c r="D123" s="724" t="s">
        <v>673</v>
      </c>
      <c r="E123" s="724" t="s">
        <v>3</v>
      </c>
      <c r="F123" s="725" t="s">
        <v>83</v>
      </c>
      <c r="G123" s="725" t="s">
        <v>691</v>
      </c>
      <c r="H123" s="726">
        <v>547200</v>
      </c>
      <c r="I123" s="726">
        <v>547200</v>
      </c>
      <c r="J123" s="726">
        <v>0</v>
      </c>
      <c r="K123" s="726">
        <v>0</v>
      </c>
      <c r="L123" s="726">
        <v>547200</v>
      </c>
      <c r="M123" s="726">
        <v>0</v>
      </c>
      <c r="N123" s="726">
        <v>0</v>
      </c>
      <c r="O123" s="726">
        <v>0</v>
      </c>
      <c r="P123" s="726">
        <v>0</v>
      </c>
      <c r="Q123" s="726">
        <v>0</v>
      </c>
      <c r="R123" s="726">
        <v>0</v>
      </c>
      <c r="S123" s="726">
        <v>0</v>
      </c>
      <c r="T123" s="726">
        <v>0</v>
      </c>
      <c r="U123" s="726">
        <v>0</v>
      </c>
      <c r="V123" s="726">
        <v>0</v>
      </c>
      <c r="W123" s="726">
        <v>0</v>
      </c>
      <c r="X123" s="724" t="s">
        <v>674</v>
      </c>
      <c r="Y123" s="724" t="s">
        <v>1226</v>
      </c>
      <c r="Z123" s="724" t="s">
        <v>1226</v>
      </c>
      <c r="AA123" s="724" t="s">
        <v>675</v>
      </c>
      <c r="AB123" s="724" t="s">
        <v>675</v>
      </c>
      <c r="AC123" s="724"/>
      <c r="AD123" s="724"/>
      <c r="AE123" s="724" t="s">
        <v>676</v>
      </c>
      <c r="AF123" s="724"/>
      <c r="AG123" s="725" t="s">
        <v>693</v>
      </c>
      <c r="AH123" s="724"/>
      <c r="AI123" s="725" t="s">
        <v>693</v>
      </c>
      <c r="AJ123" s="725" t="s">
        <v>677</v>
      </c>
      <c r="AK123" s="724" t="s">
        <v>677</v>
      </c>
      <c r="AL123" s="724"/>
      <c r="AM123" s="724"/>
      <c r="AN123" s="724"/>
      <c r="AO123" s="724"/>
      <c r="AP123" s="724"/>
      <c r="AQ123" s="724"/>
      <c r="AR123" s="726"/>
      <c r="AS123" s="724"/>
      <c r="AT123" s="726"/>
      <c r="AU123" s="724" t="s">
        <v>678</v>
      </c>
      <c r="AV123" s="724" t="s">
        <v>677</v>
      </c>
      <c r="AW123" s="724" t="s">
        <v>676</v>
      </c>
      <c r="AX123" s="724" t="s">
        <v>674</v>
      </c>
      <c r="AY123" s="724"/>
      <c r="AZ123" s="724"/>
      <c r="BA123" s="724" t="s">
        <v>679</v>
      </c>
      <c r="BB123" s="724"/>
      <c r="BC123" s="724"/>
      <c r="BD123" s="724"/>
      <c r="BE123" s="726"/>
      <c r="BF123" s="724" t="s">
        <v>298</v>
      </c>
      <c r="BG123" s="724" t="s">
        <v>680</v>
      </c>
      <c r="BH123" s="724" t="s">
        <v>681</v>
      </c>
      <c r="BI123" s="724"/>
    </row>
    <row r="124" spans="1:61">
      <c r="A124" s="724" t="s">
        <v>690</v>
      </c>
      <c r="B124" s="724" t="s">
        <v>690</v>
      </c>
      <c r="C124" s="724" t="s">
        <v>690</v>
      </c>
      <c r="D124" s="724" t="s">
        <v>673</v>
      </c>
      <c r="E124" s="724" t="s">
        <v>3</v>
      </c>
      <c r="F124" s="725" t="s">
        <v>83</v>
      </c>
      <c r="G124" s="725" t="s">
        <v>691</v>
      </c>
      <c r="H124" s="726">
        <v>547200</v>
      </c>
      <c r="I124" s="726">
        <v>547200</v>
      </c>
      <c r="J124" s="726">
        <v>0</v>
      </c>
      <c r="K124" s="726">
        <v>0</v>
      </c>
      <c r="L124" s="726">
        <v>547200</v>
      </c>
      <c r="M124" s="726">
        <v>0</v>
      </c>
      <c r="N124" s="726">
        <v>0</v>
      </c>
      <c r="O124" s="726">
        <v>0</v>
      </c>
      <c r="P124" s="726">
        <v>0</v>
      </c>
      <c r="Q124" s="726">
        <v>0</v>
      </c>
      <c r="R124" s="726">
        <v>0</v>
      </c>
      <c r="S124" s="726">
        <v>0</v>
      </c>
      <c r="T124" s="726">
        <v>0</v>
      </c>
      <c r="U124" s="726">
        <v>0</v>
      </c>
      <c r="V124" s="726">
        <v>0</v>
      </c>
      <c r="W124" s="726">
        <v>0</v>
      </c>
      <c r="X124" s="724" t="s">
        <v>674</v>
      </c>
      <c r="Y124" s="724" t="s">
        <v>1226</v>
      </c>
      <c r="Z124" s="724" t="s">
        <v>1226</v>
      </c>
      <c r="AA124" s="724" t="s">
        <v>675</v>
      </c>
      <c r="AB124" s="724" t="s">
        <v>675</v>
      </c>
      <c r="AC124" s="724"/>
      <c r="AD124" s="724"/>
      <c r="AE124" s="724" t="s">
        <v>676</v>
      </c>
      <c r="AF124" s="724"/>
      <c r="AG124" s="725" t="s">
        <v>693</v>
      </c>
      <c r="AH124" s="724"/>
      <c r="AI124" s="725" t="s">
        <v>693</v>
      </c>
      <c r="AJ124" s="725" t="s">
        <v>677</v>
      </c>
      <c r="AK124" s="724" t="s">
        <v>677</v>
      </c>
      <c r="AL124" s="724"/>
      <c r="AM124" s="724"/>
      <c r="AN124" s="724"/>
      <c r="AO124" s="724"/>
      <c r="AP124" s="724"/>
      <c r="AQ124" s="724"/>
      <c r="AR124" s="726"/>
      <c r="AS124" s="724"/>
      <c r="AT124" s="726"/>
      <c r="AU124" s="724" t="s">
        <v>678</v>
      </c>
      <c r="AV124" s="724" t="s">
        <v>677</v>
      </c>
      <c r="AW124" s="724" t="s">
        <v>676</v>
      </c>
      <c r="AX124" s="724" t="s">
        <v>674</v>
      </c>
      <c r="AY124" s="724"/>
      <c r="AZ124" s="724"/>
      <c r="BA124" s="724" t="s">
        <v>679</v>
      </c>
      <c r="BB124" s="724"/>
      <c r="BC124" s="724"/>
      <c r="BD124" s="724"/>
      <c r="BE124" s="726"/>
      <c r="BF124" s="724" t="s">
        <v>298</v>
      </c>
      <c r="BG124" s="724" t="s">
        <v>680</v>
      </c>
      <c r="BH124" s="724" t="s">
        <v>681</v>
      </c>
      <c r="BI124" s="724"/>
    </row>
    <row r="125" spans="1:61">
      <c r="A125" s="724" t="s">
        <v>690</v>
      </c>
      <c r="B125" s="724" t="s">
        <v>690</v>
      </c>
      <c r="C125" s="724" t="s">
        <v>690</v>
      </c>
      <c r="D125" s="724" t="s">
        <v>673</v>
      </c>
      <c r="E125" s="724" t="s">
        <v>3</v>
      </c>
      <c r="F125" s="725" t="s">
        <v>83</v>
      </c>
      <c r="G125" s="725" t="s">
        <v>691</v>
      </c>
      <c r="H125" s="726">
        <v>52800</v>
      </c>
      <c r="I125" s="726">
        <v>52800</v>
      </c>
      <c r="J125" s="726">
        <v>0</v>
      </c>
      <c r="K125" s="726">
        <v>0</v>
      </c>
      <c r="L125" s="726">
        <v>52800</v>
      </c>
      <c r="M125" s="726">
        <v>0</v>
      </c>
      <c r="N125" s="726">
        <v>0</v>
      </c>
      <c r="O125" s="726">
        <v>0</v>
      </c>
      <c r="P125" s="726">
        <v>0</v>
      </c>
      <c r="Q125" s="726">
        <v>0</v>
      </c>
      <c r="R125" s="726">
        <v>0</v>
      </c>
      <c r="S125" s="726">
        <v>0</v>
      </c>
      <c r="T125" s="726">
        <v>0</v>
      </c>
      <c r="U125" s="726">
        <v>0</v>
      </c>
      <c r="V125" s="726">
        <v>0</v>
      </c>
      <c r="W125" s="726">
        <v>0</v>
      </c>
      <c r="X125" s="724" t="s">
        <v>674</v>
      </c>
      <c r="Y125" s="724" t="s">
        <v>675</v>
      </c>
      <c r="Z125" s="724" t="s">
        <v>675</v>
      </c>
      <c r="AA125" s="724" t="s">
        <v>675</v>
      </c>
      <c r="AB125" s="724" t="s">
        <v>675</v>
      </c>
      <c r="AC125" s="724"/>
      <c r="AD125" s="724"/>
      <c r="AE125" s="724" t="s">
        <v>676</v>
      </c>
      <c r="AF125" s="724"/>
      <c r="AG125" s="725" t="s">
        <v>692</v>
      </c>
      <c r="AH125" s="724"/>
      <c r="AI125" s="725" t="s">
        <v>692</v>
      </c>
      <c r="AJ125" s="725" t="s">
        <v>677</v>
      </c>
      <c r="AK125" s="724" t="s">
        <v>677</v>
      </c>
      <c r="AL125" s="724"/>
      <c r="AM125" s="724"/>
      <c r="AN125" s="724"/>
      <c r="AO125" s="724"/>
      <c r="AP125" s="724"/>
      <c r="AQ125" s="724"/>
      <c r="AR125" s="726"/>
      <c r="AS125" s="724"/>
      <c r="AT125" s="726"/>
      <c r="AU125" s="724" t="s">
        <v>678</v>
      </c>
      <c r="AV125" s="724" t="s">
        <v>677</v>
      </c>
      <c r="AW125" s="724" t="s">
        <v>676</v>
      </c>
      <c r="AX125" s="724" t="s">
        <v>674</v>
      </c>
      <c r="AY125" s="724"/>
      <c r="AZ125" s="724"/>
      <c r="BA125" s="724" t="s">
        <v>679</v>
      </c>
      <c r="BB125" s="724"/>
      <c r="BC125" s="724"/>
      <c r="BD125" s="724"/>
      <c r="BE125" s="726"/>
      <c r="BF125" s="724" t="s">
        <v>298</v>
      </c>
      <c r="BG125" s="724" t="s">
        <v>680</v>
      </c>
      <c r="BH125" s="724" t="s">
        <v>681</v>
      </c>
      <c r="BI125" s="724"/>
    </row>
    <row r="126" spans="1:61">
      <c r="A126" s="724" t="s">
        <v>690</v>
      </c>
      <c r="B126" s="724" t="s">
        <v>690</v>
      </c>
      <c r="C126" s="724" t="s">
        <v>690</v>
      </c>
      <c r="D126" s="724" t="s">
        <v>673</v>
      </c>
      <c r="E126" s="724" t="s">
        <v>3</v>
      </c>
      <c r="F126" s="725" t="s">
        <v>83</v>
      </c>
      <c r="G126" s="725" t="s">
        <v>691</v>
      </c>
      <c r="H126" s="726">
        <v>52800</v>
      </c>
      <c r="I126" s="726">
        <v>52800</v>
      </c>
      <c r="J126" s="726">
        <v>0</v>
      </c>
      <c r="K126" s="726">
        <v>0</v>
      </c>
      <c r="L126" s="726">
        <v>52800</v>
      </c>
      <c r="M126" s="726">
        <v>0</v>
      </c>
      <c r="N126" s="726">
        <v>0</v>
      </c>
      <c r="O126" s="726">
        <v>0</v>
      </c>
      <c r="P126" s="726">
        <v>0</v>
      </c>
      <c r="Q126" s="726">
        <v>0</v>
      </c>
      <c r="R126" s="726">
        <v>0</v>
      </c>
      <c r="S126" s="726">
        <v>0</v>
      </c>
      <c r="T126" s="726">
        <v>0</v>
      </c>
      <c r="U126" s="726">
        <v>0</v>
      </c>
      <c r="V126" s="726">
        <v>0</v>
      </c>
      <c r="W126" s="726">
        <v>0</v>
      </c>
      <c r="X126" s="724" t="s">
        <v>674</v>
      </c>
      <c r="Y126" s="724" t="s">
        <v>675</v>
      </c>
      <c r="Z126" s="724" t="s">
        <v>675</v>
      </c>
      <c r="AA126" s="724" t="s">
        <v>675</v>
      </c>
      <c r="AB126" s="724" t="s">
        <v>675</v>
      </c>
      <c r="AC126" s="724"/>
      <c r="AD126" s="724"/>
      <c r="AE126" s="724" t="s">
        <v>676</v>
      </c>
      <c r="AF126" s="724"/>
      <c r="AG126" s="725" t="s">
        <v>692</v>
      </c>
      <c r="AH126" s="724"/>
      <c r="AI126" s="725" t="s">
        <v>692</v>
      </c>
      <c r="AJ126" s="725" t="s">
        <v>677</v>
      </c>
      <c r="AK126" s="724" t="s">
        <v>677</v>
      </c>
      <c r="AL126" s="724"/>
      <c r="AM126" s="724"/>
      <c r="AN126" s="724"/>
      <c r="AO126" s="724"/>
      <c r="AP126" s="724"/>
      <c r="AQ126" s="724"/>
      <c r="AR126" s="726"/>
      <c r="AS126" s="724"/>
      <c r="AT126" s="726"/>
      <c r="AU126" s="724" t="s">
        <v>678</v>
      </c>
      <c r="AV126" s="724" t="s">
        <v>677</v>
      </c>
      <c r="AW126" s="724" t="s">
        <v>676</v>
      </c>
      <c r="AX126" s="724" t="s">
        <v>674</v>
      </c>
      <c r="AY126" s="724"/>
      <c r="AZ126" s="724"/>
      <c r="BA126" s="724" t="s">
        <v>679</v>
      </c>
      <c r="BB126" s="724"/>
      <c r="BC126" s="724"/>
      <c r="BD126" s="724"/>
      <c r="BE126" s="726"/>
      <c r="BF126" s="724" t="s">
        <v>298</v>
      </c>
      <c r="BG126" s="724" t="s">
        <v>680</v>
      </c>
      <c r="BH126" s="724" t="s">
        <v>681</v>
      </c>
      <c r="BI126" s="724"/>
    </row>
    <row r="127" spans="1:61">
      <c r="A127" s="724" t="s">
        <v>690</v>
      </c>
      <c r="B127" s="724" t="s">
        <v>690</v>
      </c>
      <c r="C127" s="724" t="s">
        <v>690</v>
      </c>
      <c r="D127" s="724" t="s">
        <v>673</v>
      </c>
      <c r="E127" s="724" t="s">
        <v>3</v>
      </c>
      <c r="F127" s="725" t="s">
        <v>83</v>
      </c>
      <c r="G127" s="725" t="s">
        <v>691</v>
      </c>
      <c r="H127" s="726">
        <v>547200</v>
      </c>
      <c r="I127" s="726">
        <v>547200</v>
      </c>
      <c r="J127" s="726">
        <v>0</v>
      </c>
      <c r="K127" s="726">
        <v>0</v>
      </c>
      <c r="L127" s="726">
        <v>547200</v>
      </c>
      <c r="M127" s="726">
        <v>0</v>
      </c>
      <c r="N127" s="726">
        <v>0</v>
      </c>
      <c r="O127" s="726">
        <v>0</v>
      </c>
      <c r="P127" s="726">
        <v>0</v>
      </c>
      <c r="Q127" s="726">
        <v>0</v>
      </c>
      <c r="R127" s="726">
        <v>0</v>
      </c>
      <c r="S127" s="726">
        <v>0</v>
      </c>
      <c r="T127" s="726">
        <v>0</v>
      </c>
      <c r="U127" s="726">
        <v>0</v>
      </c>
      <c r="V127" s="726">
        <v>0</v>
      </c>
      <c r="W127" s="726">
        <v>0</v>
      </c>
      <c r="X127" s="724" t="s">
        <v>674</v>
      </c>
      <c r="Y127" s="724" t="s">
        <v>1226</v>
      </c>
      <c r="Z127" s="724" t="s">
        <v>1226</v>
      </c>
      <c r="AA127" s="724" t="s">
        <v>675</v>
      </c>
      <c r="AB127" s="724" t="s">
        <v>675</v>
      </c>
      <c r="AC127" s="724"/>
      <c r="AD127" s="724"/>
      <c r="AE127" s="724" t="s">
        <v>676</v>
      </c>
      <c r="AF127" s="724"/>
      <c r="AG127" s="725" t="s">
        <v>693</v>
      </c>
      <c r="AH127" s="724"/>
      <c r="AI127" s="725" t="s">
        <v>693</v>
      </c>
      <c r="AJ127" s="725" t="s">
        <v>677</v>
      </c>
      <c r="AK127" s="724" t="s">
        <v>677</v>
      </c>
      <c r="AL127" s="724"/>
      <c r="AM127" s="724"/>
      <c r="AN127" s="724"/>
      <c r="AO127" s="724"/>
      <c r="AP127" s="724"/>
      <c r="AQ127" s="724"/>
      <c r="AR127" s="726"/>
      <c r="AS127" s="724"/>
      <c r="AT127" s="726"/>
      <c r="AU127" s="724" t="s">
        <v>678</v>
      </c>
      <c r="AV127" s="724" t="s">
        <v>677</v>
      </c>
      <c r="AW127" s="724" t="s">
        <v>676</v>
      </c>
      <c r="AX127" s="724" t="s">
        <v>674</v>
      </c>
      <c r="AY127" s="724"/>
      <c r="AZ127" s="724"/>
      <c r="BA127" s="724" t="s">
        <v>679</v>
      </c>
      <c r="BB127" s="724"/>
      <c r="BC127" s="724"/>
      <c r="BD127" s="724"/>
      <c r="BE127" s="726"/>
      <c r="BF127" s="724" t="s">
        <v>298</v>
      </c>
      <c r="BG127" s="724" t="s">
        <v>680</v>
      </c>
      <c r="BH127" s="724" t="s">
        <v>681</v>
      </c>
      <c r="BI127" s="724"/>
    </row>
    <row r="128" spans="1:61">
      <c r="A128" s="724" t="s">
        <v>690</v>
      </c>
      <c r="B128" s="724" t="s">
        <v>690</v>
      </c>
      <c r="C128" s="724" t="s">
        <v>690</v>
      </c>
      <c r="D128" s="724" t="s">
        <v>673</v>
      </c>
      <c r="E128" s="724" t="s">
        <v>3</v>
      </c>
      <c r="F128" s="725" t="s">
        <v>83</v>
      </c>
      <c r="G128" s="725" t="s">
        <v>691</v>
      </c>
      <c r="H128" s="726">
        <v>1459200</v>
      </c>
      <c r="I128" s="726">
        <v>1459200</v>
      </c>
      <c r="J128" s="726">
        <v>0</v>
      </c>
      <c r="K128" s="726">
        <v>0</v>
      </c>
      <c r="L128" s="726">
        <v>1459200</v>
      </c>
      <c r="M128" s="726">
        <v>0</v>
      </c>
      <c r="N128" s="726">
        <v>0</v>
      </c>
      <c r="O128" s="726">
        <v>0</v>
      </c>
      <c r="P128" s="726">
        <v>0</v>
      </c>
      <c r="Q128" s="726">
        <v>0</v>
      </c>
      <c r="R128" s="726">
        <v>0</v>
      </c>
      <c r="S128" s="726">
        <v>0</v>
      </c>
      <c r="T128" s="726">
        <v>0</v>
      </c>
      <c r="U128" s="726">
        <v>0</v>
      </c>
      <c r="V128" s="726">
        <v>0</v>
      </c>
      <c r="W128" s="726">
        <v>0</v>
      </c>
      <c r="X128" s="724" t="s">
        <v>674</v>
      </c>
      <c r="Y128" s="724" t="s">
        <v>1226</v>
      </c>
      <c r="Z128" s="724" t="s">
        <v>1226</v>
      </c>
      <c r="AA128" s="724" t="s">
        <v>675</v>
      </c>
      <c r="AB128" s="724" t="s">
        <v>675</v>
      </c>
      <c r="AC128" s="724"/>
      <c r="AD128" s="724"/>
      <c r="AE128" s="724" t="s">
        <v>676</v>
      </c>
      <c r="AF128" s="724"/>
      <c r="AG128" s="725" t="s">
        <v>693</v>
      </c>
      <c r="AH128" s="724"/>
      <c r="AI128" s="725" t="s">
        <v>693</v>
      </c>
      <c r="AJ128" s="725" t="s">
        <v>677</v>
      </c>
      <c r="AK128" s="724" t="s">
        <v>677</v>
      </c>
      <c r="AL128" s="724"/>
      <c r="AM128" s="724"/>
      <c r="AN128" s="724"/>
      <c r="AO128" s="724"/>
      <c r="AP128" s="724"/>
      <c r="AQ128" s="724"/>
      <c r="AR128" s="726"/>
      <c r="AS128" s="724"/>
      <c r="AT128" s="726"/>
      <c r="AU128" s="724" t="s">
        <v>678</v>
      </c>
      <c r="AV128" s="724" t="s">
        <v>677</v>
      </c>
      <c r="AW128" s="724" t="s">
        <v>676</v>
      </c>
      <c r="AX128" s="724" t="s">
        <v>674</v>
      </c>
      <c r="AY128" s="724"/>
      <c r="AZ128" s="724"/>
      <c r="BA128" s="724" t="s">
        <v>679</v>
      </c>
      <c r="BB128" s="724"/>
      <c r="BC128" s="724"/>
      <c r="BD128" s="724"/>
      <c r="BE128" s="726"/>
      <c r="BF128" s="724" t="s">
        <v>298</v>
      </c>
      <c r="BG128" s="724" t="s">
        <v>680</v>
      </c>
      <c r="BH128" s="724" t="s">
        <v>681</v>
      </c>
      <c r="BI128" s="724"/>
    </row>
    <row r="129" spans="1:61">
      <c r="A129" s="724" t="s">
        <v>690</v>
      </c>
      <c r="B129" s="724" t="s">
        <v>690</v>
      </c>
      <c r="C129" s="724" t="s">
        <v>690</v>
      </c>
      <c r="D129" s="724" t="s">
        <v>673</v>
      </c>
      <c r="E129" s="724" t="s">
        <v>3</v>
      </c>
      <c r="F129" s="725" t="s">
        <v>83</v>
      </c>
      <c r="G129" s="725" t="s">
        <v>691</v>
      </c>
      <c r="H129" s="726">
        <v>52800</v>
      </c>
      <c r="I129" s="726">
        <v>52800</v>
      </c>
      <c r="J129" s="726">
        <v>0</v>
      </c>
      <c r="K129" s="726">
        <v>0</v>
      </c>
      <c r="L129" s="726">
        <v>52800</v>
      </c>
      <c r="M129" s="726">
        <v>0</v>
      </c>
      <c r="N129" s="726">
        <v>0</v>
      </c>
      <c r="O129" s="726">
        <v>0</v>
      </c>
      <c r="P129" s="726">
        <v>0</v>
      </c>
      <c r="Q129" s="726">
        <v>0</v>
      </c>
      <c r="R129" s="726">
        <v>0</v>
      </c>
      <c r="S129" s="726">
        <v>0</v>
      </c>
      <c r="T129" s="726">
        <v>0</v>
      </c>
      <c r="U129" s="726">
        <v>0</v>
      </c>
      <c r="V129" s="726">
        <v>0</v>
      </c>
      <c r="W129" s="726">
        <v>0</v>
      </c>
      <c r="X129" s="724" t="s">
        <v>674</v>
      </c>
      <c r="Y129" s="724" t="s">
        <v>675</v>
      </c>
      <c r="Z129" s="724" t="s">
        <v>675</v>
      </c>
      <c r="AA129" s="724" t="s">
        <v>675</v>
      </c>
      <c r="AB129" s="724" t="s">
        <v>675</v>
      </c>
      <c r="AC129" s="724"/>
      <c r="AD129" s="724"/>
      <c r="AE129" s="724" t="s">
        <v>676</v>
      </c>
      <c r="AF129" s="724"/>
      <c r="AG129" s="725" t="s">
        <v>692</v>
      </c>
      <c r="AH129" s="724"/>
      <c r="AI129" s="725" t="s">
        <v>692</v>
      </c>
      <c r="AJ129" s="725" t="s">
        <v>677</v>
      </c>
      <c r="AK129" s="724" t="s">
        <v>677</v>
      </c>
      <c r="AL129" s="724"/>
      <c r="AM129" s="724"/>
      <c r="AN129" s="724"/>
      <c r="AO129" s="724"/>
      <c r="AP129" s="724"/>
      <c r="AQ129" s="724"/>
      <c r="AR129" s="726"/>
      <c r="AS129" s="724"/>
      <c r="AT129" s="726"/>
      <c r="AU129" s="724" t="s">
        <v>678</v>
      </c>
      <c r="AV129" s="724" t="s">
        <v>677</v>
      </c>
      <c r="AW129" s="724" t="s">
        <v>676</v>
      </c>
      <c r="AX129" s="724" t="s">
        <v>674</v>
      </c>
      <c r="AY129" s="724"/>
      <c r="AZ129" s="724"/>
      <c r="BA129" s="724" t="s">
        <v>679</v>
      </c>
      <c r="BB129" s="724"/>
      <c r="BC129" s="724"/>
      <c r="BD129" s="724"/>
      <c r="BE129" s="726"/>
      <c r="BF129" s="724" t="s">
        <v>298</v>
      </c>
      <c r="BG129" s="724" t="s">
        <v>680</v>
      </c>
      <c r="BH129" s="724" t="s">
        <v>681</v>
      </c>
      <c r="BI129" s="724"/>
    </row>
    <row r="130" spans="1:61">
      <c r="A130" s="724" t="s">
        <v>690</v>
      </c>
      <c r="B130" s="724" t="s">
        <v>690</v>
      </c>
      <c r="C130" s="724" t="s">
        <v>690</v>
      </c>
      <c r="D130" s="724" t="s">
        <v>673</v>
      </c>
      <c r="E130" s="724" t="s">
        <v>3</v>
      </c>
      <c r="F130" s="725" t="s">
        <v>83</v>
      </c>
      <c r="G130" s="725" t="s">
        <v>691</v>
      </c>
      <c r="H130" s="726">
        <v>547200</v>
      </c>
      <c r="I130" s="726">
        <v>547200</v>
      </c>
      <c r="J130" s="726">
        <v>0</v>
      </c>
      <c r="K130" s="726">
        <v>0</v>
      </c>
      <c r="L130" s="726">
        <v>547200</v>
      </c>
      <c r="M130" s="726">
        <v>0</v>
      </c>
      <c r="N130" s="726">
        <v>0</v>
      </c>
      <c r="O130" s="726">
        <v>0</v>
      </c>
      <c r="P130" s="726">
        <v>0</v>
      </c>
      <c r="Q130" s="726">
        <v>0</v>
      </c>
      <c r="R130" s="726">
        <v>0</v>
      </c>
      <c r="S130" s="726">
        <v>0</v>
      </c>
      <c r="T130" s="726">
        <v>0</v>
      </c>
      <c r="U130" s="726">
        <v>0</v>
      </c>
      <c r="V130" s="726">
        <v>0</v>
      </c>
      <c r="W130" s="726">
        <v>0</v>
      </c>
      <c r="X130" s="724" t="s">
        <v>674</v>
      </c>
      <c r="Y130" s="724" t="s">
        <v>1226</v>
      </c>
      <c r="Z130" s="724" t="s">
        <v>1226</v>
      </c>
      <c r="AA130" s="724" t="s">
        <v>675</v>
      </c>
      <c r="AB130" s="724" t="s">
        <v>675</v>
      </c>
      <c r="AC130" s="724"/>
      <c r="AD130" s="724"/>
      <c r="AE130" s="724" t="s">
        <v>676</v>
      </c>
      <c r="AF130" s="724"/>
      <c r="AG130" s="725" t="s">
        <v>693</v>
      </c>
      <c r="AH130" s="724"/>
      <c r="AI130" s="725" t="s">
        <v>693</v>
      </c>
      <c r="AJ130" s="725" t="s">
        <v>677</v>
      </c>
      <c r="AK130" s="724" t="s">
        <v>677</v>
      </c>
      <c r="AL130" s="724"/>
      <c r="AM130" s="724"/>
      <c r="AN130" s="724"/>
      <c r="AO130" s="724"/>
      <c r="AP130" s="724"/>
      <c r="AQ130" s="724"/>
      <c r="AR130" s="726"/>
      <c r="AS130" s="724"/>
      <c r="AT130" s="726"/>
      <c r="AU130" s="724" t="s">
        <v>678</v>
      </c>
      <c r="AV130" s="724" t="s">
        <v>677</v>
      </c>
      <c r="AW130" s="724" t="s">
        <v>676</v>
      </c>
      <c r="AX130" s="724" t="s">
        <v>674</v>
      </c>
      <c r="AY130" s="724"/>
      <c r="AZ130" s="724"/>
      <c r="BA130" s="724" t="s">
        <v>679</v>
      </c>
      <c r="BB130" s="724"/>
      <c r="BC130" s="724"/>
      <c r="BD130" s="724"/>
      <c r="BE130" s="726"/>
      <c r="BF130" s="724" t="s">
        <v>298</v>
      </c>
      <c r="BG130" s="724" t="s">
        <v>680</v>
      </c>
      <c r="BH130" s="724" t="s">
        <v>681</v>
      </c>
      <c r="BI130" s="724"/>
    </row>
    <row r="131" spans="1:61">
      <c r="A131" s="724" t="s">
        <v>690</v>
      </c>
      <c r="B131" s="724" t="s">
        <v>690</v>
      </c>
      <c r="C131" s="724" t="s">
        <v>690</v>
      </c>
      <c r="D131" s="724" t="s">
        <v>673</v>
      </c>
      <c r="E131" s="724" t="s">
        <v>3</v>
      </c>
      <c r="F131" s="725" t="s">
        <v>83</v>
      </c>
      <c r="G131" s="725" t="s">
        <v>691</v>
      </c>
      <c r="H131" s="726">
        <v>96800</v>
      </c>
      <c r="I131" s="726">
        <v>96800</v>
      </c>
      <c r="J131" s="726">
        <v>0</v>
      </c>
      <c r="K131" s="726">
        <v>0</v>
      </c>
      <c r="L131" s="726">
        <v>96800</v>
      </c>
      <c r="M131" s="726">
        <v>0</v>
      </c>
      <c r="N131" s="726">
        <v>0</v>
      </c>
      <c r="O131" s="726">
        <v>0</v>
      </c>
      <c r="P131" s="726">
        <v>0</v>
      </c>
      <c r="Q131" s="726">
        <v>0</v>
      </c>
      <c r="R131" s="726">
        <v>0</v>
      </c>
      <c r="S131" s="726">
        <v>0</v>
      </c>
      <c r="T131" s="726">
        <v>0</v>
      </c>
      <c r="U131" s="726">
        <v>0</v>
      </c>
      <c r="V131" s="726">
        <v>0</v>
      </c>
      <c r="W131" s="726">
        <v>0</v>
      </c>
      <c r="X131" s="724" t="s">
        <v>674</v>
      </c>
      <c r="Y131" s="724" t="s">
        <v>675</v>
      </c>
      <c r="Z131" s="724" t="s">
        <v>675</v>
      </c>
      <c r="AA131" s="724" t="s">
        <v>675</v>
      </c>
      <c r="AB131" s="724" t="s">
        <v>675</v>
      </c>
      <c r="AC131" s="724"/>
      <c r="AD131" s="724"/>
      <c r="AE131" s="724" t="s">
        <v>676</v>
      </c>
      <c r="AF131" s="724"/>
      <c r="AG131" s="725" t="s">
        <v>692</v>
      </c>
      <c r="AH131" s="724"/>
      <c r="AI131" s="725" t="s">
        <v>692</v>
      </c>
      <c r="AJ131" s="725" t="s">
        <v>677</v>
      </c>
      <c r="AK131" s="724" t="s">
        <v>677</v>
      </c>
      <c r="AL131" s="724"/>
      <c r="AM131" s="724"/>
      <c r="AN131" s="724"/>
      <c r="AO131" s="724"/>
      <c r="AP131" s="724"/>
      <c r="AQ131" s="724"/>
      <c r="AR131" s="726"/>
      <c r="AS131" s="724"/>
      <c r="AT131" s="726"/>
      <c r="AU131" s="724" t="s">
        <v>678</v>
      </c>
      <c r="AV131" s="724" t="s">
        <v>677</v>
      </c>
      <c r="AW131" s="724" t="s">
        <v>676</v>
      </c>
      <c r="AX131" s="724" t="s">
        <v>674</v>
      </c>
      <c r="AY131" s="724"/>
      <c r="AZ131" s="724"/>
      <c r="BA131" s="724" t="s">
        <v>679</v>
      </c>
      <c r="BB131" s="724"/>
      <c r="BC131" s="724"/>
      <c r="BD131" s="724"/>
      <c r="BE131" s="726"/>
      <c r="BF131" s="724" t="s">
        <v>298</v>
      </c>
      <c r="BG131" s="724" t="s">
        <v>680</v>
      </c>
      <c r="BH131" s="724" t="s">
        <v>681</v>
      </c>
      <c r="BI131" s="724"/>
    </row>
    <row r="132" spans="1:61">
      <c r="A132" s="724" t="s">
        <v>690</v>
      </c>
      <c r="B132" s="724" t="s">
        <v>690</v>
      </c>
      <c r="C132" s="724" t="s">
        <v>690</v>
      </c>
      <c r="D132" s="724" t="s">
        <v>673</v>
      </c>
      <c r="E132" s="724" t="s">
        <v>3</v>
      </c>
      <c r="F132" s="725" t="s">
        <v>83</v>
      </c>
      <c r="G132" s="725" t="s">
        <v>691</v>
      </c>
      <c r="H132" s="726">
        <v>1459200</v>
      </c>
      <c r="I132" s="726">
        <v>1459200</v>
      </c>
      <c r="J132" s="726">
        <v>0</v>
      </c>
      <c r="K132" s="726">
        <v>0</v>
      </c>
      <c r="L132" s="726">
        <v>1459200</v>
      </c>
      <c r="M132" s="726">
        <v>0</v>
      </c>
      <c r="N132" s="726">
        <v>0</v>
      </c>
      <c r="O132" s="726">
        <v>0</v>
      </c>
      <c r="P132" s="726">
        <v>0</v>
      </c>
      <c r="Q132" s="726">
        <v>0</v>
      </c>
      <c r="R132" s="726">
        <v>0</v>
      </c>
      <c r="S132" s="726">
        <v>0</v>
      </c>
      <c r="T132" s="726">
        <v>0</v>
      </c>
      <c r="U132" s="726">
        <v>0</v>
      </c>
      <c r="V132" s="726">
        <v>0</v>
      </c>
      <c r="W132" s="726">
        <v>0</v>
      </c>
      <c r="X132" s="724" t="s">
        <v>674</v>
      </c>
      <c r="Y132" s="724" t="s">
        <v>1226</v>
      </c>
      <c r="Z132" s="724" t="s">
        <v>1226</v>
      </c>
      <c r="AA132" s="724" t="s">
        <v>675</v>
      </c>
      <c r="AB132" s="724" t="s">
        <v>675</v>
      </c>
      <c r="AC132" s="724"/>
      <c r="AD132" s="724"/>
      <c r="AE132" s="724" t="s">
        <v>676</v>
      </c>
      <c r="AF132" s="724"/>
      <c r="AG132" s="725" t="s">
        <v>693</v>
      </c>
      <c r="AH132" s="724"/>
      <c r="AI132" s="725" t="s">
        <v>693</v>
      </c>
      <c r="AJ132" s="725" t="s">
        <v>677</v>
      </c>
      <c r="AK132" s="724" t="s">
        <v>677</v>
      </c>
      <c r="AL132" s="724"/>
      <c r="AM132" s="724"/>
      <c r="AN132" s="724"/>
      <c r="AO132" s="724"/>
      <c r="AP132" s="724"/>
      <c r="AQ132" s="724"/>
      <c r="AR132" s="726"/>
      <c r="AS132" s="724"/>
      <c r="AT132" s="726"/>
      <c r="AU132" s="724" t="s">
        <v>678</v>
      </c>
      <c r="AV132" s="724" t="s">
        <v>677</v>
      </c>
      <c r="AW132" s="724" t="s">
        <v>676</v>
      </c>
      <c r="AX132" s="724" t="s">
        <v>674</v>
      </c>
      <c r="AY132" s="724"/>
      <c r="AZ132" s="724"/>
      <c r="BA132" s="724" t="s">
        <v>679</v>
      </c>
      <c r="BB132" s="724"/>
      <c r="BC132" s="724"/>
      <c r="BD132" s="724"/>
      <c r="BE132" s="726"/>
      <c r="BF132" s="724" t="s">
        <v>298</v>
      </c>
      <c r="BG132" s="724" t="s">
        <v>680</v>
      </c>
      <c r="BH132" s="724" t="s">
        <v>681</v>
      </c>
      <c r="BI132" s="724"/>
    </row>
    <row r="133" spans="1:61">
      <c r="A133" s="724" t="s">
        <v>690</v>
      </c>
      <c r="B133" s="724" t="s">
        <v>690</v>
      </c>
      <c r="C133" s="724" t="s">
        <v>690</v>
      </c>
      <c r="D133" s="724" t="s">
        <v>673</v>
      </c>
      <c r="E133" s="724" t="s">
        <v>3</v>
      </c>
      <c r="F133" s="725" t="s">
        <v>83</v>
      </c>
      <c r="G133" s="725" t="s">
        <v>691</v>
      </c>
      <c r="H133" s="726">
        <v>140800</v>
      </c>
      <c r="I133" s="726">
        <v>140800</v>
      </c>
      <c r="J133" s="726">
        <v>0</v>
      </c>
      <c r="K133" s="726">
        <v>0</v>
      </c>
      <c r="L133" s="726">
        <v>140800</v>
      </c>
      <c r="M133" s="726">
        <v>0</v>
      </c>
      <c r="N133" s="726">
        <v>0</v>
      </c>
      <c r="O133" s="726">
        <v>0</v>
      </c>
      <c r="P133" s="726">
        <v>0</v>
      </c>
      <c r="Q133" s="726">
        <v>0</v>
      </c>
      <c r="R133" s="726">
        <v>0</v>
      </c>
      <c r="S133" s="726">
        <v>0</v>
      </c>
      <c r="T133" s="726">
        <v>0</v>
      </c>
      <c r="U133" s="726">
        <v>0</v>
      </c>
      <c r="V133" s="726">
        <v>0</v>
      </c>
      <c r="W133" s="726">
        <v>0</v>
      </c>
      <c r="X133" s="724" t="s">
        <v>674</v>
      </c>
      <c r="Y133" s="724" t="s">
        <v>1226</v>
      </c>
      <c r="Z133" s="724" t="s">
        <v>1226</v>
      </c>
      <c r="AA133" s="724" t="s">
        <v>675</v>
      </c>
      <c r="AB133" s="724" t="s">
        <v>675</v>
      </c>
      <c r="AC133" s="724"/>
      <c r="AD133" s="724"/>
      <c r="AE133" s="724" t="s">
        <v>676</v>
      </c>
      <c r="AF133" s="724"/>
      <c r="AG133" s="725" t="s">
        <v>692</v>
      </c>
      <c r="AH133" s="724"/>
      <c r="AI133" s="725" t="s">
        <v>692</v>
      </c>
      <c r="AJ133" s="725" t="s">
        <v>677</v>
      </c>
      <c r="AK133" s="724" t="s">
        <v>677</v>
      </c>
      <c r="AL133" s="724"/>
      <c r="AM133" s="724"/>
      <c r="AN133" s="724"/>
      <c r="AO133" s="724"/>
      <c r="AP133" s="724"/>
      <c r="AQ133" s="724"/>
      <c r="AR133" s="726"/>
      <c r="AS133" s="724"/>
      <c r="AT133" s="726"/>
      <c r="AU133" s="724" t="s">
        <v>678</v>
      </c>
      <c r="AV133" s="724" t="s">
        <v>677</v>
      </c>
      <c r="AW133" s="724" t="s">
        <v>676</v>
      </c>
      <c r="AX133" s="724" t="s">
        <v>674</v>
      </c>
      <c r="AY133" s="724"/>
      <c r="AZ133" s="724"/>
      <c r="BA133" s="724" t="s">
        <v>679</v>
      </c>
      <c r="BB133" s="724"/>
      <c r="BC133" s="724"/>
      <c r="BD133" s="724"/>
      <c r="BE133" s="726"/>
      <c r="BF133" s="724" t="s">
        <v>298</v>
      </c>
      <c r="BG133" s="724" t="s">
        <v>680</v>
      </c>
      <c r="BH133" s="724" t="s">
        <v>681</v>
      </c>
      <c r="BI133" s="724"/>
    </row>
    <row r="134" spans="1:61">
      <c r="A134" s="724" t="s">
        <v>690</v>
      </c>
      <c r="B134" s="724" t="s">
        <v>690</v>
      </c>
      <c r="C134" s="724" t="s">
        <v>690</v>
      </c>
      <c r="D134" s="724" t="s">
        <v>673</v>
      </c>
      <c r="E134" s="724" t="s">
        <v>3</v>
      </c>
      <c r="F134" s="725" t="s">
        <v>83</v>
      </c>
      <c r="G134" s="725" t="s">
        <v>691</v>
      </c>
      <c r="H134" s="726">
        <v>547200</v>
      </c>
      <c r="I134" s="726">
        <v>547200</v>
      </c>
      <c r="J134" s="726">
        <v>0</v>
      </c>
      <c r="K134" s="726">
        <v>0</v>
      </c>
      <c r="L134" s="726">
        <v>547200</v>
      </c>
      <c r="M134" s="726">
        <v>0</v>
      </c>
      <c r="N134" s="726">
        <v>0</v>
      </c>
      <c r="O134" s="726">
        <v>0</v>
      </c>
      <c r="P134" s="726">
        <v>0</v>
      </c>
      <c r="Q134" s="726">
        <v>0</v>
      </c>
      <c r="R134" s="726">
        <v>0</v>
      </c>
      <c r="S134" s="726">
        <v>0</v>
      </c>
      <c r="T134" s="726">
        <v>0</v>
      </c>
      <c r="U134" s="726">
        <v>0</v>
      </c>
      <c r="V134" s="726">
        <v>0</v>
      </c>
      <c r="W134" s="726">
        <v>0</v>
      </c>
      <c r="X134" s="724" t="s">
        <v>674</v>
      </c>
      <c r="Y134" s="724" t="s">
        <v>1226</v>
      </c>
      <c r="Z134" s="724" t="s">
        <v>1226</v>
      </c>
      <c r="AA134" s="724" t="s">
        <v>675</v>
      </c>
      <c r="AB134" s="724" t="s">
        <v>675</v>
      </c>
      <c r="AC134" s="724"/>
      <c r="AD134" s="724"/>
      <c r="AE134" s="724" t="s">
        <v>676</v>
      </c>
      <c r="AF134" s="724"/>
      <c r="AG134" s="725" t="s">
        <v>693</v>
      </c>
      <c r="AH134" s="724"/>
      <c r="AI134" s="725" t="s">
        <v>693</v>
      </c>
      <c r="AJ134" s="725" t="s">
        <v>677</v>
      </c>
      <c r="AK134" s="724" t="s">
        <v>677</v>
      </c>
      <c r="AL134" s="724"/>
      <c r="AM134" s="724"/>
      <c r="AN134" s="724"/>
      <c r="AO134" s="724"/>
      <c r="AP134" s="724"/>
      <c r="AQ134" s="724"/>
      <c r="AR134" s="726"/>
      <c r="AS134" s="724"/>
      <c r="AT134" s="726"/>
      <c r="AU134" s="724" t="s">
        <v>678</v>
      </c>
      <c r="AV134" s="724" t="s">
        <v>677</v>
      </c>
      <c r="AW134" s="724" t="s">
        <v>676</v>
      </c>
      <c r="AX134" s="724" t="s">
        <v>674</v>
      </c>
      <c r="AY134" s="724"/>
      <c r="AZ134" s="724"/>
      <c r="BA134" s="724" t="s">
        <v>679</v>
      </c>
      <c r="BB134" s="724"/>
      <c r="BC134" s="724"/>
      <c r="BD134" s="724"/>
      <c r="BE134" s="726"/>
      <c r="BF134" s="724" t="s">
        <v>298</v>
      </c>
      <c r="BG134" s="724" t="s">
        <v>680</v>
      </c>
      <c r="BH134" s="724" t="s">
        <v>681</v>
      </c>
      <c r="BI134" s="724"/>
    </row>
    <row r="135" spans="1:61">
      <c r="A135" s="724" t="s">
        <v>690</v>
      </c>
      <c r="B135" s="724" t="s">
        <v>690</v>
      </c>
      <c r="C135" s="724" t="s">
        <v>690</v>
      </c>
      <c r="D135" s="724" t="s">
        <v>673</v>
      </c>
      <c r="E135" s="724" t="s">
        <v>3</v>
      </c>
      <c r="F135" s="725" t="s">
        <v>83</v>
      </c>
      <c r="G135" s="725" t="s">
        <v>691</v>
      </c>
      <c r="H135" s="726">
        <v>88000</v>
      </c>
      <c r="I135" s="726">
        <v>88000</v>
      </c>
      <c r="J135" s="726">
        <v>0</v>
      </c>
      <c r="K135" s="726">
        <v>0</v>
      </c>
      <c r="L135" s="726">
        <v>88000</v>
      </c>
      <c r="M135" s="726">
        <v>0</v>
      </c>
      <c r="N135" s="726">
        <v>0</v>
      </c>
      <c r="O135" s="726">
        <v>0</v>
      </c>
      <c r="P135" s="726">
        <v>0</v>
      </c>
      <c r="Q135" s="726">
        <v>0</v>
      </c>
      <c r="R135" s="726">
        <v>0</v>
      </c>
      <c r="S135" s="726">
        <v>0</v>
      </c>
      <c r="T135" s="726">
        <v>0</v>
      </c>
      <c r="U135" s="726">
        <v>0</v>
      </c>
      <c r="V135" s="726">
        <v>0</v>
      </c>
      <c r="W135" s="726">
        <v>0</v>
      </c>
      <c r="X135" s="724" t="s">
        <v>674</v>
      </c>
      <c r="Y135" s="724" t="s">
        <v>675</v>
      </c>
      <c r="Z135" s="724" t="s">
        <v>675</v>
      </c>
      <c r="AA135" s="724" t="s">
        <v>675</v>
      </c>
      <c r="AB135" s="724" t="s">
        <v>675</v>
      </c>
      <c r="AC135" s="724"/>
      <c r="AD135" s="724"/>
      <c r="AE135" s="724" t="s">
        <v>676</v>
      </c>
      <c r="AF135" s="724"/>
      <c r="AG135" s="725" t="s">
        <v>695</v>
      </c>
      <c r="AH135" s="724"/>
      <c r="AI135" s="725" t="s">
        <v>695</v>
      </c>
      <c r="AJ135" s="725" t="s">
        <v>677</v>
      </c>
      <c r="AK135" s="724" t="s">
        <v>677</v>
      </c>
      <c r="AL135" s="724"/>
      <c r="AM135" s="724"/>
      <c r="AN135" s="724"/>
      <c r="AO135" s="724"/>
      <c r="AP135" s="724"/>
      <c r="AQ135" s="724"/>
      <c r="AR135" s="726"/>
      <c r="AS135" s="724"/>
      <c r="AT135" s="726"/>
      <c r="AU135" s="724" t="s">
        <v>678</v>
      </c>
      <c r="AV135" s="724" t="s">
        <v>677</v>
      </c>
      <c r="AW135" s="724" t="s">
        <v>676</v>
      </c>
      <c r="AX135" s="724" t="s">
        <v>674</v>
      </c>
      <c r="AY135" s="724"/>
      <c r="AZ135" s="724"/>
      <c r="BA135" s="724" t="s">
        <v>679</v>
      </c>
      <c r="BB135" s="724"/>
      <c r="BC135" s="724"/>
      <c r="BD135" s="724"/>
      <c r="BE135" s="726"/>
      <c r="BF135" s="724" t="s">
        <v>298</v>
      </c>
      <c r="BG135" s="724" t="s">
        <v>680</v>
      </c>
      <c r="BH135" s="724" t="s">
        <v>681</v>
      </c>
      <c r="BI135" s="724"/>
    </row>
    <row r="136" spans="1:61">
      <c r="A136" s="724" t="s">
        <v>690</v>
      </c>
      <c r="B136" s="724" t="s">
        <v>690</v>
      </c>
      <c r="C136" s="724" t="s">
        <v>690</v>
      </c>
      <c r="D136" s="724" t="s">
        <v>673</v>
      </c>
      <c r="E136" s="724" t="s">
        <v>3</v>
      </c>
      <c r="F136" s="725" t="s">
        <v>83</v>
      </c>
      <c r="G136" s="725" t="s">
        <v>691</v>
      </c>
      <c r="H136" s="726">
        <v>52800</v>
      </c>
      <c r="I136" s="726">
        <v>52800</v>
      </c>
      <c r="J136" s="726">
        <v>0</v>
      </c>
      <c r="K136" s="726">
        <v>0</v>
      </c>
      <c r="L136" s="726">
        <v>52800</v>
      </c>
      <c r="M136" s="726">
        <v>0</v>
      </c>
      <c r="N136" s="726">
        <v>0</v>
      </c>
      <c r="O136" s="726">
        <v>0</v>
      </c>
      <c r="P136" s="726">
        <v>0</v>
      </c>
      <c r="Q136" s="726">
        <v>0</v>
      </c>
      <c r="R136" s="726">
        <v>0</v>
      </c>
      <c r="S136" s="726">
        <v>0</v>
      </c>
      <c r="T136" s="726">
        <v>0</v>
      </c>
      <c r="U136" s="726">
        <v>0</v>
      </c>
      <c r="V136" s="726">
        <v>0</v>
      </c>
      <c r="W136" s="726">
        <v>0</v>
      </c>
      <c r="X136" s="724" t="s">
        <v>674</v>
      </c>
      <c r="Y136" s="724" t="s">
        <v>675</v>
      </c>
      <c r="Z136" s="724" t="s">
        <v>675</v>
      </c>
      <c r="AA136" s="724" t="s">
        <v>675</v>
      </c>
      <c r="AB136" s="724" t="s">
        <v>675</v>
      </c>
      <c r="AC136" s="724"/>
      <c r="AD136" s="724"/>
      <c r="AE136" s="724" t="s">
        <v>676</v>
      </c>
      <c r="AF136" s="724"/>
      <c r="AG136" s="725" t="s">
        <v>692</v>
      </c>
      <c r="AH136" s="724"/>
      <c r="AI136" s="725" t="s">
        <v>692</v>
      </c>
      <c r="AJ136" s="725" t="s">
        <v>677</v>
      </c>
      <c r="AK136" s="724" t="s">
        <v>677</v>
      </c>
      <c r="AL136" s="724"/>
      <c r="AM136" s="724"/>
      <c r="AN136" s="724"/>
      <c r="AO136" s="724"/>
      <c r="AP136" s="724"/>
      <c r="AQ136" s="724"/>
      <c r="AR136" s="726"/>
      <c r="AS136" s="724"/>
      <c r="AT136" s="726"/>
      <c r="AU136" s="724" t="s">
        <v>678</v>
      </c>
      <c r="AV136" s="724" t="s">
        <v>677</v>
      </c>
      <c r="AW136" s="724" t="s">
        <v>676</v>
      </c>
      <c r="AX136" s="724" t="s">
        <v>674</v>
      </c>
      <c r="AY136" s="724"/>
      <c r="AZ136" s="724"/>
      <c r="BA136" s="724" t="s">
        <v>679</v>
      </c>
      <c r="BB136" s="724"/>
      <c r="BC136" s="724"/>
      <c r="BD136" s="724"/>
      <c r="BE136" s="726"/>
      <c r="BF136" s="724" t="s">
        <v>298</v>
      </c>
      <c r="BG136" s="724" t="s">
        <v>680</v>
      </c>
      <c r="BH136" s="724" t="s">
        <v>681</v>
      </c>
      <c r="BI136" s="724"/>
    </row>
    <row r="137" spans="1:61">
      <c r="A137" s="724" t="s">
        <v>690</v>
      </c>
      <c r="B137" s="724" t="s">
        <v>690</v>
      </c>
      <c r="C137" s="724" t="s">
        <v>690</v>
      </c>
      <c r="D137" s="724" t="s">
        <v>673</v>
      </c>
      <c r="E137" s="724" t="s">
        <v>3</v>
      </c>
      <c r="F137" s="725" t="s">
        <v>83</v>
      </c>
      <c r="G137" s="725" t="s">
        <v>691</v>
      </c>
      <c r="H137" s="726">
        <v>52800</v>
      </c>
      <c r="I137" s="726">
        <v>52800</v>
      </c>
      <c r="J137" s="726">
        <v>0</v>
      </c>
      <c r="K137" s="726">
        <v>0</v>
      </c>
      <c r="L137" s="726">
        <v>52800</v>
      </c>
      <c r="M137" s="726">
        <v>0</v>
      </c>
      <c r="N137" s="726">
        <v>0</v>
      </c>
      <c r="O137" s="726">
        <v>0</v>
      </c>
      <c r="P137" s="726">
        <v>0</v>
      </c>
      <c r="Q137" s="726">
        <v>0</v>
      </c>
      <c r="R137" s="726">
        <v>0</v>
      </c>
      <c r="S137" s="726">
        <v>0</v>
      </c>
      <c r="T137" s="726">
        <v>0</v>
      </c>
      <c r="U137" s="726">
        <v>0</v>
      </c>
      <c r="V137" s="726">
        <v>0</v>
      </c>
      <c r="W137" s="726">
        <v>0</v>
      </c>
      <c r="X137" s="724" t="s">
        <v>674</v>
      </c>
      <c r="Y137" s="724" t="s">
        <v>675</v>
      </c>
      <c r="Z137" s="724" t="s">
        <v>675</v>
      </c>
      <c r="AA137" s="724" t="s">
        <v>675</v>
      </c>
      <c r="AB137" s="724" t="s">
        <v>675</v>
      </c>
      <c r="AC137" s="724"/>
      <c r="AD137" s="724"/>
      <c r="AE137" s="724" t="s">
        <v>676</v>
      </c>
      <c r="AF137" s="724"/>
      <c r="AG137" s="725" t="s">
        <v>692</v>
      </c>
      <c r="AH137" s="724"/>
      <c r="AI137" s="725" t="s">
        <v>692</v>
      </c>
      <c r="AJ137" s="725" t="s">
        <v>677</v>
      </c>
      <c r="AK137" s="724" t="s">
        <v>677</v>
      </c>
      <c r="AL137" s="724"/>
      <c r="AM137" s="724"/>
      <c r="AN137" s="724"/>
      <c r="AO137" s="724"/>
      <c r="AP137" s="724"/>
      <c r="AQ137" s="724"/>
      <c r="AR137" s="726"/>
      <c r="AS137" s="724"/>
      <c r="AT137" s="726"/>
      <c r="AU137" s="724" t="s">
        <v>678</v>
      </c>
      <c r="AV137" s="724" t="s">
        <v>677</v>
      </c>
      <c r="AW137" s="724" t="s">
        <v>676</v>
      </c>
      <c r="AX137" s="724" t="s">
        <v>674</v>
      </c>
      <c r="AY137" s="724"/>
      <c r="AZ137" s="724"/>
      <c r="BA137" s="724" t="s">
        <v>679</v>
      </c>
      <c r="BB137" s="724"/>
      <c r="BC137" s="724"/>
      <c r="BD137" s="724"/>
      <c r="BE137" s="726"/>
      <c r="BF137" s="724" t="s">
        <v>298</v>
      </c>
      <c r="BG137" s="724" t="s">
        <v>680</v>
      </c>
      <c r="BH137" s="724" t="s">
        <v>681</v>
      </c>
      <c r="BI137" s="724"/>
    </row>
    <row r="138" spans="1:61">
      <c r="A138" s="724" t="s">
        <v>690</v>
      </c>
      <c r="B138" s="724" t="s">
        <v>690</v>
      </c>
      <c r="C138" s="724" t="s">
        <v>690</v>
      </c>
      <c r="D138" s="724" t="s">
        <v>673</v>
      </c>
      <c r="E138" s="724" t="s">
        <v>3</v>
      </c>
      <c r="F138" s="725" t="s">
        <v>83</v>
      </c>
      <c r="G138" s="725" t="s">
        <v>691</v>
      </c>
      <c r="H138" s="726">
        <v>547200</v>
      </c>
      <c r="I138" s="726">
        <v>547200</v>
      </c>
      <c r="J138" s="726">
        <v>0</v>
      </c>
      <c r="K138" s="726">
        <v>0</v>
      </c>
      <c r="L138" s="726">
        <v>547200</v>
      </c>
      <c r="M138" s="726">
        <v>0</v>
      </c>
      <c r="N138" s="726">
        <v>0</v>
      </c>
      <c r="O138" s="726">
        <v>0</v>
      </c>
      <c r="P138" s="726">
        <v>0</v>
      </c>
      <c r="Q138" s="726">
        <v>0</v>
      </c>
      <c r="R138" s="726">
        <v>0</v>
      </c>
      <c r="S138" s="726">
        <v>0</v>
      </c>
      <c r="T138" s="726">
        <v>0</v>
      </c>
      <c r="U138" s="726">
        <v>0</v>
      </c>
      <c r="V138" s="726">
        <v>0</v>
      </c>
      <c r="W138" s="726">
        <v>0</v>
      </c>
      <c r="X138" s="724" t="s">
        <v>674</v>
      </c>
      <c r="Y138" s="724" t="s">
        <v>1226</v>
      </c>
      <c r="Z138" s="724" t="s">
        <v>1226</v>
      </c>
      <c r="AA138" s="724" t="s">
        <v>675</v>
      </c>
      <c r="AB138" s="724" t="s">
        <v>675</v>
      </c>
      <c r="AC138" s="724"/>
      <c r="AD138" s="724"/>
      <c r="AE138" s="724" t="s">
        <v>676</v>
      </c>
      <c r="AF138" s="724"/>
      <c r="AG138" s="725" t="s">
        <v>693</v>
      </c>
      <c r="AH138" s="724"/>
      <c r="AI138" s="725" t="s">
        <v>693</v>
      </c>
      <c r="AJ138" s="725" t="s">
        <v>677</v>
      </c>
      <c r="AK138" s="724" t="s">
        <v>677</v>
      </c>
      <c r="AL138" s="724"/>
      <c r="AM138" s="724"/>
      <c r="AN138" s="724"/>
      <c r="AO138" s="724"/>
      <c r="AP138" s="724"/>
      <c r="AQ138" s="724"/>
      <c r="AR138" s="726"/>
      <c r="AS138" s="724"/>
      <c r="AT138" s="726"/>
      <c r="AU138" s="724" t="s">
        <v>678</v>
      </c>
      <c r="AV138" s="724" t="s">
        <v>677</v>
      </c>
      <c r="AW138" s="724" t="s">
        <v>676</v>
      </c>
      <c r="AX138" s="724" t="s">
        <v>674</v>
      </c>
      <c r="AY138" s="724"/>
      <c r="AZ138" s="724"/>
      <c r="BA138" s="724" t="s">
        <v>679</v>
      </c>
      <c r="BB138" s="724"/>
      <c r="BC138" s="724"/>
      <c r="BD138" s="724"/>
      <c r="BE138" s="726"/>
      <c r="BF138" s="724" t="s">
        <v>298</v>
      </c>
      <c r="BG138" s="724" t="s">
        <v>680</v>
      </c>
      <c r="BH138" s="724" t="s">
        <v>681</v>
      </c>
      <c r="BI138" s="724"/>
    </row>
    <row r="139" spans="1:61">
      <c r="A139" s="724" t="s">
        <v>690</v>
      </c>
      <c r="B139" s="724" t="s">
        <v>690</v>
      </c>
      <c r="C139" s="724" t="s">
        <v>690</v>
      </c>
      <c r="D139" s="724" t="s">
        <v>673</v>
      </c>
      <c r="E139" s="724" t="s">
        <v>3</v>
      </c>
      <c r="F139" s="725" t="s">
        <v>83</v>
      </c>
      <c r="G139" s="725" t="s">
        <v>691</v>
      </c>
      <c r="H139" s="726">
        <v>547200</v>
      </c>
      <c r="I139" s="726">
        <v>547200</v>
      </c>
      <c r="J139" s="726">
        <v>0</v>
      </c>
      <c r="K139" s="726">
        <v>0</v>
      </c>
      <c r="L139" s="726">
        <v>547200</v>
      </c>
      <c r="M139" s="726">
        <v>0</v>
      </c>
      <c r="N139" s="726">
        <v>0</v>
      </c>
      <c r="O139" s="726">
        <v>0</v>
      </c>
      <c r="P139" s="726">
        <v>0</v>
      </c>
      <c r="Q139" s="726">
        <v>0</v>
      </c>
      <c r="R139" s="726">
        <v>0</v>
      </c>
      <c r="S139" s="726">
        <v>0</v>
      </c>
      <c r="T139" s="726">
        <v>0</v>
      </c>
      <c r="U139" s="726">
        <v>0</v>
      </c>
      <c r="V139" s="726">
        <v>0</v>
      </c>
      <c r="W139" s="726">
        <v>0</v>
      </c>
      <c r="X139" s="724" t="s">
        <v>674</v>
      </c>
      <c r="Y139" s="724" t="s">
        <v>1226</v>
      </c>
      <c r="Z139" s="724" t="s">
        <v>1226</v>
      </c>
      <c r="AA139" s="724" t="s">
        <v>675</v>
      </c>
      <c r="AB139" s="724" t="s">
        <v>675</v>
      </c>
      <c r="AC139" s="724"/>
      <c r="AD139" s="724"/>
      <c r="AE139" s="724" t="s">
        <v>676</v>
      </c>
      <c r="AF139" s="724"/>
      <c r="AG139" s="725" t="s">
        <v>693</v>
      </c>
      <c r="AH139" s="724"/>
      <c r="AI139" s="725" t="s">
        <v>693</v>
      </c>
      <c r="AJ139" s="725" t="s">
        <v>677</v>
      </c>
      <c r="AK139" s="724" t="s">
        <v>677</v>
      </c>
      <c r="AL139" s="724"/>
      <c r="AM139" s="724"/>
      <c r="AN139" s="724"/>
      <c r="AO139" s="724"/>
      <c r="AP139" s="724"/>
      <c r="AQ139" s="724"/>
      <c r="AR139" s="726"/>
      <c r="AS139" s="724"/>
      <c r="AT139" s="726"/>
      <c r="AU139" s="724" t="s">
        <v>678</v>
      </c>
      <c r="AV139" s="724" t="s">
        <v>677</v>
      </c>
      <c r="AW139" s="724" t="s">
        <v>676</v>
      </c>
      <c r="AX139" s="724" t="s">
        <v>674</v>
      </c>
      <c r="AY139" s="724"/>
      <c r="AZ139" s="724"/>
      <c r="BA139" s="724" t="s">
        <v>679</v>
      </c>
      <c r="BB139" s="724"/>
      <c r="BC139" s="724"/>
      <c r="BD139" s="724"/>
      <c r="BE139" s="726"/>
      <c r="BF139" s="724" t="s">
        <v>298</v>
      </c>
      <c r="BG139" s="724" t="s">
        <v>680</v>
      </c>
      <c r="BH139" s="724" t="s">
        <v>681</v>
      </c>
      <c r="BI139" s="724"/>
    </row>
    <row r="140" spans="1:61">
      <c r="A140" s="724" t="s">
        <v>690</v>
      </c>
      <c r="B140" s="724" t="s">
        <v>690</v>
      </c>
      <c r="C140" s="724" t="s">
        <v>690</v>
      </c>
      <c r="D140" s="724" t="s">
        <v>673</v>
      </c>
      <c r="E140" s="724" t="s">
        <v>3</v>
      </c>
      <c r="F140" s="725" t="s">
        <v>83</v>
      </c>
      <c r="G140" s="725" t="s">
        <v>691</v>
      </c>
      <c r="H140" s="726">
        <v>228800</v>
      </c>
      <c r="I140" s="726">
        <v>228800</v>
      </c>
      <c r="J140" s="726">
        <v>0</v>
      </c>
      <c r="K140" s="726">
        <v>0</v>
      </c>
      <c r="L140" s="726">
        <v>228800</v>
      </c>
      <c r="M140" s="726">
        <v>0</v>
      </c>
      <c r="N140" s="726">
        <v>0</v>
      </c>
      <c r="O140" s="726">
        <v>0</v>
      </c>
      <c r="P140" s="726">
        <v>0</v>
      </c>
      <c r="Q140" s="726">
        <v>0</v>
      </c>
      <c r="R140" s="726">
        <v>0</v>
      </c>
      <c r="S140" s="726">
        <v>0</v>
      </c>
      <c r="T140" s="726">
        <v>0</v>
      </c>
      <c r="U140" s="726">
        <v>0</v>
      </c>
      <c r="V140" s="726">
        <v>0</v>
      </c>
      <c r="W140" s="726">
        <v>0</v>
      </c>
      <c r="X140" s="724" t="s">
        <v>674</v>
      </c>
      <c r="Y140" s="724" t="s">
        <v>1226</v>
      </c>
      <c r="Z140" s="724" t="s">
        <v>1226</v>
      </c>
      <c r="AA140" s="724" t="s">
        <v>675</v>
      </c>
      <c r="AB140" s="724" t="s">
        <v>675</v>
      </c>
      <c r="AC140" s="724"/>
      <c r="AD140" s="724"/>
      <c r="AE140" s="724" t="s">
        <v>676</v>
      </c>
      <c r="AF140" s="724"/>
      <c r="AG140" s="725" t="s">
        <v>692</v>
      </c>
      <c r="AH140" s="724"/>
      <c r="AI140" s="725" t="s">
        <v>692</v>
      </c>
      <c r="AJ140" s="725" t="s">
        <v>677</v>
      </c>
      <c r="AK140" s="724" t="s">
        <v>677</v>
      </c>
      <c r="AL140" s="724"/>
      <c r="AM140" s="724"/>
      <c r="AN140" s="724"/>
      <c r="AO140" s="724"/>
      <c r="AP140" s="724"/>
      <c r="AQ140" s="724"/>
      <c r="AR140" s="726"/>
      <c r="AS140" s="724"/>
      <c r="AT140" s="726"/>
      <c r="AU140" s="724" t="s">
        <v>678</v>
      </c>
      <c r="AV140" s="724" t="s">
        <v>677</v>
      </c>
      <c r="AW140" s="724" t="s">
        <v>676</v>
      </c>
      <c r="AX140" s="724" t="s">
        <v>674</v>
      </c>
      <c r="AY140" s="724"/>
      <c r="AZ140" s="724"/>
      <c r="BA140" s="724" t="s">
        <v>679</v>
      </c>
      <c r="BB140" s="724"/>
      <c r="BC140" s="724"/>
      <c r="BD140" s="724"/>
      <c r="BE140" s="726"/>
      <c r="BF140" s="724" t="s">
        <v>298</v>
      </c>
      <c r="BG140" s="724" t="s">
        <v>680</v>
      </c>
      <c r="BH140" s="724" t="s">
        <v>681</v>
      </c>
      <c r="BI140" s="724"/>
    </row>
    <row r="141" spans="1:61">
      <c r="A141" s="724" t="s">
        <v>690</v>
      </c>
      <c r="B141" s="724" t="s">
        <v>690</v>
      </c>
      <c r="C141" s="724" t="s">
        <v>690</v>
      </c>
      <c r="D141" s="724" t="s">
        <v>673</v>
      </c>
      <c r="E141" s="724" t="s">
        <v>3</v>
      </c>
      <c r="F141" s="725" t="s">
        <v>83</v>
      </c>
      <c r="G141" s="725" t="s">
        <v>691</v>
      </c>
      <c r="H141" s="726">
        <v>2371200</v>
      </c>
      <c r="I141" s="726">
        <v>2371200</v>
      </c>
      <c r="J141" s="726">
        <v>0</v>
      </c>
      <c r="K141" s="726">
        <v>0</v>
      </c>
      <c r="L141" s="726">
        <v>2371200</v>
      </c>
      <c r="M141" s="726">
        <v>0</v>
      </c>
      <c r="N141" s="726">
        <v>0</v>
      </c>
      <c r="O141" s="726">
        <v>0</v>
      </c>
      <c r="P141" s="726">
        <v>0</v>
      </c>
      <c r="Q141" s="726">
        <v>0</v>
      </c>
      <c r="R141" s="726">
        <v>0</v>
      </c>
      <c r="S141" s="726">
        <v>0</v>
      </c>
      <c r="T141" s="726">
        <v>0</v>
      </c>
      <c r="U141" s="726">
        <v>0</v>
      </c>
      <c r="V141" s="726">
        <v>0</v>
      </c>
      <c r="W141" s="726">
        <v>0</v>
      </c>
      <c r="X141" s="724" t="s">
        <v>674</v>
      </c>
      <c r="Y141" s="724" t="s">
        <v>1226</v>
      </c>
      <c r="Z141" s="724" t="s">
        <v>1226</v>
      </c>
      <c r="AA141" s="724" t="s">
        <v>675</v>
      </c>
      <c r="AB141" s="724" t="s">
        <v>675</v>
      </c>
      <c r="AC141" s="724"/>
      <c r="AD141" s="724"/>
      <c r="AE141" s="724" t="s">
        <v>676</v>
      </c>
      <c r="AF141" s="724"/>
      <c r="AG141" s="725" t="s">
        <v>693</v>
      </c>
      <c r="AH141" s="724"/>
      <c r="AI141" s="725" t="s">
        <v>693</v>
      </c>
      <c r="AJ141" s="725" t="s">
        <v>677</v>
      </c>
      <c r="AK141" s="724" t="s">
        <v>677</v>
      </c>
      <c r="AL141" s="724"/>
      <c r="AM141" s="724"/>
      <c r="AN141" s="724"/>
      <c r="AO141" s="724"/>
      <c r="AP141" s="724"/>
      <c r="AQ141" s="724"/>
      <c r="AR141" s="726"/>
      <c r="AS141" s="724"/>
      <c r="AT141" s="726"/>
      <c r="AU141" s="724" t="s">
        <v>678</v>
      </c>
      <c r="AV141" s="724" t="s">
        <v>677</v>
      </c>
      <c r="AW141" s="724" t="s">
        <v>676</v>
      </c>
      <c r="AX141" s="724" t="s">
        <v>674</v>
      </c>
      <c r="AY141" s="724"/>
      <c r="AZ141" s="724"/>
      <c r="BA141" s="724" t="s">
        <v>679</v>
      </c>
      <c r="BB141" s="724"/>
      <c r="BC141" s="724"/>
      <c r="BD141" s="724"/>
      <c r="BE141" s="726"/>
      <c r="BF141" s="724" t="s">
        <v>298</v>
      </c>
      <c r="BG141" s="724" t="s">
        <v>680</v>
      </c>
      <c r="BH141" s="724" t="s">
        <v>681</v>
      </c>
      <c r="BI141" s="724"/>
    </row>
    <row r="142" spans="1:61">
      <c r="A142" s="724" t="s">
        <v>690</v>
      </c>
      <c r="B142" s="724" t="s">
        <v>690</v>
      </c>
      <c r="C142" s="724" t="s">
        <v>690</v>
      </c>
      <c r="D142" s="724" t="s">
        <v>673</v>
      </c>
      <c r="E142" s="724" t="s">
        <v>3</v>
      </c>
      <c r="F142" s="725" t="s">
        <v>83</v>
      </c>
      <c r="G142" s="725" t="s">
        <v>691</v>
      </c>
      <c r="H142" s="726">
        <v>52800</v>
      </c>
      <c r="I142" s="726">
        <v>52800</v>
      </c>
      <c r="J142" s="726">
        <v>0</v>
      </c>
      <c r="K142" s="726">
        <v>0</v>
      </c>
      <c r="L142" s="726">
        <v>52800</v>
      </c>
      <c r="M142" s="726">
        <v>0</v>
      </c>
      <c r="N142" s="726">
        <v>0</v>
      </c>
      <c r="O142" s="726">
        <v>0</v>
      </c>
      <c r="P142" s="726">
        <v>0</v>
      </c>
      <c r="Q142" s="726">
        <v>0</v>
      </c>
      <c r="R142" s="726">
        <v>0</v>
      </c>
      <c r="S142" s="726">
        <v>0</v>
      </c>
      <c r="T142" s="726">
        <v>0</v>
      </c>
      <c r="U142" s="726">
        <v>0</v>
      </c>
      <c r="V142" s="726">
        <v>0</v>
      </c>
      <c r="W142" s="726">
        <v>0</v>
      </c>
      <c r="X142" s="724" t="s">
        <v>674</v>
      </c>
      <c r="Y142" s="724" t="s">
        <v>675</v>
      </c>
      <c r="Z142" s="724" t="s">
        <v>675</v>
      </c>
      <c r="AA142" s="724" t="s">
        <v>675</v>
      </c>
      <c r="AB142" s="724" t="s">
        <v>675</v>
      </c>
      <c r="AC142" s="724"/>
      <c r="AD142" s="724"/>
      <c r="AE142" s="724" t="s">
        <v>676</v>
      </c>
      <c r="AF142" s="724"/>
      <c r="AG142" s="725" t="s">
        <v>692</v>
      </c>
      <c r="AH142" s="724"/>
      <c r="AI142" s="725" t="s">
        <v>692</v>
      </c>
      <c r="AJ142" s="725" t="s">
        <v>677</v>
      </c>
      <c r="AK142" s="724" t="s">
        <v>677</v>
      </c>
      <c r="AL142" s="724"/>
      <c r="AM142" s="724"/>
      <c r="AN142" s="724"/>
      <c r="AO142" s="724"/>
      <c r="AP142" s="724"/>
      <c r="AQ142" s="724"/>
      <c r="AR142" s="726"/>
      <c r="AS142" s="724"/>
      <c r="AT142" s="726"/>
      <c r="AU142" s="724" t="s">
        <v>678</v>
      </c>
      <c r="AV142" s="724" t="s">
        <v>677</v>
      </c>
      <c r="AW142" s="724" t="s">
        <v>676</v>
      </c>
      <c r="AX142" s="724" t="s">
        <v>674</v>
      </c>
      <c r="AY142" s="724"/>
      <c r="AZ142" s="724"/>
      <c r="BA142" s="724" t="s">
        <v>679</v>
      </c>
      <c r="BB142" s="724"/>
      <c r="BC142" s="724"/>
      <c r="BD142" s="724"/>
      <c r="BE142" s="726"/>
      <c r="BF142" s="724" t="s">
        <v>298</v>
      </c>
      <c r="BG142" s="724" t="s">
        <v>680</v>
      </c>
      <c r="BH142" s="724" t="s">
        <v>681</v>
      </c>
      <c r="BI142" s="724"/>
    </row>
    <row r="143" spans="1:61">
      <c r="A143" s="724" t="s">
        <v>690</v>
      </c>
      <c r="B143" s="724" t="s">
        <v>690</v>
      </c>
      <c r="C143" s="724" t="s">
        <v>690</v>
      </c>
      <c r="D143" s="724" t="s">
        <v>673</v>
      </c>
      <c r="E143" s="724" t="s">
        <v>3</v>
      </c>
      <c r="F143" s="725" t="s">
        <v>83</v>
      </c>
      <c r="G143" s="725" t="s">
        <v>691</v>
      </c>
      <c r="H143" s="726">
        <v>52800</v>
      </c>
      <c r="I143" s="726">
        <v>52800</v>
      </c>
      <c r="J143" s="726">
        <v>0</v>
      </c>
      <c r="K143" s="726">
        <v>0</v>
      </c>
      <c r="L143" s="726">
        <v>52800</v>
      </c>
      <c r="M143" s="726">
        <v>0</v>
      </c>
      <c r="N143" s="726">
        <v>0</v>
      </c>
      <c r="O143" s="726">
        <v>0</v>
      </c>
      <c r="P143" s="726">
        <v>0</v>
      </c>
      <c r="Q143" s="726">
        <v>0</v>
      </c>
      <c r="R143" s="726">
        <v>0</v>
      </c>
      <c r="S143" s="726">
        <v>0</v>
      </c>
      <c r="T143" s="726">
        <v>0</v>
      </c>
      <c r="U143" s="726">
        <v>0</v>
      </c>
      <c r="V143" s="726">
        <v>0</v>
      </c>
      <c r="W143" s="726">
        <v>0</v>
      </c>
      <c r="X143" s="724" t="s">
        <v>674</v>
      </c>
      <c r="Y143" s="724" t="s">
        <v>675</v>
      </c>
      <c r="Z143" s="724" t="s">
        <v>675</v>
      </c>
      <c r="AA143" s="724" t="s">
        <v>675</v>
      </c>
      <c r="AB143" s="724" t="s">
        <v>675</v>
      </c>
      <c r="AC143" s="724"/>
      <c r="AD143" s="724"/>
      <c r="AE143" s="724" t="s">
        <v>676</v>
      </c>
      <c r="AF143" s="724"/>
      <c r="AG143" s="725" t="s">
        <v>692</v>
      </c>
      <c r="AH143" s="724"/>
      <c r="AI143" s="725" t="s">
        <v>692</v>
      </c>
      <c r="AJ143" s="725" t="s">
        <v>677</v>
      </c>
      <c r="AK143" s="724" t="s">
        <v>677</v>
      </c>
      <c r="AL143" s="724"/>
      <c r="AM143" s="724"/>
      <c r="AN143" s="724"/>
      <c r="AO143" s="724"/>
      <c r="AP143" s="724"/>
      <c r="AQ143" s="724"/>
      <c r="AR143" s="726"/>
      <c r="AS143" s="724"/>
      <c r="AT143" s="726"/>
      <c r="AU143" s="724" t="s">
        <v>678</v>
      </c>
      <c r="AV143" s="724" t="s">
        <v>677</v>
      </c>
      <c r="AW143" s="724" t="s">
        <v>676</v>
      </c>
      <c r="AX143" s="724" t="s">
        <v>674</v>
      </c>
      <c r="AY143" s="724"/>
      <c r="AZ143" s="724"/>
      <c r="BA143" s="724" t="s">
        <v>679</v>
      </c>
      <c r="BB143" s="724"/>
      <c r="BC143" s="724"/>
      <c r="BD143" s="724"/>
      <c r="BE143" s="726"/>
      <c r="BF143" s="724" t="s">
        <v>298</v>
      </c>
      <c r="BG143" s="724" t="s">
        <v>680</v>
      </c>
      <c r="BH143" s="724" t="s">
        <v>681</v>
      </c>
      <c r="BI143" s="724"/>
    </row>
    <row r="144" spans="1:61">
      <c r="A144" s="724" t="s">
        <v>690</v>
      </c>
      <c r="B144" s="724" t="s">
        <v>690</v>
      </c>
      <c r="C144" s="724" t="s">
        <v>690</v>
      </c>
      <c r="D144" s="724" t="s">
        <v>673</v>
      </c>
      <c r="E144" s="724" t="s">
        <v>3</v>
      </c>
      <c r="F144" s="725" t="s">
        <v>83</v>
      </c>
      <c r="G144" s="725" t="s">
        <v>691</v>
      </c>
      <c r="H144" s="726">
        <v>52800</v>
      </c>
      <c r="I144" s="726">
        <v>52800</v>
      </c>
      <c r="J144" s="726">
        <v>0</v>
      </c>
      <c r="K144" s="726">
        <v>0</v>
      </c>
      <c r="L144" s="726">
        <v>52800</v>
      </c>
      <c r="M144" s="726">
        <v>0</v>
      </c>
      <c r="N144" s="726">
        <v>0</v>
      </c>
      <c r="O144" s="726">
        <v>0</v>
      </c>
      <c r="P144" s="726">
        <v>0</v>
      </c>
      <c r="Q144" s="726">
        <v>0</v>
      </c>
      <c r="R144" s="726">
        <v>0</v>
      </c>
      <c r="S144" s="726">
        <v>0</v>
      </c>
      <c r="T144" s="726">
        <v>0</v>
      </c>
      <c r="U144" s="726">
        <v>0</v>
      </c>
      <c r="V144" s="726">
        <v>0</v>
      </c>
      <c r="W144" s="726">
        <v>0</v>
      </c>
      <c r="X144" s="724" t="s">
        <v>674</v>
      </c>
      <c r="Y144" s="724" t="s">
        <v>675</v>
      </c>
      <c r="Z144" s="724" t="s">
        <v>675</v>
      </c>
      <c r="AA144" s="724" t="s">
        <v>675</v>
      </c>
      <c r="AB144" s="724" t="s">
        <v>675</v>
      </c>
      <c r="AC144" s="724"/>
      <c r="AD144" s="724"/>
      <c r="AE144" s="724" t="s">
        <v>676</v>
      </c>
      <c r="AF144" s="724"/>
      <c r="AG144" s="725" t="s">
        <v>692</v>
      </c>
      <c r="AH144" s="724"/>
      <c r="AI144" s="725" t="s">
        <v>692</v>
      </c>
      <c r="AJ144" s="725" t="s">
        <v>677</v>
      </c>
      <c r="AK144" s="724" t="s">
        <v>677</v>
      </c>
      <c r="AL144" s="724"/>
      <c r="AM144" s="724"/>
      <c r="AN144" s="724"/>
      <c r="AO144" s="724"/>
      <c r="AP144" s="724"/>
      <c r="AQ144" s="724"/>
      <c r="AR144" s="726"/>
      <c r="AS144" s="724"/>
      <c r="AT144" s="726"/>
      <c r="AU144" s="724" t="s">
        <v>678</v>
      </c>
      <c r="AV144" s="724" t="s">
        <v>677</v>
      </c>
      <c r="AW144" s="724" t="s">
        <v>676</v>
      </c>
      <c r="AX144" s="724" t="s">
        <v>674</v>
      </c>
      <c r="AY144" s="724"/>
      <c r="AZ144" s="724"/>
      <c r="BA144" s="724" t="s">
        <v>679</v>
      </c>
      <c r="BB144" s="724"/>
      <c r="BC144" s="724"/>
      <c r="BD144" s="724"/>
      <c r="BE144" s="726"/>
      <c r="BF144" s="724" t="s">
        <v>298</v>
      </c>
      <c r="BG144" s="724" t="s">
        <v>680</v>
      </c>
      <c r="BH144" s="724" t="s">
        <v>681</v>
      </c>
      <c r="BI144" s="724"/>
    </row>
    <row r="145" spans="1:61">
      <c r="A145" s="724" t="s">
        <v>690</v>
      </c>
      <c r="B145" s="724" t="s">
        <v>690</v>
      </c>
      <c r="C145" s="724" t="s">
        <v>690</v>
      </c>
      <c r="D145" s="724" t="s">
        <v>673</v>
      </c>
      <c r="E145" s="724" t="s">
        <v>3</v>
      </c>
      <c r="F145" s="725" t="s">
        <v>83</v>
      </c>
      <c r="G145" s="725" t="s">
        <v>691</v>
      </c>
      <c r="H145" s="726">
        <v>547200</v>
      </c>
      <c r="I145" s="726">
        <v>547200</v>
      </c>
      <c r="J145" s="726">
        <v>0</v>
      </c>
      <c r="K145" s="726">
        <v>0</v>
      </c>
      <c r="L145" s="726">
        <v>547200</v>
      </c>
      <c r="M145" s="726">
        <v>0</v>
      </c>
      <c r="N145" s="726">
        <v>0</v>
      </c>
      <c r="O145" s="726">
        <v>0</v>
      </c>
      <c r="P145" s="726">
        <v>0</v>
      </c>
      <c r="Q145" s="726">
        <v>0</v>
      </c>
      <c r="R145" s="726">
        <v>0</v>
      </c>
      <c r="S145" s="726">
        <v>0</v>
      </c>
      <c r="T145" s="726">
        <v>0</v>
      </c>
      <c r="U145" s="726">
        <v>0</v>
      </c>
      <c r="V145" s="726">
        <v>0</v>
      </c>
      <c r="W145" s="726">
        <v>0</v>
      </c>
      <c r="X145" s="724" t="s">
        <v>674</v>
      </c>
      <c r="Y145" s="724" t="s">
        <v>1226</v>
      </c>
      <c r="Z145" s="724" t="s">
        <v>1226</v>
      </c>
      <c r="AA145" s="724" t="s">
        <v>675</v>
      </c>
      <c r="AB145" s="724" t="s">
        <v>675</v>
      </c>
      <c r="AC145" s="724"/>
      <c r="AD145" s="724"/>
      <c r="AE145" s="724" t="s">
        <v>676</v>
      </c>
      <c r="AF145" s="724"/>
      <c r="AG145" s="725" t="s">
        <v>693</v>
      </c>
      <c r="AH145" s="724"/>
      <c r="AI145" s="725" t="s">
        <v>693</v>
      </c>
      <c r="AJ145" s="725" t="s">
        <v>677</v>
      </c>
      <c r="AK145" s="724" t="s">
        <v>677</v>
      </c>
      <c r="AL145" s="724"/>
      <c r="AM145" s="724"/>
      <c r="AN145" s="724"/>
      <c r="AO145" s="724"/>
      <c r="AP145" s="724"/>
      <c r="AQ145" s="724"/>
      <c r="AR145" s="726"/>
      <c r="AS145" s="724"/>
      <c r="AT145" s="726"/>
      <c r="AU145" s="724" t="s">
        <v>678</v>
      </c>
      <c r="AV145" s="724" t="s">
        <v>677</v>
      </c>
      <c r="AW145" s="724" t="s">
        <v>676</v>
      </c>
      <c r="AX145" s="724" t="s">
        <v>674</v>
      </c>
      <c r="AY145" s="724"/>
      <c r="AZ145" s="724"/>
      <c r="BA145" s="724" t="s">
        <v>679</v>
      </c>
      <c r="BB145" s="724"/>
      <c r="BC145" s="724"/>
      <c r="BD145" s="724"/>
      <c r="BE145" s="726"/>
      <c r="BF145" s="724" t="s">
        <v>298</v>
      </c>
      <c r="BG145" s="724" t="s">
        <v>680</v>
      </c>
      <c r="BH145" s="724" t="s">
        <v>681</v>
      </c>
      <c r="BI145" s="724"/>
    </row>
    <row r="146" spans="1:61">
      <c r="A146" s="724" t="s">
        <v>690</v>
      </c>
      <c r="B146" s="724" t="s">
        <v>690</v>
      </c>
      <c r="C146" s="724" t="s">
        <v>690</v>
      </c>
      <c r="D146" s="724" t="s">
        <v>673</v>
      </c>
      <c r="E146" s="724" t="s">
        <v>3</v>
      </c>
      <c r="F146" s="725" t="s">
        <v>83</v>
      </c>
      <c r="G146" s="725" t="s">
        <v>691</v>
      </c>
      <c r="H146" s="726">
        <v>52800</v>
      </c>
      <c r="I146" s="726">
        <v>52800</v>
      </c>
      <c r="J146" s="726">
        <v>0</v>
      </c>
      <c r="K146" s="726">
        <v>0</v>
      </c>
      <c r="L146" s="726">
        <v>52800</v>
      </c>
      <c r="M146" s="726">
        <v>0</v>
      </c>
      <c r="N146" s="726">
        <v>0</v>
      </c>
      <c r="O146" s="726">
        <v>0</v>
      </c>
      <c r="P146" s="726">
        <v>0</v>
      </c>
      <c r="Q146" s="726">
        <v>0</v>
      </c>
      <c r="R146" s="726">
        <v>0</v>
      </c>
      <c r="S146" s="726">
        <v>0</v>
      </c>
      <c r="T146" s="726">
        <v>0</v>
      </c>
      <c r="U146" s="726">
        <v>0</v>
      </c>
      <c r="V146" s="726">
        <v>0</v>
      </c>
      <c r="W146" s="726">
        <v>0</v>
      </c>
      <c r="X146" s="724" t="s">
        <v>674</v>
      </c>
      <c r="Y146" s="724" t="s">
        <v>675</v>
      </c>
      <c r="Z146" s="724" t="s">
        <v>675</v>
      </c>
      <c r="AA146" s="724" t="s">
        <v>675</v>
      </c>
      <c r="AB146" s="724" t="s">
        <v>675</v>
      </c>
      <c r="AC146" s="724"/>
      <c r="AD146" s="724"/>
      <c r="AE146" s="724" t="s">
        <v>676</v>
      </c>
      <c r="AF146" s="724"/>
      <c r="AG146" s="725" t="s">
        <v>692</v>
      </c>
      <c r="AH146" s="724"/>
      <c r="AI146" s="725" t="s">
        <v>692</v>
      </c>
      <c r="AJ146" s="725" t="s">
        <v>677</v>
      </c>
      <c r="AK146" s="724" t="s">
        <v>677</v>
      </c>
      <c r="AL146" s="724"/>
      <c r="AM146" s="724"/>
      <c r="AN146" s="724"/>
      <c r="AO146" s="724"/>
      <c r="AP146" s="724"/>
      <c r="AQ146" s="724"/>
      <c r="AR146" s="726"/>
      <c r="AS146" s="724"/>
      <c r="AT146" s="726"/>
      <c r="AU146" s="724" t="s">
        <v>678</v>
      </c>
      <c r="AV146" s="724" t="s">
        <v>677</v>
      </c>
      <c r="AW146" s="724" t="s">
        <v>676</v>
      </c>
      <c r="AX146" s="724" t="s">
        <v>674</v>
      </c>
      <c r="AY146" s="724"/>
      <c r="AZ146" s="724"/>
      <c r="BA146" s="724" t="s">
        <v>679</v>
      </c>
      <c r="BB146" s="724"/>
      <c r="BC146" s="724"/>
      <c r="BD146" s="724"/>
      <c r="BE146" s="726"/>
      <c r="BF146" s="724" t="s">
        <v>298</v>
      </c>
      <c r="BG146" s="724" t="s">
        <v>680</v>
      </c>
      <c r="BH146" s="724" t="s">
        <v>681</v>
      </c>
      <c r="BI146" s="724"/>
    </row>
    <row r="147" spans="1:61">
      <c r="A147" s="724" t="s">
        <v>690</v>
      </c>
      <c r="B147" s="724" t="s">
        <v>690</v>
      </c>
      <c r="C147" s="724" t="s">
        <v>690</v>
      </c>
      <c r="D147" s="724" t="s">
        <v>673</v>
      </c>
      <c r="E147" s="724" t="s">
        <v>3</v>
      </c>
      <c r="F147" s="725" t="s">
        <v>83</v>
      </c>
      <c r="G147" s="725" t="s">
        <v>691</v>
      </c>
      <c r="H147" s="726">
        <v>1003200</v>
      </c>
      <c r="I147" s="726">
        <v>1003200</v>
      </c>
      <c r="J147" s="726">
        <v>0</v>
      </c>
      <c r="K147" s="726">
        <v>0</v>
      </c>
      <c r="L147" s="726">
        <v>1003200</v>
      </c>
      <c r="M147" s="726">
        <v>0</v>
      </c>
      <c r="N147" s="726">
        <v>0</v>
      </c>
      <c r="O147" s="726">
        <v>0</v>
      </c>
      <c r="P147" s="726">
        <v>0</v>
      </c>
      <c r="Q147" s="726">
        <v>0</v>
      </c>
      <c r="R147" s="726">
        <v>0</v>
      </c>
      <c r="S147" s="726">
        <v>0</v>
      </c>
      <c r="T147" s="726">
        <v>0</v>
      </c>
      <c r="U147" s="726">
        <v>0</v>
      </c>
      <c r="V147" s="726">
        <v>0</v>
      </c>
      <c r="W147" s="726">
        <v>0</v>
      </c>
      <c r="X147" s="724" t="s">
        <v>674</v>
      </c>
      <c r="Y147" s="724" t="s">
        <v>1226</v>
      </c>
      <c r="Z147" s="724" t="s">
        <v>1226</v>
      </c>
      <c r="AA147" s="724" t="s">
        <v>675</v>
      </c>
      <c r="AB147" s="724" t="s">
        <v>675</v>
      </c>
      <c r="AC147" s="724"/>
      <c r="AD147" s="724"/>
      <c r="AE147" s="724" t="s">
        <v>676</v>
      </c>
      <c r="AF147" s="724"/>
      <c r="AG147" s="725" t="s">
        <v>693</v>
      </c>
      <c r="AH147" s="724"/>
      <c r="AI147" s="725" t="s">
        <v>693</v>
      </c>
      <c r="AJ147" s="725" t="s">
        <v>677</v>
      </c>
      <c r="AK147" s="724" t="s">
        <v>677</v>
      </c>
      <c r="AL147" s="724"/>
      <c r="AM147" s="724"/>
      <c r="AN147" s="724"/>
      <c r="AO147" s="724"/>
      <c r="AP147" s="724"/>
      <c r="AQ147" s="724"/>
      <c r="AR147" s="726"/>
      <c r="AS147" s="724"/>
      <c r="AT147" s="726"/>
      <c r="AU147" s="724" t="s">
        <v>678</v>
      </c>
      <c r="AV147" s="724" t="s">
        <v>677</v>
      </c>
      <c r="AW147" s="724" t="s">
        <v>676</v>
      </c>
      <c r="AX147" s="724" t="s">
        <v>674</v>
      </c>
      <c r="AY147" s="724"/>
      <c r="AZ147" s="724"/>
      <c r="BA147" s="724" t="s">
        <v>679</v>
      </c>
      <c r="BB147" s="724"/>
      <c r="BC147" s="724"/>
      <c r="BD147" s="724"/>
      <c r="BE147" s="726"/>
      <c r="BF147" s="724" t="s">
        <v>298</v>
      </c>
      <c r="BG147" s="724" t="s">
        <v>680</v>
      </c>
      <c r="BH147" s="724" t="s">
        <v>681</v>
      </c>
      <c r="BI147" s="724"/>
    </row>
    <row r="148" spans="1:61">
      <c r="A148" s="724" t="s">
        <v>690</v>
      </c>
      <c r="B148" s="724" t="s">
        <v>690</v>
      </c>
      <c r="C148" s="724" t="s">
        <v>690</v>
      </c>
      <c r="D148" s="724" t="s">
        <v>673</v>
      </c>
      <c r="E148" s="724" t="s">
        <v>3</v>
      </c>
      <c r="F148" s="725" t="s">
        <v>83</v>
      </c>
      <c r="G148" s="725" t="s">
        <v>691</v>
      </c>
      <c r="H148" s="726">
        <v>52800</v>
      </c>
      <c r="I148" s="726">
        <v>52800</v>
      </c>
      <c r="J148" s="726">
        <v>0</v>
      </c>
      <c r="K148" s="726">
        <v>0</v>
      </c>
      <c r="L148" s="726">
        <v>52800</v>
      </c>
      <c r="M148" s="726">
        <v>0</v>
      </c>
      <c r="N148" s="726">
        <v>0</v>
      </c>
      <c r="O148" s="726">
        <v>0</v>
      </c>
      <c r="P148" s="726">
        <v>0</v>
      </c>
      <c r="Q148" s="726">
        <v>0</v>
      </c>
      <c r="R148" s="726">
        <v>0</v>
      </c>
      <c r="S148" s="726">
        <v>0</v>
      </c>
      <c r="T148" s="726">
        <v>0</v>
      </c>
      <c r="U148" s="726">
        <v>0</v>
      </c>
      <c r="V148" s="726">
        <v>0</v>
      </c>
      <c r="W148" s="726">
        <v>0</v>
      </c>
      <c r="X148" s="724" t="s">
        <v>674</v>
      </c>
      <c r="Y148" s="724" t="s">
        <v>675</v>
      </c>
      <c r="Z148" s="724" t="s">
        <v>675</v>
      </c>
      <c r="AA148" s="724" t="s">
        <v>675</v>
      </c>
      <c r="AB148" s="724" t="s">
        <v>675</v>
      </c>
      <c r="AC148" s="724"/>
      <c r="AD148" s="724"/>
      <c r="AE148" s="724" t="s">
        <v>676</v>
      </c>
      <c r="AF148" s="724"/>
      <c r="AG148" s="725" t="s">
        <v>692</v>
      </c>
      <c r="AH148" s="724"/>
      <c r="AI148" s="725" t="s">
        <v>692</v>
      </c>
      <c r="AJ148" s="725" t="s">
        <v>677</v>
      </c>
      <c r="AK148" s="724" t="s">
        <v>677</v>
      </c>
      <c r="AL148" s="724"/>
      <c r="AM148" s="724"/>
      <c r="AN148" s="724"/>
      <c r="AO148" s="724"/>
      <c r="AP148" s="724"/>
      <c r="AQ148" s="724"/>
      <c r="AR148" s="726"/>
      <c r="AS148" s="724"/>
      <c r="AT148" s="726"/>
      <c r="AU148" s="724" t="s">
        <v>678</v>
      </c>
      <c r="AV148" s="724" t="s">
        <v>677</v>
      </c>
      <c r="AW148" s="724" t="s">
        <v>676</v>
      </c>
      <c r="AX148" s="724" t="s">
        <v>674</v>
      </c>
      <c r="AY148" s="724"/>
      <c r="AZ148" s="724"/>
      <c r="BA148" s="724" t="s">
        <v>679</v>
      </c>
      <c r="BB148" s="724"/>
      <c r="BC148" s="724"/>
      <c r="BD148" s="724"/>
      <c r="BE148" s="726"/>
      <c r="BF148" s="724" t="s">
        <v>298</v>
      </c>
      <c r="BG148" s="724" t="s">
        <v>680</v>
      </c>
      <c r="BH148" s="724" t="s">
        <v>681</v>
      </c>
      <c r="BI148" s="724"/>
    </row>
    <row r="149" spans="1:61">
      <c r="A149" s="724" t="s">
        <v>690</v>
      </c>
      <c r="B149" s="724" t="s">
        <v>690</v>
      </c>
      <c r="C149" s="724" t="s">
        <v>690</v>
      </c>
      <c r="D149" s="724" t="s">
        <v>673</v>
      </c>
      <c r="E149" s="724" t="s">
        <v>3</v>
      </c>
      <c r="F149" s="725" t="s">
        <v>83</v>
      </c>
      <c r="G149" s="725" t="s">
        <v>691</v>
      </c>
      <c r="H149" s="726">
        <v>547200</v>
      </c>
      <c r="I149" s="726">
        <v>547200</v>
      </c>
      <c r="J149" s="726">
        <v>0</v>
      </c>
      <c r="K149" s="726">
        <v>0</v>
      </c>
      <c r="L149" s="726">
        <v>547200</v>
      </c>
      <c r="M149" s="726">
        <v>0</v>
      </c>
      <c r="N149" s="726">
        <v>0</v>
      </c>
      <c r="O149" s="726">
        <v>0</v>
      </c>
      <c r="P149" s="726">
        <v>0</v>
      </c>
      <c r="Q149" s="726">
        <v>0</v>
      </c>
      <c r="R149" s="726">
        <v>0</v>
      </c>
      <c r="S149" s="726">
        <v>0</v>
      </c>
      <c r="T149" s="726">
        <v>0</v>
      </c>
      <c r="U149" s="726">
        <v>0</v>
      </c>
      <c r="V149" s="726">
        <v>0</v>
      </c>
      <c r="W149" s="726">
        <v>0</v>
      </c>
      <c r="X149" s="724" t="s">
        <v>674</v>
      </c>
      <c r="Y149" s="724" t="s">
        <v>1226</v>
      </c>
      <c r="Z149" s="724" t="s">
        <v>1226</v>
      </c>
      <c r="AA149" s="724" t="s">
        <v>675</v>
      </c>
      <c r="AB149" s="724" t="s">
        <v>675</v>
      </c>
      <c r="AC149" s="724"/>
      <c r="AD149" s="724"/>
      <c r="AE149" s="724" t="s">
        <v>676</v>
      </c>
      <c r="AF149" s="724"/>
      <c r="AG149" s="725" t="s">
        <v>693</v>
      </c>
      <c r="AH149" s="724"/>
      <c r="AI149" s="725" t="s">
        <v>693</v>
      </c>
      <c r="AJ149" s="725" t="s">
        <v>677</v>
      </c>
      <c r="AK149" s="724" t="s">
        <v>677</v>
      </c>
      <c r="AL149" s="724"/>
      <c r="AM149" s="724"/>
      <c r="AN149" s="724"/>
      <c r="AO149" s="724"/>
      <c r="AP149" s="724"/>
      <c r="AQ149" s="724"/>
      <c r="AR149" s="726"/>
      <c r="AS149" s="724"/>
      <c r="AT149" s="726"/>
      <c r="AU149" s="724" t="s">
        <v>678</v>
      </c>
      <c r="AV149" s="724" t="s">
        <v>677</v>
      </c>
      <c r="AW149" s="724" t="s">
        <v>676</v>
      </c>
      <c r="AX149" s="724" t="s">
        <v>674</v>
      </c>
      <c r="AY149" s="724"/>
      <c r="AZ149" s="724"/>
      <c r="BA149" s="724" t="s">
        <v>679</v>
      </c>
      <c r="BB149" s="724"/>
      <c r="BC149" s="724"/>
      <c r="BD149" s="724"/>
      <c r="BE149" s="726"/>
      <c r="BF149" s="724" t="s">
        <v>298</v>
      </c>
      <c r="BG149" s="724" t="s">
        <v>680</v>
      </c>
      <c r="BH149" s="724" t="s">
        <v>681</v>
      </c>
      <c r="BI149" s="724"/>
    </row>
    <row r="150" spans="1:61">
      <c r="A150" s="724" t="s">
        <v>690</v>
      </c>
      <c r="B150" s="724" t="s">
        <v>690</v>
      </c>
      <c r="C150" s="724" t="s">
        <v>690</v>
      </c>
      <c r="D150" s="724" t="s">
        <v>673</v>
      </c>
      <c r="E150" s="724" t="s">
        <v>3</v>
      </c>
      <c r="F150" s="725" t="s">
        <v>83</v>
      </c>
      <c r="G150" s="725" t="s">
        <v>691</v>
      </c>
      <c r="H150" s="726">
        <v>52800</v>
      </c>
      <c r="I150" s="726">
        <v>52800</v>
      </c>
      <c r="J150" s="726">
        <v>0</v>
      </c>
      <c r="K150" s="726">
        <v>0</v>
      </c>
      <c r="L150" s="726">
        <v>52800</v>
      </c>
      <c r="M150" s="726">
        <v>0</v>
      </c>
      <c r="N150" s="726">
        <v>0</v>
      </c>
      <c r="O150" s="726">
        <v>0</v>
      </c>
      <c r="P150" s="726">
        <v>0</v>
      </c>
      <c r="Q150" s="726">
        <v>0</v>
      </c>
      <c r="R150" s="726">
        <v>0</v>
      </c>
      <c r="S150" s="726">
        <v>0</v>
      </c>
      <c r="T150" s="726">
        <v>0</v>
      </c>
      <c r="U150" s="726">
        <v>0</v>
      </c>
      <c r="V150" s="726">
        <v>0</v>
      </c>
      <c r="W150" s="726">
        <v>0</v>
      </c>
      <c r="X150" s="724" t="s">
        <v>674</v>
      </c>
      <c r="Y150" s="724" t="s">
        <v>675</v>
      </c>
      <c r="Z150" s="724" t="s">
        <v>675</v>
      </c>
      <c r="AA150" s="724" t="s">
        <v>675</v>
      </c>
      <c r="AB150" s="724" t="s">
        <v>675</v>
      </c>
      <c r="AC150" s="724"/>
      <c r="AD150" s="724"/>
      <c r="AE150" s="724" t="s">
        <v>676</v>
      </c>
      <c r="AF150" s="724"/>
      <c r="AG150" s="725" t="s">
        <v>692</v>
      </c>
      <c r="AH150" s="724"/>
      <c r="AI150" s="725" t="s">
        <v>692</v>
      </c>
      <c r="AJ150" s="725" t="s">
        <v>677</v>
      </c>
      <c r="AK150" s="724" t="s">
        <v>677</v>
      </c>
      <c r="AL150" s="724"/>
      <c r="AM150" s="724"/>
      <c r="AN150" s="724"/>
      <c r="AO150" s="724"/>
      <c r="AP150" s="724"/>
      <c r="AQ150" s="724"/>
      <c r="AR150" s="726"/>
      <c r="AS150" s="724"/>
      <c r="AT150" s="726"/>
      <c r="AU150" s="724" t="s">
        <v>678</v>
      </c>
      <c r="AV150" s="724" t="s">
        <v>677</v>
      </c>
      <c r="AW150" s="724" t="s">
        <v>676</v>
      </c>
      <c r="AX150" s="724" t="s">
        <v>674</v>
      </c>
      <c r="AY150" s="724"/>
      <c r="AZ150" s="724"/>
      <c r="BA150" s="724" t="s">
        <v>679</v>
      </c>
      <c r="BB150" s="724"/>
      <c r="BC150" s="724"/>
      <c r="BD150" s="724"/>
      <c r="BE150" s="726"/>
      <c r="BF150" s="724" t="s">
        <v>298</v>
      </c>
      <c r="BG150" s="724" t="s">
        <v>680</v>
      </c>
      <c r="BH150" s="724" t="s">
        <v>681</v>
      </c>
      <c r="BI150" s="724"/>
    </row>
    <row r="151" spans="1:61">
      <c r="A151" s="724" t="s">
        <v>690</v>
      </c>
      <c r="B151" s="724" t="s">
        <v>690</v>
      </c>
      <c r="C151" s="724" t="s">
        <v>690</v>
      </c>
      <c r="D151" s="724" t="s">
        <v>673</v>
      </c>
      <c r="E151" s="724" t="s">
        <v>3</v>
      </c>
      <c r="F151" s="725" t="s">
        <v>83</v>
      </c>
      <c r="G151" s="725" t="s">
        <v>691</v>
      </c>
      <c r="H151" s="726">
        <v>638400</v>
      </c>
      <c r="I151" s="726">
        <v>638400</v>
      </c>
      <c r="J151" s="726">
        <v>0</v>
      </c>
      <c r="K151" s="726">
        <v>0</v>
      </c>
      <c r="L151" s="726">
        <v>638400</v>
      </c>
      <c r="M151" s="726">
        <v>0</v>
      </c>
      <c r="N151" s="726">
        <v>0</v>
      </c>
      <c r="O151" s="726">
        <v>0</v>
      </c>
      <c r="P151" s="726">
        <v>0</v>
      </c>
      <c r="Q151" s="726">
        <v>0</v>
      </c>
      <c r="R151" s="726">
        <v>0</v>
      </c>
      <c r="S151" s="726">
        <v>0</v>
      </c>
      <c r="T151" s="726">
        <v>0</v>
      </c>
      <c r="U151" s="726">
        <v>0</v>
      </c>
      <c r="V151" s="726">
        <v>0</v>
      </c>
      <c r="W151" s="726">
        <v>0</v>
      </c>
      <c r="X151" s="724" t="s">
        <v>674</v>
      </c>
      <c r="Y151" s="724" t="s">
        <v>1226</v>
      </c>
      <c r="Z151" s="724" t="s">
        <v>1226</v>
      </c>
      <c r="AA151" s="724" t="s">
        <v>675</v>
      </c>
      <c r="AB151" s="724" t="s">
        <v>675</v>
      </c>
      <c r="AC151" s="724"/>
      <c r="AD151" s="724"/>
      <c r="AE151" s="724" t="s">
        <v>676</v>
      </c>
      <c r="AF151" s="724"/>
      <c r="AG151" s="725" t="s">
        <v>696</v>
      </c>
      <c r="AH151" s="724"/>
      <c r="AI151" s="725" t="s">
        <v>696</v>
      </c>
      <c r="AJ151" s="725" t="s">
        <v>677</v>
      </c>
      <c r="AK151" s="724" t="s">
        <v>677</v>
      </c>
      <c r="AL151" s="724"/>
      <c r="AM151" s="724"/>
      <c r="AN151" s="724"/>
      <c r="AO151" s="724"/>
      <c r="AP151" s="724"/>
      <c r="AQ151" s="724"/>
      <c r="AR151" s="726"/>
      <c r="AS151" s="724"/>
      <c r="AT151" s="726"/>
      <c r="AU151" s="724" t="s">
        <v>678</v>
      </c>
      <c r="AV151" s="724" t="s">
        <v>677</v>
      </c>
      <c r="AW151" s="724" t="s">
        <v>676</v>
      </c>
      <c r="AX151" s="724" t="s">
        <v>674</v>
      </c>
      <c r="AY151" s="724"/>
      <c r="AZ151" s="724"/>
      <c r="BA151" s="724" t="s">
        <v>679</v>
      </c>
      <c r="BB151" s="724"/>
      <c r="BC151" s="724"/>
      <c r="BD151" s="724"/>
      <c r="BE151" s="726"/>
      <c r="BF151" s="724" t="s">
        <v>298</v>
      </c>
      <c r="BG151" s="724" t="s">
        <v>680</v>
      </c>
      <c r="BH151" s="724" t="s">
        <v>681</v>
      </c>
      <c r="BI151" s="724"/>
    </row>
    <row r="152" spans="1:61">
      <c r="A152" s="724" t="s">
        <v>690</v>
      </c>
      <c r="B152" s="724" t="s">
        <v>690</v>
      </c>
      <c r="C152" s="724" t="s">
        <v>690</v>
      </c>
      <c r="D152" s="724" t="s">
        <v>673</v>
      </c>
      <c r="E152" s="724" t="s">
        <v>3</v>
      </c>
      <c r="F152" s="725" t="s">
        <v>83</v>
      </c>
      <c r="G152" s="725" t="s">
        <v>691</v>
      </c>
      <c r="H152" s="726">
        <v>61600</v>
      </c>
      <c r="I152" s="726">
        <v>61600</v>
      </c>
      <c r="J152" s="726">
        <v>0</v>
      </c>
      <c r="K152" s="726">
        <v>0</v>
      </c>
      <c r="L152" s="726">
        <v>61600</v>
      </c>
      <c r="M152" s="726">
        <v>0</v>
      </c>
      <c r="N152" s="726">
        <v>0</v>
      </c>
      <c r="O152" s="726">
        <v>0</v>
      </c>
      <c r="P152" s="726">
        <v>0</v>
      </c>
      <c r="Q152" s="726">
        <v>0</v>
      </c>
      <c r="R152" s="726">
        <v>0</v>
      </c>
      <c r="S152" s="726">
        <v>0</v>
      </c>
      <c r="T152" s="726">
        <v>0</v>
      </c>
      <c r="U152" s="726">
        <v>0</v>
      </c>
      <c r="V152" s="726">
        <v>0</v>
      </c>
      <c r="W152" s="726">
        <v>0</v>
      </c>
      <c r="X152" s="724" t="s">
        <v>674</v>
      </c>
      <c r="Y152" s="724" t="s">
        <v>675</v>
      </c>
      <c r="Z152" s="724" t="s">
        <v>675</v>
      </c>
      <c r="AA152" s="724" t="s">
        <v>675</v>
      </c>
      <c r="AB152" s="724" t="s">
        <v>675</v>
      </c>
      <c r="AC152" s="724"/>
      <c r="AD152" s="724"/>
      <c r="AE152" s="724" t="s">
        <v>676</v>
      </c>
      <c r="AF152" s="724"/>
      <c r="AG152" s="725" t="s">
        <v>695</v>
      </c>
      <c r="AH152" s="724"/>
      <c r="AI152" s="725" t="s">
        <v>695</v>
      </c>
      <c r="AJ152" s="725" t="s">
        <v>677</v>
      </c>
      <c r="AK152" s="724" t="s">
        <v>677</v>
      </c>
      <c r="AL152" s="724"/>
      <c r="AM152" s="724"/>
      <c r="AN152" s="724"/>
      <c r="AO152" s="724"/>
      <c r="AP152" s="724"/>
      <c r="AQ152" s="724"/>
      <c r="AR152" s="726"/>
      <c r="AS152" s="724"/>
      <c r="AT152" s="726"/>
      <c r="AU152" s="724" t="s">
        <v>678</v>
      </c>
      <c r="AV152" s="724" t="s">
        <v>677</v>
      </c>
      <c r="AW152" s="724" t="s">
        <v>676</v>
      </c>
      <c r="AX152" s="724" t="s">
        <v>674</v>
      </c>
      <c r="AY152" s="724"/>
      <c r="AZ152" s="724"/>
      <c r="BA152" s="724" t="s">
        <v>679</v>
      </c>
      <c r="BB152" s="724"/>
      <c r="BC152" s="724"/>
      <c r="BD152" s="724"/>
      <c r="BE152" s="726"/>
      <c r="BF152" s="724" t="s">
        <v>298</v>
      </c>
      <c r="BG152" s="724" t="s">
        <v>680</v>
      </c>
      <c r="BH152" s="724" t="s">
        <v>681</v>
      </c>
      <c r="BI152" s="724"/>
    </row>
    <row r="153" spans="1:61">
      <c r="A153" s="724" t="s">
        <v>690</v>
      </c>
      <c r="B153" s="724" t="s">
        <v>690</v>
      </c>
      <c r="C153" s="724" t="s">
        <v>690</v>
      </c>
      <c r="D153" s="724" t="s">
        <v>673</v>
      </c>
      <c r="E153" s="724" t="s">
        <v>3</v>
      </c>
      <c r="F153" s="725" t="s">
        <v>83</v>
      </c>
      <c r="G153" s="725" t="s">
        <v>691</v>
      </c>
      <c r="H153" s="726">
        <v>638400</v>
      </c>
      <c r="I153" s="726">
        <v>638400</v>
      </c>
      <c r="J153" s="726">
        <v>0</v>
      </c>
      <c r="K153" s="726">
        <v>0</v>
      </c>
      <c r="L153" s="726">
        <v>638400</v>
      </c>
      <c r="M153" s="726">
        <v>0</v>
      </c>
      <c r="N153" s="726">
        <v>0</v>
      </c>
      <c r="O153" s="726">
        <v>0</v>
      </c>
      <c r="P153" s="726">
        <v>0</v>
      </c>
      <c r="Q153" s="726">
        <v>0</v>
      </c>
      <c r="R153" s="726">
        <v>0</v>
      </c>
      <c r="S153" s="726">
        <v>0</v>
      </c>
      <c r="T153" s="726">
        <v>0</v>
      </c>
      <c r="U153" s="726">
        <v>0</v>
      </c>
      <c r="V153" s="726">
        <v>0</v>
      </c>
      <c r="W153" s="726">
        <v>0</v>
      </c>
      <c r="X153" s="724" t="s">
        <v>674</v>
      </c>
      <c r="Y153" s="724" t="s">
        <v>1226</v>
      </c>
      <c r="Z153" s="724" t="s">
        <v>1226</v>
      </c>
      <c r="AA153" s="724" t="s">
        <v>675</v>
      </c>
      <c r="AB153" s="724" t="s">
        <v>675</v>
      </c>
      <c r="AC153" s="724"/>
      <c r="AD153" s="724"/>
      <c r="AE153" s="724" t="s">
        <v>676</v>
      </c>
      <c r="AF153" s="724"/>
      <c r="AG153" s="725" t="s">
        <v>696</v>
      </c>
      <c r="AH153" s="724"/>
      <c r="AI153" s="725" t="s">
        <v>696</v>
      </c>
      <c r="AJ153" s="725" t="s">
        <v>677</v>
      </c>
      <c r="AK153" s="724" t="s">
        <v>677</v>
      </c>
      <c r="AL153" s="724"/>
      <c r="AM153" s="724"/>
      <c r="AN153" s="724"/>
      <c r="AO153" s="724"/>
      <c r="AP153" s="724"/>
      <c r="AQ153" s="724"/>
      <c r="AR153" s="726"/>
      <c r="AS153" s="724"/>
      <c r="AT153" s="726"/>
      <c r="AU153" s="724" t="s">
        <v>678</v>
      </c>
      <c r="AV153" s="724" t="s">
        <v>677</v>
      </c>
      <c r="AW153" s="724" t="s">
        <v>676</v>
      </c>
      <c r="AX153" s="724" t="s">
        <v>674</v>
      </c>
      <c r="AY153" s="724"/>
      <c r="AZ153" s="724"/>
      <c r="BA153" s="724" t="s">
        <v>679</v>
      </c>
      <c r="BB153" s="724"/>
      <c r="BC153" s="724"/>
      <c r="BD153" s="724"/>
      <c r="BE153" s="726"/>
      <c r="BF153" s="724" t="s">
        <v>298</v>
      </c>
      <c r="BG153" s="724" t="s">
        <v>680</v>
      </c>
      <c r="BH153" s="724" t="s">
        <v>681</v>
      </c>
      <c r="BI153" s="724"/>
    </row>
    <row r="154" spans="1:61">
      <c r="A154" s="724" t="s">
        <v>690</v>
      </c>
      <c r="B154" s="724" t="s">
        <v>690</v>
      </c>
      <c r="C154" s="724" t="s">
        <v>690</v>
      </c>
      <c r="D154" s="724" t="s">
        <v>673</v>
      </c>
      <c r="E154" s="724" t="s">
        <v>3</v>
      </c>
      <c r="F154" s="725" t="s">
        <v>83</v>
      </c>
      <c r="G154" s="725" t="s">
        <v>691</v>
      </c>
      <c r="H154" s="726">
        <v>88000</v>
      </c>
      <c r="I154" s="726">
        <v>88000</v>
      </c>
      <c r="J154" s="726">
        <v>0</v>
      </c>
      <c r="K154" s="726">
        <v>0</v>
      </c>
      <c r="L154" s="726">
        <v>88000</v>
      </c>
      <c r="M154" s="726">
        <v>0</v>
      </c>
      <c r="N154" s="726">
        <v>0</v>
      </c>
      <c r="O154" s="726">
        <v>0</v>
      </c>
      <c r="P154" s="726">
        <v>0</v>
      </c>
      <c r="Q154" s="726">
        <v>0</v>
      </c>
      <c r="R154" s="726">
        <v>0</v>
      </c>
      <c r="S154" s="726">
        <v>0</v>
      </c>
      <c r="T154" s="726">
        <v>0</v>
      </c>
      <c r="U154" s="726">
        <v>0</v>
      </c>
      <c r="V154" s="726">
        <v>0</v>
      </c>
      <c r="W154" s="726">
        <v>0</v>
      </c>
      <c r="X154" s="724" t="s">
        <v>674</v>
      </c>
      <c r="Y154" s="724" t="s">
        <v>675</v>
      </c>
      <c r="Z154" s="724" t="s">
        <v>675</v>
      </c>
      <c r="AA154" s="724" t="s">
        <v>675</v>
      </c>
      <c r="AB154" s="724" t="s">
        <v>675</v>
      </c>
      <c r="AC154" s="724"/>
      <c r="AD154" s="724"/>
      <c r="AE154" s="724" t="s">
        <v>676</v>
      </c>
      <c r="AF154" s="724"/>
      <c r="AG154" s="725" t="s">
        <v>695</v>
      </c>
      <c r="AH154" s="724"/>
      <c r="AI154" s="725" t="s">
        <v>695</v>
      </c>
      <c r="AJ154" s="725" t="s">
        <v>677</v>
      </c>
      <c r="AK154" s="724" t="s">
        <v>677</v>
      </c>
      <c r="AL154" s="724"/>
      <c r="AM154" s="724"/>
      <c r="AN154" s="724"/>
      <c r="AO154" s="724"/>
      <c r="AP154" s="724"/>
      <c r="AQ154" s="724"/>
      <c r="AR154" s="726"/>
      <c r="AS154" s="724"/>
      <c r="AT154" s="726"/>
      <c r="AU154" s="724" t="s">
        <v>678</v>
      </c>
      <c r="AV154" s="724" t="s">
        <v>677</v>
      </c>
      <c r="AW154" s="724" t="s">
        <v>676</v>
      </c>
      <c r="AX154" s="724" t="s">
        <v>674</v>
      </c>
      <c r="AY154" s="724"/>
      <c r="AZ154" s="724"/>
      <c r="BA154" s="724" t="s">
        <v>679</v>
      </c>
      <c r="BB154" s="724"/>
      <c r="BC154" s="724"/>
      <c r="BD154" s="724"/>
      <c r="BE154" s="726"/>
      <c r="BF154" s="724" t="s">
        <v>298</v>
      </c>
      <c r="BG154" s="724" t="s">
        <v>680</v>
      </c>
      <c r="BH154" s="724" t="s">
        <v>681</v>
      </c>
      <c r="BI154" s="724"/>
    </row>
    <row r="155" spans="1:61">
      <c r="A155" s="724" t="s">
        <v>690</v>
      </c>
      <c r="B155" s="724" t="s">
        <v>690</v>
      </c>
      <c r="C155" s="724" t="s">
        <v>690</v>
      </c>
      <c r="D155" s="724" t="s">
        <v>673</v>
      </c>
      <c r="E155" s="724" t="s">
        <v>3</v>
      </c>
      <c r="F155" s="725" t="s">
        <v>83</v>
      </c>
      <c r="G155" s="725" t="s">
        <v>691</v>
      </c>
      <c r="H155" s="726">
        <v>912000</v>
      </c>
      <c r="I155" s="726">
        <v>912000</v>
      </c>
      <c r="J155" s="726">
        <v>0</v>
      </c>
      <c r="K155" s="726">
        <v>0</v>
      </c>
      <c r="L155" s="726">
        <v>912000</v>
      </c>
      <c r="M155" s="726">
        <v>0</v>
      </c>
      <c r="N155" s="726">
        <v>0</v>
      </c>
      <c r="O155" s="726">
        <v>0</v>
      </c>
      <c r="P155" s="726">
        <v>0</v>
      </c>
      <c r="Q155" s="726">
        <v>0</v>
      </c>
      <c r="R155" s="726">
        <v>0</v>
      </c>
      <c r="S155" s="726">
        <v>0</v>
      </c>
      <c r="T155" s="726">
        <v>0</v>
      </c>
      <c r="U155" s="726">
        <v>0</v>
      </c>
      <c r="V155" s="726">
        <v>0</v>
      </c>
      <c r="W155" s="726">
        <v>0</v>
      </c>
      <c r="X155" s="724" t="s">
        <v>674</v>
      </c>
      <c r="Y155" s="724" t="s">
        <v>1226</v>
      </c>
      <c r="Z155" s="724" t="s">
        <v>1226</v>
      </c>
      <c r="AA155" s="724" t="s">
        <v>675</v>
      </c>
      <c r="AB155" s="724" t="s">
        <v>675</v>
      </c>
      <c r="AC155" s="724"/>
      <c r="AD155" s="724"/>
      <c r="AE155" s="724" t="s">
        <v>676</v>
      </c>
      <c r="AF155" s="724"/>
      <c r="AG155" s="725" t="s">
        <v>696</v>
      </c>
      <c r="AH155" s="724"/>
      <c r="AI155" s="725" t="s">
        <v>696</v>
      </c>
      <c r="AJ155" s="725" t="s">
        <v>677</v>
      </c>
      <c r="AK155" s="724" t="s">
        <v>677</v>
      </c>
      <c r="AL155" s="724"/>
      <c r="AM155" s="724"/>
      <c r="AN155" s="724"/>
      <c r="AO155" s="724"/>
      <c r="AP155" s="724"/>
      <c r="AQ155" s="724"/>
      <c r="AR155" s="726"/>
      <c r="AS155" s="724"/>
      <c r="AT155" s="726"/>
      <c r="AU155" s="724" t="s">
        <v>678</v>
      </c>
      <c r="AV155" s="724" t="s">
        <v>677</v>
      </c>
      <c r="AW155" s="724" t="s">
        <v>676</v>
      </c>
      <c r="AX155" s="724" t="s">
        <v>674</v>
      </c>
      <c r="AY155" s="724"/>
      <c r="AZ155" s="724"/>
      <c r="BA155" s="724" t="s">
        <v>679</v>
      </c>
      <c r="BB155" s="724"/>
      <c r="BC155" s="724"/>
      <c r="BD155" s="724"/>
      <c r="BE155" s="726"/>
      <c r="BF155" s="724" t="s">
        <v>298</v>
      </c>
      <c r="BG155" s="724" t="s">
        <v>680</v>
      </c>
      <c r="BH155" s="724" t="s">
        <v>681</v>
      </c>
      <c r="BI155" s="724"/>
    </row>
    <row r="156" spans="1:61">
      <c r="A156" s="724" t="s">
        <v>690</v>
      </c>
      <c r="B156" s="724" t="s">
        <v>690</v>
      </c>
      <c r="C156" s="724" t="s">
        <v>690</v>
      </c>
      <c r="D156" s="724" t="s">
        <v>673</v>
      </c>
      <c r="E156" s="724" t="s">
        <v>3</v>
      </c>
      <c r="F156" s="725" t="s">
        <v>83</v>
      </c>
      <c r="G156" s="725" t="s">
        <v>691</v>
      </c>
      <c r="H156" s="726">
        <v>88000</v>
      </c>
      <c r="I156" s="726">
        <v>88000</v>
      </c>
      <c r="J156" s="726">
        <v>0</v>
      </c>
      <c r="K156" s="726">
        <v>0</v>
      </c>
      <c r="L156" s="726">
        <v>88000</v>
      </c>
      <c r="M156" s="726">
        <v>0</v>
      </c>
      <c r="N156" s="726">
        <v>0</v>
      </c>
      <c r="O156" s="726">
        <v>0</v>
      </c>
      <c r="P156" s="726">
        <v>0</v>
      </c>
      <c r="Q156" s="726">
        <v>0</v>
      </c>
      <c r="R156" s="726">
        <v>0</v>
      </c>
      <c r="S156" s="726">
        <v>0</v>
      </c>
      <c r="T156" s="726">
        <v>0</v>
      </c>
      <c r="U156" s="726">
        <v>0</v>
      </c>
      <c r="V156" s="726">
        <v>0</v>
      </c>
      <c r="W156" s="726">
        <v>0</v>
      </c>
      <c r="X156" s="724" t="s">
        <v>674</v>
      </c>
      <c r="Y156" s="724" t="s">
        <v>675</v>
      </c>
      <c r="Z156" s="724" t="s">
        <v>675</v>
      </c>
      <c r="AA156" s="724" t="s">
        <v>675</v>
      </c>
      <c r="AB156" s="724" t="s">
        <v>675</v>
      </c>
      <c r="AC156" s="724"/>
      <c r="AD156" s="724"/>
      <c r="AE156" s="724" t="s">
        <v>676</v>
      </c>
      <c r="AF156" s="724"/>
      <c r="AG156" s="725" t="s">
        <v>695</v>
      </c>
      <c r="AH156" s="724"/>
      <c r="AI156" s="725" t="s">
        <v>695</v>
      </c>
      <c r="AJ156" s="725" t="s">
        <v>677</v>
      </c>
      <c r="AK156" s="724" t="s">
        <v>677</v>
      </c>
      <c r="AL156" s="724"/>
      <c r="AM156" s="724"/>
      <c r="AN156" s="724"/>
      <c r="AO156" s="724"/>
      <c r="AP156" s="724"/>
      <c r="AQ156" s="724"/>
      <c r="AR156" s="726"/>
      <c r="AS156" s="724"/>
      <c r="AT156" s="726"/>
      <c r="AU156" s="724" t="s">
        <v>678</v>
      </c>
      <c r="AV156" s="724" t="s">
        <v>677</v>
      </c>
      <c r="AW156" s="724" t="s">
        <v>676</v>
      </c>
      <c r="AX156" s="724" t="s">
        <v>674</v>
      </c>
      <c r="AY156" s="724"/>
      <c r="AZ156" s="724"/>
      <c r="BA156" s="724" t="s">
        <v>679</v>
      </c>
      <c r="BB156" s="724"/>
      <c r="BC156" s="724"/>
      <c r="BD156" s="724"/>
      <c r="BE156" s="726"/>
      <c r="BF156" s="724" t="s">
        <v>298</v>
      </c>
      <c r="BG156" s="724" t="s">
        <v>680</v>
      </c>
      <c r="BH156" s="724" t="s">
        <v>681</v>
      </c>
      <c r="BI156" s="724"/>
    </row>
    <row r="157" spans="1:61">
      <c r="A157" s="724" t="s">
        <v>690</v>
      </c>
      <c r="B157" s="724" t="s">
        <v>690</v>
      </c>
      <c r="C157" s="724" t="s">
        <v>690</v>
      </c>
      <c r="D157" s="724" t="s">
        <v>673</v>
      </c>
      <c r="E157" s="724" t="s">
        <v>3</v>
      </c>
      <c r="F157" s="725" t="s">
        <v>83</v>
      </c>
      <c r="G157" s="725" t="s">
        <v>691</v>
      </c>
      <c r="H157" s="726">
        <v>88000</v>
      </c>
      <c r="I157" s="726">
        <v>88000</v>
      </c>
      <c r="J157" s="726">
        <v>0</v>
      </c>
      <c r="K157" s="726">
        <v>0</v>
      </c>
      <c r="L157" s="726">
        <v>88000</v>
      </c>
      <c r="M157" s="726">
        <v>0</v>
      </c>
      <c r="N157" s="726">
        <v>0</v>
      </c>
      <c r="O157" s="726">
        <v>0</v>
      </c>
      <c r="P157" s="726">
        <v>0</v>
      </c>
      <c r="Q157" s="726">
        <v>0</v>
      </c>
      <c r="R157" s="726">
        <v>0</v>
      </c>
      <c r="S157" s="726">
        <v>0</v>
      </c>
      <c r="T157" s="726">
        <v>0</v>
      </c>
      <c r="U157" s="726">
        <v>0</v>
      </c>
      <c r="V157" s="726">
        <v>0</v>
      </c>
      <c r="W157" s="726">
        <v>0</v>
      </c>
      <c r="X157" s="724" t="s">
        <v>674</v>
      </c>
      <c r="Y157" s="724" t="s">
        <v>675</v>
      </c>
      <c r="Z157" s="724" t="s">
        <v>675</v>
      </c>
      <c r="AA157" s="724" t="s">
        <v>675</v>
      </c>
      <c r="AB157" s="724" t="s">
        <v>675</v>
      </c>
      <c r="AC157" s="724"/>
      <c r="AD157" s="724"/>
      <c r="AE157" s="724" t="s">
        <v>676</v>
      </c>
      <c r="AF157" s="724"/>
      <c r="AG157" s="725" t="s">
        <v>695</v>
      </c>
      <c r="AH157" s="724"/>
      <c r="AI157" s="725" t="s">
        <v>695</v>
      </c>
      <c r="AJ157" s="725" t="s">
        <v>677</v>
      </c>
      <c r="AK157" s="724" t="s">
        <v>677</v>
      </c>
      <c r="AL157" s="724"/>
      <c r="AM157" s="724"/>
      <c r="AN157" s="724"/>
      <c r="AO157" s="724"/>
      <c r="AP157" s="724"/>
      <c r="AQ157" s="724"/>
      <c r="AR157" s="726"/>
      <c r="AS157" s="724"/>
      <c r="AT157" s="726"/>
      <c r="AU157" s="724" t="s">
        <v>678</v>
      </c>
      <c r="AV157" s="724" t="s">
        <v>677</v>
      </c>
      <c r="AW157" s="724" t="s">
        <v>676</v>
      </c>
      <c r="AX157" s="724" t="s">
        <v>674</v>
      </c>
      <c r="AY157" s="724"/>
      <c r="AZ157" s="724"/>
      <c r="BA157" s="724" t="s">
        <v>679</v>
      </c>
      <c r="BB157" s="724"/>
      <c r="BC157" s="724"/>
      <c r="BD157" s="724"/>
      <c r="BE157" s="726"/>
      <c r="BF157" s="724" t="s">
        <v>298</v>
      </c>
      <c r="BG157" s="724" t="s">
        <v>680</v>
      </c>
      <c r="BH157" s="724" t="s">
        <v>681</v>
      </c>
      <c r="BI157" s="724"/>
    </row>
    <row r="158" spans="1:61">
      <c r="A158" s="724" t="s">
        <v>690</v>
      </c>
      <c r="B158" s="724" t="s">
        <v>690</v>
      </c>
      <c r="C158" s="724" t="s">
        <v>690</v>
      </c>
      <c r="D158" s="724" t="s">
        <v>673</v>
      </c>
      <c r="E158" s="724" t="s">
        <v>3</v>
      </c>
      <c r="F158" s="725" t="s">
        <v>83</v>
      </c>
      <c r="G158" s="725" t="s">
        <v>691</v>
      </c>
      <c r="H158" s="726">
        <v>912000</v>
      </c>
      <c r="I158" s="726">
        <v>912000</v>
      </c>
      <c r="J158" s="726">
        <v>0</v>
      </c>
      <c r="K158" s="726">
        <v>0</v>
      </c>
      <c r="L158" s="726">
        <v>912000</v>
      </c>
      <c r="M158" s="726">
        <v>0</v>
      </c>
      <c r="N158" s="726">
        <v>0</v>
      </c>
      <c r="O158" s="726">
        <v>0</v>
      </c>
      <c r="P158" s="726">
        <v>0</v>
      </c>
      <c r="Q158" s="726">
        <v>0</v>
      </c>
      <c r="R158" s="726">
        <v>0</v>
      </c>
      <c r="S158" s="726">
        <v>0</v>
      </c>
      <c r="T158" s="726">
        <v>0</v>
      </c>
      <c r="U158" s="726">
        <v>0</v>
      </c>
      <c r="V158" s="726">
        <v>0</v>
      </c>
      <c r="W158" s="726">
        <v>0</v>
      </c>
      <c r="X158" s="724" t="s">
        <v>674</v>
      </c>
      <c r="Y158" s="724" t="s">
        <v>1226</v>
      </c>
      <c r="Z158" s="724" t="s">
        <v>1226</v>
      </c>
      <c r="AA158" s="724" t="s">
        <v>675</v>
      </c>
      <c r="AB158" s="724" t="s">
        <v>675</v>
      </c>
      <c r="AC158" s="724"/>
      <c r="AD158" s="724"/>
      <c r="AE158" s="724" t="s">
        <v>676</v>
      </c>
      <c r="AF158" s="724"/>
      <c r="AG158" s="725" t="s">
        <v>696</v>
      </c>
      <c r="AH158" s="724"/>
      <c r="AI158" s="725" t="s">
        <v>696</v>
      </c>
      <c r="AJ158" s="725" t="s">
        <v>677</v>
      </c>
      <c r="AK158" s="724" t="s">
        <v>677</v>
      </c>
      <c r="AL158" s="724"/>
      <c r="AM158" s="724"/>
      <c r="AN158" s="724"/>
      <c r="AO158" s="724"/>
      <c r="AP158" s="724"/>
      <c r="AQ158" s="724"/>
      <c r="AR158" s="726"/>
      <c r="AS158" s="724"/>
      <c r="AT158" s="726"/>
      <c r="AU158" s="724" t="s">
        <v>678</v>
      </c>
      <c r="AV158" s="724" t="s">
        <v>677</v>
      </c>
      <c r="AW158" s="724" t="s">
        <v>676</v>
      </c>
      <c r="AX158" s="724" t="s">
        <v>674</v>
      </c>
      <c r="AY158" s="724"/>
      <c r="AZ158" s="724"/>
      <c r="BA158" s="724" t="s">
        <v>679</v>
      </c>
      <c r="BB158" s="724"/>
      <c r="BC158" s="724"/>
      <c r="BD158" s="724"/>
      <c r="BE158" s="726"/>
      <c r="BF158" s="724" t="s">
        <v>298</v>
      </c>
      <c r="BG158" s="724" t="s">
        <v>680</v>
      </c>
      <c r="BH158" s="724" t="s">
        <v>681</v>
      </c>
      <c r="BI158" s="724"/>
    </row>
    <row r="159" spans="1:61">
      <c r="A159" s="724" t="s">
        <v>690</v>
      </c>
      <c r="B159" s="724" t="s">
        <v>690</v>
      </c>
      <c r="C159" s="724" t="s">
        <v>690</v>
      </c>
      <c r="D159" s="724" t="s">
        <v>673</v>
      </c>
      <c r="E159" s="724" t="s">
        <v>3</v>
      </c>
      <c r="F159" s="725" t="s">
        <v>83</v>
      </c>
      <c r="G159" s="725" t="s">
        <v>691</v>
      </c>
      <c r="H159" s="726">
        <v>88000</v>
      </c>
      <c r="I159" s="726">
        <v>88000</v>
      </c>
      <c r="J159" s="726">
        <v>0</v>
      </c>
      <c r="K159" s="726">
        <v>0</v>
      </c>
      <c r="L159" s="726">
        <v>88000</v>
      </c>
      <c r="M159" s="726">
        <v>0</v>
      </c>
      <c r="N159" s="726">
        <v>0</v>
      </c>
      <c r="O159" s="726">
        <v>0</v>
      </c>
      <c r="P159" s="726">
        <v>0</v>
      </c>
      <c r="Q159" s="726">
        <v>0</v>
      </c>
      <c r="R159" s="726">
        <v>0</v>
      </c>
      <c r="S159" s="726">
        <v>0</v>
      </c>
      <c r="T159" s="726">
        <v>0</v>
      </c>
      <c r="U159" s="726">
        <v>0</v>
      </c>
      <c r="V159" s="726">
        <v>0</v>
      </c>
      <c r="W159" s="726">
        <v>0</v>
      </c>
      <c r="X159" s="724" t="s">
        <v>674</v>
      </c>
      <c r="Y159" s="724" t="s">
        <v>675</v>
      </c>
      <c r="Z159" s="724" t="s">
        <v>675</v>
      </c>
      <c r="AA159" s="724" t="s">
        <v>675</v>
      </c>
      <c r="AB159" s="724" t="s">
        <v>675</v>
      </c>
      <c r="AC159" s="724"/>
      <c r="AD159" s="724"/>
      <c r="AE159" s="724" t="s">
        <v>676</v>
      </c>
      <c r="AF159" s="724"/>
      <c r="AG159" s="725" t="s">
        <v>695</v>
      </c>
      <c r="AH159" s="724"/>
      <c r="AI159" s="725" t="s">
        <v>695</v>
      </c>
      <c r="AJ159" s="725" t="s">
        <v>677</v>
      </c>
      <c r="AK159" s="724" t="s">
        <v>677</v>
      </c>
      <c r="AL159" s="724"/>
      <c r="AM159" s="724"/>
      <c r="AN159" s="724"/>
      <c r="AO159" s="724"/>
      <c r="AP159" s="724"/>
      <c r="AQ159" s="724"/>
      <c r="AR159" s="726"/>
      <c r="AS159" s="724"/>
      <c r="AT159" s="726"/>
      <c r="AU159" s="724" t="s">
        <v>678</v>
      </c>
      <c r="AV159" s="724" t="s">
        <v>677</v>
      </c>
      <c r="AW159" s="724" t="s">
        <v>676</v>
      </c>
      <c r="AX159" s="724" t="s">
        <v>674</v>
      </c>
      <c r="AY159" s="724"/>
      <c r="AZ159" s="724"/>
      <c r="BA159" s="724" t="s">
        <v>679</v>
      </c>
      <c r="BB159" s="724"/>
      <c r="BC159" s="724"/>
      <c r="BD159" s="724"/>
      <c r="BE159" s="726"/>
      <c r="BF159" s="724" t="s">
        <v>298</v>
      </c>
      <c r="BG159" s="724" t="s">
        <v>680</v>
      </c>
      <c r="BH159" s="724" t="s">
        <v>681</v>
      </c>
      <c r="BI159" s="724"/>
    </row>
    <row r="160" spans="1:61">
      <c r="A160" s="724" t="s">
        <v>690</v>
      </c>
      <c r="B160" s="724" t="s">
        <v>690</v>
      </c>
      <c r="C160" s="724" t="s">
        <v>690</v>
      </c>
      <c r="D160" s="724" t="s">
        <v>673</v>
      </c>
      <c r="E160" s="724" t="s">
        <v>3</v>
      </c>
      <c r="F160" s="725" t="s">
        <v>83</v>
      </c>
      <c r="G160" s="725" t="s">
        <v>691</v>
      </c>
      <c r="H160" s="726">
        <v>88000</v>
      </c>
      <c r="I160" s="726">
        <v>88000</v>
      </c>
      <c r="J160" s="726">
        <v>0</v>
      </c>
      <c r="K160" s="726">
        <v>0</v>
      </c>
      <c r="L160" s="726">
        <v>88000</v>
      </c>
      <c r="M160" s="726">
        <v>0</v>
      </c>
      <c r="N160" s="726">
        <v>0</v>
      </c>
      <c r="O160" s="726">
        <v>0</v>
      </c>
      <c r="P160" s="726">
        <v>0</v>
      </c>
      <c r="Q160" s="726">
        <v>0</v>
      </c>
      <c r="R160" s="726">
        <v>0</v>
      </c>
      <c r="S160" s="726">
        <v>0</v>
      </c>
      <c r="T160" s="726">
        <v>0</v>
      </c>
      <c r="U160" s="726">
        <v>0</v>
      </c>
      <c r="V160" s="726">
        <v>0</v>
      </c>
      <c r="W160" s="726">
        <v>0</v>
      </c>
      <c r="X160" s="724" t="s">
        <v>674</v>
      </c>
      <c r="Y160" s="724" t="s">
        <v>675</v>
      </c>
      <c r="Z160" s="724" t="s">
        <v>675</v>
      </c>
      <c r="AA160" s="724" t="s">
        <v>675</v>
      </c>
      <c r="AB160" s="724" t="s">
        <v>675</v>
      </c>
      <c r="AC160" s="724"/>
      <c r="AD160" s="724"/>
      <c r="AE160" s="724" t="s">
        <v>676</v>
      </c>
      <c r="AF160" s="724"/>
      <c r="AG160" s="725" t="s">
        <v>695</v>
      </c>
      <c r="AH160" s="724"/>
      <c r="AI160" s="725" t="s">
        <v>695</v>
      </c>
      <c r="AJ160" s="725" t="s">
        <v>677</v>
      </c>
      <c r="AK160" s="724" t="s">
        <v>677</v>
      </c>
      <c r="AL160" s="724"/>
      <c r="AM160" s="724"/>
      <c r="AN160" s="724"/>
      <c r="AO160" s="724"/>
      <c r="AP160" s="724"/>
      <c r="AQ160" s="724"/>
      <c r="AR160" s="726"/>
      <c r="AS160" s="724"/>
      <c r="AT160" s="726"/>
      <c r="AU160" s="724" t="s">
        <v>678</v>
      </c>
      <c r="AV160" s="724" t="s">
        <v>677</v>
      </c>
      <c r="AW160" s="724" t="s">
        <v>676</v>
      </c>
      <c r="AX160" s="724" t="s">
        <v>674</v>
      </c>
      <c r="AY160" s="724"/>
      <c r="AZ160" s="724"/>
      <c r="BA160" s="724" t="s">
        <v>679</v>
      </c>
      <c r="BB160" s="724"/>
      <c r="BC160" s="724"/>
      <c r="BD160" s="724"/>
      <c r="BE160" s="726"/>
      <c r="BF160" s="724" t="s">
        <v>298</v>
      </c>
      <c r="BG160" s="724" t="s">
        <v>680</v>
      </c>
      <c r="BH160" s="724" t="s">
        <v>681</v>
      </c>
      <c r="BI160" s="724"/>
    </row>
    <row r="161" spans="1:61">
      <c r="A161" s="724" t="s">
        <v>690</v>
      </c>
      <c r="B161" s="724" t="s">
        <v>690</v>
      </c>
      <c r="C161" s="724" t="s">
        <v>690</v>
      </c>
      <c r="D161" s="724" t="s">
        <v>673</v>
      </c>
      <c r="E161" s="724" t="s">
        <v>3</v>
      </c>
      <c r="F161" s="725" t="s">
        <v>83</v>
      </c>
      <c r="G161" s="725" t="s">
        <v>691</v>
      </c>
      <c r="H161" s="726">
        <v>912000</v>
      </c>
      <c r="I161" s="726">
        <v>912000</v>
      </c>
      <c r="J161" s="726">
        <v>0</v>
      </c>
      <c r="K161" s="726">
        <v>0</v>
      </c>
      <c r="L161" s="726">
        <v>912000</v>
      </c>
      <c r="M161" s="726">
        <v>0</v>
      </c>
      <c r="N161" s="726">
        <v>0</v>
      </c>
      <c r="O161" s="726">
        <v>0</v>
      </c>
      <c r="P161" s="726">
        <v>0</v>
      </c>
      <c r="Q161" s="726">
        <v>0</v>
      </c>
      <c r="R161" s="726">
        <v>0</v>
      </c>
      <c r="S161" s="726">
        <v>0</v>
      </c>
      <c r="T161" s="726">
        <v>0</v>
      </c>
      <c r="U161" s="726">
        <v>0</v>
      </c>
      <c r="V161" s="726">
        <v>0</v>
      </c>
      <c r="W161" s="726">
        <v>0</v>
      </c>
      <c r="X161" s="724" t="s">
        <v>674</v>
      </c>
      <c r="Y161" s="724" t="s">
        <v>1226</v>
      </c>
      <c r="Z161" s="724" t="s">
        <v>1226</v>
      </c>
      <c r="AA161" s="724" t="s">
        <v>675</v>
      </c>
      <c r="AB161" s="724" t="s">
        <v>675</v>
      </c>
      <c r="AC161" s="724"/>
      <c r="AD161" s="724"/>
      <c r="AE161" s="724" t="s">
        <v>676</v>
      </c>
      <c r="AF161" s="724"/>
      <c r="AG161" s="725" t="s">
        <v>696</v>
      </c>
      <c r="AH161" s="724"/>
      <c r="AI161" s="725" t="s">
        <v>696</v>
      </c>
      <c r="AJ161" s="725" t="s">
        <v>677</v>
      </c>
      <c r="AK161" s="724" t="s">
        <v>677</v>
      </c>
      <c r="AL161" s="724"/>
      <c r="AM161" s="724"/>
      <c r="AN161" s="724"/>
      <c r="AO161" s="724"/>
      <c r="AP161" s="724"/>
      <c r="AQ161" s="724"/>
      <c r="AR161" s="726"/>
      <c r="AS161" s="724"/>
      <c r="AT161" s="726"/>
      <c r="AU161" s="724" t="s">
        <v>678</v>
      </c>
      <c r="AV161" s="724" t="s">
        <v>677</v>
      </c>
      <c r="AW161" s="724" t="s">
        <v>676</v>
      </c>
      <c r="AX161" s="724" t="s">
        <v>674</v>
      </c>
      <c r="AY161" s="724"/>
      <c r="AZ161" s="724"/>
      <c r="BA161" s="724" t="s">
        <v>679</v>
      </c>
      <c r="BB161" s="724"/>
      <c r="BC161" s="724"/>
      <c r="BD161" s="724"/>
      <c r="BE161" s="726"/>
      <c r="BF161" s="724" t="s">
        <v>298</v>
      </c>
      <c r="BG161" s="724" t="s">
        <v>680</v>
      </c>
      <c r="BH161" s="724" t="s">
        <v>681</v>
      </c>
      <c r="BI161" s="724"/>
    </row>
    <row r="162" spans="1:61">
      <c r="A162" s="724" t="s">
        <v>690</v>
      </c>
      <c r="B162" s="724" t="s">
        <v>690</v>
      </c>
      <c r="C162" s="724" t="s">
        <v>690</v>
      </c>
      <c r="D162" s="724" t="s">
        <v>673</v>
      </c>
      <c r="E162" s="724" t="s">
        <v>3</v>
      </c>
      <c r="F162" s="725" t="s">
        <v>308</v>
      </c>
      <c r="G162" s="725" t="s">
        <v>697</v>
      </c>
      <c r="H162" s="726">
        <v>30000</v>
      </c>
      <c r="I162" s="726">
        <v>30000</v>
      </c>
      <c r="J162" s="726">
        <v>0</v>
      </c>
      <c r="K162" s="726">
        <v>0</v>
      </c>
      <c r="L162" s="726">
        <v>30000</v>
      </c>
      <c r="M162" s="726">
        <v>0</v>
      </c>
      <c r="N162" s="726">
        <v>0</v>
      </c>
      <c r="O162" s="726">
        <v>0</v>
      </c>
      <c r="P162" s="726">
        <v>0</v>
      </c>
      <c r="Q162" s="726">
        <v>0</v>
      </c>
      <c r="R162" s="726">
        <v>0</v>
      </c>
      <c r="S162" s="726">
        <v>0</v>
      </c>
      <c r="T162" s="726">
        <v>0</v>
      </c>
      <c r="U162" s="726">
        <v>0</v>
      </c>
      <c r="V162" s="726">
        <v>0</v>
      </c>
      <c r="W162" s="726">
        <v>0</v>
      </c>
      <c r="X162" s="724" t="s">
        <v>674</v>
      </c>
      <c r="Y162" s="724" t="s">
        <v>675</v>
      </c>
      <c r="Z162" s="724" t="s">
        <v>675</v>
      </c>
      <c r="AA162" s="724" t="s">
        <v>675</v>
      </c>
      <c r="AB162" s="724" t="s">
        <v>675</v>
      </c>
      <c r="AC162" s="724"/>
      <c r="AD162" s="724"/>
      <c r="AE162" s="724"/>
      <c r="AF162" s="724"/>
      <c r="AG162" s="725" t="s">
        <v>698</v>
      </c>
      <c r="AH162" s="724"/>
      <c r="AI162" s="725" t="s">
        <v>698</v>
      </c>
      <c r="AJ162" s="725" t="s">
        <v>677</v>
      </c>
      <c r="AK162" s="724" t="s">
        <v>677</v>
      </c>
      <c r="AL162" s="724"/>
      <c r="AM162" s="724"/>
      <c r="AN162" s="724"/>
      <c r="AO162" s="724"/>
      <c r="AP162" s="724"/>
      <c r="AQ162" s="724"/>
      <c r="AR162" s="726"/>
      <c r="AS162" s="724"/>
      <c r="AT162" s="726"/>
      <c r="AU162" s="724" t="s">
        <v>678</v>
      </c>
      <c r="AV162" s="724" t="s">
        <v>677</v>
      </c>
      <c r="AW162" s="724" t="s">
        <v>676</v>
      </c>
      <c r="AX162" s="724" t="s">
        <v>674</v>
      </c>
      <c r="AY162" s="724"/>
      <c r="AZ162" s="724"/>
      <c r="BA162" s="724" t="s">
        <v>679</v>
      </c>
      <c r="BB162" s="724"/>
      <c r="BC162" s="724"/>
      <c r="BD162" s="724"/>
      <c r="BE162" s="726"/>
      <c r="BF162" s="724" t="s">
        <v>298</v>
      </c>
      <c r="BG162" s="724" t="s">
        <v>680</v>
      </c>
      <c r="BH162" s="724" t="s">
        <v>681</v>
      </c>
      <c r="BI162" s="724"/>
    </row>
    <row r="163" spans="1:61">
      <c r="A163" s="724" t="s">
        <v>690</v>
      </c>
      <c r="B163" s="724" t="s">
        <v>690</v>
      </c>
      <c r="C163" s="724" t="s">
        <v>690</v>
      </c>
      <c r="D163" s="724" t="s">
        <v>673</v>
      </c>
      <c r="E163" s="724" t="s">
        <v>3</v>
      </c>
      <c r="F163" s="725" t="s">
        <v>83</v>
      </c>
      <c r="G163" s="725" t="s">
        <v>691</v>
      </c>
      <c r="H163" s="726">
        <v>912000</v>
      </c>
      <c r="I163" s="726">
        <v>912000</v>
      </c>
      <c r="J163" s="726">
        <v>0</v>
      </c>
      <c r="K163" s="726">
        <v>0</v>
      </c>
      <c r="L163" s="726">
        <v>912000</v>
      </c>
      <c r="M163" s="726">
        <v>0</v>
      </c>
      <c r="N163" s="726">
        <v>0</v>
      </c>
      <c r="O163" s="726">
        <v>0</v>
      </c>
      <c r="P163" s="726">
        <v>0</v>
      </c>
      <c r="Q163" s="726">
        <v>0</v>
      </c>
      <c r="R163" s="726">
        <v>0</v>
      </c>
      <c r="S163" s="726">
        <v>0</v>
      </c>
      <c r="T163" s="726">
        <v>0</v>
      </c>
      <c r="U163" s="726">
        <v>0</v>
      </c>
      <c r="V163" s="726">
        <v>0</v>
      </c>
      <c r="W163" s="726">
        <v>0</v>
      </c>
      <c r="X163" s="724" t="s">
        <v>674</v>
      </c>
      <c r="Y163" s="724" t="s">
        <v>1226</v>
      </c>
      <c r="Z163" s="724" t="s">
        <v>1226</v>
      </c>
      <c r="AA163" s="724" t="s">
        <v>675</v>
      </c>
      <c r="AB163" s="724" t="s">
        <v>675</v>
      </c>
      <c r="AC163" s="724"/>
      <c r="AD163" s="724"/>
      <c r="AE163" s="724" t="s">
        <v>676</v>
      </c>
      <c r="AF163" s="724"/>
      <c r="AG163" s="725" t="s">
        <v>696</v>
      </c>
      <c r="AH163" s="724"/>
      <c r="AI163" s="725" t="s">
        <v>696</v>
      </c>
      <c r="AJ163" s="725" t="s">
        <v>677</v>
      </c>
      <c r="AK163" s="724" t="s">
        <v>677</v>
      </c>
      <c r="AL163" s="724"/>
      <c r="AM163" s="724"/>
      <c r="AN163" s="724"/>
      <c r="AO163" s="724"/>
      <c r="AP163" s="724"/>
      <c r="AQ163" s="724"/>
      <c r="AR163" s="726"/>
      <c r="AS163" s="724"/>
      <c r="AT163" s="726"/>
      <c r="AU163" s="724" t="s">
        <v>678</v>
      </c>
      <c r="AV163" s="724" t="s">
        <v>677</v>
      </c>
      <c r="AW163" s="724" t="s">
        <v>676</v>
      </c>
      <c r="AX163" s="724" t="s">
        <v>674</v>
      </c>
      <c r="AY163" s="724"/>
      <c r="AZ163" s="724"/>
      <c r="BA163" s="724" t="s">
        <v>679</v>
      </c>
      <c r="BB163" s="724"/>
      <c r="BC163" s="724"/>
      <c r="BD163" s="724"/>
      <c r="BE163" s="726"/>
      <c r="BF163" s="724" t="s">
        <v>298</v>
      </c>
      <c r="BG163" s="724" t="s">
        <v>680</v>
      </c>
      <c r="BH163" s="724" t="s">
        <v>681</v>
      </c>
      <c r="BI163" s="724"/>
    </row>
    <row r="164" spans="1:61">
      <c r="A164" s="724" t="s">
        <v>690</v>
      </c>
      <c r="B164" s="724" t="s">
        <v>690</v>
      </c>
      <c r="C164" s="724" t="s">
        <v>690</v>
      </c>
      <c r="D164" s="724" t="s">
        <v>673</v>
      </c>
      <c r="E164" s="724" t="s">
        <v>3</v>
      </c>
      <c r="F164" s="725" t="s">
        <v>83</v>
      </c>
      <c r="G164" s="725" t="s">
        <v>691</v>
      </c>
      <c r="H164" s="726">
        <v>88000</v>
      </c>
      <c r="I164" s="726">
        <v>88000</v>
      </c>
      <c r="J164" s="726">
        <v>0</v>
      </c>
      <c r="K164" s="726">
        <v>0</v>
      </c>
      <c r="L164" s="726">
        <v>88000</v>
      </c>
      <c r="M164" s="726">
        <v>0</v>
      </c>
      <c r="N164" s="726">
        <v>0</v>
      </c>
      <c r="O164" s="726">
        <v>0</v>
      </c>
      <c r="P164" s="726">
        <v>0</v>
      </c>
      <c r="Q164" s="726">
        <v>0</v>
      </c>
      <c r="R164" s="726">
        <v>0</v>
      </c>
      <c r="S164" s="726">
        <v>0</v>
      </c>
      <c r="T164" s="726">
        <v>0</v>
      </c>
      <c r="U164" s="726">
        <v>0</v>
      </c>
      <c r="V164" s="726">
        <v>0</v>
      </c>
      <c r="W164" s="726">
        <v>0</v>
      </c>
      <c r="X164" s="724" t="s">
        <v>674</v>
      </c>
      <c r="Y164" s="724" t="s">
        <v>675</v>
      </c>
      <c r="Z164" s="724" t="s">
        <v>675</v>
      </c>
      <c r="AA164" s="724" t="s">
        <v>675</v>
      </c>
      <c r="AB164" s="724" t="s">
        <v>675</v>
      </c>
      <c r="AC164" s="724"/>
      <c r="AD164" s="724"/>
      <c r="AE164" s="724" t="s">
        <v>676</v>
      </c>
      <c r="AF164" s="724"/>
      <c r="AG164" s="725" t="s">
        <v>695</v>
      </c>
      <c r="AH164" s="724"/>
      <c r="AI164" s="725" t="s">
        <v>695</v>
      </c>
      <c r="AJ164" s="725" t="s">
        <v>677</v>
      </c>
      <c r="AK164" s="724" t="s">
        <v>677</v>
      </c>
      <c r="AL164" s="724"/>
      <c r="AM164" s="724"/>
      <c r="AN164" s="724"/>
      <c r="AO164" s="724"/>
      <c r="AP164" s="724"/>
      <c r="AQ164" s="724"/>
      <c r="AR164" s="726"/>
      <c r="AS164" s="724"/>
      <c r="AT164" s="726"/>
      <c r="AU164" s="724" t="s">
        <v>678</v>
      </c>
      <c r="AV164" s="724" t="s">
        <v>677</v>
      </c>
      <c r="AW164" s="724" t="s">
        <v>676</v>
      </c>
      <c r="AX164" s="724" t="s">
        <v>674</v>
      </c>
      <c r="AY164" s="724"/>
      <c r="AZ164" s="724"/>
      <c r="BA164" s="724" t="s">
        <v>679</v>
      </c>
      <c r="BB164" s="724"/>
      <c r="BC164" s="724"/>
      <c r="BD164" s="724"/>
      <c r="BE164" s="726"/>
      <c r="BF164" s="724" t="s">
        <v>298</v>
      </c>
      <c r="BG164" s="724" t="s">
        <v>680</v>
      </c>
      <c r="BH164" s="724" t="s">
        <v>681</v>
      </c>
      <c r="BI164" s="724"/>
    </row>
    <row r="165" spans="1:61">
      <c r="A165" s="724" t="s">
        <v>690</v>
      </c>
      <c r="B165" s="724" t="s">
        <v>690</v>
      </c>
      <c r="C165" s="724" t="s">
        <v>690</v>
      </c>
      <c r="D165" s="724" t="s">
        <v>673</v>
      </c>
      <c r="E165" s="724" t="s">
        <v>3</v>
      </c>
      <c r="F165" s="725" t="s">
        <v>83</v>
      </c>
      <c r="G165" s="725" t="s">
        <v>691</v>
      </c>
      <c r="H165" s="726">
        <v>638400</v>
      </c>
      <c r="I165" s="726">
        <v>638400</v>
      </c>
      <c r="J165" s="726">
        <v>0</v>
      </c>
      <c r="K165" s="726">
        <v>0</v>
      </c>
      <c r="L165" s="726">
        <v>638400</v>
      </c>
      <c r="M165" s="726">
        <v>0</v>
      </c>
      <c r="N165" s="726">
        <v>0</v>
      </c>
      <c r="O165" s="726">
        <v>0</v>
      </c>
      <c r="P165" s="726">
        <v>0</v>
      </c>
      <c r="Q165" s="726">
        <v>0</v>
      </c>
      <c r="R165" s="726">
        <v>0</v>
      </c>
      <c r="S165" s="726">
        <v>0</v>
      </c>
      <c r="T165" s="726">
        <v>0</v>
      </c>
      <c r="U165" s="726">
        <v>0</v>
      </c>
      <c r="V165" s="726">
        <v>0</v>
      </c>
      <c r="W165" s="726">
        <v>0</v>
      </c>
      <c r="X165" s="724" t="s">
        <v>674</v>
      </c>
      <c r="Y165" s="724" t="s">
        <v>1226</v>
      </c>
      <c r="Z165" s="724" t="s">
        <v>1226</v>
      </c>
      <c r="AA165" s="724" t="s">
        <v>675</v>
      </c>
      <c r="AB165" s="724" t="s">
        <v>675</v>
      </c>
      <c r="AC165" s="724"/>
      <c r="AD165" s="724"/>
      <c r="AE165" s="724" t="s">
        <v>676</v>
      </c>
      <c r="AF165" s="724"/>
      <c r="AG165" s="725" t="s">
        <v>696</v>
      </c>
      <c r="AH165" s="724"/>
      <c r="AI165" s="725" t="s">
        <v>696</v>
      </c>
      <c r="AJ165" s="725" t="s">
        <v>677</v>
      </c>
      <c r="AK165" s="724" t="s">
        <v>677</v>
      </c>
      <c r="AL165" s="724"/>
      <c r="AM165" s="724"/>
      <c r="AN165" s="724"/>
      <c r="AO165" s="724"/>
      <c r="AP165" s="724"/>
      <c r="AQ165" s="724"/>
      <c r="AR165" s="726"/>
      <c r="AS165" s="724"/>
      <c r="AT165" s="726"/>
      <c r="AU165" s="724" t="s">
        <v>678</v>
      </c>
      <c r="AV165" s="724" t="s">
        <v>677</v>
      </c>
      <c r="AW165" s="724" t="s">
        <v>676</v>
      </c>
      <c r="AX165" s="724" t="s">
        <v>674</v>
      </c>
      <c r="AY165" s="724"/>
      <c r="AZ165" s="724"/>
      <c r="BA165" s="724" t="s">
        <v>679</v>
      </c>
      <c r="BB165" s="724"/>
      <c r="BC165" s="724"/>
      <c r="BD165" s="724"/>
      <c r="BE165" s="726"/>
      <c r="BF165" s="724" t="s">
        <v>298</v>
      </c>
      <c r="BG165" s="724" t="s">
        <v>680</v>
      </c>
      <c r="BH165" s="724" t="s">
        <v>681</v>
      </c>
      <c r="BI165" s="724"/>
    </row>
    <row r="166" spans="1:61">
      <c r="A166" s="724" t="s">
        <v>690</v>
      </c>
      <c r="B166" s="724" t="s">
        <v>690</v>
      </c>
      <c r="C166" s="724" t="s">
        <v>690</v>
      </c>
      <c r="D166" s="724" t="s">
        <v>673</v>
      </c>
      <c r="E166" s="724" t="s">
        <v>3</v>
      </c>
      <c r="F166" s="725" t="s">
        <v>83</v>
      </c>
      <c r="G166" s="725" t="s">
        <v>691</v>
      </c>
      <c r="H166" s="726">
        <v>61600</v>
      </c>
      <c r="I166" s="726">
        <v>61600</v>
      </c>
      <c r="J166" s="726">
        <v>0</v>
      </c>
      <c r="K166" s="726">
        <v>0</v>
      </c>
      <c r="L166" s="726">
        <v>61600</v>
      </c>
      <c r="M166" s="726">
        <v>0</v>
      </c>
      <c r="N166" s="726">
        <v>0</v>
      </c>
      <c r="O166" s="726">
        <v>0</v>
      </c>
      <c r="P166" s="726">
        <v>0</v>
      </c>
      <c r="Q166" s="726">
        <v>0</v>
      </c>
      <c r="R166" s="726">
        <v>0</v>
      </c>
      <c r="S166" s="726">
        <v>0</v>
      </c>
      <c r="T166" s="726">
        <v>0</v>
      </c>
      <c r="U166" s="726">
        <v>0</v>
      </c>
      <c r="V166" s="726">
        <v>0</v>
      </c>
      <c r="W166" s="726">
        <v>0</v>
      </c>
      <c r="X166" s="724" t="s">
        <v>674</v>
      </c>
      <c r="Y166" s="724" t="s">
        <v>675</v>
      </c>
      <c r="Z166" s="724" t="s">
        <v>675</v>
      </c>
      <c r="AA166" s="724" t="s">
        <v>675</v>
      </c>
      <c r="AB166" s="724" t="s">
        <v>675</v>
      </c>
      <c r="AC166" s="724"/>
      <c r="AD166" s="724"/>
      <c r="AE166" s="724" t="s">
        <v>676</v>
      </c>
      <c r="AF166" s="724"/>
      <c r="AG166" s="725" t="s">
        <v>695</v>
      </c>
      <c r="AH166" s="724"/>
      <c r="AI166" s="725" t="s">
        <v>695</v>
      </c>
      <c r="AJ166" s="725" t="s">
        <v>677</v>
      </c>
      <c r="AK166" s="724" t="s">
        <v>677</v>
      </c>
      <c r="AL166" s="724"/>
      <c r="AM166" s="724"/>
      <c r="AN166" s="724"/>
      <c r="AO166" s="724"/>
      <c r="AP166" s="724"/>
      <c r="AQ166" s="724"/>
      <c r="AR166" s="726"/>
      <c r="AS166" s="724"/>
      <c r="AT166" s="726"/>
      <c r="AU166" s="724" t="s">
        <v>678</v>
      </c>
      <c r="AV166" s="724" t="s">
        <v>677</v>
      </c>
      <c r="AW166" s="724" t="s">
        <v>676</v>
      </c>
      <c r="AX166" s="724" t="s">
        <v>674</v>
      </c>
      <c r="AY166" s="724"/>
      <c r="AZ166" s="724"/>
      <c r="BA166" s="724" t="s">
        <v>679</v>
      </c>
      <c r="BB166" s="724"/>
      <c r="BC166" s="724"/>
      <c r="BD166" s="724"/>
      <c r="BE166" s="726"/>
      <c r="BF166" s="724" t="s">
        <v>298</v>
      </c>
      <c r="BG166" s="724" t="s">
        <v>680</v>
      </c>
      <c r="BH166" s="724" t="s">
        <v>681</v>
      </c>
      <c r="BI166" s="724"/>
    </row>
    <row r="167" spans="1:61">
      <c r="A167" s="724" t="s">
        <v>690</v>
      </c>
      <c r="B167" s="724" t="s">
        <v>690</v>
      </c>
      <c r="C167" s="724" t="s">
        <v>690</v>
      </c>
      <c r="D167" s="724" t="s">
        <v>673</v>
      </c>
      <c r="E167" s="724" t="s">
        <v>3</v>
      </c>
      <c r="F167" s="725" t="s">
        <v>83</v>
      </c>
      <c r="G167" s="725" t="s">
        <v>691</v>
      </c>
      <c r="H167" s="726">
        <v>61600</v>
      </c>
      <c r="I167" s="726">
        <v>61600</v>
      </c>
      <c r="J167" s="726">
        <v>0</v>
      </c>
      <c r="K167" s="726">
        <v>0</v>
      </c>
      <c r="L167" s="726">
        <v>61600</v>
      </c>
      <c r="M167" s="726">
        <v>0</v>
      </c>
      <c r="N167" s="726">
        <v>0</v>
      </c>
      <c r="O167" s="726">
        <v>0</v>
      </c>
      <c r="P167" s="726">
        <v>0</v>
      </c>
      <c r="Q167" s="726">
        <v>0</v>
      </c>
      <c r="R167" s="726">
        <v>0</v>
      </c>
      <c r="S167" s="726">
        <v>0</v>
      </c>
      <c r="T167" s="726">
        <v>0</v>
      </c>
      <c r="U167" s="726">
        <v>0</v>
      </c>
      <c r="V167" s="726">
        <v>0</v>
      </c>
      <c r="W167" s="726">
        <v>0</v>
      </c>
      <c r="X167" s="724" t="s">
        <v>674</v>
      </c>
      <c r="Y167" s="724" t="s">
        <v>675</v>
      </c>
      <c r="Z167" s="724" t="s">
        <v>675</v>
      </c>
      <c r="AA167" s="724" t="s">
        <v>675</v>
      </c>
      <c r="AB167" s="724" t="s">
        <v>675</v>
      </c>
      <c r="AC167" s="724"/>
      <c r="AD167" s="724"/>
      <c r="AE167" s="724" t="s">
        <v>676</v>
      </c>
      <c r="AF167" s="724"/>
      <c r="AG167" s="725" t="s">
        <v>695</v>
      </c>
      <c r="AH167" s="724"/>
      <c r="AI167" s="725" t="s">
        <v>695</v>
      </c>
      <c r="AJ167" s="725" t="s">
        <v>677</v>
      </c>
      <c r="AK167" s="724" t="s">
        <v>677</v>
      </c>
      <c r="AL167" s="724"/>
      <c r="AM167" s="724"/>
      <c r="AN167" s="724"/>
      <c r="AO167" s="724"/>
      <c r="AP167" s="724"/>
      <c r="AQ167" s="724"/>
      <c r="AR167" s="726"/>
      <c r="AS167" s="724"/>
      <c r="AT167" s="726"/>
      <c r="AU167" s="724" t="s">
        <v>678</v>
      </c>
      <c r="AV167" s="724" t="s">
        <v>677</v>
      </c>
      <c r="AW167" s="724" t="s">
        <v>676</v>
      </c>
      <c r="AX167" s="724" t="s">
        <v>674</v>
      </c>
      <c r="AY167" s="724"/>
      <c r="AZ167" s="724"/>
      <c r="BA167" s="724" t="s">
        <v>679</v>
      </c>
      <c r="BB167" s="724"/>
      <c r="BC167" s="724"/>
      <c r="BD167" s="724"/>
      <c r="BE167" s="726"/>
      <c r="BF167" s="724" t="s">
        <v>298</v>
      </c>
      <c r="BG167" s="724" t="s">
        <v>680</v>
      </c>
      <c r="BH167" s="724" t="s">
        <v>681</v>
      </c>
      <c r="BI167" s="724"/>
    </row>
    <row r="168" spans="1:61">
      <c r="A168" s="724" t="s">
        <v>690</v>
      </c>
      <c r="B168" s="724" t="s">
        <v>690</v>
      </c>
      <c r="C168" s="724" t="s">
        <v>690</v>
      </c>
      <c r="D168" s="724" t="s">
        <v>673</v>
      </c>
      <c r="E168" s="724" t="s">
        <v>3</v>
      </c>
      <c r="F168" s="725" t="s">
        <v>83</v>
      </c>
      <c r="G168" s="725" t="s">
        <v>691</v>
      </c>
      <c r="H168" s="726">
        <v>912000</v>
      </c>
      <c r="I168" s="726">
        <v>912000</v>
      </c>
      <c r="J168" s="726">
        <v>0</v>
      </c>
      <c r="K168" s="726">
        <v>0</v>
      </c>
      <c r="L168" s="726">
        <v>912000</v>
      </c>
      <c r="M168" s="726">
        <v>0</v>
      </c>
      <c r="N168" s="726">
        <v>0</v>
      </c>
      <c r="O168" s="726">
        <v>0</v>
      </c>
      <c r="P168" s="726">
        <v>0</v>
      </c>
      <c r="Q168" s="726">
        <v>0</v>
      </c>
      <c r="R168" s="726">
        <v>0</v>
      </c>
      <c r="S168" s="726">
        <v>0</v>
      </c>
      <c r="T168" s="726">
        <v>0</v>
      </c>
      <c r="U168" s="726">
        <v>0</v>
      </c>
      <c r="V168" s="726">
        <v>0</v>
      </c>
      <c r="W168" s="726">
        <v>0</v>
      </c>
      <c r="X168" s="724" t="s">
        <v>674</v>
      </c>
      <c r="Y168" s="724" t="s">
        <v>1226</v>
      </c>
      <c r="Z168" s="724" t="s">
        <v>1226</v>
      </c>
      <c r="AA168" s="724" t="s">
        <v>675</v>
      </c>
      <c r="AB168" s="724" t="s">
        <v>675</v>
      </c>
      <c r="AC168" s="724"/>
      <c r="AD168" s="724"/>
      <c r="AE168" s="724" t="s">
        <v>676</v>
      </c>
      <c r="AF168" s="724"/>
      <c r="AG168" s="725" t="s">
        <v>696</v>
      </c>
      <c r="AH168" s="724"/>
      <c r="AI168" s="725" t="s">
        <v>696</v>
      </c>
      <c r="AJ168" s="725" t="s">
        <v>677</v>
      </c>
      <c r="AK168" s="724" t="s">
        <v>677</v>
      </c>
      <c r="AL168" s="724"/>
      <c r="AM168" s="724"/>
      <c r="AN168" s="724"/>
      <c r="AO168" s="724"/>
      <c r="AP168" s="724"/>
      <c r="AQ168" s="724"/>
      <c r="AR168" s="726"/>
      <c r="AS168" s="724"/>
      <c r="AT168" s="726"/>
      <c r="AU168" s="724" t="s">
        <v>678</v>
      </c>
      <c r="AV168" s="724" t="s">
        <v>677</v>
      </c>
      <c r="AW168" s="724" t="s">
        <v>676</v>
      </c>
      <c r="AX168" s="724" t="s">
        <v>674</v>
      </c>
      <c r="AY168" s="724"/>
      <c r="AZ168" s="724"/>
      <c r="BA168" s="724" t="s">
        <v>679</v>
      </c>
      <c r="BB168" s="724"/>
      <c r="BC168" s="724"/>
      <c r="BD168" s="724"/>
      <c r="BE168" s="726"/>
      <c r="BF168" s="724" t="s">
        <v>298</v>
      </c>
      <c r="BG168" s="724" t="s">
        <v>680</v>
      </c>
      <c r="BH168" s="724" t="s">
        <v>681</v>
      </c>
      <c r="BI168" s="724"/>
    </row>
    <row r="169" spans="1:61">
      <c r="A169" s="724" t="s">
        <v>690</v>
      </c>
      <c r="B169" s="724" t="s">
        <v>690</v>
      </c>
      <c r="C169" s="724" t="s">
        <v>690</v>
      </c>
      <c r="D169" s="724" t="s">
        <v>673</v>
      </c>
      <c r="E169" s="724" t="s">
        <v>3</v>
      </c>
      <c r="F169" s="725" t="s">
        <v>83</v>
      </c>
      <c r="G169" s="725" t="s">
        <v>691</v>
      </c>
      <c r="H169" s="726">
        <v>912000</v>
      </c>
      <c r="I169" s="726">
        <v>912000</v>
      </c>
      <c r="J169" s="726">
        <v>0</v>
      </c>
      <c r="K169" s="726">
        <v>0</v>
      </c>
      <c r="L169" s="726">
        <v>912000</v>
      </c>
      <c r="M169" s="726">
        <v>0</v>
      </c>
      <c r="N169" s="726">
        <v>0</v>
      </c>
      <c r="O169" s="726">
        <v>0</v>
      </c>
      <c r="P169" s="726">
        <v>0</v>
      </c>
      <c r="Q169" s="726">
        <v>0</v>
      </c>
      <c r="R169" s="726">
        <v>0</v>
      </c>
      <c r="S169" s="726">
        <v>0</v>
      </c>
      <c r="T169" s="726">
        <v>0</v>
      </c>
      <c r="U169" s="726">
        <v>0</v>
      </c>
      <c r="V169" s="726">
        <v>0</v>
      </c>
      <c r="W169" s="726">
        <v>0</v>
      </c>
      <c r="X169" s="724" t="s">
        <v>674</v>
      </c>
      <c r="Y169" s="724" t="s">
        <v>1226</v>
      </c>
      <c r="Z169" s="724" t="s">
        <v>1226</v>
      </c>
      <c r="AA169" s="724" t="s">
        <v>675</v>
      </c>
      <c r="AB169" s="724" t="s">
        <v>675</v>
      </c>
      <c r="AC169" s="724"/>
      <c r="AD169" s="724"/>
      <c r="AE169" s="724" t="s">
        <v>676</v>
      </c>
      <c r="AF169" s="724"/>
      <c r="AG169" s="725" t="s">
        <v>696</v>
      </c>
      <c r="AH169" s="724"/>
      <c r="AI169" s="725" t="s">
        <v>696</v>
      </c>
      <c r="AJ169" s="725" t="s">
        <v>677</v>
      </c>
      <c r="AK169" s="724" t="s">
        <v>677</v>
      </c>
      <c r="AL169" s="724"/>
      <c r="AM169" s="724"/>
      <c r="AN169" s="724"/>
      <c r="AO169" s="724"/>
      <c r="AP169" s="724"/>
      <c r="AQ169" s="724"/>
      <c r="AR169" s="726"/>
      <c r="AS169" s="724"/>
      <c r="AT169" s="726"/>
      <c r="AU169" s="724" t="s">
        <v>678</v>
      </c>
      <c r="AV169" s="724" t="s">
        <v>677</v>
      </c>
      <c r="AW169" s="724" t="s">
        <v>676</v>
      </c>
      <c r="AX169" s="724" t="s">
        <v>674</v>
      </c>
      <c r="AY169" s="724"/>
      <c r="AZ169" s="724"/>
      <c r="BA169" s="724" t="s">
        <v>679</v>
      </c>
      <c r="BB169" s="724"/>
      <c r="BC169" s="724"/>
      <c r="BD169" s="724"/>
      <c r="BE169" s="726"/>
      <c r="BF169" s="724" t="s">
        <v>298</v>
      </c>
      <c r="BG169" s="724" t="s">
        <v>680</v>
      </c>
      <c r="BH169" s="724" t="s">
        <v>681</v>
      </c>
      <c r="BI169" s="724"/>
    </row>
    <row r="170" spans="1:61">
      <c r="A170" s="724" t="s">
        <v>690</v>
      </c>
      <c r="B170" s="724" t="s">
        <v>690</v>
      </c>
      <c r="C170" s="724" t="s">
        <v>690</v>
      </c>
      <c r="D170" s="724" t="s">
        <v>673</v>
      </c>
      <c r="E170" s="724" t="s">
        <v>3</v>
      </c>
      <c r="F170" s="725" t="s">
        <v>83</v>
      </c>
      <c r="G170" s="725" t="s">
        <v>691</v>
      </c>
      <c r="H170" s="726">
        <v>912000</v>
      </c>
      <c r="I170" s="726">
        <v>912000</v>
      </c>
      <c r="J170" s="726">
        <v>0</v>
      </c>
      <c r="K170" s="726">
        <v>0</v>
      </c>
      <c r="L170" s="726">
        <v>912000</v>
      </c>
      <c r="M170" s="726">
        <v>0</v>
      </c>
      <c r="N170" s="726">
        <v>0</v>
      </c>
      <c r="O170" s="726">
        <v>0</v>
      </c>
      <c r="P170" s="726">
        <v>0</v>
      </c>
      <c r="Q170" s="726">
        <v>0</v>
      </c>
      <c r="R170" s="726">
        <v>0</v>
      </c>
      <c r="S170" s="726">
        <v>0</v>
      </c>
      <c r="T170" s="726">
        <v>0</v>
      </c>
      <c r="U170" s="726">
        <v>0</v>
      </c>
      <c r="V170" s="726">
        <v>0</v>
      </c>
      <c r="W170" s="726">
        <v>0</v>
      </c>
      <c r="X170" s="724" t="s">
        <v>674</v>
      </c>
      <c r="Y170" s="724" t="s">
        <v>1226</v>
      </c>
      <c r="Z170" s="724" t="s">
        <v>1226</v>
      </c>
      <c r="AA170" s="724" t="s">
        <v>675</v>
      </c>
      <c r="AB170" s="724" t="s">
        <v>675</v>
      </c>
      <c r="AC170" s="724"/>
      <c r="AD170" s="724"/>
      <c r="AE170" s="724" t="s">
        <v>676</v>
      </c>
      <c r="AF170" s="724"/>
      <c r="AG170" s="725" t="s">
        <v>696</v>
      </c>
      <c r="AH170" s="724"/>
      <c r="AI170" s="725" t="s">
        <v>696</v>
      </c>
      <c r="AJ170" s="725" t="s">
        <v>677</v>
      </c>
      <c r="AK170" s="724" t="s">
        <v>677</v>
      </c>
      <c r="AL170" s="724"/>
      <c r="AM170" s="724"/>
      <c r="AN170" s="724"/>
      <c r="AO170" s="724"/>
      <c r="AP170" s="724"/>
      <c r="AQ170" s="724"/>
      <c r="AR170" s="726"/>
      <c r="AS170" s="724"/>
      <c r="AT170" s="726"/>
      <c r="AU170" s="724" t="s">
        <v>678</v>
      </c>
      <c r="AV170" s="724" t="s">
        <v>677</v>
      </c>
      <c r="AW170" s="724" t="s">
        <v>676</v>
      </c>
      <c r="AX170" s="724" t="s">
        <v>674</v>
      </c>
      <c r="AY170" s="724"/>
      <c r="AZ170" s="724"/>
      <c r="BA170" s="724" t="s">
        <v>679</v>
      </c>
      <c r="BB170" s="724"/>
      <c r="BC170" s="724"/>
      <c r="BD170" s="724"/>
      <c r="BE170" s="726"/>
      <c r="BF170" s="724" t="s">
        <v>298</v>
      </c>
      <c r="BG170" s="724" t="s">
        <v>680</v>
      </c>
      <c r="BH170" s="724" t="s">
        <v>681</v>
      </c>
      <c r="BI170" s="724"/>
    </row>
    <row r="171" spans="1:61">
      <c r="A171" s="724" t="s">
        <v>690</v>
      </c>
      <c r="B171" s="724" t="s">
        <v>690</v>
      </c>
      <c r="C171" s="724" t="s">
        <v>690</v>
      </c>
      <c r="D171" s="724" t="s">
        <v>673</v>
      </c>
      <c r="E171" s="724" t="s">
        <v>3</v>
      </c>
      <c r="F171" s="725" t="s">
        <v>83</v>
      </c>
      <c r="G171" s="725" t="s">
        <v>691</v>
      </c>
      <c r="H171" s="726">
        <v>88000</v>
      </c>
      <c r="I171" s="726">
        <v>88000</v>
      </c>
      <c r="J171" s="726">
        <v>0</v>
      </c>
      <c r="K171" s="726">
        <v>0</v>
      </c>
      <c r="L171" s="726">
        <v>88000</v>
      </c>
      <c r="M171" s="726">
        <v>0</v>
      </c>
      <c r="N171" s="726">
        <v>0</v>
      </c>
      <c r="O171" s="726">
        <v>0</v>
      </c>
      <c r="P171" s="726">
        <v>0</v>
      </c>
      <c r="Q171" s="726">
        <v>0</v>
      </c>
      <c r="R171" s="726">
        <v>0</v>
      </c>
      <c r="S171" s="726">
        <v>0</v>
      </c>
      <c r="T171" s="726">
        <v>0</v>
      </c>
      <c r="U171" s="726">
        <v>0</v>
      </c>
      <c r="V171" s="726">
        <v>0</v>
      </c>
      <c r="W171" s="726">
        <v>0</v>
      </c>
      <c r="X171" s="724" t="s">
        <v>674</v>
      </c>
      <c r="Y171" s="724" t="s">
        <v>675</v>
      </c>
      <c r="Z171" s="724" t="s">
        <v>675</v>
      </c>
      <c r="AA171" s="724" t="s">
        <v>675</v>
      </c>
      <c r="AB171" s="724" t="s">
        <v>675</v>
      </c>
      <c r="AC171" s="724"/>
      <c r="AD171" s="724"/>
      <c r="AE171" s="724" t="s">
        <v>676</v>
      </c>
      <c r="AF171" s="724"/>
      <c r="AG171" s="725" t="s">
        <v>695</v>
      </c>
      <c r="AH171" s="724"/>
      <c r="AI171" s="725" t="s">
        <v>695</v>
      </c>
      <c r="AJ171" s="725" t="s">
        <v>677</v>
      </c>
      <c r="AK171" s="724" t="s">
        <v>677</v>
      </c>
      <c r="AL171" s="724"/>
      <c r="AM171" s="724"/>
      <c r="AN171" s="724"/>
      <c r="AO171" s="724"/>
      <c r="AP171" s="724"/>
      <c r="AQ171" s="724"/>
      <c r="AR171" s="726"/>
      <c r="AS171" s="724"/>
      <c r="AT171" s="726"/>
      <c r="AU171" s="724" t="s">
        <v>678</v>
      </c>
      <c r="AV171" s="724" t="s">
        <v>677</v>
      </c>
      <c r="AW171" s="724" t="s">
        <v>676</v>
      </c>
      <c r="AX171" s="724" t="s">
        <v>674</v>
      </c>
      <c r="AY171" s="724"/>
      <c r="AZ171" s="724"/>
      <c r="BA171" s="724" t="s">
        <v>679</v>
      </c>
      <c r="BB171" s="724"/>
      <c r="BC171" s="724"/>
      <c r="BD171" s="724"/>
      <c r="BE171" s="726"/>
      <c r="BF171" s="724" t="s">
        <v>298</v>
      </c>
      <c r="BG171" s="724" t="s">
        <v>680</v>
      </c>
      <c r="BH171" s="724" t="s">
        <v>681</v>
      </c>
      <c r="BI171" s="724"/>
    </row>
    <row r="172" spans="1:61">
      <c r="A172" s="724" t="s">
        <v>690</v>
      </c>
      <c r="B172" s="724" t="s">
        <v>690</v>
      </c>
      <c r="C172" s="724" t="s">
        <v>690</v>
      </c>
      <c r="D172" s="724" t="s">
        <v>673</v>
      </c>
      <c r="E172" s="724" t="s">
        <v>3</v>
      </c>
      <c r="F172" s="725" t="s">
        <v>83</v>
      </c>
      <c r="G172" s="725" t="s">
        <v>691</v>
      </c>
      <c r="H172" s="726">
        <v>88000</v>
      </c>
      <c r="I172" s="726">
        <v>88000</v>
      </c>
      <c r="J172" s="726">
        <v>0</v>
      </c>
      <c r="K172" s="726">
        <v>0</v>
      </c>
      <c r="L172" s="726">
        <v>88000</v>
      </c>
      <c r="M172" s="726">
        <v>0</v>
      </c>
      <c r="N172" s="726">
        <v>0</v>
      </c>
      <c r="O172" s="726">
        <v>0</v>
      </c>
      <c r="P172" s="726">
        <v>0</v>
      </c>
      <c r="Q172" s="726">
        <v>0</v>
      </c>
      <c r="R172" s="726">
        <v>0</v>
      </c>
      <c r="S172" s="726">
        <v>0</v>
      </c>
      <c r="T172" s="726">
        <v>0</v>
      </c>
      <c r="U172" s="726">
        <v>0</v>
      </c>
      <c r="V172" s="726">
        <v>0</v>
      </c>
      <c r="W172" s="726">
        <v>0</v>
      </c>
      <c r="X172" s="724" t="s">
        <v>674</v>
      </c>
      <c r="Y172" s="724" t="s">
        <v>675</v>
      </c>
      <c r="Z172" s="724" t="s">
        <v>675</v>
      </c>
      <c r="AA172" s="724" t="s">
        <v>675</v>
      </c>
      <c r="AB172" s="724" t="s">
        <v>675</v>
      </c>
      <c r="AC172" s="724"/>
      <c r="AD172" s="724"/>
      <c r="AE172" s="724" t="s">
        <v>676</v>
      </c>
      <c r="AF172" s="724"/>
      <c r="AG172" s="725" t="s">
        <v>695</v>
      </c>
      <c r="AH172" s="724"/>
      <c r="AI172" s="725" t="s">
        <v>695</v>
      </c>
      <c r="AJ172" s="725" t="s">
        <v>677</v>
      </c>
      <c r="AK172" s="724" t="s">
        <v>677</v>
      </c>
      <c r="AL172" s="724"/>
      <c r="AM172" s="724"/>
      <c r="AN172" s="724"/>
      <c r="AO172" s="724"/>
      <c r="AP172" s="724"/>
      <c r="AQ172" s="724"/>
      <c r="AR172" s="726"/>
      <c r="AS172" s="724"/>
      <c r="AT172" s="726"/>
      <c r="AU172" s="724" t="s">
        <v>678</v>
      </c>
      <c r="AV172" s="724" t="s">
        <v>677</v>
      </c>
      <c r="AW172" s="724" t="s">
        <v>676</v>
      </c>
      <c r="AX172" s="724" t="s">
        <v>674</v>
      </c>
      <c r="AY172" s="724"/>
      <c r="AZ172" s="724"/>
      <c r="BA172" s="724" t="s">
        <v>679</v>
      </c>
      <c r="BB172" s="724"/>
      <c r="BC172" s="724"/>
      <c r="BD172" s="724"/>
      <c r="BE172" s="726"/>
      <c r="BF172" s="724" t="s">
        <v>298</v>
      </c>
      <c r="BG172" s="724" t="s">
        <v>680</v>
      </c>
      <c r="BH172" s="724" t="s">
        <v>681</v>
      </c>
      <c r="BI172" s="724"/>
    </row>
    <row r="173" spans="1:61">
      <c r="A173" s="724" t="s">
        <v>690</v>
      </c>
      <c r="B173" s="724" t="s">
        <v>690</v>
      </c>
      <c r="C173" s="724" t="s">
        <v>690</v>
      </c>
      <c r="D173" s="724" t="s">
        <v>673</v>
      </c>
      <c r="E173" s="724" t="s">
        <v>3</v>
      </c>
      <c r="F173" s="725" t="s">
        <v>83</v>
      </c>
      <c r="G173" s="725" t="s">
        <v>691</v>
      </c>
      <c r="H173" s="726">
        <v>88000</v>
      </c>
      <c r="I173" s="726">
        <v>88000</v>
      </c>
      <c r="J173" s="726">
        <v>0</v>
      </c>
      <c r="K173" s="726">
        <v>0</v>
      </c>
      <c r="L173" s="726">
        <v>88000</v>
      </c>
      <c r="M173" s="726">
        <v>0</v>
      </c>
      <c r="N173" s="726">
        <v>0</v>
      </c>
      <c r="O173" s="726">
        <v>0</v>
      </c>
      <c r="P173" s="726">
        <v>0</v>
      </c>
      <c r="Q173" s="726">
        <v>0</v>
      </c>
      <c r="R173" s="726">
        <v>0</v>
      </c>
      <c r="S173" s="726">
        <v>0</v>
      </c>
      <c r="T173" s="726">
        <v>0</v>
      </c>
      <c r="U173" s="726">
        <v>0</v>
      </c>
      <c r="V173" s="726">
        <v>0</v>
      </c>
      <c r="W173" s="726">
        <v>0</v>
      </c>
      <c r="X173" s="724" t="s">
        <v>674</v>
      </c>
      <c r="Y173" s="724" t="s">
        <v>675</v>
      </c>
      <c r="Z173" s="724" t="s">
        <v>675</v>
      </c>
      <c r="AA173" s="724" t="s">
        <v>675</v>
      </c>
      <c r="AB173" s="724" t="s">
        <v>675</v>
      </c>
      <c r="AC173" s="724"/>
      <c r="AD173" s="724"/>
      <c r="AE173" s="724" t="s">
        <v>676</v>
      </c>
      <c r="AF173" s="724"/>
      <c r="AG173" s="725" t="s">
        <v>695</v>
      </c>
      <c r="AH173" s="724"/>
      <c r="AI173" s="725" t="s">
        <v>695</v>
      </c>
      <c r="AJ173" s="725" t="s">
        <v>677</v>
      </c>
      <c r="AK173" s="724" t="s">
        <v>677</v>
      </c>
      <c r="AL173" s="724"/>
      <c r="AM173" s="724"/>
      <c r="AN173" s="724"/>
      <c r="AO173" s="724"/>
      <c r="AP173" s="724"/>
      <c r="AQ173" s="724"/>
      <c r="AR173" s="726"/>
      <c r="AS173" s="724"/>
      <c r="AT173" s="726"/>
      <c r="AU173" s="724" t="s">
        <v>678</v>
      </c>
      <c r="AV173" s="724" t="s">
        <v>677</v>
      </c>
      <c r="AW173" s="724" t="s">
        <v>676</v>
      </c>
      <c r="AX173" s="724" t="s">
        <v>674</v>
      </c>
      <c r="AY173" s="724"/>
      <c r="AZ173" s="724"/>
      <c r="BA173" s="724" t="s">
        <v>679</v>
      </c>
      <c r="BB173" s="724"/>
      <c r="BC173" s="724"/>
      <c r="BD173" s="724"/>
      <c r="BE173" s="726"/>
      <c r="BF173" s="724" t="s">
        <v>298</v>
      </c>
      <c r="BG173" s="724" t="s">
        <v>680</v>
      </c>
      <c r="BH173" s="724" t="s">
        <v>681</v>
      </c>
      <c r="BI173" s="724"/>
    </row>
    <row r="174" spans="1:61">
      <c r="A174" s="724" t="s">
        <v>690</v>
      </c>
      <c r="B174" s="724" t="s">
        <v>690</v>
      </c>
      <c r="C174" s="724" t="s">
        <v>690</v>
      </c>
      <c r="D174" s="724" t="s">
        <v>673</v>
      </c>
      <c r="E174" s="724" t="s">
        <v>3</v>
      </c>
      <c r="F174" s="725" t="s">
        <v>83</v>
      </c>
      <c r="G174" s="725" t="s">
        <v>691</v>
      </c>
      <c r="H174" s="726">
        <v>912000</v>
      </c>
      <c r="I174" s="726">
        <v>912000</v>
      </c>
      <c r="J174" s="726">
        <v>0</v>
      </c>
      <c r="K174" s="726">
        <v>0</v>
      </c>
      <c r="L174" s="726">
        <v>912000</v>
      </c>
      <c r="M174" s="726">
        <v>0</v>
      </c>
      <c r="N174" s="726">
        <v>0</v>
      </c>
      <c r="O174" s="726">
        <v>0</v>
      </c>
      <c r="P174" s="726">
        <v>0</v>
      </c>
      <c r="Q174" s="726">
        <v>0</v>
      </c>
      <c r="R174" s="726">
        <v>0</v>
      </c>
      <c r="S174" s="726">
        <v>0</v>
      </c>
      <c r="T174" s="726">
        <v>0</v>
      </c>
      <c r="U174" s="726">
        <v>0</v>
      </c>
      <c r="V174" s="726">
        <v>0</v>
      </c>
      <c r="W174" s="726">
        <v>0</v>
      </c>
      <c r="X174" s="724" t="s">
        <v>674</v>
      </c>
      <c r="Y174" s="724" t="s">
        <v>1226</v>
      </c>
      <c r="Z174" s="724" t="s">
        <v>1226</v>
      </c>
      <c r="AA174" s="724" t="s">
        <v>675</v>
      </c>
      <c r="AB174" s="724" t="s">
        <v>675</v>
      </c>
      <c r="AC174" s="724"/>
      <c r="AD174" s="724"/>
      <c r="AE174" s="724" t="s">
        <v>676</v>
      </c>
      <c r="AF174" s="724"/>
      <c r="AG174" s="725" t="s">
        <v>696</v>
      </c>
      <c r="AH174" s="724"/>
      <c r="AI174" s="725" t="s">
        <v>696</v>
      </c>
      <c r="AJ174" s="725" t="s">
        <v>677</v>
      </c>
      <c r="AK174" s="724" t="s">
        <v>677</v>
      </c>
      <c r="AL174" s="724"/>
      <c r="AM174" s="724"/>
      <c r="AN174" s="724"/>
      <c r="AO174" s="724"/>
      <c r="AP174" s="724"/>
      <c r="AQ174" s="724"/>
      <c r="AR174" s="726"/>
      <c r="AS174" s="724"/>
      <c r="AT174" s="726"/>
      <c r="AU174" s="724" t="s">
        <v>678</v>
      </c>
      <c r="AV174" s="724" t="s">
        <v>677</v>
      </c>
      <c r="AW174" s="724" t="s">
        <v>676</v>
      </c>
      <c r="AX174" s="724" t="s">
        <v>674</v>
      </c>
      <c r="AY174" s="724"/>
      <c r="AZ174" s="724"/>
      <c r="BA174" s="724" t="s">
        <v>679</v>
      </c>
      <c r="BB174" s="724"/>
      <c r="BC174" s="724"/>
      <c r="BD174" s="724"/>
      <c r="BE174" s="726"/>
      <c r="BF174" s="724" t="s">
        <v>298</v>
      </c>
      <c r="BG174" s="724" t="s">
        <v>680</v>
      </c>
      <c r="BH174" s="724" t="s">
        <v>681</v>
      </c>
      <c r="BI174" s="724"/>
    </row>
    <row r="175" spans="1:61">
      <c r="A175" s="724" t="s">
        <v>690</v>
      </c>
      <c r="B175" s="724" t="s">
        <v>690</v>
      </c>
      <c r="C175" s="724" t="s">
        <v>690</v>
      </c>
      <c r="D175" s="724" t="s">
        <v>673</v>
      </c>
      <c r="E175" s="724" t="s">
        <v>3</v>
      </c>
      <c r="F175" s="725" t="s">
        <v>83</v>
      </c>
      <c r="G175" s="725" t="s">
        <v>691</v>
      </c>
      <c r="H175" s="726">
        <v>88000</v>
      </c>
      <c r="I175" s="726">
        <v>88000</v>
      </c>
      <c r="J175" s="726">
        <v>0</v>
      </c>
      <c r="K175" s="726">
        <v>0</v>
      </c>
      <c r="L175" s="726">
        <v>88000</v>
      </c>
      <c r="M175" s="726">
        <v>0</v>
      </c>
      <c r="N175" s="726">
        <v>0</v>
      </c>
      <c r="O175" s="726">
        <v>0</v>
      </c>
      <c r="P175" s="726">
        <v>0</v>
      </c>
      <c r="Q175" s="726">
        <v>0</v>
      </c>
      <c r="R175" s="726">
        <v>0</v>
      </c>
      <c r="S175" s="726">
        <v>0</v>
      </c>
      <c r="T175" s="726">
        <v>0</v>
      </c>
      <c r="U175" s="726">
        <v>0</v>
      </c>
      <c r="V175" s="726">
        <v>0</v>
      </c>
      <c r="W175" s="726">
        <v>0</v>
      </c>
      <c r="X175" s="724" t="s">
        <v>674</v>
      </c>
      <c r="Y175" s="724" t="s">
        <v>675</v>
      </c>
      <c r="Z175" s="724" t="s">
        <v>675</v>
      </c>
      <c r="AA175" s="724" t="s">
        <v>675</v>
      </c>
      <c r="AB175" s="724" t="s">
        <v>675</v>
      </c>
      <c r="AC175" s="724"/>
      <c r="AD175" s="724"/>
      <c r="AE175" s="724" t="s">
        <v>676</v>
      </c>
      <c r="AF175" s="724"/>
      <c r="AG175" s="725" t="s">
        <v>695</v>
      </c>
      <c r="AH175" s="724"/>
      <c r="AI175" s="725" t="s">
        <v>695</v>
      </c>
      <c r="AJ175" s="725" t="s">
        <v>677</v>
      </c>
      <c r="AK175" s="724" t="s">
        <v>677</v>
      </c>
      <c r="AL175" s="724"/>
      <c r="AM175" s="724"/>
      <c r="AN175" s="724"/>
      <c r="AO175" s="724"/>
      <c r="AP175" s="724"/>
      <c r="AQ175" s="724"/>
      <c r="AR175" s="726"/>
      <c r="AS175" s="724"/>
      <c r="AT175" s="726"/>
      <c r="AU175" s="724" t="s">
        <v>678</v>
      </c>
      <c r="AV175" s="724" t="s">
        <v>677</v>
      </c>
      <c r="AW175" s="724" t="s">
        <v>676</v>
      </c>
      <c r="AX175" s="724" t="s">
        <v>674</v>
      </c>
      <c r="AY175" s="724"/>
      <c r="AZ175" s="724"/>
      <c r="BA175" s="724" t="s">
        <v>679</v>
      </c>
      <c r="BB175" s="724"/>
      <c r="BC175" s="724"/>
      <c r="BD175" s="724"/>
      <c r="BE175" s="726"/>
      <c r="BF175" s="724" t="s">
        <v>298</v>
      </c>
      <c r="BG175" s="724" t="s">
        <v>680</v>
      </c>
      <c r="BH175" s="724" t="s">
        <v>681</v>
      </c>
      <c r="BI175" s="724"/>
    </row>
    <row r="176" spans="1:61">
      <c r="A176" s="724" t="s">
        <v>690</v>
      </c>
      <c r="B176" s="724" t="s">
        <v>690</v>
      </c>
      <c r="C176" s="724" t="s">
        <v>690</v>
      </c>
      <c r="D176" s="724" t="s">
        <v>673</v>
      </c>
      <c r="E176" s="724" t="s">
        <v>3</v>
      </c>
      <c r="F176" s="725" t="s">
        <v>83</v>
      </c>
      <c r="G176" s="725" t="s">
        <v>691</v>
      </c>
      <c r="H176" s="726">
        <v>912000</v>
      </c>
      <c r="I176" s="726">
        <v>912000</v>
      </c>
      <c r="J176" s="726">
        <v>0</v>
      </c>
      <c r="K176" s="726">
        <v>0</v>
      </c>
      <c r="L176" s="726">
        <v>912000</v>
      </c>
      <c r="M176" s="726">
        <v>0</v>
      </c>
      <c r="N176" s="726">
        <v>0</v>
      </c>
      <c r="O176" s="726">
        <v>0</v>
      </c>
      <c r="P176" s="726">
        <v>0</v>
      </c>
      <c r="Q176" s="726">
        <v>0</v>
      </c>
      <c r="R176" s="726">
        <v>0</v>
      </c>
      <c r="S176" s="726">
        <v>0</v>
      </c>
      <c r="T176" s="726">
        <v>0</v>
      </c>
      <c r="U176" s="726">
        <v>0</v>
      </c>
      <c r="V176" s="726">
        <v>0</v>
      </c>
      <c r="W176" s="726">
        <v>0</v>
      </c>
      <c r="X176" s="724" t="s">
        <v>674</v>
      </c>
      <c r="Y176" s="724" t="s">
        <v>1226</v>
      </c>
      <c r="Z176" s="724" t="s">
        <v>1226</v>
      </c>
      <c r="AA176" s="724" t="s">
        <v>675</v>
      </c>
      <c r="AB176" s="724" t="s">
        <v>675</v>
      </c>
      <c r="AC176" s="724"/>
      <c r="AD176" s="724"/>
      <c r="AE176" s="724" t="s">
        <v>676</v>
      </c>
      <c r="AF176" s="724"/>
      <c r="AG176" s="725" t="s">
        <v>696</v>
      </c>
      <c r="AH176" s="724"/>
      <c r="AI176" s="725" t="s">
        <v>696</v>
      </c>
      <c r="AJ176" s="725" t="s">
        <v>677</v>
      </c>
      <c r="AK176" s="724" t="s">
        <v>677</v>
      </c>
      <c r="AL176" s="724"/>
      <c r="AM176" s="724"/>
      <c r="AN176" s="724"/>
      <c r="AO176" s="724"/>
      <c r="AP176" s="724"/>
      <c r="AQ176" s="724"/>
      <c r="AR176" s="726"/>
      <c r="AS176" s="724"/>
      <c r="AT176" s="726"/>
      <c r="AU176" s="724" t="s">
        <v>678</v>
      </c>
      <c r="AV176" s="724" t="s">
        <v>677</v>
      </c>
      <c r="AW176" s="724" t="s">
        <v>676</v>
      </c>
      <c r="AX176" s="724" t="s">
        <v>674</v>
      </c>
      <c r="AY176" s="724"/>
      <c r="AZ176" s="724"/>
      <c r="BA176" s="724" t="s">
        <v>679</v>
      </c>
      <c r="BB176" s="724"/>
      <c r="BC176" s="724"/>
      <c r="BD176" s="724"/>
      <c r="BE176" s="726"/>
      <c r="BF176" s="724" t="s">
        <v>298</v>
      </c>
      <c r="BG176" s="724" t="s">
        <v>680</v>
      </c>
      <c r="BH176" s="724" t="s">
        <v>681</v>
      </c>
      <c r="BI176" s="724"/>
    </row>
    <row r="177" spans="1:61">
      <c r="A177" s="724" t="s">
        <v>690</v>
      </c>
      <c r="B177" s="724" t="s">
        <v>690</v>
      </c>
      <c r="C177" s="724" t="s">
        <v>690</v>
      </c>
      <c r="D177" s="724" t="s">
        <v>673</v>
      </c>
      <c r="E177" s="724" t="s">
        <v>3</v>
      </c>
      <c r="F177" s="725" t="s">
        <v>83</v>
      </c>
      <c r="G177" s="725" t="s">
        <v>691</v>
      </c>
      <c r="H177" s="726">
        <v>912000</v>
      </c>
      <c r="I177" s="726">
        <v>912000</v>
      </c>
      <c r="J177" s="726">
        <v>0</v>
      </c>
      <c r="K177" s="726">
        <v>0</v>
      </c>
      <c r="L177" s="726">
        <v>912000</v>
      </c>
      <c r="M177" s="726">
        <v>0</v>
      </c>
      <c r="N177" s="726">
        <v>0</v>
      </c>
      <c r="O177" s="726">
        <v>0</v>
      </c>
      <c r="P177" s="726">
        <v>0</v>
      </c>
      <c r="Q177" s="726">
        <v>0</v>
      </c>
      <c r="R177" s="726">
        <v>0</v>
      </c>
      <c r="S177" s="726">
        <v>0</v>
      </c>
      <c r="T177" s="726">
        <v>0</v>
      </c>
      <c r="U177" s="726">
        <v>0</v>
      </c>
      <c r="V177" s="726">
        <v>0</v>
      </c>
      <c r="W177" s="726">
        <v>0</v>
      </c>
      <c r="X177" s="724" t="s">
        <v>674</v>
      </c>
      <c r="Y177" s="724" t="s">
        <v>1226</v>
      </c>
      <c r="Z177" s="724" t="s">
        <v>1226</v>
      </c>
      <c r="AA177" s="724" t="s">
        <v>675</v>
      </c>
      <c r="AB177" s="724" t="s">
        <v>675</v>
      </c>
      <c r="AC177" s="724"/>
      <c r="AD177" s="724"/>
      <c r="AE177" s="724" t="s">
        <v>676</v>
      </c>
      <c r="AF177" s="724"/>
      <c r="AG177" s="725" t="s">
        <v>696</v>
      </c>
      <c r="AH177" s="724"/>
      <c r="AI177" s="725" t="s">
        <v>696</v>
      </c>
      <c r="AJ177" s="725" t="s">
        <v>677</v>
      </c>
      <c r="AK177" s="724" t="s">
        <v>677</v>
      </c>
      <c r="AL177" s="724"/>
      <c r="AM177" s="724"/>
      <c r="AN177" s="724"/>
      <c r="AO177" s="724"/>
      <c r="AP177" s="724"/>
      <c r="AQ177" s="724"/>
      <c r="AR177" s="726"/>
      <c r="AS177" s="724"/>
      <c r="AT177" s="726"/>
      <c r="AU177" s="724" t="s">
        <v>678</v>
      </c>
      <c r="AV177" s="724" t="s">
        <v>677</v>
      </c>
      <c r="AW177" s="724" t="s">
        <v>676</v>
      </c>
      <c r="AX177" s="724" t="s">
        <v>674</v>
      </c>
      <c r="AY177" s="724"/>
      <c r="AZ177" s="724"/>
      <c r="BA177" s="724" t="s">
        <v>679</v>
      </c>
      <c r="BB177" s="724"/>
      <c r="BC177" s="724"/>
      <c r="BD177" s="724"/>
      <c r="BE177" s="726"/>
      <c r="BF177" s="724" t="s">
        <v>298</v>
      </c>
      <c r="BG177" s="724" t="s">
        <v>680</v>
      </c>
      <c r="BH177" s="724" t="s">
        <v>681</v>
      </c>
      <c r="BI177" s="724"/>
    </row>
    <row r="178" spans="1:61">
      <c r="A178" s="724" t="s">
        <v>690</v>
      </c>
      <c r="B178" s="724" t="s">
        <v>690</v>
      </c>
      <c r="C178" s="724" t="s">
        <v>690</v>
      </c>
      <c r="D178" s="724" t="s">
        <v>673</v>
      </c>
      <c r="E178" s="724" t="s">
        <v>3</v>
      </c>
      <c r="F178" s="725" t="s">
        <v>83</v>
      </c>
      <c r="G178" s="725" t="s">
        <v>691</v>
      </c>
      <c r="H178" s="726">
        <v>912000</v>
      </c>
      <c r="I178" s="726">
        <v>912000</v>
      </c>
      <c r="J178" s="726">
        <v>0</v>
      </c>
      <c r="K178" s="726">
        <v>0</v>
      </c>
      <c r="L178" s="726">
        <v>912000</v>
      </c>
      <c r="M178" s="726">
        <v>0</v>
      </c>
      <c r="N178" s="726">
        <v>0</v>
      </c>
      <c r="O178" s="726">
        <v>0</v>
      </c>
      <c r="P178" s="726">
        <v>0</v>
      </c>
      <c r="Q178" s="726">
        <v>0</v>
      </c>
      <c r="R178" s="726">
        <v>0</v>
      </c>
      <c r="S178" s="726">
        <v>0</v>
      </c>
      <c r="T178" s="726">
        <v>0</v>
      </c>
      <c r="U178" s="726">
        <v>0</v>
      </c>
      <c r="V178" s="726">
        <v>0</v>
      </c>
      <c r="W178" s="726">
        <v>0</v>
      </c>
      <c r="X178" s="724" t="s">
        <v>674</v>
      </c>
      <c r="Y178" s="724" t="s">
        <v>1226</v>
      </c>
      <c r="Z178" s="724" t="s">
        <v>1226</v>
      </c>
      <c r="AA178" s="724" t="s">
        <v>675</v>
      </c>
      <c r="AB178" s="724" t="s">
        <v>675</v>
      </c>
      <c r="AC178" s="724"/>
      <c r="AD178" s="724"/>
      <c r="AE178" s="724" t="s">
        <v>676</v>
      </c>
      <c r="AF178" s="724"/>
      <c r="AG178" s="725" t="s">
        <v>696</v>
      </c>
      <c r="AH178" s="724"/>
      <c r="AI178" s="725" t="s">
        <v>696</v>
      </c>
      <c r="AJ178" s="725" t="s">
        <v>677</v>
      </c>
      <c r="AK178" s="724" t="s">
        <v>677</v>
      </c>
      <c r="AL178" s="724"/>
      <c r="AM178" s="724"/>
      <c r="AN178" s="724"/>
      <c r="AO178" s="724"/>
      <c r="AP178" s="724"/>
      <c r="AQ178" s="724"/>
      <c r="AR178" s="726"/>
      <c r="AS178" s="724"/>
      <c r="AT178" s="726"/>
      <c r="AU178" s="724" t="s">
        <v>678</v>
      </c>
      <c r="AV178" s="724" t="s">
        <v>677</v>
      </c>
      <c r="AW178" s="724" t="s">
        <v>676</v>
      </c>
      <c r="AX178" s="724" t="s">
        <v>674</v>
      </c>
      <c r="AY178" s="724"/>
      <c r="AZ178" s="724"/>
      <c r="BA178" s="724" t="s">
        <v>679</v>
      </c>
      <c r="BB178" s="724"/>
      <c r="BC178" s="724"/>
      <c r="BD178" s="724"/>
      <c r="BE178" s="726"/>
      <c r="BF178" s="724" t="s">
        <v>298</v>
      </c>
      <c r="BG178" s="724" t="s">
        <v>680</v>
      </c>
      <c r="BH178" s="724" t="s">
        <v>681</v>
      </c>
      <c r="BI178" s="724"/>
    </row>
    <row r="179" spans="1:61">
      <c r="A179" s="724" t="s">
        <v>1116</v>
      </c>
      <c r="B179" s="724" t="s">
        <v>1107</v>
      </c>
      <c r="C179" s="724" t="s">
        <v>1117</v>
      </c>
      <c r="D179" s="724" t="s">
        <v>724</v>
      </c>
      <c r="E179" s="724" t="s">
        <v>3</v>
      </c>
      <c r="F179" s="725" t="s">
        <v>83</v>
      </c>
      <c r="G179" s="725" t="s">
        <v>829</v>
      </c>
      <c r="H179" s="726">
        <v>99900</v>
      </c>
      <c r="I179" s="726">
        <v>99900</v>
      </c>
      <c r="J179" s="726">
        <v>0</v>
      </c>
      <c r="K179" s="726">
        <v>0</v>
      </c>
      <c r="L179" s="726">
        <v>90819</v>
      </c>
      <c r="M179" s="726">
        <v>0</v>
      </c>
      <c r="N179" s="726">
        <v>0</v>
      </c>
      <c r="O179" s="726">
        <v>9081</v>
      </c>
      <c r="P179" s="726">
        <v>0</v>
      </c>
      <c r="Q179" s="726">
        <v>0</v>
      </c>
      <c r="R179" s="726">
        <v>0</v>
      </c>
      <c r="S179" s="726">
        <v>0</v>
      </c>
      <c r="T179" s="726">
        <v>0</v>
      </c>
      <c r="U179" s="726">
        <v>0</v>
      </c>
      <c r="V179" s="726">
        <v>0</v>
      </c>
      <c r="W179" s="726">
        <v>0</v>
      </c>
      <c r="X179" s="724" t="s">
        <v>674</v>
      </c>
      <c r="Y179" s="724" t="s">
        <v>675</v>
      </c>
      <c r="Z179" s="724" t="s">
        <v>675</v>
      </c>
      <c r="AA179" s="724" t="s">
        <v>675</v>
      </c>
      <c r="AB179" s="724" t="s">
        <v>675</v>
      </c>
      <c r="AC179" s="724"/>
      <c r="AD179" s="724"/>
      <c r="AE179" s="724"/>
      <c r="AF179" s="724"/>
      <c r="AG179" s="725" t="s">
        <v>1118</v>
      </c>
      <c r="AH179" s="724"/>
      <c r="AI179" s="725" t="s">
        <v>1118</v>
      </c>
      <c r="AJ179" s="725" t="s">
        <v>762</v>
      </c>
      <c r="AK179" s="724" t="s">
        <v>677</v>
      </c>
      <c r="AL179" s="724"/>
      <c r="AM179" s="724" t="s">
        <v>726</v>
      </c>
      <c r="AN179" s="724" t="s">
        <v>1119</v>
      </c>
      <c r="AO179" s="724" t="s">
        <v>1116</v>
      </c>
      <c r="AP179" s="724" t="s">
        <v>690</v>
      </c>
      <c r="AQ179" s="724" t="s">
        <v>729</v>
      </c>
      <c r="AR179" s="726">
        <v>99900</v>
      </c>
      <c r="AS179" s="724" t="s">
        <v>675</v>
      </c>
      <c r="AT179" s="726">
        <v>0</v>
      </c>
      <c r="AU179" s="724" t="s">
        <v>678</v>
      </c>
      <c r="AV179" s="724" t="s">
        <v>677</v>
      </c>
      <c r="AW179" s="724" t="s">
        <v>676</v>
      </c>
      <c r="AX179" s="724" t="s">
        <v>674</v>
      </c>
      <c r="AY179" s="724"/>
      <c r="AZ179" s="724"/>
      <c r="BA179" s="724" t="s">
        <v>679</v>
      </c>
      <c r="BB179" s="724"/>
      <c r="BC179" s="724"/>
      <c r="BD179" s="724"/>
      <c r="BE179" s="726"/>
      <c r="BF179" s="724" t="s">
        <v>298</v>
      </c>
      <c r="BG179" s="724" t="s">
        <v>680</v>
      </c>
      <c r="BH179" s="724" t="s">
        <v>681</v>
      </c>
      <c r="BI179" s="724"/>
    </row>
    <row r="180" spans="1:61">
      <c r="A180" s="724" t="s">
        <v>1175</v>
      </c>
      <c r="B180" s="724" t="s">
        <v>1196</v>
      </c>
      <c r="C180" s="724" t="s">
        <v>1196</v>
      </c>
      <c r="D180" s="724" t="s">
        <v>716</v>
      </c>
      <c r="E180" s="724" t="s">
        <v>3</v>
      </c>
      <c r="F180" s="725" t="s">
        <v>308</v>
      </c>
      <c r="G180" s="725" t="s">
        <v>780</v>
      </c>
      <c r="H180" s="726">
        <v>93575000</v>
      </c>
      <c r="I180" s="726">
        <v>93575000</v>
      </c>
      <c r="J180" s="726">
        <v>0</v>
      </c>
      <c r="K180" s="726">
        <v>0</v>
      </c>
      <c r="L180" s="726">
        <v>85068182</v>
      </c>
      <c r="M180" s="726">
        <v>0</v>
      </c>
      <c r="N180" s="726">
        <v>0</v>
      </c>
      <c r="O180" s="726">
        <v>8506818</v>
      </c>
      <c r="P180" s="726">
        <v>0</v>
      </c>
      <c r="Q180" s="726">
        <v>0</v>
      </c>
      <c r="R180" s="726">
        <v>0</v>
      </c>
      <c r="S180" s="726">
        <v>0</v>
      </c>
      <c r="T180" s="726">
        <v>0</v>
      </c>
      <c r="U180" s="726">
        <v>0</v>
      </c>
      <c r="V180" s="726">
        <v>0</v>
      </c>
      <c r="W180" s="726">
        <v>0</v>
      </c>
      <c r="X180" s="724" t="s">
        <v>674</v>
      </c>
      <c r="Y180" s="724" t="s">
        <v>1226</v>
      </c>
      <c r="Z180" s="724" t="s">
        <v>1226</v>
      </c>
      <c r="AA180" s="724" t="s">
        <v>675</v>
      </c>
      <c r="AB180" s="724" t="s">
        <v>675</v>
      </c>
      <c r="AC180" s="724"/>
      <c r="AD180" s="724" t="s">
        <v>781</v>
      </c>
      <c r="AE180" s="724"/>
      <c r="AF180" s="724"/>
      <c r="AG180" s="725" t="s">
        <v>1197</v>
      </c>
      <c r="AH180" s="724"/>
      <c r="AI180" s="725" t="s">
        <v>1197</v>
      </c>
      <c r="AJ180" s="725" t="s">
        <v>974</v>
      </c>
      <c r="AK180" s="724" t="s">
        <v>677</v>
      </c>
      <c r="AL180" s="724"/>
      <c r="AM180" s="724"/>
      <c r="AN180" s="724"/>
      <c r="AO180" s="724"/>
      <c r="AP180" s="724"/>
      <c r="AQ180" s="724"/>
      <c r="AR180" s="726"/>
      <c r="AS180" s="724"/>
      <c r="AT180" s="726"/>
      <c r="AU180" s="724" t="s">
        <v>678</v>
      </c>
      <c r="AV180" s="724" t="s">
        <v>677</v>
      </c>
      <c r="AW180" s="724" t="s">
        <v>676</v>
      </c>
      <c r="AX180" s="724" t="s">
        <v>679</v>
      </c>
      <c r="AY180" s="724"/>
      <c r="AZ180" s="724"/>
      <c r="BA180" s="724" t="s">
        <v>679</v>
      </c>
      <c r="BB180" s="724"/>
      <c r="BC180" s="724"/>
      <c r="BD180" s="724"/>
      <c r="BE180" s="726"/>
      <c r="BF180" s="724" t="s">
        <v>298</v>
      </c>
      <c r="BG180" s="724" t="s">
        <v>680</v>
      </c>
      <c r="BH180" s="724" t="s">
        <v>681</v>
      </c>
      <c r="BI180" s="724"/>
    </row>
    <row r="181" spans="1:61">
      <c r="A181" s="724" t="s">
        <v>1107</v>
      </c>
      <c r="B181" s="724" t="s">
        <v>1105</v>
      </c>
      <c r="C181" s="724" t="s">
        <v>1107</v>
      </c>
      <c r="D181" s="724" t="s">
        <v>716</v>
      </c>
      <c r="E181" s="724" t="s">
        <v>3</v>
      </c>
      <c r="F181" s="725" t="s">
        <v>308</v>
      </c>
      <c r="G181" s="725" t="s">
        <v>780</v>
      </c>
      <c r="H181" s="726">
        <v>95705550</v>
      </c>
      <c r="I181" s="726">
        <v>95705550</v>
      </c>
      <c r="J181" s="726">
        <v>0</v>
      </c>
      <c r="K181" s="726">
        <v>0</v>
      </c>
      <c r="L181" s="726">
        <v>87005045</v>
      </c>
      <c r="M181" s="726">
        <v>0</v>
      </c>
      <c r="N181" s="726">
        <v>0</v>
      </c>
      <c r="O181" s="726">
        <v>8700505</v>
      </c>
      <c r="P181" s="726">
        <v>0</v>
      </c>
      <c r="Q181" s="726">
        <v>0</v>
      </c>
      <c r="R181" s="726">
        <v>0</v>
      </c>
      <c r="S181" s="726">
        <v>0</v>
      </c>
      <c r="T181" s="726">
        <v>0</v>
      </c>
      <c r="U181" s="726">
        <v>0</v>
      </c>
      <c r="V181" s="726">
        <v>0</v>
      </c>
      <c r="W181" s="726">
        <v>0</v>
      </c>
      <c r="X181" s="724" t="s">
        <v>674</v>
      </c>
      <c r="Y181" s="724" t="s">
        <v>1226</v>
      </c>
      <c r="Z181" s="724" t="s">
        <v>1226</v>
      </c>
      <c r="AA181" s="724" t="s">
        <v>675</v>
      </c>
      <c r="AB181" s="724" t="s">
        <v>675</v>
      </c>
      <c r="AC181" s="724"/>
      <c r="AD181" s="724" t="s">
        <v>781</v>
      </c>
      <c r="AE181" s="724"/>
      <c r="AF181" s="724"/>
      <c r="AG181" s="725" t="s">
        <v>1120</v>
      </c>
      <c r="AH181" s="724"/>
      <c r="AI181" s="725" t="s">
        <v>1120</v>
      </c>
      <c r="AJ181" s="725" t="s">
        <v>974</v>
      </c>
      <c r="AK181" s="724" t="s">
        <v>677</v>
      </c>
      <c r="AL181" s="724"/>
      <c r="AM181" s="724"/>
      <c r="AN181" s="724"/>
      <c r="AO181" s="724"/>
      <c r="AP181" s="724"/>
      <c r="AQ181" s="724"/>
      <c r="AR181" s="726"/>
      <c r="AS181" s="724"/>
      <c r="AT181" s="726"/>
      <c r="AU181" s="724" t="s">
        <v>678</v>
      </c>
      <c r="AV181" s="724" t="s">
        <v>677</v>
      </c>
      <c r="AW181" s="724" t="s">
        <v>676</v>
      </c>
      <c r="AX181" s="724" t="s">
        <v>679</v>
      </c>
      <c r="AY181" s="724"/>
      <c r="AZ181" s="724"/>
      <c r="BA181" s="724" t="s">
        <v>679</v>
      </c>
      <c r="BB181" s="724"/>
      <c r="BC181" s="724"/>
      <c r="BD181" s="724"/>
      <c r="BE181" s="726"/>
      <c r="BF181" s="724" t="s">
        <v>298</v>
      </c>
      <c r="BG181" s="724" t="s">
        <v>680</v>
      </c>
      <c r="BH181" s="724" t="s">
        <v>681</v>
      </c>
      <c r="BI181" s="724"/>
    </row>
    <row r="182" spans="1:61">
      <c r="A182" s="724" t="s">
        <v>1107</v>
      </c>
      <c r="B182" s="724" t="s">
        <v>1105</v>
      </c>
      <c r="C182" s="724" t="s">
        <v>1107</v>
      </c>
      <c r="D182" s="724" t="s">
        <v>716</v>
      </c>
      <c r="E182" s="724" t="s">
        <v>3</v>
      </c>
      <c r="F182" s="725" t="s">
        <v>308</v>
      </c>
      <c r="G182" s="725" t="s">
        <v>780</v>
      </c>
      <c r="H182" s="726">
        <v>96997000</v>
      </c>
      <c r="I182" s="726">
        <v>96997000</v>
      </c>
      <c r="J182" s="726">
        <v>0</v>
      </c>
      <c r="K182" s="726">
        <v>0</v>
      </c>
      <c r="L182" s="726">
        <v>88179091</v>
      </c>
      <c r="M182" s="726">
        <v>0</v>
      </c>
      <c r="N182" s="726">
        <v>0</v>
      </c>
      <c r="O182" s="726">
        <v>8817909</v>
      </c>
      <c r="P182" s="726">
        <v>0</v>
      </c>
      <c r="Q182" s="726">
        <v>0</v>
      </c>
      <c r="R182" s="726">
        <v>0</v>
      </c>
      <c r="S182" s="726">
        <v>0</v>
      </c>
      <c r="T182" s="726">
        <v>0</v>
      </c>
      <c r="U182" s="726">
        <v>0</v>
      </c>
      <c r="V182" s="726">
        <v>0</v>
      </c>
      <c r="W182" s="726">
        <v>0</v>
      </c>
      <c r="X182" s="724" t="s">
        <v>674</v>
      </c>
      <c r="Y182" s="724" t="s">
        <v>1226</v>
      </c>
      <c r="Z182" s="724" t="s">
        <v>1226</v>
      </c>
      <c r="AA182" s="724" t="s">
        <v>675</v>
      </c>
      <c r="AB182" s="724" t="s">
        <v>675</v>
      </c>
      <c r="AC182" s="724"/>
      <c r="AD182" s="724" t="s">
        <v>781</v>
      </c>
      <c r="AE182" s="724"/>
      <c r="AF182" s="724"/>
      <c r="AG182" s="725" t="s">
        <v>1121</v>
      </c>
      <c r="AH182" s="724"/>
      <c r="AI182" s="725" t="s">
        <v>1121</v>
      </c>
      <c r="AJ182" s="725" t="s">
        <v>974</v>
      </c>
      <c r="AK182" s="724" t="s">
        <v>677</v>
      </c>
      <c r="AL182" s="724"/>
      <c r="AM182" s="724"/>
      <c r="AN182" s="724"/>
      <c r="AO182" s="724"/>
      <c r="AP182" s="724"/>
      <c r="AQ182" s="724"/>
      <c r="AR182" s="726"/>
      <c r="AS182" s="724"/>
      <c r="AT182" s="726"/>
      <c r="AU182" s="724" t="s">
        <v>678</v>
      </c>
      <c r="AV182" s="724" t="s">
        <v>677</v>
      </c>
      <c r="AW182" s="724" t="s">
        <v>676</v>
      </c>
      <c r="AX182" s="724" t="s">
        <v>679</v>
      </c>
      <c r="AY182" s="724"/>
      <c r="AZ182" s="724"/>
      <c r="BA182" s="724" t="s">
        <v>679</v>
      </c>
      <c r="BB182" s="724"/>
      <c r="BC182" s="724"/>
      <c r="BD182" s="724"/>
      <c r="BE182" s="726"/>
      <c r="BF182" s="724" t="s">
        <v>298</v>
      </c>
      <c r="BG182" s="724" t="s">
        <v>680</v>
      </c>
      <c r="BH182" s="724" t="s">
        <v>681</v>
      </c>
      <c r="BI182" s="724"/>
    </row>
    <row r="183" spans="1:61">
      <c r="A183" s="724" t="s">
        <v>690</v>
      </c>
      <c r="B183" s="724" t="s">
        <v>690</v>
      </c>
      <c r="C183" s="724" t="s">
        <v>699</v>
      </c>
      <c r="D183" s="724" t="s">
        <v>673</v>
      </c>
      <c r="E183" s="724" t="s">
        <v>3</v>
      </c>
      <c r="F183" s="725" t="s">
        <v>83</v>
      </c>
      <c r="G183" s="725" t="s">
        <v>700</v>
      </c>
      <c r="H183" s="726">
        <v>63360</v>
      </c>
      <c r="I183" s="726">
        <v>63360</v>
      </c>
      <c r="J183" s="726">
        <v>0</v>
      </c>
      <c r="K183" s="726">
        <v>0</v>
      </c>
      <c r="L183" s="726">
        <v>63360</v>
      </c>
      <c r="M183" s="726">
        <v>0</v>
      </c>
      <c r="N183" s="726">
        <v>0</v>
      </c>
      <c r="O183" s="726">
        <v>0</v>
      </c>
      <c r="P183" s="726">
        <v>0</v>
      </c>
      <c r="Q183" s="726">
        <v>0</v>
      </c>
      <c r="R183" s="726">
        <v>0</v>
      </c>
      <c r="S183" s="726">
        <v>0</v>
      </c>
      <c r="T183" s="726">
        <v>0</v>
      </c>
      <c r="U183" s="726">
        <v>0</v>
      </c>
      <c r="V183" s="726">
        <v>0</v>
      </c>
      <c r="W183" s="726">
        <v>0</v>
      </c>
      <c r="X183" s="724" t="s">
        <v>674</v>
      </c>
      <c r="Y183" s="724" t="s">
        <v>675</v>
      </c>
      <c r="Z183" s="724" t="s">
        <v>675</v>
      </c>
      <c r="AA183" s="724" t="s">
        <v>675</v>
      </c>
      <c r="AB183" s="724" t="s">
        <v>675</v>
      </c>
      <c r="AC183" s="724"/>
      <c r="AD183" s="724"/>
      <c r="AE183" s="724"/>
      <c r="AF183" s="724"/>
      <c r="AG183" s="725" t="s">
        <v>701</v>
      </c>
      <c r="AH183" s="724"/>
      <c r="AI183" s="725" t="s">
        <v>701</v>
      </c>
      <c r="AJ183" s="725" t="s">
        <v>677</v>
      </c>
      <c r="AK183" s="724" t="s">
        <v>677</v>
      </c>
      <c r="AL183" s="724"/>
      <c r="AM183" s="724"/>
      <c r="AN183" s="724"/>
      <c r="AO183" s="724"/>
      <c r="AP183" s="724"/>
      <c r="AQ183" s="724"/>
      <c r="AR183" s="726"/>
      <c r="AS183" s="724"/>
      <c r="AT183" s="726"/>
      <c r="AU183" s="724" t="s">
        <v>678</v>
      </c>
      <c r="AV183" s="724" t="s">
        <v>677</v>
      </c>
      <c r="AW183" s="724" t="s">
        <v>676</v>
      </c>
      <c r="AX183" s="724" t="s">
        <v>674</v>
      </c>
      <c r="AY183" s="724"/>
      <c r="AZ183" s="724"/>
      <c r="BA183" s="724" t="s">
        <v>679</v>
      </c>
      <c r="BB183" s="724"/>
      <c r="BC183" s="724"/>
      <c r="BD183" s="724"/>
      <c r="BE183" s="726"/>
      <c r="BF183" s="724" t="s">
        <v>298</v>
      </c>
      <c r="BG183" s="724" t="s">
        <v>680</v>
      </c>
      <c r="BH183" s="724" t="s">
        <v>681</v>
      </c>
      <c r="BI183" s="724"/>
    </row>
    <row r="184" spans="1:61">
      <c r="A184" s="724" t="s">
        <v>690</v>
      </c>
      <c r="B184" s="724" t="s">
        <v>690</v>
      </c>
      <c r="C184" s="724" t="s">
        <v>699</v>
      </c>
      <c r="D184" s="724" t="s">
        <v>673</v>
      </c>
      <c r="E184" s="724" t="s">
        <v>3</v>
      </c>
      <c r="F184" s="725" t="s">
        <v>83</v>
      </c>
      <c r="G184" s="725" t="s">
        <v>700</v>
      </c>
      <c r="H184" s="726">
        <v>656640</v>
      </c>
      <c r="I184" s="726">
        <v>656640</v>
      </c>
      <c r="J184" s="726">
        <v>0</v>
      </c>
      <c r="K184" s="726">
        <v>0</v>
      </c>
      <c r="L184" s="726">
        <v>656640</v>
      </c>
      <c r="M184" s="726">
        <v>0</v>
      </c>
      <c r="N184" s="726">
        <v>0</v>
      </c>
      <c r="O184" s="726">
        <v>0</v>
      </c>
      <c r="P184" s="726">
        <v>0</v>
      </c>
      <c r="Q184" s="726">
        <v>0</v>
      </c>
      <c r="R184" s="726">
        <v>0</v>
      </c>
      <c r="S184" s="726">
        <v>0</v>
      </c>
      <c r="T184" s="726">
        <v>0</v>
      </c>
      <c r="U184" s="726">
        <v>0</v>
      </c>
      <c r="V184" s="726">
        <v>0</v>
      </c>
      <c r="W184" s="726">
        <v>0</v>
      </c>
      <c r="X184" s="724" t="s">
        <v>674</v>
      </c>
      <c r="Y184" s="724" t="s">
        <v>1226</v>
      </c>
      <c r="Z184" s="724" t="s">
        <v>1226</v>
      </c>
      <c r="AA184" s="724" t="s">
        <v>675</v>
      </c>
      <c r="AB184" s="724" t="s">
        <v>675</v>
      </c>
      <c r="AC184" s="724"/>
      <c r="AD184" s="724"/>
      <c r="AE184" s="724"/>
      <c r="AF184" s="724"/>
      <c r="AG184" s="725" t="s">
        <v>702</v>
      </c>
      <c r="AH184" s="724"/>
      <c r="AI184" s="725" t="s">
        <v>702</v>
      </c>
      <c r="AJ184" s="725" t="s">
        <v>677</v>
      </c>
      <c r="AK184" s="724" t="s">
        <v>677</v>
      </c>
      <c r="AL184" s="724"/>
      <c r="AM184" s="724"/>
      <c r="AN184" s="724"/>
      <c r="AO184" s="724"/>
      <c r="AP184" s="724"/>
      <c r="AQ184" s="724"/>
      <c r="AR184" s="726"/>
      <c r="AS184" s="724"/>
      <c r="AT184" s="726"/>
      <c r="AU184" s="724" t="s">
        <v>678</v>
      </c>
      <c r="AV184" s="724" t="s">
        <v>677</v>
      </c>
      <c r="AW184" s="724" t="s">
        <v>676</v>
      </c>
      <c r="AX184" s="724" t="s">
        <v>674</v>
      </c>
      <c r="AY184" s="724"/>
      <c r="AZ184" s="724"/>
      <c r="BA184" s="724" t="s">
        <v>679</v>
      </c>
      <c r="BB184" s="724"/>
      <c r="BC184" s="724"/>
      <c r="BD184" s="724"/>
      <c r="BE184" s="726"/>
      <c r="BF184" s="724" t="s">
        <v>298</v>
      </c>
      <c r="BG184" s="724" t="s">
        <v>680</v>
      </c>
      <c r="BH184" s="724" t="s">
        <v>681</v>
      </c>
      <c r="BI184" s="724"/>
    </row>
    <row r="185" spans="1:61">
      <c r="A185" s="724" t="s">
        <v>704</v>
      </c>
      <c r="B185" s="724" t="s">
        <v>1112</v>
      </c>
      <c r="C185" s="724" t="s">
        <v>1105</v>
      </c>
      <c r="D185" s="724" t="s">
        <v>724</v>
      </c>
      <c r="E185" s="724" t="s">
        <v>3</v>
      </c>
      <c r="F185" s="725" t="s">
        <v>83</v>
      </c>
      <c r="G185" s="725" t="s">
        <v>829</v>
      </c>
      <c r="H185" s="726">
        <v>96000</v>
      </c>
      <c r="I185" s="726">
        <v>96000</v>
      </c>
      <c r="J185" s="726">
        <v>0</v>
      </c>
      <c r="K185" s="726">
        <v>0</v>
      </c>
      <c r="L185" s="726">
        <v>87273</v>
      </c>
      <c r="M185" s="726">
        <v>0</v>
      </c>
      <c r="N185" s="726">
        <v>0</v>
      </c>
      <c r="O185" s="726">
        <v>8727</v>
      </c>
      <c r="P185" s="726">
        <v>0</v>
      </c>
      <c r="Q185" s="726">
        <v>0</v>
      </c>
      <c r="R185" s="726">
        <v>0</v>
      </c>
      <c r="S185" s="726">
        <v>0</v>
      </c>
      <c r="T185" s="726">
        <v>0</v>
      </c>
      <c r="U185" s="726">
        <v>0</v>
      </c>
      <c r="V185" s="726">
        <v>0</v>
      </c>
      <c r="W185" s="726">
        <v>0</v>
      </c>
      <c r="X185" s="724" t="s">
        <v>674</v>
      </c>
      <c r="Y185" s="724" t="s">
        <v>675</v>
      </c>
      <c r="Z185" s="724" t="s">
        <v>675</v>
      </c>
      <c r="AA185" s="724" t="s">
        <v>675</v>
      </c>
      <c r="AB185" s="724" t="s">
        <v>675</v>
      </c>
      <c r="AC185" s="724"/>
      <c r="AD185" s="724"/>
      <c r="AE185" s="724"/>
      <c r="AF185" s="724"/>
      <c r="AG185" s="725" t="s">
        <v>1122</v>
      </c>
      <c r="AH185" s="724"/>
      <c r="AI185" s="725" t="s">
        <v>1122</v>
      </c>
      <c r="AJ185" s="725" t="s">
        <v>762</v>
      </c>
      <c r="AK185" s="724" t="s">
        <v>677</v>
      </c>
      <c r="AL185" s="724"/>
      <c r="AM185" s="724" t="s">
        <v>726</v>
      </c>
      <c r="AN185" s="724" t="s">
        <v>1123</v>
      </c>
      <c r="AO185" s="724" t="s">
        <v>704</v>
      </c>
      <c r="AP185" s="724" t="s">
        <v>703</v>
      </c>
      <c r="AQ185" s="724" t="s">
        <v>729</v>
      </c>
      <c r="AR185" s="726">
        <v>96000</v>
      </c>
      <c r="AS185" s="724" t="s">
        <v>675</v>
      </c>
      <c r="AT185" s="726">
        <v>0</v>
      </c>
      <c r="AU185" s="724" t="s">
        <v>678</v>
      </c>
      <c r="AV185" s="724" t="s">
        <v>677</v>
      </c>
      <c r="AW185" s="724" t="s">
        <v>676</v>
      </c>
      <c r="AX185" s="724" t="s">
        <v>679</v>
      </c>
      <c r="AY185" s="724"/>
      <c r="AZ185" s="724"/>
      <c r="BA185" s="724" t="s">
        <v>679</v>
      </c>
      <c r="BB185" s="724"/>
      <c r="BC185" s="724"/>
      <c r="BD185" s="724"/>
      <c r="BE185" s="726"/>
      <c r="BF185" s="724" t="s">
        <v>298</v>
      </c>
      <c r="BG185" s="724" t="s">
        <v>680</v>
      </c>
      <c r="BH185" s="724" t="s">
        <v>681</v>
      </c>
      <c r="BI185" s="724"/>
    </row>
    <row r="186" spans="1:61">
      <c r="A186" s="724" t="s">
        <v>704</v>
      </c>
      <c r="B186" s="724" t="s">
        <v>1112</v>
      </c>
      <c r="C186" s="724" t="s">
        <v>1105</v>
      </c>
      <c r="D186" s="724" t="s">
        <v>724</v>
      </c>
      <c r="E186" s="724" t="s">
        <v>3</v>
      </c>
      <c r="F186" s="725" t="s">
        <v>83</v>
      </c>
      <c r="G186" s="725" t="s">
        <v>700</v>
      </c>
      <c r="H186" s="726">
        <v>66000</v>
      </c>
      <c r="I186" s="726">
        <v>66000</v>
      </c>
      <c r="J186" s="726">
        <v>0</v>
      </c>
      <c r="K186" s="726">
        <v>0</v>
      </c>
      <c r="L186" s="726">
        <v>60000</v>
      </c>
      <c r="M186" s="726">
        <v>0</v>
      </c>
      <c r="N186" s="726">
        <v>0</v>
      </c>
      <c r="O186" s="726">
        <v>6000</v>
      </c>
      <c r="P186" s="726">
        <v>0</v>
      </c>
      <c r="Q186" s="726">
        <v>0</v>
      </c>
      <c r="R186" s="726">
        <v>0</v>
      </c>
      <c r="S186" s="726">
        <v>0</v>
      </c>
      <c r="T186" s="726">
        <v>0</v>
      </c>
      <c r="U186" s="726">
        <v>0</v>
      </c>
      <c r="V186" s="726">
        <v>0</v>
      </c>
      <c r="W186" s="726">
        <v>0</v>
      </c>
      <c r="X186" s="724" t="s">
        <v>674</v>
      </c>
      <c r="Y186" s="724" t="s">
        <v>675</v>
      </c>
      <c r="Z186" s="724" t="s">
        <v>675</v>
      </c>
      <c r="AA186" s="724" t="s">
        <v>675</v>
      </c>
      <c r="AB186" s="724" t="s">
        <v>675</v>
      </c>
      <c r="AC186" s="724"/>
      <c r="AD186" s="724"/>
      <c r="AE186" s="724"/>
      <c r="AF186" s="724"/>
      <c r="AG186" s="725" t="s">
        <v>1113</v>
      </c>
      <c r="AH186" s="724"/>
      <c r="AI186" s="725" t="s">
        <v>1113</v>
      </c>
      <c r="AJ186" s="725" t="s">
        <v>1124</v>
      </c>
      <c r="AK186" s="724" t="s">
        <v>677</v>
      </c>
      <c r="AL186" s="724"/>
      <c r="AM186" s="724" t="s">
        <v>726</v>
      </c>
      <c r="AN186" s="724" t="s">
        <v>1125</v>
      </c>
      <c r="AO186" s="724" t="s">
        <v>704</v>
      </c>
      <c r="AP186" s="724" t="s">
        <v>703</v>
      </c>
      <c r="AQ186" s="724" t="s">
        <v>729</v>
      </c>
      <c r="AR186" s="726">
        <v>66000</v>
      </c>
      <c r="AS186" s="724" t="s">
        <v>675</v>
      </c>
      <c r="AT186" s="726">
        <v>0</v>
      </c>
      <c r="AU186" s="724" t="s">
        <v>678</v>
      </c>
      <c r="AV186" s="724" t="s">
        <v>677</v>
      </c>
      <c r="AW186" s="724" t="s">
        <v>676</v>
      </c>
      <c r="AX186" s="724" t="s">
        <v>674</v>
      </c>
      <c r="AY186" s="724"/>
      <c r="AZ186" s="724"/>
      <c r="BA186" s="724" t="s">
        <v>679</v>
      </c>
      <c r="BB186" s="724"/>
      <c r="BC186" s="724"/>
      <c r="BD186" s="724"/>
      <c r="BE186" s="726"/>
      <c r="BF186" s="724" t="s">
        <v>298</v>
      </c>
      <c r="BG186" s="724" t="s">
        <v>680</v>
      </c>
      <c r="BH186" s="724" t="s">
        <v>681</v>
      </c>
      <c r="BI186" s="724"/>
    </row>
    <row r="187" spans="1:61">
      <c r="A187" s="724" t="s">
        <v>703</v>
      </c>
      <c r="B187" s="724" t="s">
        <v>703</v>
      </c>
      <c r="C187" s="724" t="s">
        <v>704</v>
      </c>
      <c r="D187" s="724" t="s">
        <v>673</v>
      </c>
      <c r="E187" s="724" t="s">
        <v>3</v>
      </c>
      <c r="F187" s="725" t="s">
        <v>83</v>
      </c>
      <c r="G187" s="725" t="s">
        <v>700</v>
      </c>
      <c r="H187" s="726">
        <v>742400</v>
      </c>
      <c r="I187" s="726">
        <v>742400</v>
      </c>
      <c r="J187" s="726">
        <v>0</v>
      </c>
      <c r="K187" s="726">
        <v>0</v>
      </c>
      <c r="L187" s="726">
        <v>742400</v>
      </c>
      <c r="M187" s="726">
        <v>0</v>
      </c>
      <c r="N187" s="726">
        <v>0</v>
      </c>
      <c r="O187" s="726">
        <v>0</v>
      </c>
      <c r="P187" s="726">
        <v>0</v>
      </c>
      <c r="Q187" s="726">
        <v>0</v>
      </c>
      <c r="R187" s="726">
        <v>0</v>
      </c>
      <c r="S187" s="726">
        <v>0</v>
      </c>
      <c r="T187" s="726">
        <v>0</v>
      </c>
      <c r="U187" s="726">
        <v>0</v>
      </c>
      <c r="V187" s="726">
        <v>0</v>
      </c>
      <c r="W187" s="726">
        <v>0</v>
      </c>
      <c r="X187" s="724" t="s">
        <v>674</v>
      </c>
      <c r="Y187" s="724" t="s">
        <v>1226</v>
      </c>
      <c r="Z187" s="724" t="s">
        <v>1226</v>
      </c>
      <c r="AA187" s="724" t="s">
        <v>675</v>
      </c>
      <c r="AB187" s="724" t="s">
        <v>675</v>
      </c>
      <c r="AC187" s="724"/>
      <c r="AD187" s="724"/>
      <c r="AE187" s="724"/>
      <c r="AF187" s="724"/>
      <c r="AG187" s="725" t="s">
        <v>705</v>
      </c>
      <c r="AH187" s="724"/>
      <c r="AI187" s="725" t="s">
        <v>705</v>
      </c>
      <c r="AJ187" s="725" t="s">
        <v>677</v>
      </c>
      <c r="AK187" s="724" t="s">
        <v>677</v>
      </c>
      <c r="AL187" s="724"/>
      <c r="AM187" s="724"/>
      <c r="AN187" s="724"/>
      <c r="AO187" s="724"/>
      <c r="AP187" s="724"/>
      <c r="AQ187" s="724"/>
      <c r="AR187" s="726"/>
      <c r="AS187" s="724"/>
      <c r="AT187" s="726"/>
      <c r="AU187" s="724" t="s">
        <v>678</v>
      </c>
      <c r="AV187" s="724" t="s">
        <v>677</v>
      </c>
      <c r="AW187" s="724" t="s">
        <v>676</v>
      </c>
      <c r="AX187" s="724" t="s">
        <v>674</v>
      </c>
      <c r="AY187" s="724"/>
      <c r="AZ187" s="724"/>
      <c r="BA187" s="724" t="s">
        <v>679</v>
      </c>
      <c r="BB187" s="724"/>
      <c r="BC187" s="724"/>
      <c r="BD187" s="724"/>
      <c r="BE187" s="726"/>
      <c r="BF187" s="724" t="s">
        <v>298</v>
      </c>
      <c r="BG187" s="724" t="s">
        <v>680</v>
      </c>
      <c r="BH187" s="724" t="s">
        <v>681</v>
      </c>
      <c r="BI187" s="724"/>
    </row>
    <row r="188" spans="1:61">
      <c r="A188" s="724" t="s">
        <v>703</v>
      </c>
      <c r="B188" s="724" t="s">
        <v>703</v>
      </c>
      <c r="C188" s="724" t="s">
        <v>704</v>
      </c>
      <c r="D188" s="724" t="s">
        <v>673</v>
      </c>
      <c r="E188" s="724" t="s">
        <v>3</v>
      </c>
      <c r="F188" s="725" t="s">
        <v>83</v>
      </c>
      <c r="G188" s="725" t="s">
        <v>700</v>
      </c>
      <c r="H188" s="726">
        <v>742400</v>
      </c>
      <c r="I188" s="726">
        <v>742400</v>
      </c>
      <c r="J188" s="726">
        <v>0</v>
      </c>
      <c r="K188" s="726">
        <v>0</v>
      </c>
      <c r="L188" s="726">
        <v>742400</v>
      </c>
      <c r="M188" s="726">
        <v>0</v>
      </c>
      <c r="N188" s="726">
        <v>0</v>
      </c>
      <c r="O188" s="726">
        <v>0</v>
      </c>
      <c r="P188" s="726">
        <v>0</v>
      </c>
      <c r="Q188" s="726">
        <v>0</v>
      </c>
      <c r="R188" s="726">
        <v>0</v>
      </c>
      <c r="S188" s="726">
        <v>0</v>
      </c>
      <c r="T188" s="726">
        <v>0</v>
      </c>
      <c r="U188" s="726">
        <v>0</v>
      </c>
      <c r="V188" s="726">
        <v>0</v>
      </c>
      <c r="W188" s="726">
        <v>0</v>
      </c>
      <c r="X188" s="724" t="s">
        <v>674</v>
      </c>
      <c r="Y188" s="724" t="s">
        <v>1226</v>
      </c>
      <c r="Z188" s="724" t="s">
        <v>1226</v>
      </c>
      <c r="AA188" s="724" t="s">
        <v>675</v>
      </c>
      <c r="AB188" s="724" t="s">
        <v>675</v>
      </c>
      <c r="AC188" s="724"/>
      <c r="AD188" s="724"/>
      <c r="AE188" s="724"/>
      <c r="AF188" s="724"/>
      <c r="AG188" s="725" t="s">
        <v>705</v>
      </c>
      <c r="AH188" s="724"/>
      <c r="AI188" s="725" t="s">
        <v>705</v>
      </c>
      <c r="AJ188" s="725" t="s">
        <v>677</v>
      </c>
      <c r="AK188" s="724" t="s">
        <v>677</v>
      </c>
      <c r="AL188" s="724"/>
      <c r="AM188" s="724"/>
      <c r="AN188" s="724"/>
      <c r="AO188" s="724"/>
      <c r="AP188" s="724"/>
      <c r="AQ188" s="724"/>
      <c r="AR188" s="726"/>
      <c r="AS188" s="724"/>
      <c r="AT188" s="726"/>
      <c r="AU188" s="724" t="s">
        <v>678</v>
      </c>
      <c r="AV188" s="724" t="s">
        <v>677</v>
      </c>
      <c r="AW188" s="724" t="s">
        <v>676</v>
      </c>
      <c r="AX188" s="724" t="s">
        <v>674</v>
      </c>
      <c r="AY188" s="724"/>
      <c r="AZ188" s="724"/>
      <c r="BA188" s="724" t="s">
        <v>679</v>
      </c>
      <c r="BB188" s="724"/>
      <c r="BC188" s="724"/>
      <c r="BD188" s="724"/>
      <c r="BE188" s="726"/>
      <c r="BF188" s="724" t="s">
        <v>298</v>
      </c>
      <c r="BG188" s="724" t="s">
        <v>680</v>
      </c>
      <c r="BH188" s="724" t="s">
        <v>681</v>
      </c>
      <c r="BI188" s="724"/>
    </row>
    <row r="189" spans="1:61">
      <c r="A189" s="724" t="s">
        <v>703</v>
      </c>
      <c r="B189" s="724" t="s">
        <v>703</v>
      </c>
      <c r="C189" s="724" t="s">
        <v>704</v>
      </c>
      <c r="D189" s="724" t="s">
        <v>673</v>
      </c>
      <c r="E189" s="724" t="s">
        <v>3</v>
      </c>
      <c r="F189" s="725" t="s">
        <v>83</v>
      </c>
      <c r="G189" s="725" t="s">
        <v>700</v>
      </c>
      <c r="H189" s="726">
        <v>742400</v>
      </c>
      <c r="I189" s="726">
        <v>742400</v>
      </c>
      <c r="J189" s="726">
        <v>0</v>
      </c>
      <c r="K189" s="726">
        <v>0</v>
      </c>
      <c r="L189" s="726">
        <v>742400</v>
      </c>
      <c r="M189" s="726">
        <v>0</v>
      </c>
      <c r="N189" s="726">
        <v>0</v>
      </c>
      <c r="O189" s="726">
        <v>0</v>
      </c>
      <c r="P189" s="726">
        <v>0</v>
      </c>
      <c r="Q189" s="726">
        <v>0</v>
      </c>
      <c r="R189" s="726">
        <v>0</v>
      </c>
      <c r="S189" s="726">
        <v>0</v>
      </c>
      <c r="T189" s="726">
        <v>0</v>
      </c>
      <c r="U189" s="726">
        <v>0</v>
      </c>
      <c r="V189" s="726">
        <v>0</v>
      </c>
      <c r="W189" s="726">
        <v>0</v>
      </c>
      <c r="X189" s="724" t="s">
        <v>674</v>
      </c>
      <c r="Y189" s="724" t="s">
        <v>1226</v>
      </c>
      <c r="Z189" s="724" t="s">
        <v>1226</v>
      </c>
      <c r="AA189" s="724" t="s">
        <v>675</v>
      </c>
      <c r="AB189" s="724" t="s">
        <v>675</v>
      </c>
      <c r="AC189" s="724"/>
      <c r="AD189" s="724"/>
      <c r="AE189" s="724"/>
      <c r="AF189" s="724"/>
      <c r="AG189" s="725" t="s">
        <v>705</v>
      </c>
      <c r="AH189" s="724"/>
      <c r="AI189" s="725" t="s">
        <v>705</v>
      </c>
      <c r="AJ189" s="725" t="s">
        <v>677</v>
      </c>
      <c r="AK189" s="724" t="s">
        <v>677</v>
      </c>
      <c r="AL189" s="724"/>
      <c r="AM189" s="724"/>
      <c r="AN189" s="724"/>
      <c r="AO189" s="724"/>
      <c r="AP189" s="724"/>
      <c r="AQ189" s="724"/>
      <c r="AR189" s="726"/>
      <c r="AS189" s="724"/>
      <c r="AT189" s="726"/>
      <c r="AU189" s="724" t="s">
        <v>678</v>
      </c>
      <c r="AV189" s="724" t="s">
        <v>677</v>
      </c>
      <c r="AW189" s="724" t="s">
        <v>676</v>
      </c>
      <c r="AX189" s="724" t="s">
        <v>674</v>
      </c>
      <c r="AY189" s="724"/>
      <c r="AZ189" s="724"/>
      <c r="BA189" s="724" t="s">
        <v>679</v>
      </c>
      <c r="BB189" s="724"/>
      <c r="BC189" s="724"/>
      <c r="BD189" s="724"/>
      <c r="BE189" s="726"/>
      <c r="BF189" s="724" t="s">
        <v>298</v>
      </c>
      <c r="BG189" s="724" t="s">
        <v>680</v>
      </c>
      <c r="BH189" s="724" t="s">
        <v>681</v>
      </c>
      <c r="BI189" s="724"/>
    </row>
    <row r="190" spans="1:61">
      <c r="A190" s="724" t="s">
        <v>703</v>
      </c>
      <c r="B190" s="724" t="s">
        <v>703</v>
      </c>
      <c r="C190" s="724" t="s">
        <v>704</v>
      </c>
      <c r="D190" s="724" t="s">
        <v>673</v>
      </c>
      <c r="E190" s="724" t="s">
        <v>3</v>
      </c>
      <c r="F190" s="725" t="s">
        <v>83</v>
      </c>
      <c r="G190" s="725" t="s">
        <v>700</v>
      </c>
      <c r="H190" s="726">
        <v>742400</v>
      </c>
      <c r="I190" s="726">
        <v>742400</v>
      </c>
      <c r="J190" s="726">
        <v>0</v>
      </c>
      <c r="K190" s="726">
        <v>0</v>
      </c>
      <c r="L190" s="726">
        <v>742400</v>
      </c>
      <c r="M190" s="726">
        <v>0</v>
      </c>
      <c r="N190" s="726">
        <v>0</v>
      </c>
      <c r="O190" s="726">
        <v>0</v>
      </c>
      <c r="P190" s="726">
        <v>0</v>
      </c>
      <c r="Q190" s="726">
        <v>0</v>
      </c>
      <c r="R190" s="726">
        <v>0</v>
      </c>
      <c r="S190" s="726">
        <v>0</v>
      </c>
      <c r="T190" s="726">
        <v>0</v>
      </c>
      <c r="U190" s="726">
        <v>0</v>
      </c>
      <c r="V190" s="726">
        <v>0</v>
      </c>
      <c r="W190" s="726">
        <v>0</v>
      </c>
      <c r="X190" s="724" t="s">
        <v>674</v>
      </c>
      <c r="Y190" s="724" t="s">
        <v>1226</v>
      </c>
      <c r="Z190" s="724" t="s">
        <v>1226</v>
      </c>
      <c r="AA190" s="724" t="s">
        <v>675</v>
      </c>
      <c r="AB190" s="724" t="s">
        <v>675</v>
      </c>
      <c r="AC190" s="724"/>
      <c r="AD190" s="724"/>
      <c r="AE190" s="724"/>
      <c r="AF190" s="724"/>
      <c r="AG190" s="725" t="s">
        <v>705</v>
      </c>
      <c r="AH190" s="724"/>
      <c r="AI190" s="725" t="s">
        <v>705</v>
      </c>
      <c r="AJ190" s="725" t="s">
        <v>677</v>
      </c>
      <c r="AK190" s="724" t="s">
        <v>677</v>
      </c>
      <c r="AL190" s="724"/>
      <c r="AM190" s="724"/>
      <c r="AN190" s="724"/>
      <c r="AO190" s="724"/>
      <c r="AP190" s="724"/>
      <c r="AQ190" s="724"/>
      <c r="AR190" s="726"/>
      <c r="AS190" s="724"/>
      <c r="AT190" s="726"/>
      <c r="AU190" s="724" t="s">
        <v>678</v>
      </c>
      <c r="AV190" s="724" t="s">
        <v>677</v>
      </c>
      <c r="AW190" s="724" t="s">
        <v>676</v>
      </c>
      <c r="AX190" s="724" t="s">
        <v>674</v>
      </c>
      <c r="AY190" s="724"/>
      <c r="AZ190" s="724"/>
      <c r="BA190" s="724" t="s">
        <v>679</v>
      </c>
      <c r="BB190" s="724"/>
      <c r="BC190" s="724"/>
      <c r="BD190" s="724"/>
      <c r="BE190" s="726"/>
      <c r="BF190" s="724" t="s">
        <v>298</v>
      </c>
      <c r="BG190" s="724" t="s">
        <v>680</v>
      </c>
      <c r="BH190" s="724" t="s">
        <v>681</v>
      </c>
      <c r="BI190" s="724"/>
    </row>
    <row r="191" spans="1:61">
      <c r="A191" s="724" t="s">
        <v>703</v>
      </c>
      <c r="B191" s="724" t="s">
        <v>703</v>
      </c>
      <c r="C191" s="724" t="s">
        <v>704</v>
      </c>
      <c r="D191" s="724" t="s">
        <v>673</v>
      </c>
      <c r="E191" s="724" t="s">
        <v>3</v>
      </c>
      <c r="F191" s="725" t="s">
        <v>83</v>
      </c>
      <c r="G191" s="725" t="s">
        <v>700</v>
      </c>
      <c r="H191" s="726">
        <v>742400</v>
      </c>
      <c r="I191" s="726">
        <v>742400</v>
      </c>
      <c r="J191" s="726">
        <v>0</v>
      </c>
      <c r="K191" s="726">
        <v>0</v>
      </c>
      <c r="L191" s="726">
        <v>742400</v>
      </c>
      <c r="M191" s="726">
        <v>0</v>
      </c>
      <c r="N191" s="726">
        <v>0</v>
      </c>
      <c r="O191" s="726">
        <v>0</v>
      </c>
      <c r="P191" s="726">
        <v>0</v>
      </c>
      <c r="Q191" s="726">
        <v>0</v>
      </c>
      <c r="R191" s="726">
        <v>0</v>
      </c>
      <c r="S191" s="726">
        <v>0</v>
      </c>
      <c r="T191" s="726">
        <v>0</v>
      </c>
      <c r="U191" s="726">
        <v>0</v>
      </c>
      <c r="V191" s="726">
        <v>0</v>
      </c>
      <c r="W191" s="726">
        <v>0</v>
      </c>
      <c r="X191" s="724" t="s">
        <v>674</v>
      </c>
      <c r="Y191" s="724" t="s">
        <v>1226</v>
      </c>
      <c r="Z191" s="724" t="s">
        <v>1226</v>
      </c>
      <c r="AA191" s="724" t="s">
        <v>675</v>
      </c>
      <c r="AB191" s="724" t="s">
        <v>675</v>
      </c>
      <c r="AC191" s="724"/>
      <c r="AD191" s="724"/>
      <c r="AE191" s="724"/>
      <c r="AF191" s="724"/>
      <c r="AG191" s="725" t="s">
        <v>705</v>
      </c>
      <c r="AH191" s="724"/>
      <c r="AI191" s="725" t="s">
        <v>705</v>
      </c>
      <c r="AJ191" s="725" t="s">
        <v>677</v>
      </c>
      <c r="AK191" s="724" t="s">
        <v>677</v>
      </c>
      <c r="AL191" s="724"/>
      <c r="AM191" s="724"/>
      <c r="AN191" s="724"/>
      <c r="AO191" s="724"/>
      <c r="AP191" s="724"/>
      <c r="AQ191" s="724"/>
      <c r="AR191" s="726"/>
      <c r="AS191" s="724"/>
      <c r="AT191" s="726"/>
      <c r="AU191" s="724" t="s">
        <v>678</v>
      </c>
      <c r="AV191" s="724" t="s">
        <v>677</v>
      </c>
      <c r="AW191" s="724" t="s">
        <v>676</v>
      </c>
      <c r="AX191" s="724" t="s">
        <v>674</v>
      </c>
      <c r="AY191" s="724"/>
      <c r="AZ191" s="724"/>
      <c r="BA191" s="724" t="s">
        <v>679</v>
      </c>
      <c r="BB191" s="724"/>
      <c r="BC191" s="724"/>
      <c r="BD191" s="724"/>
      <c r="BE191" s="726"/>
      <c r="BF191" s="724" t="s">
        <v>298</v>
      </c>
      <c r="BG191" s="724" t="s">
        <v>680</v>
      </c>
      <c r="BH191" s="724" t="s">
        <v>681</v>
      </c>
      <c r="BI191" s="724"/>
    </row>
    <row r="192" spans="1:61">
      <c r="A192" s="724" t="s">
        <v>706</v>
      </c>
      <c r="B192" s="724" t="s">
        <v>706</v>
      </c>
      <c r="C192" s="724" t="s">
        <v>706</v>
      </c>
      <c r="D192" s="724" t="s">
        <v>673</v>
      </c>
      <c r="E192" s="724" t="s">
        <v>3</v>
      </c>
      <c r="F192" s="725" t="s">
        <v>83</v>
      </c>
      <c r="G192" s="725" t="s">
        <v>691</v>
      </c>
      <c r="H192" s="726">
        <v>912000</v>
      </c>
      <c r="I192" s="726">
        <v>912000</v>
      </c>
      <c r="J192" s="726">
        <v>0</v>
      </c>
      <c r="K192" s="726">
        <v>0</v>
      </c>
      <c r="L192" s="726">
        <v>912000</v>
      </c>
      <c r="M192" s="726">
        <v>0</v>
      </c>
      <c r="N192" s="726">
        <v>0</v>
      </c>
      <c r="O192" s="726">
        <v>0</v>
      </c>
      <c r="P192" s="726">
        <v>0</v>
      </c>
      <c r="Q192" s="726">
        <v>0</v>
      </c>
      <c r="R192" s="726">
        <v>0</v>
      </c>
      <c r="S192" s="726">
        <v>0</v>
      </c>
      <c r="T192" s="726">
        <v>0</v>
      </c>
      <c r="U192" s="726">
        <v>0</v>
      </c>
      <c r="V192" s="726">
        <v>0</v>
      </c>
      <c r="W192" s="726">
        <v>0</v>
      </c>
      <c r="X192" s="724" t="s">
        <v>674</v>
      </c>
      <c r="Y192" s="724" t="s">
        <v>1226</v>
      </c>
      <c r="Z192" s="724" t="s">
        <v>1226</v>
      </c>
      <c r="AA192" s="724" t="s">
        <v>675</v>
      </c>
      <c r="AB192" s="724" t="s">
        <v>675</v>
      </c>
      <c r="AC192" s="724"/>
      <c r="AD192" s="724"/>
      <c r="AE192" s="724" t="s">
        <v>694</v>
      </c>
      <c r="AF192" s="724"/>
      <c r="AG192" s="725" t="s">
        <v>707</v>
      </c>
      <c r="AH192" s="724"/>
      <c r="AI192" s="725" t="s">
        <v>707</v>
      </c>
      <c r="AJ192" s="725" t="s">
        <v>677</v>
      </c>
      <c r="AK192" s="724" t="s">
        <v>677</v>
      </c>
      <c r="AL192" s="724"/>
      <c r="AM192" s="724"/>
      <c r="AN192" s="724"/>
      <c r="AO192" s="724"/>
      <c r="AP192" s="724"/>
      <c r="AQ192" s="724"/>
      <c r="AR192" s="726"/>
      <c r="AS192" s="724"/>
      <c r="AT192" s="726"/>
      <c r="AU192" s="724" t="s">
        <v>678</v>
      </c>
      <c r="AV192" s="724" t="s">
        <v>677</v>
      </c>
      <c r="AW192" s="724" t="s">
        <v>676</v>
      </c>
      <c r="AX192" s="724" t="s">
        <v>674</v>
      </c>
      <c r="AY192" s="724"/>
      <c r="AZ192" s="724"/>
      <c r="BA192" s="724" t="s">
        <v>679</v>
      </c>
      <c r="BB192" s="724"/>
      <c r="BC192" s="724"/>
      <c r="BD192" s="724"/>
      <c r="BE192" s="726"/>
      <c r="BF192" s="724" t="s">
        <v>298</v>
      </c>
      <c r="BG192" s="724" t="s">
        <v>680</v>
      </c>
      <c r="BH192" s="724" t="s">
        <v>681</v>
      </c>
      <c r="BI192" s="724"/>
    </row>
    <row r="193" spans="1:61">
      <c r="A193" s="724" t="s">
        <v>706</v>
      </c>
      <c r="B193" s="724" t="s">
        <v>706</v>
      </c>
      <c r="C193" s="724" t="s">
        <v>706</v>
      </c>
      <c r="D193" s="724" t="s">
        <v>673</v>
      </c>
      <c r="E193" s="724" t="s">
        <v>3</v>
      </c>
      <c r="F193" s="725" t="s">
        <v>83</v>
      </c>
      <c r="G193" s="725" t="s">
        <v>691</v>
      </c>
      <c r="H193" s="726">
        <v>594000</v>
      </c>
      <c r="I193" s="726">
        <v>594000</v>
      </c>
      <c r="J193" s="726">
        <v>0</v>
      </c>
      <c r="K193" s="726">
        <v>0</v>
      </c>
      <c r="L193" s="726">
        <v>594000</v>
      </c>
      <c r="M193" s="726">
        <v>0</v>
      </c>
      <c r="N193" s="726">
        <v>0</v>
      </c>
      <c r="O193" s="726">
        <v>0</v>
      </c>
      <c r="P193" s="726">
        <v>0</v>
      </c>
      <c r="Q193" s="726">
        <v>0</v>
      </c>
      <c r="R193" s="726">
        <v>0</v>
      </c>
      <c r="S193" s="726">
        <v>0</v>
      </c>
      <c r="T193" s="726">
        <v>0</v>
      </c>
      <c r="U193" s="726">
        <v>0</v>
      </c>
      <c r="V193" s="726">
        <v>0</v>
      </c>
      <c r="W193" s="726">
        <v>0</v>
      </c>
      <c r="X193" s="724" t="s">
        <v>674</v>
      </c>
      <c r="Y193" s="724" t="s">
        <v>1226</v>
      </c>
      <c r="Z193" s="724" t="s">
        <v>1226</v>
      </c>
      <c r="AA193" s="724" t="s">
        <v>675</v>
      </c>
      <c r="AB193" s="724" t="s">
        <v>675</v>
      </c>
      <c r="AC193" s="724"/>
      <c r="AD193" s="724"/>
      <c r="AE193" s="724" t="s">
        <v>676</v>
      </c>
      <c r="AF193" s="724"/>
      <c r="AG193" s="725" t="s">
        <v>708</v>
      </c>
      <c r="AH193" s="724"/>
      <c r="AI193" s="725" t="s">
        <v>708</v>
      </c>
      <c r="AJ193" s="725" t="s">
        <v>677</v>
      </c>
      <c r="AK193" s="724" t="s">
        <v>677</v>
      </c>
      <c r="AL193" s="724"/>
      <c r="AM193" s="724"/>
      <c r="AN193" s="724"/>
      <c r="AO193" s="724"/>
      <c r="AP193" s="724"/>
      <c r="AQ193" s="724"/>
      <c r="AR193" s="726"/>
      <c r="AS193" s="724"/>
      <c r="AT193" s="726"/>
      <c r="AU193" s="724" t="s">
        <v>678</v>
      </c>
      <c r="AV193" s="724" t="s">
        <v>677</v>
      </c>
      <c r="AW193" s="724" t="s">
        <v>676</v>
      </c>
      <c r="AX193" s="724" t="s">
        <v>674</v>
      </c>
      <c r="AY193" s="724"/>
      <c r="AZ193" s="724"/>
      <c r="BA193" s="724" t="s">
        <v>679</v>
      </c>
      <c r="BB193" s="724"/>
      <c r="BC193" s="724"/>
      <c r="BD193" s="724"/>
      <c r="BE193" s="726"/>
      <c r="BF193" s="724" t="s">
        <v>298</v>
      </c>
      <c r="BG193" s="724" t="s">
        <v>680</v>
      </c>
      <c r="BH193" s="724" t="s">
        <v>681</v>
      </c>
      <c r="BI193" s="724"/>
    </row>
    <row r="194" spans="1:61">
      <c r="A194" s="724" t="s">
        <v>706</v>
      </c>
      <c r="B194" s="724" t="s">
        <v>706</v>
      </c>
      <c r="C194" s="724" t="s">
        <v>706</v>
      </c>
      <c r="D194" s="724" t="s">
        <v>673</v>
      </c>
      <c r="E194" s="724" t="s">
        <v>3</v>
      </c>
      <c r="F194" s="725" t="s">
        <v>83</v>
      </c>
      <c r="G194" s="725" t="s">
        <v>691</v>
      </c>
      <c r="H194" s="726">
        <v>88000</v>
      </c>
      <c r="I194" s="726">
        <v>88000</v>
      </c>
      <c r="J194" s="726">
        <v>0</v>
      </c>
      <c r="K194" s="726">
        <v>0</v>
      </c>
      <c r="L194" s="726">
        <v>88000</v>
      </c>
      <c r="M194" s="726">
        <v>0</v>
      </c>
      <c r="N194" s="726">
        <v>0</v>
      </c>
      <c r="O194" s="726">
        <v>0</v>
      </c>
      <c r="P194" s="726">
        <v>0</v>
      </c>
      <c r="Q194" s="726">
        <v>0</v>
      </c>
      <c r="R194" s="726">
        <v>0</v>
      </c>
      <c r="S194" s="726">
        <v>0</v>
      </c>
      <c r="T194" s="726">
        <v>0</v>
      </c>
      <c r="U194" s="726">
        <v>0</v>
      </c>
      <c r="V194" s="726">
        <v>0</v>
      </c>
      <c r="W194" s="726">
        <v>0</v>
      </c>
      <c r="X194" s="724" t="s">
        <v>674</v>
      </c>
      <c r="Y194" s="724" t="s">
        <v>675</v>
      </c>
      <c r="Z194" s="724" t="s">
        <v>675</v>
      </c>
      <c r="AA194" s="724" t="s">
        <v>675</v>
      </c>
      <c r="AB194" s="724" t="s">
        <v>675</v>
      </c>
      <c r="AC194" s="724"/>
      <c r="AD194" s="724"/>
      <c r="AE194" s="724" t="s">
        <v>676</v>
      </c>
      <c r="AF194" s="724"/>
      <c r="AG194" s="725" t="s">
        <v>709</v>
      </c>
      <c r="AH194" s="724"/>
      <c r="AI194" s="725" t="s">
        <v>709</v>
      </c>
      <c r="AJ194" s="725" t="s">
        <v>677</v>
      </c>
      <c r="AK194" s="724" t="s">
        <v>677</v>
      </c>
      <c r="AL194" s="724"/>
      <c r="AM194" s="724"/>
      <c r="AN194" s="724"/>
      <c r="AO194" s="724"/>
      <c r="AP194" s="724"/>
      <c r="AQ194" s="724"/>
      <c r="AR194" s="726"/>
      <c r="AS194" s="724"/>
      <c r="AT194" s="726"/>
      <c r="AU194" s="724" t="s">
        <v>678</v>
      </c>
      <c r="AV194" s="724" t="s">
        <v>677</v>
      </c>
      <c r="AW194" s="724" t="s">
        <v>676</v>
      </c>
      <c r="AX194" s="724" t="s">
        <v>674</v>
      </c>
      <c r="AY194" s="724"/>
      <c r="AZ194" s="724"/>
      <c r="BA194" s="724" t="s">
        <v>679</v>
      </c>
      <c r="BB194" s="724"/>
      <c r="BC194" s="724"/>
      <c r="BD194" s="724"/>
      <c r="BE194" s="726"/>
      <c r="BF194" s="724" t="s">
        <v>298</v>
      </c>
      <c r="BG194" s="724" t="s">
        <v>680</v>
      </c>
      <c r="BH194" s="724" t="s">
        <v>681</v>
      </c>
      <c r="BI194" s="724"/>
    </row>
    <row r="195" spans="1:61">
      <c r="A195" s="724" t="s">
        <v>706</v>
      </c>
      <c r="B195" s="724" t="s">
        <v>706</v>
      </c>
      <c r="C195" s="724" t="s">
        <v>706</v>
      </c>
      <c r="D195" s="724" t="s">
        <v>673</v>
      </c>
      <c r="E195" s="724" t="s">
        <v>3</v>
      </c>
      <c r="F195" s="725" t="s">
        <v>83</v>
      </c>
      <c r="G195" s="725" t="s">
        <v>691</v>
      </c>
      <c r="H195" s="726">
        <v>6156000</v>
      </c>
      <c r="I195" s="726">
        <v>6156000</v>
      </c>
      <c r="J195" s="726">
        <v>0</v>
      </c>
      <c r="K195" s="726">
        <v>0</v>
      </c>
      <c r="L195" s="726">
        <v>6156000</v>
      </c>
      <c r="M195" s="726">
        <v>0</v>
      </c>
      <c r="N195" s="726">
        <v>0</v>
      </c>
      <c r="O195" s="726">
        <v>0</v>
      </c>
      <c r="P195" s="726">
        <v>0</v>
      </c>
      <c r="Q195" s="726">
        <v>0</v>
      </c>
      <c r="R195" s="726">
        <v>0</v>
      </c>
      <c r="S195" s="726">
        <v>0</v>
      </c>
      <c r="T195" s="726">
        <v>0</v>
      </c>
      <c r="U195" s="726">
        <v>0</v>
      </c>
      <c r="V195" s="726">
        <v>0</v>
      </c>
      <c r="W195" s="726">
        <v>0</v>
      </c>
      <c r="X195" s="724" t="s">
        <v>674</v>
      </c>
      <c r="Y195" s="724" t="s">
        <v>1226</v>
      </c>
      <c r="Z195" s="724" t="s">
        <v>1226</v>
      </c>
      <c r="AA195" s="724" t="s">
        <v>675</v>
      </c>
      <c r="AB195" s="724" t="s">
        <v>675</v>
      </c>
      <c r="AC195" s="724"/>
      <c r="AD195" s="724"/>
      <c r="AE195" s="724" t="s">
        <v>676</v>
      </c>
      <c r="AF195" s="724"/>
      <c r="AG195" s="725" t="s">
        <v>710</v>
      </c>
      <c r="AH195" s="724"/>
      <c r="AI195" s="725" t="s">
        <v>710</v>
      </c>
      <c r="AJ195" s="725" t="s">
        <v>677</v>
      </c>
      <c r="AK195" s="724" t="s">
        <v>677</v>
      </c>
      <c r="AL195" s="724"/>
      <c r="AM195" s="724"/>
      <c r="AN195" s="724"/>
      <c r="AO195" s="724"/>
      <c r="AP195" s="724"/>
      <c r="AQ195" s="724"/>
      <c r="AR195" s="726"/>
      <c r="AS195" s="724"/>
      <c r="AT195" s="726"/>
      <c r="AU195" s="724" t="s">
        <v>678</v>
      </c>
      <c r="AV195" s="724" t="s">
        <v>677</v>
      </c>
      <c r="AW195" s="724" t="s">
        <v>676</v>
      </c>
      <c r="AX195" s="724" t="s">
        <v>674</v>
      </c>
      <c r="AY195" s="724"/>
      <c r="AZ195" s="724"/>
      <c r="BA195" s="724" t="s">
        <v>679</v>
      </c>
      <c r="BB195" s="724"/>
      <c r="BC195" s="724"/>
      <c r="BD195" s="724"/>
      <c r="BE195" s="726"/>
      <c r="BF195" s="724" t="s">
        <v>298</v>
      </c>
      <c r="BG195" s="724" t="s">
        <v>680</v>
      </c>
      <c r="BH195" s="724" t="s">
        <v>681</v>
      </c>
      <c r="BI195" s="724"/>
    </row>
    <row r="196" spans="1:61">
      <c r="A196" s="724" t="s">
        <v>1126</v>
      </c>
      <c r="B196" s="724" t="s">
        <v>1107</v>
      </c>
      <c r="C196" s="724" t="s">
        <v>1117</v>
      </c>
      <c r="D196" s="724" t="s">
        <v>724</v>
      </c>
      <c r="E196" s="724" t="s">
        <v>3</v>
      </c>
      <c r="F196" s="725" t="s">
        <v>83</v>
      </c>
      <c r="G196" s="725" t="s">
        <v>829</v>
      </c>
      <c r="H196" s="726">
        <v>59000</v>
      </c>
      <c r="I196" s="726">
        <v>59000</v>
      </c>
      <c r="J196" s="726">
        <v>0</v>
      </c>
      <c r="K196" s="726">
        <v>0</v>
      </c>
      <c r="L196" s="726">
        <v>53637</v>
      </c>
      <c r="M196" s="726">
        <v>0</v>
      </c>
      <c r="N196" s="726">
        <v>0</v>
      </c>
      <c r="O196" s="726">
        <v>5363</v>
      </c>
      <c r="P196" s="726">
        <v>0</v>
      </c>
      <c r="Q196" s="726">
        <v>0</v>
      </c>
      <c r="R196" s="726">
        <v>0</v>
      </c>
      <c r="S196" s="726">
        <v>0</v>
      </c>
      <c r="T196" s="726">
        <v>0</v>
      </c>
      <c r="U196" s="726">
        <v>0</v>
      </c>
      <c r="V196" s="726">
        <v>0</v>
      </c>
      <c r="W196" s="726">
        <v>0</v>
      </c>
      <c r="X196" s="724" t="s">
        <v>674</v>
      </c>
      <c r="Y196" s="724" t="s">
        <v>675</v>
      </c>
      <c r="Z196" s="724" t="s">
        <v>675</v>
      </c>
      <c r="AA196" s="724" t="s">
        <v>675</v>
      </c>
      <c r="AB196" s="724" t="s">
        <v>675</v>
      </c>
      <c r="AC196" s="724"/>
      <c r="AD196" s="724"/>
      <c r="AE196" s="724"/>
      <c r="AF196" s="724"/>
      <c r="AG196" s="725" t="s">
        <v>1127</v>
      </c>
      <c r="AH196" s="724"/>
      <c r="AI196" s="725" t="s">
        <v>1127</v>
      </c>
      <c r="AJ196" s="725" t="s">
        <v>833</v>
      </c>
      <c r="AK196" s="724" t="s">
        <v>677</v>
      </c>
      <c r="AL196" s="724"/>
      <c r="AM196" s="724" t="s">
        <v>726</v>
      </c>
      <c r="AN196" s="724" t="s">
        <v>1128</v>
      </c>
      <c r="AO196" s="724" t="s">
        <v>1126</v>
      </c>
      <c r="AP196" s="724" t="s">
        <v>706</v>
      </c>
      <c r="AQ196" s="724" t="s">
        <v>729</v>
      </c>
      <c r="AR196" s="726">
        <v>59000</v>
      </c>
      <c r="AS196" s="724" t="s">
        <v>675</v>
      </c>
      <c r="AT196" s="726">
        <v>0</v>
      </c>
      <c r="AU196" s="724" t="s">
        <v>678</v>
      </c>
      <c r="AV196" s="724" t="s">
        <v>677</v>
      </c>
      <c r="AW196" s="724" t="s">
        <v>676</v>
      </c>
      <c r="AX196" s="724" t="s">
        <v>674</v>
      </c>
      <c r="AY196" s="724"/>
      <c r="AZ196" s="724"/>
      <c r="BA196" s="724" t="s">
        <v>679</v>
      </c>
      <c r="BB196" s="724"/>
      <c r="BC196" s="724"/>
      <c r="BD196" s="724"/>
      <c r="BE196" s="726"/>
      <c r="BF196" s="724" t="s">
        <v>298</v>
      </c>
      <c r="BG196" s="724" t="s">
        <v>680</v>
      </c>
      <c r="BH196" s="724" t="s">
        <v>681</v>
      </c>
      <c r="BI196" s="724"/>
    </row>
    <row r="197" spans="1:61">
      <c r="A197" s="724" t="s">
        <v>711</v>
      </c>
      <c r="B197" s="724" t="s">
        <v>711</v>
      </c>
      <c r="C197" s="724" t="s">
        <v>711</v>
      </c>
      <c r="D197" s="724" t="s">
        <v>673</v>
      </c>
      <c r="E197" s="724" t="s">
        <v>3</v>
      </c>
      <c r="F197" s="725" t="s">
        <v>238</v>
      </c>
      <c r="G197" s="725" t="s">
        <v>712</v>
      </c>
      <c r="H197" s="726">
        <v>67900000</v>
      </c>
      <c r="I197" s="726">
        <v>67900000</v>
      </c>
      <c r="J197" s="726">
        <v>0</v>
      </c>
      <c r="K197" s="726">
        <v>0</v>
      </c>
      <c r="L197" s="726">
        <v>84100000</v>
      </c>
      <c r="M197" s="726">
        <v>0</v>
      </c>
      <c r="N197" s="726">
        <v>0</v>
      </c>
      <c r="O197" s="726">
        <v>0</v>
      </c>
      <c r="P197" s="726">
        <v>0</v>
      </c>
      <c r="Q197" s="726">
        <v>0</v>
      </c>
      <c r="R197" s="726">
        <v>16200000</v>
      </c>
      <c r="S197" s="726">
        <v>0</v>
      </c>
      <c r="T197" s="726">
        <v>0</v>
      </c>
      <c r="U197" s="726">
        <v>0</v>
      </c>
      <c r="V197" s="726">
        <v>0</v>
      </c>
      <c r="W197" s="726">
        <v>0</v>
      </c>
      <c r="X197" s="724" t="s">
        <v>674</v>
      </c>
      <c r="Y197" s="724" t="s">
        <v>675</v>
      </c>
      <c r="Z197" s="724" t="s">
        <v>675</v>
      </c>
      <c r="AA197" s="724" t="s">
        <v>675</v>
      </c>
      <c r="AB197" s="724" t="s">
        <v>675</v>
      </c>
      <c r="AC197" s="724"/>
      <c r="AD197" s="724"/>
      <c r="AE197" s="724"/>
      <c r="AF197" s="724"/>
      <c r="AG197" s="725" t="s">
        <v>713</v>
      </c>
      <c r="AH197" s="724"/>
      <c r="AI197" s="725" t="s">
        <v>713</v>
      </c>
      <c r="AJ197" s="725" t="s">
        <v>677</v>
      </c>
      <c r="AK197" s="724" t="s">
        <v>677</v>
      </c>
      <c r="AL197" s="724"/>
      <c r="AM197" s="724"/>
      <c r="AN197" s="724"/>
      <c r="AO197" s="724"/>
      <c r="AP197" s="724"/>
      <c r="AQ197" s="724"/>
      <c r="AR197" s="726"/>
      <c r="AS197" s="724"/>
      <c r="AT197" s="726"/>
      <c r="AU197" s="724" t="s">
        <v>678</v>
      </c>
      <c r="AV197" s="724" t="s">
        <v>677</v>
      </c>
      <c r="AW197" s="724" t="s">
        <v>676</v>
      </c>
      <c r="AX197" s="724" t="s">
        <v>784</v>
      </c>
      <c r="AY197" s="724" t="s">
        <v>785</v>
      </c>
      <c r="AZ197" s="724" t="s">
        <v>1129</v>
      </c>
      <c r="BA197" s="724" t="s">
        <v>679</v>
      </c>
      <c r="BB197" s="724"/>
      <c r="BC197" s="724"/>
      <c r="BD197" s="724"/>
      <c r="BE197" s="726"/>
      <c r="BF197" s="724" t="s">
        <v>298</v>
      </c>
      <c r="BG197" s="724" t="s">
        <v>680</v>
      </c>
      <c r="BH197" s="724" t="s">
        <v>681</v>
      </c>
      <c r="BI197" s="724"/>
    </row>
    <row r="198" spans="1:61">
      <c r="A198" s="724" t="s">
        <v>714</v>
      </c>
      <c r="B198" s="724" t="s">
        <v>715</v>
      </c>
      <c r="C198" s="724" t="s">
        <v>714</v>
      </c>
      <c r="D198" s="724" t="s">
        <v>716</v>
      </c>
      <c r="E198" s="724" t="s">
        <v>3</v>
      </c>
      <c r="F198" s="725" t="s">
        <v>83</v>
      </c>
      <c r="G198" s="725" t="s">
        <v>700</v>
      </c>
      <c r="H198" s="726">
        <v>20000000</v>
      </c>
      <c r="I198" s="726">
        <v>20000000</v>
      </c>
      <c r="J198" s="726">
        <v>0</v>
      </c>
      <c r="K198" s="726">
        <v>0</v>
      </c>
      <c r="L198" s="726">
        <v>18181818</v>
      </c>
      <c r="M198" s="726">
        <v>0</v>
      </c>
      <c r="N198" s="726">
        <v>0</v>
      </c>
      <c r="O198" s="726">
        <v>1818182</v>
      </c>
      <c r="P198" s="726">
        <v>0</v>
      </c>
      <c r="Q198" s="726">
        <v>0</v>
      </c>
      <c r="R198" s="726">
        <v>0</v>
      </c>
      <c r="S198" s="726">
        <v>0</v>
      </c>
      <c r="T198" s="726">
        <v>0</v>
      </c>
      <c r="U198" s="726">
        <v>0</v>
      </c>
      <c r="V198" s="726">
        <v>0</v>
      </c>
      <c r="W198" s="726">
        <v>0</v>
      </c>
      <c r="X198" s="724" t="s">
        <v>674</v>
      </c>
      <c r="Y198" s="724" t="s">
        <v>1226</v>
      </c>
      <c r="Z198" s="724" t="s">
        <v>1226</v>
      </c>
      <c r="AA198" s="724" t="s">
        <v>675</v>
      </c>
      <c r="AB198" s="724" t="s">
        <v>675</v>
      </c>
      <c r="AC198" s="724"/>
      <c r="AD198" s="724"/>
      <c r="AE198" s="724"/>
      <c r="AF198" s="724"/>
      <c r="AG198" s="725" t="s">
        <v>717</v>
      </c>
      <c r="AH198" s="724"/>
      <c r="AI198" s="725" t="s">
        <v>717</v>
      </c>
      <c r="AJ198" s="725" t="s">
        <v>718</v>
      </c>
      <c r="AK198" s="724" t="s">
        <v>677</v>
      </c>
      <c r="AL198" s="724"/>
      <c r="AM198" s="724"/>
      <c r="AN198" s="724"/>
      <c r="AO198" s="724"/>
      <c r="AP198" s="724"/>
      <c r="AQ198" s="724"/>
      <c r="AR198" s="726"/>
      <c r="AS198" s="724"/>
      <c r="AT198" s="726"/>
      <c r="AU198" s="724" t="s">
        <v>678</v>
      </c>
      <c r="AV198" s="724" t="s">
        <v>677</v>
      </c>
      <c r="AW198" s="724" t="s">
        <v>676</v>
      </c>
      <c r="AX198" s="724" t="s">
        <v>784</v>
      </c>
      <c r="AY198" s="724" t="s">
        <v>785</v>
      </c>
      <c r="AZ198" s="724" t="s">
        <v>1130</v>
      </c>
      <c r="BA198" s="724" t="s">
        <v>679</v>
      </c>
      <c r="BB198" s="724"/>
      <c r="BC198" s="724"/>
      <c r="BD198" s="724"/>
      <c r="BE198" s="726"/>
      <c r="BF198" s="724" t="s">
        <v>298</v>
      </c>
      <c r="BG198" s="724" t="s">
        <v>680</v>
      </c>
      <c r="BH198" s="724" t="s">
        <v>681</v>
      </c>
      <c r="BI198" s="724"/>
    </row>
    <row r="199" spans="1:61">
      <c r="A199" s="724" t="s">
        <v>671</v>
      </c>
      <c r="B199" s="724" t="s">
        <v>715</v>
      </c>
      <c r="C199" s="724" t="s">
        <v>714</v>
      </c>
      <c r="D199" s="724" t="s">
        <v>716</v>
      </c>
      <c r="E199" s="724" t="s">
        <v>3</v>
      </c>
      <c r="F199" s="725" t="s">
        <v>71</v>
      </c>
      <c r="G199" s="725" t="s">
        <v>719</v>
      </c>
      <c r="H199" s="726">
        <v>2332000</v>
      </c>
      <c r="I199" s="726">
        <v>2332000</v>
      </c>
      <c r="J199" s="726">
        <v>0</v>
      </c>
      <c r="K199" s="726">
        <v>0</v>
      </c>
      <c r="L199" s="726">
        <v>2120000</v>
      </c>
      <c r="M199" s="726">
        <v>0</v>
      </c>
      <c r="N199" s="726">
        <v>0</v>
      </c>
      <c r="O199" s="726">
        <v>212000</v>
      </c>
      <c r="P199" s="726">
        <v>0</v>
      </c>
      <c r="Q199" s="726">
        <v>0</v>
      </c>
      <c r="R199" s="726">
        <v>0</v>
      </c>
      <c r="S199" s="726">
        <v>0</v>
      </c>
      <c r="T199" s="726">
        <v>0</v>
      </c>
      <c r="U199" s="726">
        <v>0</v>
      </c>
      <c r="V199" s="726">
        <v>0</v>
      </c>
      <c r="W199" s="726">
        <v>0</v>
      </c>
      <c r="X199" s="724" t="s">
        <v>674</v>
      </c>
      <c r="Y199" s="724" t="s">
        <v>1226</v>
      </c>
      <c r="Z199" s="724" t="s">
        <v>1226</v>
      </c>
      <c r="AA199" s="724" t="s">
        <v>675</v>
      </c>
      <c r="AB199" s="724" t="s">
        <v>675</v>
      </c>
      <c r="AC199" s="724"/>
      <c r="AD199" s="724"/>
      <c r="AE199" s="724"/>
      <c r="AF199" s="724"/>
      <c r="AG199" s="725" t="s">
        <v>720</v>
      </c>
      <c r="AH199" s="724"/>
      <c r="AI199" s="725" t="s">
        <v>720</v>
      </c>
      <c r="AJ199" s="725" t="s">
        <v>721</v>
      </c>
      <c r="AK199" s="724" t="s">
        <v>677</v>
      </c>
      <c r="AL199" s="724"/>
      <c r="AM199" s="724"/>
      <c r="AN199" s="724"/>
      <c r="AO199" s="724"/>
      <c r="AP199" s="724"/>
      <c r="AQ199" s="724"/>
      <c r="AR199" s="726"/>
      <c r="AS199" s="724"/>
      <c r="AT199" s="726"/>
      <c r="AU199" s="724" t="s">
        <v>678</v>
      </c>
      <c r="AV199" s="724" t="s">
        <v>677</v>
      </c>
      <c r="AW199" s="724" t="s">
        <v>676</v>
      </c>
      <c r="AX199" s="724" t="s">
        <v>674</v>
      </c>
      <c r="AY199" s="724"/>
      <c r="AZ199" s="724"/>
      <c r="BA199" s="724" t="s">
        <v>679</v>
      </c>
      <c r="BB199" s="724"/>
      <c r="BC199" s="724"/>
      <c r="BD199" s="724"/>
      <c r="BE199" s="726"/>
      <c r="BF199" s="724" t="s">
        <v>298</v>
      </c>
      <c r="BG199" s="724" t="s">
        <v>680</v>
      </c>
      <c r="BH199" s="724" t="s">
        <v>681</v>
      </c>
      <c r="BI199" s="724"/>
    </row>
    <row r="200" spans="1:61">
      <c r="A200" s="724" t="s">
        <v>1131</v>
      </c>
      <c r="B200" s="724" t="s">
        <v>1105</v>
      </c>
      <c r="C200" s="724" t="s">
        <v>1105</v>
      </c>
      <c r="D200" s="724" t="s">
        <v>724</v>
      </c>
      <c r="E200" s="724" t="s">
        <v>3</v>
      </c>
      <c r="F200" s="725" t="s">
        <v>83</v>
      </c>
      <c r="G200" s="725" t="s">
        <v>700</v>
      </c>
      <c r="H200" s="726">
        <v>6468000</v>
      </c>
      <c r="I200" s="726">
        <v>6468000</v>
      </c>
      <c r="J200" s="726">
        <v>0</v>
      </c>
      <c r="K200" s="726">
        <v>0</v>
      </c>
      <c r="L200" s="726">
        <v>5880000</v>
      </c>
      <c r="M200" s="726">
        <v>0</v>
      </c>
      <c r="N200" s="726">
        <v>0</v>
      </c>
      <c r="O200" s="726">
        <v>588000</v>
      </c>
      <c r="P200" s="726">
        <v>0</v>
      </c>
      <c r="Q200" s="726">
        <v>0</v>
      </c>
      <c r="R200" s="726">
        <v>0</v>
      </c>
      <c r="S200" s="726">
        <v>0</v>
      </c>
      <c r="T200" s="726">
        <v>0</v>
      </c>
      <c r="U200" s="726">
        <v>0</v>
      </c>
      <c r="V200" s="726">
        <v>0</v>
      </c>
      <c r="W200" s="726">
        <v>0</v>
      </c>
      <c r="X200" s="724" t="s">
        <v>674</v>
      </c>
      <c r="Y200" s="724" t="s">
        <v>1226</v>
      </c>
      <c r="Z200" s="724" t="s">
        <v>1226</v>
      </c>
      <c r="AA200" s="724" t="s">
        <v>675</v>
      </c>
      <c r="AB200" s="724" t="s">
        <v>675</v>
      </c>
      <c r="AC200" s="724"/>
      <c r="AD200" s="724"/>
      <c r="AE200" s="724"/>
      <c r="AF200" s="724"/>
      <c r="AG200" s="725" t="s">
        <v>1106</v>
      </c>
      <c r="AH200" s="724"/>
      <c r="AI200" s="725" t="s">
        <v>1106</v>
      </c>
      <c r="AJ200" s="725" t="s">
        <v>1132</v>
      </c>
      <c r="AK200" s="724" t="s">
        <v>677</v>
      </c>
      <c r="AL200" s="724"/>
      <c r="AM200" s="724" t="s">
        <v>726</v>
      </c>
      <c r="AN200" s="724" t="s">
        <v>1133</v>
      </c>
      <c r="AO200" s="724" t="s">
        <v>1131</v>
      </c>
      <c r="AP200" s="724" t="s">
        <v>1134</v>
      </c>
      <c r="AQ200" s="724" t="s">
        <v>729</v>
      </c>
      <c r="AR200" s="726">
        <v>6468000</v>
      </c>
      <c r="AS200" s="724" t="s">
        <v>675</v>
      </c>
      <c r="AT200" s="726">
        <v>0</v>
      </c>
      <c r="AU200" s="724" t="s">
        <v>678</v>
      </c>
      <c r="AV200" s="724" t="s">
        <v>677</v>
      </c>
      <c r="AW200" s="724" t="s">
        <v>676</v>
      </c>
      <c r="AX200" s="724" t="s">
        <v>674</v>
      </c>
      <c r="AY200" s="724"/>
      <c r="AZ200" s="724"/>
      <c r="BA200" s="724" t="s">
        <v>679</v>
      </c>
      <c r="BB200" s="724"/>
      <c r="BC200" s="724"/>
      <c r="BD200" s="724"/>
      <c r="BE200" s="726"/>
      <c r="BF200" s="724" t="s">
        <v>298</v>
      </c>
      <c r="BG200" s="724" t="s">
        <v>680</v>
      </c>
      <c r="BH200" s="724" t="s">
        <v>681</v>
      </c>
      <c r="BI200" s="724"/>
    </row>
    <row r="201" spans="1:61">
      <c r="A201" s="724" t="s">
        <v>722</v>
      </c>
      <c r="B201" s="724" t="s">
        <v>682</v>
      </c>
      <c r="C201" s="724" t="s">
        <v>723</v>
      </c>
      <c r="D201" s="724" t="s">
        <v>724</v>
      </c>
      <c r="E201" s="724" t="s">
        <v>3</v>
      </c>
      <c r="F201" s="725" t="s">
        <v>83</v>
      </c>
      <c r="G201" s="725" t="s">
        <v>700</v>
      </c>
      <c r="H201" s="726">
        <v>37000</v>
      </c>
      <c r="I201" s="726">
        <v>37000</v>
      </c>
      <c r="J201" s="726">
        <v>0</v>
      </c>
      <c r="K201" s="726">
        <v>0</v>
      </c>
      <c r="L201" s="726">
        <v>33637</v>
      </c>
      <c r="M201" s="726">
        <v>0</v>
      </c>
      <c r="N201" s="726">
        <v>0</v>
      </c>
      <c r="O201" s="726">
        <v>3363</v>
      </c>
      <c r="P201" s="726">
        <v>0</v>
      </c>
      <c r="Q201" s="726">
        <v>0</v>
      </c>
      <c r="R201" s="726">
        <v>0</v>
      </c>
      <c r="S201" s="726">
        <v>0</v>
      </c>
      <c r="T201" s="726">
        <v>0</v>
      </c>
      <c r="U201" s="726">
        <v>0</v>
      </c>
      <c r="V201" s="726">
        <v>0</v>
      </c>
      <c r="W201" s="726">
        <v>0</v>
      </c>
      <c r="X201" s="724" t="s">
        <v>674</v>
      </c>
      <c r="Y201" s="724" t="s">
        <v>675</v>
      </c>
      <c r="Z201" s="724" t="s">
        <v>675</v>
      </c>
      <c r="AA201" s="724" t="s">
        <v>675</v>
      </c>
      <c r="AB201" s="724" t="s">
        <v>675</v>
      </c>
      <c r="AC201" s="724"/>
      <c r="AD201" s="724"/>
      <c r="AE201" s="724"/>
      <c r="AF201" s="724"/>
      <c r="AG201" s="725" t="s">
        <v>559</v>
      </c>
      <c r="AH201" s="724"/>
      <c r="AI201" s="725" t="s">
        <v>559</v>
      </c>
      <c r="AJ201" s="725" t="s">
        <v>725</v>
      </c>
      <c r="AK201" s="724" t="s">
        <v>677</v>
      </c>
      <c r="AL201" s="724"/>
      <c r="AM201" s="724" t="s">
        <v>726</v>
      </c>
      <c r="AN201" s="724" t="s">
        <v>727</v>
      </c>
      <c r="AO201" s="724" t="s">
        <v>722</v>
      </c>
      <c r="AP201" s="724" t="s">
        <v>728</v>
      </c>
      <c r="AQ201" s="724" t="s">
        <v>729</v>
      </c>
      <c r="AR201" s="726">
        <v>37000</v>
      </c>
      <c r="AS201" s="724" t="s">
        <v>675</v>
      </c>
      <c r="AT201" s="726">
        <v>0</v>
      </c>
      <c r="AU201" s="724" t="s">
        <v>678</v>
      </c>
      <c r="AV201" s="724" t="s">
        <v>677</v>
      </c>
      <c r="AW201" s="724" t="s">
        <v>676</v>
      </c>
      <c r="AX201" s="724" t="s">
        <v>674</v>
      </c>
      <c r="AY201" s="724"/>
      <c r="AZ201" s="724"/>
      <c r="BA201" s="724" t="s">
        <v>679</v>
      </c>
      <c r="BB201" s="724"/>
      <c r="BC201" s="724"/>
      <c r="BD201" s="724"/>
      <c r="BE201" s="726"/>
      <c r="BF201" s="724" t="s">
        <v>298</v>
      </c>
      <c r="BG201" s="724" t="s">
        <v>680</v>
      </c>
      <c r="BH201" s="724" t="s">
        <v>681</v>
      </c>
      <c r="BI201" s="724"/>
    </row>
    <row r="202" spans="1:61">
      <c r="A202" s="724" t="s">
        <v>730</v>
      </c>
      <c r="B202" s="724" t="s">
        <v>671</v>
      </c>
      <c r="C202" s="724" t="s">
        <v>672</v>
      </c>
      <c r="D202" s="724" t="s">
        <v>724</v>
      </c>
      <c r="E202" s="724" t="s">
        <v>3</v>
      </c>
      <c r="F202" s="725" t="s">
        <v>83</v>
      </c>
      <c r="G202" s="725" t="s">
        <v>93</v>
      </c>
      <c r="H202" s="726">
        <v>51800</v>
      </c>
      <c r="I202" s="726">
        <v>51800</v>
      </c>
      <c r="J202" s="726">
        <v>0</v>
      </c>
      <c r="K202" s="726">
        <v>0</v>
      </c>
      <c r="L202" s="726">
        <v>51800</v>
      </c>
      <c r="M202" s="726">
        <v>0</v>
      </c>
      <c r="N202" s="726">
        <v>0</v>
      </c>
      <c r="O202" s="726">
        <v>0</v>
      </c>
      <c r="P202" s="726">
        <v>0</v>
      </c>
      <c r="Q202" s="726">
        <v>0</v>
      </c>
      <c r="R202" s="726">
        <v>0</v>
      </c>
      <c r="S202" s="726">
        <v>0</v>
      </c>
      <c r="T202" s="726">
        <v>0</v>
      </c>
      <c r="U202" s="726">
        <v>0</v>
      </c>
      <c r="V202" s="726">
        <v>0</v>
      </c>
      <c r="W202" s="726">
        <v>0</v>
      </c>
      <c r="X202" s="724" t="s">
        <v>674</v>
      </c>
      <c r="Y202" s="724" t="s">
        <v>675</v>
      </c>
      <c r="Z202" s="724" t="s">
        <v>675</v>
      </c>
      <c r="AA202" s="724" t="s">
        <v>675</v>
      </c>
      <c r="AB202" s="724" t="s">
        <v>675</v>
      </c>
      <c r="AC202" s="724"/>
      <c r="AD202" s="724"/>
      <c r="AE202" s="724" t="s">
        <v>676</v>
      </c>
      <c r="AF202" s="724"/>
      <c r="AG202" s="725" t="s">
        <v>557</v>
      </c>
      <c r="AH202" s="724"/>
      <c r="AI202" s="725" t="s">
        <v>557</v>
      </c>
      <c r="AJ202" s="725" t="s">
        <v>731</v>
      </c>
      <c r="AK202" s="724" t="s">
        <v>677</v>
      </c>
      <c r="AL202" s="724"/>
      <c r="AM202" s="724" t="s">
        <v>726</v>
      </c>
      <c r="AN202" s="724" t="s">
        <v>732</v>
      </c>
      <c r="AO202" s="724" t="s">
        <v>730</v>
      </c>
      <c r="AP202" s="724" t="s">
        <v>722</v>
      </c>
      <c r="AQ202" s="724" t="s">
        <v>729</v>
      </c>
      <c r="AR202" s="726">
        <v>51800</v>
      </c>
      <c r="AS202" s="724" t="s">
        <v>675</v>
      </c>
      <c r="AT202" s="726">
        <v>0</v>
      </c>
      <c r="AU202" s="724" t="s">
        <v>678</v>
      </c>
      <c r="AV202" s="724" t="s">
        <v>677</v>
      </c>
      <c r="AW202" s="724" t="s">
        <v>676</v>
      </c>
      <c r="AX202" s="724" t="s">
        <v>674</v>
      </c>
      <c r="AY202" s="724"/>
      <c r="AZ202" s="724"/>
      <c r="BA202" s="724" t="s">
        <v>679</v>
      </c>
      <c r="BB202" s="724"/>
      <c r="BC202" s="724"/>
      <c r="BD202" s="724"/>
      <c r="BE202" s="726"/>
      <c r="BF202" s="724" t="s">
        <v>298</v>
      </c>
      <c r="BG202" s="724" t="s">
        <v>680</v>
      </c>
      <c r="BH202" s="724" t="s">
        <v>681</v>
      </c>
      <c r="BI202" s="724"/>
    </row>
    <row r="203" spans="1:61">
      <c r="A203" s="724" t="s">
        <v>728</v>
      </c>
      <c r="B203" s="724" t="s">
        <v>728</v>
      </c>
      <c r="C203" s="724" t="s">
        <v>730</v>
      </c>
      <c r="D203" s="724" t="s">
        <v>673</v>
      </c>
      <c r="E203" s="724" t="s">
        <v>3</v>
      </c>
      <c r="F203" s="725" t="s">
        <v>83</v>
      </c>
      <c r="G203" s="725" t="s">
        <v>691</v>
      </c>
      <c r="H203" s="726">
        <v>318380</v>
      </c>
      <c r="I203" s="726">
        <v>318380</v>
      </c>
      <c r="J203" s="726">
        <v>0</v>
      </c>
      <c r="K203" s="726">
        <v>0</v>
      </c>
      <c r="L203" s="726">
        <v>318380</v>
      </c>
      <c r="M203" s="726">
        <v>0</v>
      </c>
      <c r="N203" s="726">
        <v>0</v>
      </c>
      <c r="O203" s="726">
        <v>0</v>
      </c>
      <c r="P203" s="726">
        <v>0</v>
      </c>
      <c r="Q203" s="726">
        <v>0</v>
      </c>
      <c r="R203" s="726">
        <v>0</v>
      </c>
      <c r="S203" s="726">
        <v>0</v>
      </c>
      <c r="T203" s="726">
        <v>0</v>
      </c>
      <c r="U203" s="726">
        <v>0</v>
      </c>
      <c r="V203" s="726">
        <v>0</v>
      </c>
      <c r="W203" s="726">
        <v>0</v>
      </c>
      <c r="X203" s="724" t="s">
        <v>674</v>
      </c>
      <c r="Y203" s="724" t="s">
        <v>1226</v>
      </c>
      <c r="Z203" s="724" t="s">
        <v>1226</v>
      </c>
      <c r="AA203" s="724" t="s">
        <v>675</v>
      </c>
      <c r="AB203" s="724" t="s">
        <v>675</v>
      </c>
      <c r="AC203" s="724"/>
      <c r="AD203" s="724"/>
      <c r="AE203" s="724" t="s">
        <v>676</v>
      </c>
      <c r="AF203" s="724"/>
      <c r="AG203" s="725" t="s">
        <v>733</v>
      </c>
      <c r="AH203" s="724"/>
      <c r="AI203" s="725" t="s">
        <v>733</v>
      </c>
      <c r="AJ203" s="725" t="s">
        <v>677</v>
      </c>
      <c r="AK203" s="724" t="s">
        <v>677</v>
      </c>
      <c r="AL203" s="724"/>
      <c r="AM203" s="724"/>
      <c r="AN203" s="724"/>
      <c r="AO203" s="724"/>
      <c r="AP203" s="724"/>
      <c r="AQ203" s="724"/>
      <c r="AR203" s="726"/>
      <c r="AS203" s="724"/>
      <c r="AT203" s="726"/>
      <c r="AU203" s="724" t="s">
        <v>678</v>
      </c>
      <c r="AV203" s="724" t="s">
        <v>677</v>
      </c>
      <c r="AW203" s="724" t="s">
        <v>676</v>
      </c>
      <c r="AX203" s="724" t="s">
        <v>674</v>
      </c>
      <c r="AY203" s="724"/>
      <c r="AZ203" s="724"/>
      <c r="BA203" s="724" t="s">
        <v>679</v>
      </c>
      <c r="BB203" s="724"/>
      <c r="BC203" s="724"/>
      <c r="BD203" s="724"/>
      <c r="BE203" s="726"/>
      <c r="BF203" s="724" t="s">
        <v>298</v>
      </c>
      <c r="BG203" s="724" t="s">
        <v>680</v>
      </c>
      <c r="BH203" s="724" t="s">
        <v>681</v>
      </c>
      <c r="BI203" s="724"/>
    </row>
    <row r="204" spans="1:61">
      <c r="A204" s="724" t="s">
        <v>728</v>
      </c>
      <c r="B204" s="724" t="s">
        <v>728</v>
      </c>
      <c r="C204" s="724" t="s">
        <v>730</v>
      </c>
      <c r="D204" s="724" t="s">
        <v>673</v>
      </c>
      <c r="E204" s="724" t="s">
        <v>3</v>
      </c>
      <c r="F204" s="725" t="s">
        <v>83</v>
      </c>
      <c r="G204" s="725" t="s">
        <v>691</v>
      </c>
      <c r="H204" s="726">
        <v>88000</v>
      </c>
      <c r="I204" s="726">
        <v>88000</v>
      </c>
      <c r="J204" s="726">
        <v>0</v>
      </c>
      <c r="K204" s="726">
        <v>0</v>
      </c>
      <c r="L204" s="726">
        <v>88000</v>
      </c>
      <c r="M204" s="726">
        <v>0</v>
      </c>
      <c r="N204" s="726">
        <v>0</v>
      </c>
      <c r="O204" s="726">
        <v>0</v>
      </c>
      <c r="P204" s="726">
        <v>0</v>
      </c>
      <c r="Q204" s="726">
        <v>0</v>
      </c>
      <c r="R204" s="726">
        <v>0</v>
      </c>
      <c r="S204" s="726">
        <v>0</v>
      </c>
      <c r="T204" s="726">
        <v>0</v>
      </c>
      <c r="U204" s="726">
        <v>0</v>
      </c>
      <c r="V204" s="726">
        <v>0</v>
      </c>
      <c r="W204" s="726">
        <v>0</v>
      </c>
      <c r="X204" s="724" t="s">
        <v>674</v>
      </c>
      <c r="Y204" s="724" t="s">
        <v>675</v>
      </c>
      <c r="Z204" s="724" t="s">
        <v>675</v>
      </c>
      <c r="AA204" s="724" t="s">
        <v>675</v>
      </c>
      <c r="AB204" s="724" t="s">
        <v>675</v>
      </c>
      <c r="AC204" s="724"/>
      <c r="AD204" s="724"/>
      <c r="AE204" s="724" t="s">
        <v>676</v>
      </c>
      <c r="AF204" s="724"/>
      <c r="AG204" s="725" t="s">
        <v>734</v>
      </c>
      <c r="AH204" s="724"/>
      <c r="AI204" s="725" t="s">
        <v>734</v>
      </c>
      <c r="AJ204" s="725" t="s">
        <v>677</v>
      </c>
      <c r="AK204" s="724" t="s">
        <v>677</v>
      </c>
      <c r="AL204" s="724"/>
      <c r="AM204" s="724"/>
      <c r="AN204" s="724"/>
      <c r="AO204" s="724"/>
      <c r="AP204" s="724"/>
      <c r="AQ204" s="724"/>
      <c r="AR204" s="726"/>
      <c r="AS204" s="724"/>
      <c r="AT204" s="726"/>
      <c r="AU204" s="724" t="s">
        <v>678</v>
      </c>
      <c r="AV204" s="724" t="s">
        <v>677</v>
      </c>
      <c r="AW204" s="724" t="s">
        <v>676</v>
      </c>
      <c r="AX204" s="724" t="s">
        <v>674</v>
      </c>
      <c r="AY204" s="724"/>
      <c r="AZ204" s="724"/>
      <c r="BA204" s="724" t="s">
        <v>679</v>
      </c>
      <c r="BB204" s="724"/>
      <c r="BC204" s="724"/>
      <c r="BD204" s="724"/>
      <c r="BE204" s="726"/>
      <c r="BF204" s="724" t="s">
        <v>298</v>
      </c>
      <c r="BG204" s="724" t="s">
        <v>680</v>
      </c>
      <c r="BH204" s="724" t="s">
        <v>681</v>
      </c>
      <c r="BI204" s="724"/>
    </row>
    <row r="205" spans="1:61">
      <c r="A205" s="724" t="s">
        <v>728</v>
      </c>
      <c r="B205" s="724" t="s">
        <v>728</v>
      </c>
      <c r="C205" s="724" t="s">
        <v>730</v>
      </c>
      <c r="D205" s="724" t="s">
        <v>673</v>
      </c>
      <c r="E205" s="724" t="s">
        <v>3</v>
      </c>
      <c r="F205" s="725" t="s">
        <v>83</v>
      </c>
      <c r="G205" s="725" t="s">
        <v>691</v>
      </c>
      <c r="H205" s="726">
        <v>912000</v>
      </c>
      <c r="I205" s="726">
        <v>912000</v>
      </c>
      <c r="J205" s="726">
        <v>0</v>
      </c>
      <c r="K205" s="726">
        <v>0</v>
      </c>
      <c r="L205" s="726">
        <v>912000</v>
      </c>
      <c r="M205" s="726">
        <v>0</v>
      </c>
      <c r="N205" s="726">
        <v>0</v>
      </c>
      <c r="O205" s="726">
        <v>0</v>
      </c>
      <c r="P205" s="726">
        <v>0</v>
      </c>
      <c r="Q205" s="726">
        <v>0</v>
      </c>
      <c r="R205" s="726">
        <v>0</v>
      </c>
      <c r="S205" s="726">
        <v>0</v>
      </c>
      <c r="T205" s="726">
        <v>0</v>
      </c>
      <c r="U205" s="726">
        <v>0</v>
      </c>
      <c r="V205" s="726">
        <v>0</v>
      </c>
      <c r="W205" s="726">
        <v>0</v>
      </c>
      <c r="X205" s="724" t="s">
        <v>674</v>
      </c>
      <c r="Y205" s="724" t="s">
        <v>1226</v>
      </c>
      <c r="Z205" s="724" t="s">
        <v>1226</v>
      </c>
      <c r="AA205" s="724" t="s">
        <v>675</v>
      </c>
      <c r="AB205" s="724" t="s">
        <v>675</v>
      </c>
      <c r="AC205" s="724"/>
      <c r="AD205" s="724"/>
      <c r="AE205" s="724" t="s">
        <v>676</v>
      </c>
      <c r="AF205" s="724"/>
      <c r="AG205" s="725" t="s">
        <v>735</v>
      </c>
      <c r="AH205" s="724"/>
      <c r="AI205" s="725" t="s">
        <v>735</v>
      </c>
      <c r="AJ205" s="725" t="s">
        <v>677</v>
      </c>
      <c r="AK205" s="724" t="s">
        <v>677</v>
      </c>
      <c r="AL205" s="724"/>
      <c r="AM205" s="724"/>
      <c r="AN205" s="724"/>
      <c r="AO205" s="724"/>
      <c r="AP205" s="724"/>
      <c r="AQ205" s="724"/>
      <c r="AR205" s="726"/>
      <c r="AS205" s="724"/>
      <c r="AT205" s="726"/>
      <c r="AU205" s="724" t="s">
        <v>678</v>
      </c>
      <c r="AV205" s="724" t="s">
        <v>677</v>
      </c>
      <c r="AW205" s="724" t="s">
        <v>676</v>
      </c>
      <c r="AX205" s="724" t="s">
        <v>674</v>
      </c>
      <c r="AY205" s="724"/>
      <c r="AZ205" s="724"/>
      <c r="BA205" s="724" t="s">
        <v>679</v>
      </c>
      <c r="BB205" s="724"/>
      <c r="BC205" s="724"/>
      <c r="BD205" s="724"/>
      <c r="BE205" s="726"/>
      <c r="BF205" s="724" t="s">
        <v>298</v>
      </c>
      <c r="BG205" s="724" t="s">
        <v>680</v>
      </c>
      <c r="BH205" s="724" t="s">
        <v>681</v>
      </c>
      <c r="BI205" s="724"/>
    </row>
    <row r="206" spans="1:61">
      <c r="A206" s="724" t="s">
        <v>728</v>
      </c>
      <c r="B206" s="724" t="s">
        <v>728</v>
      </c>
      <c r="C206" s="724" t="s">
        <v>730</v>
      </c>
      <c r="D206" s="724" t="s">
        <v>673</v>
      </c>
      <c r="E206" s="724" t="s">
        <v>3</v>
      </c>
      <c r="F206" s="725" t="s">
        <v>83</v>
      </c>
      <c r="G206" s="725" t="s">
        <v>691</v>
      </c>
      <c r="H206" s="726">
        <v>3299620</v>
      </c>
      <c r="I206" s="726">
        <v>3299620</v>
      </c>
      <c r="J206" s="726">
        <v>0</v>
      </c>
      <c r="K206" s="726">
        <v>0</v>
      </c>
      <c r="L206" s="726">
        <v>3299620</v>
      </c>
      <c r="M206" s="726">
        <v>0</v>
      </c>
      <c r="N206" s="726">
        <v>0</v>
      </c>
      <c r="O206" s="726">
        <v>0</v>
      </c>
      <c r="P206" s="726">
        <v>0</v>
      </c>
      <c r="Q206" s="726">
        <v>0</v>
      </c>
      <c r="R206" s="726">
        <v>0</v>
      </c>
      <c r="S206" s="726">
        <v>0</v>
      </c>
      <c r="T206" s="726">
        <v>0</v>
      </c>
      <c r="U206" s="726">
        <v>0</v>
      </c>
      <c r="V206" s="726">
        <v>0</v>
      </c>
      <c r="W206" s="726">
        <v>0</v>
      </c>
      <c r="X206" s="724" t="s">
        <v>674</v>
      </c>
      <c r="Y206" s="724" t="s">
        <v>1226</v>
      </c>
      <c r="Z206" s="724" t="s">
        <v>1226</v>
      </c>
      <c r="AA206" s="724" t="s">
        <v>675</v>
      </c>
      <c r="AB206" s="724" t="s">
        <v>675</v>
      </c>
      <c r="AC206" s="724"/>
      <c r="AD206" s="724"/>
      <c r="AE206" s="724" t="s">
        <v>676</v>
      </c>
      <c r="AF206" s="724"/>
      <c r="AG206" s="725" t="s">
        <v>736</v>
      </c>
      <c r="AH206" s="724"/>
      <c r="AI206" s="725" t="s">
        <v>736</v>
      </c>
      <c r="AJ206" s="725" t="s">
        <v>677</v>
      </c>
      <c r="AK206" s="724" t="s">
        <v>677</v>
      </c>
      <c r="AL206" s="724"/>
      <c r="AM206" s="724"/>
      <c r="AN206" s="724"/>
      <c r="AO206" s="724"/>
      <c r="AP206" s="724"/>
      <c r="AQ206" s="724"/>
      <c r="AR206" s="726"/>
      <c r="AS206" s="724"/>
      <c r="AT206" s="726"/>
      <c r="AU206" s="724" t="s">
        <v>678</v>
      </c>
      <c r="AV206" s="724" t="s">
        <v>677</v>
      </c>
      <c r="AW206" s="724" t="s">
        <v>676</v>
      </c>
      <c r="AX206" s="724" t="s">
        <v>674</v>
      </c>
      <c r="AY206" s="724"/>
      <c r="AZ206" s="724"/>
      <c r="BA206" s="724" t="s">
        <v>679</v>
      </c>
      <c r="BB206" s="724"/>
      <c r="BC206" s="724"/>
      <c r="BD206" s="724"/>
      <c r="BE206" s="726"/>
      <c r="BF206" s="724" t="s">
        <v>298</v>
      </c>
      <c r="BG206" s="724" t="s">
        <v>680</v>
      </c>
      <c r="BH206" s="724" t="s">
        <v>681</v>
      </c>
      <c r="BI206" s="724"/>
    </row>
    <row r="207" spans="1:61">
      <c r="A207" s="724" t="s">
        <v>728</v>
      </c>
      <c r="B207" s="724" t="s">
        <v>728</v>
      </c>
      <c r="C207" s="724" t="s">
        <v>730</v>
      </c>
      <c r="D207" s="724" t="s">
        <v>673</v>
      </c>
      <c r="E207" s="724" t="s">
        <v>3</v>
      </c>
      <c r="F207" s="725" t="s">
        <v>7</v>
      </c>
      <c r="G207" s="725" t="s">
        <v>684</v>
      </c>
      <c r="H207" s="726">
        <v>326417</v>
      </c>
      <c r="I207" s="726">
        <v>326417</v>
      </c>
      <c r="J207" s="726">
        <v>0</v>
      </c>
      <c r="K207" s="726">
        <v>0</v>
      </c>
      <c r="L207" s="726">
        <v>326417</v>
      </c>
      <c r="M207" s="726">
        <v>0</v>
      </c>
      <c r="N207" s="726">
        <v>0</v>
      </c>
      <c r="O207" s="726">
        <v>0</v>
      </c>
      <c r="P207" s="726">
        <v>0</v>
      </c>
      <c r="Q207" s="726">
        <v>0</v>
      </c>
      <c r="R207" s="726">
        <v>0</v>
      </c>
      <c r="S207" s="726">
        <v>0</v>
      </c>
      <c r="T207" s="726">
        <v>0</v>
      </c>
      <c r="U207" s="726">
        <v>0</v>
      </c>
      <c r="V207" s="726">
        <v>0</v>
      </c>
      <c r="W207" s="726">
        <v>0</v>
      </c>
      <c r="X207" s="724" t="s">
        <v>674</v>
      </c>
      <c r="Y207" s="724" t="s">
        <v>1226</v>
      </c>
      <c r="Z207" s="724" t="s">
        <v>1226</v>
      </c>
      <c r="AA207" s="724" t="s">
        <v>675</v>
      </c>
      <c r="AB207" s="724" t="s">
        <v>675</v>
      </c>
      <c r="AC207" s="724"/>
      <c r="AD207" s="724"/>
      <c r="AE207" s="724"/>
      <c r="AF207" s="724"/>
      <c r="AG207" s="725" t="s">
        <v>737</v>
      </c>
      <c r="AH207" s="724"/>
      <c r="AI207" s="725" t="s">
        <v>737</v>
      </c>
      <c r="AJ207" s="725" t="s">
        <v>677</v>
      </c>
      <c r="AK207" s="724" t="s">
        <v>677</v>
      </c>
      <c r="AL207" s="724"/>
      <c r="AM207" s="724"/>
      <c r="AN207" s="724"/>
      <c r="AO207" s="724"/>
      <c r="AP207" s="724"/>
      <c r="AQ207" s="724"/>
      <c r="AR207" s="726"/>
      <c r="AS207" s="724"/>
      <c r="AT207" s="726"/>
      <c r="AU207" s="724" t="s">
        <v>678</v>
      </c>
      <c r="AV207" s="724" t="s">
        <v>677</v>
      </c>
      <c r="AW207" s="724" t="s">
        <v>676</v>
      </c>
      <c r="AX207" s="724" t="s">
        <v>674</v>
      </c>
      <c r="AY207" s="724"/>
      <c r="AZ207" s="724"/>
      <c r="BA207" s="724" t="s">
        <v>679</v>
      </c>
      <c r="BB207" s="724"/>
      <c r="BC207" s="724"/>
      <c r="BD207" s="724"/>
      <c r="BE207" s="726"/>
      <c r="BF207" s="724" t="s">
        <v>298</v>
      </c>
      <c r="BG207" s="724" t="s">
        <v>680</v>
      </c>
      <c r="BH207" s="724" t="s">
        <v>681</v>
      </c>
      <c r="BI207" s="724"/>
    </row>
    <row r="208" spans="1:61">
      <c r="A208" s="724" t="s">
        <v>728</v>
      </c>
      <c r="B208" s="724" t="s">
        <v>728</v>
      </c>
      <c r="C208" s="724" t="s">
        <v>730</v>
      </c>
      <c r="D208" s="724" t="s">
        <v>673</v>
      </c>
      <c r="E208" s="724" t="s">
        <v>3</v>
      </c>
      <c r="F208" s="725" t="s">
        <v>7</v>
      </c>
      <c r="G208" s="725" t="s">
        <v>684</v>
      </c>
      <c r="H208" s="726">
        <v>368340</v>
      </c>
      <c r="I208" s="726">
        <v>368340</v>
      </c>
      <c r="J208" s="726">
        <v>0</v>
      </c>
      <c r="K208" s="726">
        <v>0</v>
      </c>
      <c r="L208" s="726">
        <v>368340</v>
      </c>
      <c r="M208" s="726">
        <v>0</v>
      </c>
      <c r="N208" s="726">
        <v>0</v>
      </c>
      <c r="O208" s="726">
        <v>0</v>
      </c>
      <c r="P208" s="726">
        <v>0</v>
      </c>
      <c r="Q208" s="726">
        <v>0</v>
      </c>
      <c r="R208" s="726">
        <v>0</v>
      </c>
      <c r="S208" s="726">
        <v>0</v>
      </c>
      <c r="T208" s="726">
        <v>0</v>
      </c>
      <c r="U208" s="726">
        <v>0</v>
      </c>
      <c r="V208" s="726">
        <v>0</v>
      </c>
      <c r="W208" s="726">
        <v>0</v>
      </c>
      <c r="X208" s="724" t="s">
        <v>674</v>
      </c>
      <c r="Y208" s="724" t="s">
        <v>1226</v>
      </c>
      <c r="Z208" s="724" t="s">
        <v>1226</v>
      </c>
      <c r="AA208" s="724" t="s">
        <v>675</v>
      </c>
      <c r="AB208" s="724" t="s">
        <v>675</v>
      </c>
      <c r="AC208" s="724"/>
      <c r="AD208" s="724"/>
      <c r="AE208" s="724"/>
      <c r="AF208" s="724"/>
      <c r="AG208" s="725" t="s">
        <v>738</v>
      </c>
      <c r="AH208" s="724"/>
      <c r="AI208" s="725" t="s">
        <v>738</v>
      </c>
      <c r="AJ208" s="725" t="s">
        <v>677</v>
      </c>
      <c r="AK208" s="724" t="s">
        <v>677</v>
      </c>
      <c r="AL208" s="724"/>
      <c r="AM208" s="724"/>
      <c r="AN208" s="724"/>
      <c r="AO208" s="724"/>
      <c r="AP208" s="724"/>
      <c r="AQ208" s="724"/>
      <c r="AR208" s="726"/>
      <c r="AS208" s="724"/>
      <c r="AT208" s="726"/>
      <c r="AU208" s="724" t="s">
        <v>678</v>
      </c>
      <c r="AV208" s="724" t="s">
        <v>677</v>
      </c>
      <c r="AW208" s="724" t="s">
        <v>676</v>
      </c>
      <c r="AX208" s="724" t="s">
        <v>674</v>
      </c>
      <c r="AY208" s="724"/>
      <c r="AZ208" s="724"/>
      <c r="BA208" s="724" t="s">
        <v>679</v>
      </c>
      <c r="BB208" s="724"/>
      <c r="BC208" s="724"/>
      <c r="BD208" s="724"/>
      <c r="BE208" s="726"/>
      <c r="BF208" s="724" t="s">
        <v>298</v>
      </c>
      <c r="BG208" s="724" t="s">
        <v>680</v>
      </c>
      <c r="BH208" s="724" t="s">
        <v>681</v>
      </c>
      <c r="BI208" s="724"/>
    </row>
    <row r="209" spans="1:61">
      <c r="A209" s="724" t="s">
        <v>728</v>
      </c>
      <c r="B209" s="724" t="s">
        <v>728</v>
      </c>
      <c r="C209" s="724" t="s">
        <v>730</v>
      </c>
      <c r="D209" s="724" t="s">
        <v>673</v>
      </c>
      <c r="E209" s="724" t="s">
        <v>3</v>
      </c>
      <c r="F209" s="725" t="s">
        <v>7</v>
      </c>
      <c r="G209" s="725" t="s">
        <v>684</v>
      </c>
      <c r="H209" s="726">
        <v>316700</v>
      </c>
      <c r="I209" s="726">
        <v>316700</v>
      </c>
      <c r="J209" s="726">
        <v>0</v>
      </c>
      <c r="K209" s="726">
        <v>0</v>
      </c>
      <c r="L209" s="726">
        <v>316700</v>
      </c>
      <c r="M209" s="726">
        <v>0</v>
      </c>
      <c r="N209" s="726">
        <v>0</v>
      </c>
      <c r="O209" s="726">
        <v>0</v>
      </c>
      <c r="P209" s="726">
        <v>0</v>
      </c>
      <c r="Q209" s="726">
        <v>0</v>
      </c>
      <c r="R209" s="726">
        <v>0</v>
      </c>
      <c r="S209" s="726">
        <v>0</v>
      </c>
      <c r="T209" s="726">
        <v>0</v>
      </c>
      <c r="U209" s="726">
        <v>0</v>
      </c>
      <c r="V209" s="726">
        <v>0</v>
      </c>
      <c r="W209" s="726">
        <v>0</v>
      </c>
      <c r="X209" s="724" t="s">
        <v>674</v>
      </c>
      <c r="Y209" s="724" t="s">
        <v>1226</v>
      </c>
      <c r="Z209" s="724" t="s">
        <v>1226</v>
      </c>
      <c r="AA209" s="724" t="s">
        <v>675</v>
      </c>
      <c r="AB209" s="724" t="s">
        <v>675</v>
      </c>
      <c r="AC209" s="724"/>
      <c r="AD209" s="724"/>
      <c r="AE209" s="724"/>
      <c r="AF209" s="724"/>
      <c r="AG209" s="725" t="s">
        <v>739</v>
      </c>
      <c r="AH209" s="724"/>
      <c r="AI209" s="725" t="s">
        <v>739</v>
      </c>
      <c r="AJ209" s="725" t="s">
        <v>677</v>
      </c>
      <c r="AK209" s="724" t="s">
        <v>677</v>
      </c>
      <c r="AL209" s="724"/>
      <c r="AM209" s="724"/>
      <c r="AN209" s="724"/>
      <c r="AO209" s="724"/>
      <c r="AP209" s="724"/>
      <c r="AQ209" s="724"/>
      <c r="AR209" s="726"/>
      <c r="AS209" s="724"/>
      <c r="AT209" s="726"/>
      <c r="AU209" s="724" t="s">
        <v>678</v>
      </c>
      <c r="AV209" s="724" t="s">
        <v>677</v>
      </c>
      <c r="AW209" s="724" t="s">
        <v>676</v>
      </c>
      <c r="AX209" s="724" t="s">
        <v>674</v>
      </c>
      <c r="AY209" s="724"/>
      <c r="AZ209" s="724"/>
      <c r="BA209" s="724" t="s">
        <v>679</v>
      </c>
      <c r="BB209" s="724"/>
      <c r="BC209" s="724"/>
      <c r="BD209" s="724"/>
      <c r="BE209" s="726"/>
      <c r="BF209" s="724" t="s">
        <v>298</v>
      </c>
      <c r="BG209" s="724" t="s">
        <v>680</v>
      </c>
      <c r="BH209" s="724" t="s">
        <v>681</v>
      </c>
      <c r="BI209" s="724"/>
    </row>
    <row r="210" spans="1:61">
      <c r="A210" s="724" t="s">
        <v>728</v>
      </c>
      <c r="B210" s="724" t="s">
        <v>728</v>
      </c>
      <c r="C210" s="724" t="s">
        <v>730</v>
      </c>
      <c r="D210" s="724" t="s">
        <v>673</v>
      </c>
      <c r="E210" s="724" t="s">
        <v>3</v>
      </c>
      <c r="F210" s="725" t="s">
        <v>7</v>
      </c>
      <c r="G210" s="725" t="s">
        <v>684</v>
      </c>
      <c r="H210" s="726">
        <v>274240</v>
      </c>
      <c r="I210" s="726">
        <v>274240</v>
      </c>
      <c r="J210" s="726">
        <v>0</v>
      </c>
      <c r="K210" s="726">
        <v>0</v>
      </c>
      <c r="L210" s="726">
        <v>274240</v>
      </c>
      <c r="M210" s="726">
        <v>0</v>
      </c>
      <c r="N210" s="726">
        <v>0</v>
      </c>
      <c r="O210" s="726">
        <v>0</v>
      </c>
      <c r="P210" s="726">
        <v>0</v>
      </c>
      <c r="Q210" s="726">
        <v>0</v>
      </c>
      <c r="R210" s="726">
        <v>0</v>
      </c>
      <c r="S210" s="726">
        <v>0</v>
      </c>
      <c r="T210" s="726">
        <v>0</v>
      </c>
      <c r="U210" s="726">
        <v>0</v>
      </c>
      <c r="V210" s="726">
        <v>0</v>
      </c>
      <c r="W210" s="726">
        <v>0</v>
      </c>
      <c r="X210" s="724" t="s">
        <v>674</v>
      </c>
      <c r="Y210" s="724" t="s">
        <v>1226</v>
      </c>
      <c r="Z210" s="724" t="s">
        <v>1226</v>
      </c>
      <c r="AA210" s="724" t="s">
        <v>675</v>
      </c>
      <c r="AB210" s="724" t="s">
        <v>675</v>
      </c>
      <c r="AC210" s="724"/>
      <c r="AD210" s="724"/>
      <c r="AE210" s="724"/>
      <c r="AF210" s="724"/>
      <c r="AG210" s="725" t="s">
        <v>738</v>
      </c>
      <c r="AH210" s="724"/>
      <c r="AI210" s="725" t="s">
        <v>738</v>
      </c>
      <c r="AJ210" s="725" t="s">
        <v>677</v>
      </c>
      <c r="AK210" s="724" t="s">
        <v>677</v>
      </c>
      <c r="AL210" s="724"/>
      <c r="AM210" s="724"/>
      <c r="AN210" s="724"/>
      <c r="AO210" s="724"/>
      <c r="AP210" s="724"/>
      <c r="AQ210" s="724"/>
      <c r="AR210" s="726"/>
      <c r="AS210" s="724"/>
      <c r="AT210" s="726"/>
      <c r="AU210" s="724" t="s">
        <v>678</v>
      </c>
      <c r="AV210" s="724" t="s">
        <v>677</v>
      </c>
      <c r="AW210" s="724" t="s">
        <v>676</v>
      </c>
      <c r="AX210" s="724" t="s">
        <v>674</v>
      </c>
      <c r="AY210" s="724"/>
      <c r="AZ210" s="724"/>
      <c r="BA210" s="724" t="s">
        <v>679</v>
      </c>
      <c r="BB210" s="724"/>
      <c r="BC210" s="724"/>
      <c r="BD210" s="724"/>
      <c r="BE210" s="726"/>
      <c r="BF210" s="724" t="s">
        <v>298</v>
      </c>
      <c r="BG210" s="724" t="s">
        <v>680</v>
      </c>
      <c r="BH210" s="724" t="s">
        <v>681</v>
      </c>
      <c r="BI210" s="724"/>
    </row>
    <row r="211" spans="1:61">
      <c r="A211" s="724" t="s">
        <v>728</v>
      </c>
      <c r="B211" s="724" t="s">
        <v>728</v>
      </c>
      <c r="C211" s="724" t="s">
        <v>730</v>
      </c>
      <c r="D211" s="724" t="s">
        <v>673</v>
      </c>
      <c r="E211" s="724" t="s">
        <v>3</v>
      </c>
      <c r="F211" s="725" t="s">
        <v>7</v>
      </c>
      <c r="G211" s="725" t="s">
        <v>684</v>
      </c>
      <c r="H211" s="726">
        <v>72840</v>
      </c>
      <c r="I211" s="726">
        <v>72840</v>
      </c>
      <c r="J211" s="726">
        <v>0</v>
      </c>
      <c r="K211" s="726">
        <v>0</v>
      </c>
      <c r="L211" s="726">
        <v>72840</v>
      </c>
      <c r="M211" s="726">
        <v>0</v>
      </c>
      <c r="N211" s="726">
        <v>0</v>
      </c>
      <c r="O211" s="726">
        <v>0</v>
      </c>
      <c r="P211" s="726">
        <v>0</v>
      </c>
      <c r="Q211" s="726">
        <v>0</v>
      </c>
      <c r="R211" s="726">
        <v>0</v>
      </c>
      <c r="S211" s="726">
        <v>0</v>
      </c>
      <c r="T211" s="726">
        <v>0</v>
      </c>
      <c r="U211" s="726">
        <v>0</v>
      </c>
      <c r="V211" s="726">
        <v>0</v>
      </c>
      <c r="W211" s="726">
        <v>0</v>
      </c>
      <c r="X211" s="724" t="s">
        <v>674</v>
      </c>
      <c r="Y211" s="724" t="s">
        <v>675</v>
      </c>
      <c r="Z211" s="724" t="s">
        <v>675</v>
      </c>
      <c r="AA211" s="724" t="s">
        <v>675</v>
      </c>
      <c r="AB211" s="724" t="s">
        <v>675</v>
      </c>
      <c r="AC211" s="724"/>
      <c r="AD211" s="724"/>
      <c r="AE211" s="724"/>
      <c r="AF211" s="724"/>
      <c r="AG211" s="725" t="s">
        <v>740</v>
      </c>
      <c r="AH211" s="724"/>
      <c r="AI211" s="725" t="s">
        <v>740</v>
      </c>
      <c r="AJ211" s="725" t="s">
        <v>677</v>
      </c>
      <c r="AK211" s="724" t="s">
        <v>677</v>
      </c>
      <c r="AL211" s="724"/>
      <c r="AM211" s="724"/>
      <c r="AN211" s="724"/>
      <c r="AO211" s="724"/>
      <c r="AP211" s="724"/>
      <c r="AQ211" s="724"/>
      <c r="AR211" s="726"/>
      <c r="AS211" s="724"/>
      <c r="AT211" s="726"/>
      <c r="AU211" s="724" t="s">
        <v>678</v>
      </c>
      <c r="AV211" s="724" t="s">
        <v>677</v>
      </c>
      <c r="AW211" s="724" t="s">
        <v>676</v>
      </c>
      <c r="AX211" s="724" t="s">
        <v>674</v>
      </c>
      <c r="AY211" s="724"/>
      <c r="AZ211" s="724"/>
      <c r="BA211" s="724" t="s">
        <v>679</v>
      </c>
      <c r="BB211" s="724"/>
      <c r="BC211" s="724"/>
      <c r="BD211" s="724"/>
      <c r="BE211" s="726"/>
      <c r="BF211" s="724" t="s">
        <v>298</v>
      </c>
      <c r="BG211" s="724" t="s">
        <v>680</v>
      </c>
      <c r="BH211" s="724" t="s">
        <v>681</v>
      </c>
      <c r="BI211" s="724"/>
    </row>
    <row r="212" spans="1:61">
      <c r="A212" s="724" t="s">
        <v>728</v>
      </c>
      <c r="B212" s="724" t="s">
        <v>728</v>
      </c>
      <c r="C212" s="724" t="s">
        <v>730</v>
      </c>
      <c r="D212" s="724" t="s">
        <v>673</v>
      </c>
      <c r="E212" s="724" t="s">
        <v>3</v>
      </c>
      <c r="F212" s="725" t="s">
        <v>7</v>
      </c>
      <c r="G212" s="725" t="s">
        <v>684</v>
      </c>
      <c r="H212" s="726">
        <v>425360</v>
      </c>
      <c r="I212" s="726">
        <v>425360</v>
      </c>
      <c r="J212" s="726">
        <v>0</v>
      </c>
      <c r="K212" s="726">
        <v>0</v>
      </c>
      <c r="L212" s="726">
        <v>425360</v>
      </c>
      <c r="M212" s="726">
        <v>0</v>
      </c>
      <c r="N212" s="726">
        <v>0</v>
      </c>
      <c r="O212" s="726">
        <v>0</v>
      </c>
      <c r="P212" s="726">
        <v>0</v>
      </c>
      <c r="Q212" s="726">
        <v>0</v>
      </c>
      <c r="R212" s="726">
        <v>0</v>
      </c>
      <c r="S212" s="726">
        <v>0</v>
      </c>
      <c r="T212" s="726">
        <v>0</v>
      </c>
      <c r="U212" s="726">
        <v>0</v>
      </c>
      <c r="V212" s="726">
        <v>0</v>
      </c>
      <c r="W212" s="726">
        <v>0</v>
      </c>
      <c r="X212" s="724" t="s">
        <v>674</v>
      </c>
      <c r="Y212" s="724" t="s">
        <v>1226</v>
      </c>
      <c r="Z212" s="724" t="s">
        <v>1226</v>
      </c>
      <c r="AA212" s="724" t="s">
        <v>675</v>
      </c>
      <c r="AB212" s="724" t="s">
        <v>675</v>
      </c>
      <c r="AC212" s="724"/>
      <c r="AD212" s="724"/>
      <c r="AE212" s="724"/>
      <c r="AF212" s="724"/>
      <c r="AG212" s="725" t="s">
        <v>739</v>
      </c>
      <c r="AH212" s="724"/>
      <c r="AI212" s="725" t="s">
        <v>739</v>
      </c>
      <c r="AJ212" s="725" t="s">
        <v>677</v>
      </c>
      <c r="AK212" s="724" t="s">
        <v>677</v>
      </c>
      <c r="AL212" s="724"/>
      <c r="AM212" s="724"/>
      <c r="AN212" s="724"/>
      <c r="AO212" s="724"/>
      <c r="AP212" s="724"/>
      <c r="AQ212" s="724"/>
      <c r="AR212" s="726"/>
      <c r="AS212" s="724"/>
      <c r="AT212" s="726"/>
      <c r="AU212" s="724" t="s">
        <v>678</v>
      </c>
      <c r="AV212" s="724" t="s">
        <v>677</v>
      </c>
      <c r="AW212" s="724" t="s">
        <v>676</v>
      </c>
      <c r="AX212" s="724" t="s">
        <v>674</v>
      </c>
      <c r="AY212" s="724"/>
      <c r="AZ212" s="724"/>
      <c r="BA212" s="724" t="s">
        <v>679</v>
      </c>
      <c r="BB212" s="724"/>
      <c r="BC212" s="724"/>
      <c r="BD212" s="724"/>
      <c r="BE212" s="726"/>
      <c r="BF212" s="724" t="s">
        <v>298</v>
      </c>
      <c r="BG212" s="724" t="s">
        <v>680</v>
      </c>
      <c r="BH212" s="724" t="s">
        <v>681</v>
      </c>
      <c r="BI212" s="724"/>
    </row>
    <row r="213" spans="1:61">
      <c r="A213" s="724" t="s">
        <v>728</v>
      </c>
      <c r="B213" s="724" t="s">
        <v>728</v>
      </c>
      <c r="C213" s="724" t="s">
        <v>730</v>
      </c>
      <c r="D213" s="724" t="s">
        <v>673</v>
      </c>
      <c r="E213" s="724" t="s">
        <v>3</v>
      </c>
      <c r="F213" s="725" t="s">
        <v>7</v>
      </c>
      <c r="G213" s="725" t="s">
        <v>684</v>
      </c>
      <c r="H213" s="726">
        <v>3347790</v>
      </c>
      <c r="I213" s="726">
        <v>3347790</v>
      </c>
      <c r="J213" s="726">
        <v>0</v>
      </c>
      <c r="K213" s="726">
        <v>0</v>
      </c>
      <c r="L213" s="726">
        <v>3347790</v>
      </c>
      <c r="M213" s="726">
        <v>0</v>
      </c>
      <c r="N213" s="726">
        <v>0</v>
      </c>
      <c r="O213" s="726">
        <v>0</v>
      </c>
      <c r="P213" s="726">
        <v>0</v>
      </c>
      <c r="Q213" s="726">
        <v>0</v>
      </c>
      <c r="R213" s="726">
        <v>0</v>
      </c>
      <c r="S213" s="726">
        <v>0</v>
      </c>
      <c r="T213" s="726">
        <v>0</v>
      </c>
      <c r="U213" s="726">
        <v>0</v>
      </c>
      <c r="V213" s="726">
        <v>0</v>
      </c>
      <c r="W213" s="726">
        <v>0</v>
      </c>
      <c r="X213" s="724" t="s">
        <v>674</v>
      </c>
      <c r="Y213" s="724" t="s">
        <v>1226</v>
      </c>
      <c r="Z213" s="724" t="s">
        <v>1226</v>
      </c>
      <c r="AA213" s="724" t="s">
        <v>675</v>
      </c>
      <c r="AB213" s="724" t="s">
        <v>675</v>
      </c>
      <c r="AC213" s="724"/>
      <c r="AD213" s="724"/>
      <c r="AE213" s="724"/>
      <c r="AF213" s="724"/>
      <c r="AG213" s="725" t="s">
        <v>741</v>
      </c>
      <c r="AH213" s="724"/>
      <c r="AI213" s="725" t="s">
        <v>741</v>
      </c>
      <c r="AJ213" s="725" t="s">
        <v>677</v>
      </c>
      <c r="AK213" s="724" t="s">
        <v>677</v>
      </c>
      <c r="AL213" s="724"/>
      <c r="AM213" s="724"/>
      <c r="AN213" s="724"/>
      <c r="AO213" s="724"/>
      <c r="AP213" s="724"/>
      <c r="AQ213" s="724"/>
      <c r="AR213" s="726"/>
      <c r="AS213" s="724"/>
      <c r="AT213" s="726"/>
      <c r="AU213" s="724" t="s">
        <v>678</v>
      </c>
      <c r="AV213" s="724" t="s">
        <v>677</v>
      </c>
      <c r="AW213" s="724" t="s">
        <v>676</v>
      </c>
      <c r="AX213" s="724" t="s">
        <v>674</v>
      </c>
      <c r="AY213" s="724"/>
      <c r="AZ213" s="724"/>
      <c r="BA213" s="724" t="s">
        <v>679</v>
      </c>
      <c r="BB213" s="724"/>
      <c r="BC213" s="724"/>
      <c r="BD213" s="724"/>
      <c r="BE213" s="726"/>
      <c r="BF213" s="724" t="s">
        <v>298</v>
      </c>
      <c r="BG213" s="724" t="s">
        <v>680</v>
      </c>
      <c r="BH213" s="724" t="s">
        <v>681</v>
      </c>
      <c r="BI213" s="724"/>
    </row>
    <row r="214" spans="1:61">
      <c r="A214" s="724" t="s">
        <v>728</v>
      </c>
      <c r="B214" s="724" t="s">
        <v>728</v>
      </c>
      <c r="C214" s="724" t="s">
        <v>730</v>
      </c>
      <c r="D214" s="724" t="s">
        <v>673</v>
      </c>
      <c r="E214" s="724" t="s">
        <v>3</v>
      </c>
      <c r="F214" s="725" t="s">
        <v>7</v>
      </c>
      <c r="G214" s="725" t="s">
        <v>684</v>
      </c>
      <c r="H214" s="726">
        <v>200870</v>
      </c>
      <c r="I214" s="726">
        <v>200870</v>
      </c>
      <c r="J214" s="726">
        <v>0</v>
      </c>
      <c r="K214" s="726">
        <v>0</v>
      </c>
      <c r="L214" s="726">
        <v>200870</v>
      </c>
      <c r="M214" s="726">
        <v>0</v>
      </c>
      <c r="N214" s="726">
        <v>0</v>
      </c>
      <c r="O214" s="726">
        <v>0</v>
      </c>
      <c r="P214" s="726">
        <v>0</v>
      </c>
      <c r="Q214" s="726">
        <v>0</v>
      </c>
      <c r="R214" s="726">
        <v>0</v>
      </c>
      <c r="S214" s="726">
        <v>0</v>
      </c>
      <c r="T214" s="726">
        <v>0</v>
      </c>
      <c r="U214" s="726">
        <v>0</v>
      </c>
      <c r="V214" s="726">
        <v>0</v>
      </c>
      <c r="W214" s="726">
        <v>0</v>
      </c>
      <c r="X214" s="724" t="s">
        <v>674</v>
      </c>
      <c r="Y214" s="724" t="s">
        <v>1226</v>
      </c>
      <c r="Z214" s="724" t="s">
        <v>1226</v>
      </c>
      <c r="AA214" s="724" t="s">
        <v>675</v>
      </c>
      <c r="AB214" s="724" t="s">
        <v>675</v>
      </c>
      <c r="AC214" s="724"/>
      <c r="AD214" s="724"/>
      <c r="AE214" s="724"/>
      <c r="AF214" s="724"/>
      <c r="AG214" s="725" t="s">
        <v>740</v>
      </c>
      <c r="AH214" s="724"/>
      <c r="AI214" s="725" t="s">
        <v>740</v>
      </c>
      <c r="AJ214" s="725" t="s">
        <v>677</v>
      </c>
      <c r="AK214" s="724" t="s">
        <v>677</v>
      </c>
      <c r="AL214" s="724"/>
      <c r="AM214" s="724"/>
      <c r="AN214" s="724"/>
      <c r="AO214" s="724"/>
      <c r="AP214" s="724"/>
      <c r="AQ214" s="724"/>
      <c r="AR214" s="726"/>
      <c r="AS214" s="724"/>
      <c r="AT214" s="726"/>
      <c r="AU214" s="724" t="s">
        <v>678</v>
      </c>
      <c r="AV214" s="724" t="s">
        <v>677</v>
      </c>
      <c r="AW214" s="724" t="s">
        <v>676</v>
      </c>
      <c r="AX214" s="724" t="s">
        <v>674</v>
      </c>
      <c r="AY214" s="724"/>
      <c r="AZ214" s="724"/>
      <c r="BA214" s="724" t="s">
        <v>679</v>
      </c>
      <c r="BB214" s="724"/>
      <c r="BC214" s="724"/>
      <c r="BD214" s="724"/>
      <c r="BE214" s="726"/>
      <c r="BF214" s="724" t="s">
        <v>298</v>
      </c>
      <c r="BG214" s="724" t="s">
        <v>680</v>
      </c>
      <c r="BH214" s="724" t="s">
        <v>681</v>
      </c>
      <c r="BI214" s="724"/>
    </row>
    <row r="215" spans="1:61">
      <c r="A215" s="724" t="s">
        <v>728</v>
      </c>
      <c r="B215" s="724" t="s">
        <v>728</v>
      </c>
      <c r="C215" s="724" t="s">
        <v>730</v>
      </c>
      <c r="D215" s="724" t="s">
        <v>673</v>
      </c>
      <c r="E215" s="724" t="s">
        <v>3</v>
      </c>
      <c r="F215" s="725" t="s">
        <v>7</v>
      </c>
      <c r="G215" s="725" t="s">
        <v>684</v>
      </c>
      <c r="H215" s="726">
        <v>243050</v>
      </c>
      <c r="I215" s="726">
        <v>243050</v>
      </c>
      <c r="J215" s="726">
        <v>0</v>
      </c>
      <c r="K215" s="726">
        <v>0</v>
      </c>
      <c r="L215" s="726">
        <v>243050</v>
      </c>
      <c r="M215" s="726">
        <v>0</v>
      </c>
      <c r="N215" s="726">
        <v>0</v>
      </c>
      <c r="O215" s="726">
        <v>0</v>
      </c>
      <c r="P215" s="726">
        <v>0</v>
      </c>
      <c r="Q215" s="726">
        <v>0</v>
      </c>
      <c r="R215" s="726">
        <v>0</v>
      </c>
      <c r="S215" s="726">
        <v>0</v>
      </c>
      <c r="T215" s="726">
        <v>0</v>
      </c>
      <c r="U215" s="726">
        <v>0</v>
      </c>
      <c r="V215" s="726">
        <v>0</v>
      </c>
      <c r="W215" s="726">
        <v>0</v>
      </c>
      <c r="X215" s="724" t="s">
        <v>674</v>
      </c>
      <c r="Y215" s="724" t="s">
        <v>1226</v>
      </c>
      <c r="Z215" s="724" t="s">
        <v>1226</v>
      </c>
      <c r="AA215" s="724" t="s">
        <v>675</v>
      </c>
      <c r="AB215" s="724" t="s">
        <v>675</v>
      </c>
      <c r="AC215" s="724"/>
      <c r="AD215" s="724"/>
      <c r="AE215" s="724"/>
      <c r="AF215" s="724"/>
      <c r="AG215" s="725" t="s">
        <v>737</v>
      </c>
      <c r="AH215" s="724"/>
      <c r="AI215" s="725" t="s">
        <v>737</v>
      </c>
      <c r="AJ215" s="725" t="s">
        <v>677</v>
      </c>
      <c r="AK215" s="724" t="s">
        <v>677</v>
      </c>
      <c r="AL215" s="724"/>
      <c r="AM215" s="724"/>
      <c r="AN215" s="724"/>
      <c r="AO215" s="724"/>
      <c r="AP215" s="724"/>
      <c r="AQ215" s="724"/>
      <c r="AR215" s="726"/>
      <c r="AS215" s="724"/>
      <c r="AT215" s="726"/>
      <c r="AU215" s="724" t="s">
        <v>678</v>
      </c>
      <c r="AV215" s="724" t="s">
        <v>677</v>
      </c>
      <c r="AW215" s="724" t="s">
        <v>676</v>
      </c>
      <c r="AX215" s="724" t="s">
        <v>674</v>
      </c>
      <c r="AY215" s="724"/>
      <c r="AZ215" s="724"/>
      <c r="BA215" s="724" t="s">
        <v>679</v>
      </c>
      <c r="BB215" s="724"/>
      <c r="BC215" s="724"/>
      <c r="BD215" s="724"/>
      <c r="BE215" s="726"/>
      <c r="BF215" s="724" t="s">
        <v>298</v>
      </c>
      <c r="BG215" s="724" t="s">
        <v>680</v>
      </c>
      <c r="BH215" s="724" t="s">
        <v>681</v>
      </c>
      <c r="BI215" s="724"/>
    </row>
    <row r="216" spans="1:61">
      <c r="A216" s="724" t="s">
        <v>728</v>
      </c>
      <c r="B216" s="724" t="s">
        <v>728</v>
      </c>
      <c r="C216" s="724" t="s">
        <v>730</v>
      </c>
      <c r="D216" s="724" t="s">
        <v>673</v>
      </c>
      <c r="E216" s="724" t="s">
        <v>3</v>
      </c>
      <c r="F216" s="725" t="s">
        <v>7</v>
      </c>
      <c r="G216" s="725" t="s">
        <v>684</v>
      </c>
      <c r="H216" s="726">
        <v>2569587</v>
      </c>
      <c r="I216" s="726">
        <v>2569587</v>
      </c>
      <c r="J216" s="726">
        <v>0</v>
      </c>
      <c r="K216" s="726">
        <v>0</v>
      </c>
      <c r="L216" s="726">
        <v>2569587</v>
      </c>
      <c r="M216" s="726">
        <v>0</v>
      </c>
      <c r="N216" s="726">
        <v>0</v>
      </c>
      <c r="O216" s="726">
        <v>0</v>
      </c>
      <c r="P216" s="726">
        <v>0</v>
      </c>
      <c r="Q216" s="726">
        <v>0</v>
      </c>
      <c r="R216" s="726">
        <v>0</v>
      </c>
      <c r="S216" s="726">
        <v>0</v>
      </c>
      <c r="T216" s="726">
        <v>0</v>
      </c>
      <c r="U216" s="726">
        <v>0</v>
      </c>
      <c r="V216" s="726">
        <v>0</v>
      </c>
      <c r="W216" s="726">
        <v>0</v>
      </c>
      <c r="X216" s="724" t="s">
        <v>674</v>
      </c>
      <c r="Y216" s="724" t="s">
        <v>1226</v>
      </c>
      <c r="Z216" s="724" t="s">
        <v>1226</v>
      </c>
      <c r="AA216" s="724" t="s">
        <v>675</v>
      </c>
      <c r="AB216" s="724" t="s">
        <v>675</v>
      </c>
      <c r="AC216" s="724"/>
      <c r="AD216" s="724"/>
      <c r="AE216" s="724"/>
      <c r="AF216" s="724"/>
      <c r="AG216" s="725" t="s">
        <v>741</v>
      </c>
      <c r="AH216" s="724"/>
      <c r="AI216" s="725" t="s">
        <v>741</v>
      </c>
      <c r="AJ216" s="725" t="s">
        <v>677</v>
      </c>
      <c r="AK216" s="724" t="s">
        <v>677</v>
      </c>
      <c r="AL216" s="724"/>
      <c r="AM216" s="724"/>
      <c r="AN216" s="724"/>
      <c r="AO216" s="724"/>
      <c r="AP216" s="724"/>
      <c r="AQ216" s="724"/>
      <c r="AR216" s="726"/>
      <c r="AS216" s="724"/>
      <c r="AT216" s="726"/>
      <c r="AU216" s="724" t="s">
        <v>678</v>
      </c>
      <c r="AV216" s="724" t="s">
        <v>677</v>
      </c>
      <c r="AW216" s="724" t="s">
        <v>676</v>
      </c>
      <c r="AX216" s="724" t="s">
        <v>674</v>
      </c>
      <c r="AY216" s="724"/>
      <c r="AZ216" s="724"/>
      <c r="BA216" s="724" t="s">
        <v>679</v>
      </c>
      <c r="BB216" s="724"/>
      <c r="BC216" s="724"/>
      <c r="BD216" s="724"/>
      <c r="BE216" s="726"/>
      <c r="BF216" s="724" t="s">
        <v>298</v>
      </c>
      <c r="BG216" s="724" t="s">
        <v>680</v>
      </c>
      <c r="BH216" s="724" t="s">
        <v>681</v>
      </c>
      <c r="BI216" s="724"/>
    </row>
    <row r="217" spans="1:61">
      <c r="A217" s="724" t="s">
        <v>728</v>
      </c>
      <c r="B217" s="724" t="s">
        <v>728</v>
      </c>
      <c r="C217" s="724" t="s">
        <v>730</v>
      </c>
      <c r="D217" s="724" t="s">
        <v>673</v>
      </c>
      <c r="E217" s="724" t="s">
        <v>3</v>
      </c>
      <c r="F217" s="725" t="s">
        <v>7</v>
      </c>
      <c r="G217" s="725" t="s">
        <v>684</v>
      </c>
      <c r="H217" s="726">
        <v>171354</v>
      </c>
      <c r="I217" s="726">
        <v>171354</v>
      </c>
      <c r="J217" s="726">
        <v>0</v>
      </c>
      <c r="K217" s="726">
        <v>0</v>
      </c>
      <c r="L217" s="726">
        <v>171354</v>
      </c>
      <c r="M217" s="726">
        <v>0</v>
      </c>
      <c r="N217" s="726">
        <v>0</v>
      </c>
      <c r="O217" s="726">
        <v>0</v>
      </c>
      <c r="P217" s="726">
        <v>0</v>
      </c>
      <c r="Q217" s="726">
        <v>0</v>
      </c>
      <c r="R217" s="726">
        <v>0</v>
      </c>
      <c r="S217" s="726">
        <v>0</v>
      </c>
      <c r="T217" s="726">
        <v>0</v>
      </c>
      <c r="U217" s="726">
        <v>0</v>
      </c>
      <c r="V217" s="726">
        <v>0</v>
      </c>
      <c r="W217" s="726">
        <v>0</v>
      </c>
      <c r="X217" s="724" t="s">
        <v>674</v>
      </c>
      <c r="Y217" s="724" t="s">
        <v>1226</v>
      </c>
      <c r="Z217" s="724" t="s">
        <v>1226</v>
      </c>
      <c r="AA217" s="724" t="s">
        <v>675</v>
      </c>
      <c r="AB217" s="724" t="s">
        <v>675</v>
      </c>
      <c r="AC217" s="724"/>
      <c r="AD217" s="724"/>
      <c r="AE217" s="724"/>
      <c r="AF217" s="724"/>
      <c r="AG217" s="725" t="s">
        <v>737</v>
      </c>
      <c r="AH217" s="724"/>
      <c r="AI217" s="725" t="s">
        <v>737</v>
      </c>
      <c r="AJ217" s="725" t="s">
        <v>677</v>
      </c>
      <c r="AK217" s="724" t="s">
        <v>677</v>
      </c>
      <c r="AL217" s="724"/>
      <c r="AM217" s="724"/>
      <c r="AN217" s="724"/>
      <c r="AO217" s="724"/>
      <c r="AP217" s="724"/>
      <c r="AQ217" s="724"/>
      <c r="AR217" s="726"/>
      <c r="AS217" s="724"/>
      <c r="AT217" s="726"/>
      <c r="AU217" s="724" t="s">
        <v>678</v>
      </c>
      <c r="AV217" s="724" t="s">
        <v>677</v>
      </c>
      <c r="AW217" s="724" t="s">
        <v>676</v>
      </c>
      <c r="AX217" s="724" t="s">
        <v>674</v>
      </c>
      <c r="AY217" s="724"/>
      <c r="AZ217" s="724"/>
      <c r="BA217" s="724" t="s">
        <v>679</v>
      </c>
      <c r="BB217" s="724"/>
      <c r="BC217" s="724"/>
      <c r="BD217" s="724"/>
      <c r="BE217" s="726"/>
      <c r="BF217" s="724" t="s">
        <v>298</v>
      </c>
      <c r="BG217" s="724" t="s">
        <v>680</v>
      </c>
      <c r="BH217" s="724" t="s">
        <v>681</v>
      </c>
      <c r="BI217" s="724"/>
    </row>
    <row r="218" spans="1:61">
      <c r="A218" s="724" t="s">
        <v>728</v>
      </c>
      <c r="B218" s="724" t="s">
        <v>728</v>
      </c>
      <c r="C218" s="724" t="s">
        <v>730</v>
      </c>
      <c r="D218" s="724" t="s">
        <v>673</v>
      </c>
      <c r="E218" s="724" t="s">
        <v>3</v>
      </c>
      <c r="F218" s="725" t="s">
        <v>7</v>
      </c>
      <c r="G218" s="725" t="s">
        <v>684</v>
      </c>
      <c r="H218" s="726">
        <v>223280</v>
      </c>
      <c r="I218" s="726">
        <v>223280</v>
      </c>
      <c r="J218" s="726">
        <v>0</v>
      </c>
      <c r="K218" s="726">
        <v>0</v>
      </c>
      <c r="L218" s="726">
        <v>223280</v>
      </c>
      <c r="M218" s="726">
        <v>0</v>
      </c>
      <c r="N218" s="726">
        <v>0</v>
      </c>
      <c r="O218" s="726">
        <v>0</v>
      </c>
      <c r="P218" s="726">
        <v>0</v>
      </c>
      <c r="Q218" s="726">
        <v>0</v>
      </c>
      <c r="R218" s="726">
        <v>0</v>
      </c>
      <c r="S218" s="726">
        <v>0</v>
      </c>
      <c r="T218" s="726">
        <v>0</v>
      </c>
      <c r="U218" s="726">
        <v>0</v>
      </c>
      <c r="V218" s="726">
        <v>0</v>
      </c>
      <c r="W218" s="726">
        <v>0</v>
      </c>
      <c r="X218" s="724" t="s">
        <v>674</v>
      </c>
      <c r="Y218" s="724" t="s">
        <v>1226</v>
      </c>
      <c r="Z218" s="724" t="s">
        <v>1226</v>
      </c>
      <c r="AA218" s="724" t="s">
        <v>675</v>
      </c>
      <c r="AB218" s="724" t="s">
        <v>675</v>
      </c>
      <c r="AC218" s="724"/>
      <c r="AD218" s="724"/>
      <c r="AE218" s="724"/>
      <c r="AF218" s="724"/>
      <c r="AG218" s="725" t="s">
        <v>739</v>
      </c>
      <c r="AH218" s="724"/>
      <c r="AI218" s="725" t="s">
        <v>739</v>
      </c>
      <c r="AJ218" s="725" t="s">
        <v>677</v>
      </c>
      <c r="AK218" s="724" t="s">
        <v>677</v>
      </c>
      <c r="AL218" s="724"/>
      <c r="AM218" s="724"/>
      <c r="AN218" s="724"/>
      <c r="AO218" s="724"/>
      <c r="AP218" s="724"/>
      <c r="AQ218" s="724"/>
      <c r="AR218" s="726"/>
      <c r="AS218" s="724"/>
      <c r="AT218" s="726"/>
      <c r="AU218" s="724" t="s">
        <v>678</v>
      </c>
      <c r="AV218" s="724" t="s">
        <v>677</v>
      </c>
      <c r="AW218" s="724" t="s">
        <v>676</v>
      </c>
      <c r="AX218" s="724" t="s">
        <v>674</v>
      </c>
      <c r="AY218" s="724"/>
      <c r="AZ218" s="724"/>
      <c r="BA218" s="724" t="s">
        <v>679</v>
      </c>
      <c r="BB218" s="724"/>
      <c r="BC218" s="724"/>
      <c r="BD218" s="724"/>
      <c r="BE218" s="726"/>
      <c r="BF218" s="724" t="s">
        <v>298</v>
      </c>
      <c r="BG218" s="724" t="s">
        <v>680</v>
      </c>
      <c r="BH218" s="724" t="s">
        <v>681</v>
      </c>
      <c r="BI218" s="724"/>
    </row>
    <row r="219" spans="1:61">
      <c r="A219" s="724" t="s">
        <v>728</v>
      </c>
      <c r="B219" s="724" t="s">
        <v>728</v>
      </c>
      <c r="C219" s="724" t="s">
        <v>730</v>
      </c>
      <c r="D219" s="724" t="s">
        <v>673</v>
      </c>
      <c r="E219" s="724" t="s">
        <v>3</v>
      </c>
      <c r="F219" s="725" t="s">
        <v>7</v>
      </c>
      <c r="G219" s="725" t="s">
        <v>684</v>
      </c>
      <c r="H219" s="726">
        <v>193340</v>
      </c>
      <c r="I219" s="726">
        <v>193340</v>
      </c>
      <c r="J219" s="726">
        <v>0</v>
      </c>
      <c r="K219" s="726">
        <v>0</v>
      </c>
      <c r="L219" s="726">
        <v>193340</v>
      </c>
      <c r="M219" s="726">
        <v>0</v>
      </c>
      <c r="N219" s="726">
        <v>0</v>
      </c>
      <c r="O219" s="726">
        <v>0</v>
      </c>
      <c r="P219" s="726">
        <v>0</v>
      </c>
      <c r="Q219" s="726">
        <v>0</v>
      </c>
      <c r="R219" s="726">
        <v>0</v>
      </c>
      <c r="S219" s="726">
        <v>0</v>
      </c>
      <c r="T219" s="726">
        <v>0</v>
      </c>
      <c r="U219" s="726">
        <v>0</v>
      </c>
      <c r="V219" s="726">
        <v>0</v>
      </c>
      <c r="W219" s="726">
        <v>0</v>
      </c>
      <c r="X219" s="724" t="s">
        <v>674</v>
      </c>
      <c r="Y219" s="724" t="s">
        <v>1226</v>
      </c>
      <c r="Z219" s="724" t="s">
        <v>1226</v>
      </c>
      <c r="AA219" s="724" t="s">
        <v>675</v>
      </c>
      <c r="AB219" s="724" t="s">
        <v>675</v>
      </c>
      <c r="AC219" s="724"/>
      <c r="AD219" s="724"/>
      <c r="AE219" s="724"/>
      <c r="AF219" s="724"/>
      <c r="AG219" s="725" t="s">
        <v>738</v>
      </c>
      <c r="AH219" s="724"/>
      <c r="AI219" s="725" t="s">
        <v>738</v>
      </c>
      <c r="AJ219" s="725" t="s">
        <v>677</v>
      </c>
      <c r="AK219" s="724" t="s">
        <v>677</v>
      </c>
      <c r="AL219" s="724"/>
      <c r="AM219" s="724"/>
      <c r="AN219" s="724"/>
      <c r="AO219" s="724"/>
      <c r="AP219" s="724"/>
      <c r="AQ219" s="724"/>
      <c r="AR219" s="726"/>
      <c r="AS219" s="724"/>
      <c r="AT219" s="726"/>
      <c r="AU219" s="724" t="s">
        <v>678</v>
      </c>
      <c r="AV219" s="724" t="s">
        <v>677</v>
      </c>
      <c r="AW219" s="724" t="s">
        <v>676</v>
      </c>
      <c r="AX219" s="724" t="s">
        <v>674</v>
      </c>
      <c r="AY219" s="724"/>
      <c r="AZ219" s="724"/>
      <c r="BA219" s="724" t="s">
        <v>679</v>
      </c>
      <c r="BB219" s="724"/>
      <c r="BC219" s="724"/>
      <c r="BD219" s="724"/>
      <c r="BE219" s="726"/>
      <c r="BF219" s="724" t="s">
        <v>298</v>
      </c>
      <c r="BG219" s="724" t="s">
        <v>680</v>
      </c>
      <c r="BH219" s="724" t="s">
        <v>681</v>
      </c>
      <c r="BI219" s="724"/>
    </row>
    <row r="220" spans="1:61">
      <c r="A220" s="724" t="s">
        <v>728</v>
      </c>
      <c r="B220" s="724" t="s">
        <v>728</v>
      </c>
      <c r="C220" s="724" t="s">
        <v>730</v>
      </c>
      <c r="D220" s="724" t="s">
        <v>673</v>
      </c>
      <c r="E220" s="724" t="s">
        <v>3</v>
      </c>
      <c r="F220" s="725" t="s">
        <v>7</v>
      </c>
      <c r="G220" s="725" t="s">
        <v>684</v>
      </c>
      <c r="H220" s="726">
        <v>23240</v>
      </c>
      <c r="I220" s="726">
        <v>23240</v>
      </c>
      <c r="J220" s="726">
        <v>0</v>
      </c>
      <c r="K220" s="726">
        <v>0</v>
      </c>
      <c r="L220" s="726">
        <v>23240</v>
      </c>
      <c r="M220" s="726">
        <v>0</v>
      </c>
      <c r="N220" s="726">
        <v>0</v>
      </c>
      <c r="O220" s="726">
        <v>0</v>
      </c>
      <c r="P220" s="726">
        <v>0</v>
      </c>
      <c r="Q220" s="726">
        <v>0</v>
      </c>
      <c r="R220" s="726">
        <v>0</v>
      </c>
      <c r="S220" s="726">
        <v>0</v>
      </c>
      <c r="T220" s="726">
        <v>0</v>
      </c>
      <c r="U220" s="726">
        <v>0</v>
      </c>
      <c r="V220" s="726">
        <v>0</v>
      </c>
      <c r="W220" s="726">
        <v>0</v>
      </c>
      <c r="X220" s="724" t="s">
        <v>674</v>
      </c>
      <c r="Y220" s="724" t="s">
        <v>675</v>
      </c>
      <c r="Z220" s="724" t="s">
        <v>675</v>
      </c>
      <c r="AA220" s="724" t="s">
        <v>675</v>
      </c>
      <c r="AB220" s="724" t="s">
        <v>675</v>
      </c>
      <c r="AC220" s="724"/>
      <c r="AD220" s="724"/>
      <c r="AE220" s="724"/>
      <c r="AF220" s="724"/>
      <c r="AG220" s="725" t="s">
        <v>740</v>
      </c>
      <c r="AH220" s="724"/>
      <c r="AI220" s="725" t="s">
        <v>740</v>
      </c>
      <c r="AJ220" s="725" t="s">
        <v>677</v>
      </c>
      <c r="AK220" s="724" t="s">
        <v>677</v>
      </c>
      <c r="AL220" s="724"/>
      <c r="AM220" s="724"/>
      <c r="AN220" s="724"/>
      <c r="AO220" s="724"/>
      <c r="AP220" s="724"/>
      <c r="AQ220" s="724"/>
      <c r="AR220" s="726"/>
      <c r="AS220" s="724"/>
      <c r="AT220" s="726"/>
      <c r="AU220" s="724" t="s">
        <v>678</v>
      </c>
      <c r="AV220" s="724" t="s">
        <v>677</v>
      </c>
      <c r="AW220" s="724" t="s">
        <v>676</v>
      </c>
      <c r="AX220" s="724" t="s">
        <v>674</v>
      </c>
      <c r="AY220" s="724"/>
      <c r="AZ220" s="724"/>
      <c r="BA220" s="724" t="s">
        <v>679</v>
      </c>
      <c r="BB220" s="724"/>
      <c r="BC220" s="724"/>
      <c r="BD220" s="724"/>
      <c r="BE220" s="726"/>
      <c r="BF220" s="724" t="s">
        <v>298</v>
      </c>
      <c r="BG220" s="724" t="s">
        <v>680</v>
      </c>
      <c r="BH220" s="724" t="s">
        <v>681</v>
      </c>
      <c r="BI220" s="724"/>
    </row>
    <row r="221" spans="1:61">
      <c r="A221" s="724" t="s">
        <v>728</v>
      </c>
      <c r="B221" s="724" t="s">
        <v>728</v>
      </c>
      <c r="C221" s="724" t="s">
        <v>730</v>
      </c>
      <c r="D221" s="724" t="s">
        <v>673</v>
      </c>
      <c r="E221" s="724" t="s">
        <v>3</v>
      </c>
      <c r="F221" s="725" t="s">
        <v>7</v>
      </c>
      <c r="G221" s="725" t="s">
        <v>684</v>
      </c>
      <c r="H221" s="726">
        <v>425360</v>
      </c>
      <c r="I221" s="726">
        <v>425360</v>
      </c>
      <c r="J221" s="726">
        <v>0</v>
      </c>
      <c r="K221" s="726">
        <v>0</v>
      </c>
      <c r="L221" s="726">
        <v>425360</v>
      </c>
      <c r="M221" s="726">
        <v>0</v>
      </c>
      <c r="N221" s="726">
        <v>0</v>
      </c>
      <c r="O221" s="726">
        <v>0</v>
      </c>
      <c r="P221" s="726">
        <v>0</v>
      </c>
      <c r="Q221" s="726">
        <v>0</v>
      </c>
      <c r="R221" s="726">
        <v>0</v>
      </c>
      <c r="S221" s="726">
        <v>0</v>
      </c>
      <c r="T221" s="726">
        <v>0</v>
      </c>
      <c r="U221" s="726">
        <v>0</v>
      </c>
      <c r="V221" s="726">
        <v>0</v>
      </c>
      <c r="W221" s="726">
        <v>0</v>
      </c>
      <c r="X221" s="724" t="s">
        <v>674</v>
      </c>
      <c r="Y221" s="724" t="s">
        <v>1226</v>
      </c>
      <c r="Z221" s="724" t="s">
        <v>1226</v>
      </c>
      <c r="AA221" s="724" t="s">
        <v>675</v>
      </c>
      <c r="AB221" s="724" t="s">
        <v>675</v>
      </c>
      <c r="AC221" s="724"/>
      <c r="AD221" s="724"/>
      <c r="AE221" s="724"/>
      <c r="AF221" s="724"/>
      <c r="AG221" s="725" t="s">
        <v>739</v>
      </c>
      <c r="AH221" s="724"/>
      <c r="AI221" s="725" t="s">
        <v>739</v>
      </c>
      <c r="AJ221" s="725" t="s">
        <v>677</v>
      </c>
      <c r="AK221" s="724" t="s">
        <v>677</v>
      </c>
      <c r="AL221" s="724"/>
      <c r="AM221" s="724"/>
      <c r="AN221" s="724"/>
      <c r="AO221" s="724"/>
      <c r="AP221" s="724"/>
      <c r="AQ221" s="724"/>
      <c r="AR221" s="726"/>
      <c r="AS221" s="724"/>
      <c r="AT221" s="726"/>
      <c r="AU221" s="724" t="s">
        <v>678</v>
      </c>
      <c r="AV221" s="724" t="s">
        <v>677</v>
      </c>
      <c r="AW221" s="724" t="s">
        <v>676</v>
      </c>
      <c r="AX221" s="724" t="s">
        <v>674</v>
      </c>
      <c r="AY221" s="724"/>
      <c r="AZ221" s="724"/>
      <c r="BA221" s="724" t="s">
        <v>679</v>
      </c>
      <c r="BB221" s="724"/>
      <c r="BC221" s="724"/>
      <c r="BD221" s="724"/>
      <c r="BE221" s="726"/>
      <c r="BF221" s="724" t="s">
        <v>298</v>
      </c>
      <c r="BG221" s="724" t="s">
        <v>680</v>
      </c>
      <c r="BH221" s="724" t="s">
        <v>681</v>
      </c>
      <c r="BI221" s="724"/>
    </row>
    <row r="222" spans="1:61">
      <c r="A222" s="724" t="s">
        <v>728</v>
      </c>
      <c r="B222" s="724" t="s">
        <v>728</v>
      </c>
      <c r="C222" s="724" t="s">
        <v>730</v>
      </c>
      <c r="D222" s="724" t="s">
        <v>673</v>
      </c>
      <c r="E222" s="724" t="s">
        <v>3</v>
      </c>
      <c r="F222" s="725" t="s">
        <v>7</v>
      </c>
      <c r="G222" s="725" t="s">
        <v>684</v>
      </c>
      <c r="H222" s="726">
        <v>1839670</v>
      </c>
      <c r="I222" s="726">
        <v>1839670</v>
      </c>
      <c r="J222" s="726">
        <v>0</v>
      </c>
      <c r="K222" s="726">
        <v>0</v>
      </c>
      <c r="L222" s="726">
        <v>1839670</v>
      </c>
      <c r="M222" s="726">
        <v>0</v>
      </c>
      <c r="N222" s="726">
        <v>0</v>
      </c>
      <c r="O222" s="726">
        <v>0</v>
      </c>
      <c r="P222" s="726">
        <v>0</v>
      </c>
      <c r="Q222" s="726">
        <v>0</v>
      </c>
      <c r="R222" s="726">
        <v>0</v>
      </c>
      <c r="S222" s="726">
        <v>0</v>
      </c>
      <c r="T222" s="726">
        <v>0</v>
      </c>
      <c r="U222" s="726">
        <v>0</v>
      </c>
      <c r="V222" s="726">
        <v>0</v>
      </c>
      <c r="W222" s="726">
        <v>0</v>
      </c>
      <c r="X222" s="724" t="s">
        <v>674</v>
      </c>
      <c r="Y222" s="724" t="s">
        <v>1226</v>
      </c>
      <c r="Z222" s="724" t="s">
        <v>1226</v>
      </c>
      <c r="AA222" s="724" t="s">
        <v>675</v>
      </c>
      <c r="AB222" s="724" t="s">
        <v>675</v>
      </c>
      <c r="AC222" s="724"/>
      <c r="AD222" s="724"/>
      <c r="AE222" s="724"/>
      <c r="AF222" s="724"/>
      <c r="AG222" s="725" t="s">
        <v>741</v>
      </c>
      <c r="AH222" s="724"/>
      <c r="AI222" s="725" t="s">
        <v>741</v>
      </c>
      <c r="AJ222" s="725" t="s">
        <v>677</v>
      </c>
      <c r="AK222" s="724" t="s">
        <v>677</v>
      </c>
      <c r="AL222" s="724"/>
      <c r="AM222" s="724"/>
      <c r="AN222" s="724"/>
      <c r="AO222" s="724"/>
      <c r="AP222" s="724"/>
      <c r="AQ222" s="724"/>
      <c r="AR222" s="726"/>
      <c r="AS222" s="724"/>
      <c r="AT222" s="726"/>
      <c r="AU222" s="724" t="s">
        <v>678</v>
      </c>
      <c r="AV222" s="724" t="s">
        <v>677</v>
      </c>
      <c r="AW222" s="724" t="s">
        <v>676</v>
      </c>
      <c r="AX222" s="724" t="s">
        <v>674</v>
      </c>
      <c r="AY222" s="724"/>
      <c r="AZ222" s="724"/>
      <c r="BA222" s="724" t="s">
        <v>679</v>
      </c>
      <c r="BB222" s="724"/>
      <c r="BC222" s="724"/>
      <c r="BD222" s="724"/>
      <c r="BE222" s="726"/>
      <c r="BF222" s="724" t="s">
        <v>298</v>
      </c>
      <c r="BG222" s="724" t="s">
        <v>680</v>
      </c>
      <c r="BH222" s="724" t="s">
        <v>681</v>
      </c>
      <c r="BI222" s="724"/>
    </row>
    <row r="223" spans="1:61">
      <c r="A223" s="724" t="s">
        <v>728</v>
      </c>
      <c r="B223" s="724" t="s">
        <v>728</v>
      </c>
      <c r="C223" s="724" t="s">
        <v>730</v>
      </c>
      <c r="D223" s="724" t="s">
        <v>673</v>
      </c>
      <c r="E223" s="724" t="s">
        <v>3</v>
      </c>
      <c r="F223" s="725" t="s">
        <v>7</v>
      </c>
      <c r="G223" s="725" t="s">
        <v>684</v>
      </c>
      <c r="H223" s="726">
        <v>326410</v>
      </c>
      <c r="I223" s="726">
        <v>326410</v>
      </c>
      <c r="J223" s="726">
        <v>0</v>
      </c>
      <c r="K223" s="726">
        <v>0</v>
      </c>
      <c r="L223" s="726">
        <v>326410</v>
      </c>
      <c r="M223" s="726">
        <v>0</v>
      </c>
      <c r="N223" s="726">
        <v>0</v>
      </c>
      <c r="O223" s="726">
        <v>0</v>
      </c>
      <c r="P223" s="726">
        <v>0</v>
      </c>
      <c r="Q223" s="726">
        <v>0</v>
      </c>
      <c r="R223" s="726">
        <v>0</v>
      </c>
      <c r="S223" s="726">
        <v>0</v>
      </c>
      <c r="T223" s="726">
        <v>0</v>
      </c>
      <c r="U223" s="726">
        <v>0</v>
      </c>
      <c r="V223" s="726">
        <v>0</v>
      </c>
      <c r="W223" s="726">
        <v>0</v>
      </c>
      <c r="X223" s="724" t="s">
        <v>674</v>
      </c>
      <c r="Y223" s="724" t="s">
        <v>1226</v>
      </c>
      <c r="Z223" s="724" t="s">
        <v>1226</v>
      </c>
      <c r="AA223" s="724" t="s">
        <v>675</v>
      </c>
      <c r="AB223" s="724" t="s">
        <v>675</v>
      </c>
      <c r="AC223" s="724"/>
      <c r="AD223" s="724"/>
      <c r="AE223" s="724"/>
      <c r="AF223" s="724"/>
      <c r="AG223" s="725" t="s">
        <v>737</v>
      </c>
      <c r="AH223" s="724"/>
      <c r="AI223" s="725" t="s">
        <v>737</v>
      </c>
      <c r="AJ223" s="725" t="s">
        <v>677</v>
      </c>
      <c r="AK223" s="724" t="s">
        <v>677</v>
      </c>
      <c r="AL223" s="724"/>
      <c r="AM223" s="724"/>
      <c r="AN223" s="724"/>
      <c r="AO223" s="724"/>
      <c r="AP223" s="724"/>
      <c r="AQ223" s="724"/>
      <c r="AR223" s="726"/>
      <c r="AS223" s="724"/>
      <c r="AT223" s="726"/>
      <c r="AU223" s="724" t="s">
        <v>678</v>
      </c>
      <c r="AV223" s="724" t="s">
        <v>677</v>
      </c>
      <c r="AW223" s="724" t="s">
        <v>676</v>
      </c>
      <c r="AX223" s="724" t="s">
        <v>674</v>
      </c>
      <c r="AY223" s="724"/>
      <c r="AZ223" s="724"/>
      <c r="BA223" s="724" t="s">
        <v>679</v>
      </c>
      <c r="BB223" s="724"/>
      <c r="BC223" s="724"/>
      <c r="BD223" s="724"/>
      <c r="BE223" s="726"/>
      <c r="BF223" s="724" t="s">
        <v>298</v>
      </c>
      <c r="BG223" s="724" t="s">
        <v>680</v>
      </c>
      <c r="BH223" s="724" t="s">
        <v>681</v>
      </c>
      <c r="BI223" s="724"/>
    </row>
    <row r="224" spans="1:61">
      <c r="A224" s="724" t="s">
        <v>728</v>
      </c>
      <c r="B224" s="724" t="s">
        <v>728</v>
      </c>
      <c r="C224" s="724" t="s">
        <v>730</v>
      </c>
      <c r="D224" s="724" t="s">
        <v>673</v>
      </c>
      <c r="E224" s="724" t="s">
        <v>3</v>
      </c>
      <c r="F224" s="725" t="s">
        <v>7</v>
      </c>
      <c r="G224" s="725" t="s">
        <v>684</v>
      </c>
      <c r="H224" s="726">
        <v>368340</v>
      </c>
      <c r="I224" s="726">
        <v>368340</v>
      </c>
      <c r="J224" s="726">
        <v>0</v>
      </c>
      <c r="K224" s="726">
        <v>0</v>
      </c>
      <c r="L224" s="726">
        <v>368340</v>
      </c>
      <c r="M224" s="726">
        <v>0</v>
      </c>
      <c r="N224" s="726">
        <v>0</v>
      </c>
      <c r="O224" s="726">
        <v>0</v>
      </c>
      <c r="P224" s="726">
        <v>0</v>
      </c>
      <c r="Q224" s="726">
        <v>0</v>
      </c>
      <c r="R224" s="726">
        <v>0</v>
      </c>
      <c r="S224" s="726">
        <v>0</v>
      </c>
      <c r="T224" s="726">
        <v>0</v>
      </c>
      <c r="U224" s="726">
        <v>0</v>
      </c>
      <c r="V224" s="726">
        <v>0</v>
      </c>
      <c r="W224" s="726">
        <v>0</v>
      </c>
      <c r="X224" s="724" t="s">
        <v>674</v>
      </c>
      <c r="Y224" s="724" t="s">
        <v>1226</v>
      </c>
      <c r="Z224" s="724" t="s">
        <v>1226</v>
      </c>
      <c r="AA224" s="724" t="s">
        <v>675</v>
      </c>
      <c r="AB224" s="724" t="s">
        <v>675</v>
      </c>
      <c r="AC224" s="724"/>
      <c r="AD224" s="724"/>
      <c r="AE224" s="724"/>
      <c r="AF224" s="724"/>
      <c r="AG224" s="725" t="s">
        <v>738</v>
      </c>
      <c r="AH224" s="724"/>
      <c r="AI224" s="725" t="s">
        <v>738</v>
      </c>
      <c r="AJ224" s="725" t="s">
        <v>677</v>
      </c>
      <c r="AK224" s="724" t="s">
        <v>677</v>
      </c>
      <c r="AL224" s="724"/>
      <c r="AM224" s="724"/>
      <c r="AN224" s="724"/>
      <c r="AO224" s="724"/>
      <c r="AP224" s="724"/>
      <c r="AQ224" s="724"/>
      <c r="AR224" s="726"/>
      <c r="AS224" s="724"/>
      <c r="AT224" s="726"/>
      <c r="AU224" s="724" t="s">
        <v>678</v>
      </c>
      <c r="AV224" s="724" t="s">
        <v>677</v>
      </c>
      <c r="AW224" s="724" t="s">
        <v>676</v>
      </c>
      <c r="AX224" s="724" t="s">
        <v>674</v>
      </c>
      <c r="AY224" s="724"/>
      <c r="AZ224" s="724"/>
      <c r="BA224" s="724" t="s">
        <v>679</v>
      </c>
      <c r="BB224" s="724"/>
      <c r="BC224" s="724"/>
      <c r="BD224" s="724"/>
      <c r="BE224" s="726"/>
      <c r="BF224" s="724" t="s">
        <v>298</v>
      </c>
      <c r="BG224" s="724" t="s">
        <v>680</v>
      </c>
      <c r="BH224" s="724" t="s">
        <v>681</v>
      </c>
      <c r="BI224" s="724"/>
    </row>
    <row r="225" spans="1:61">
      <c r="A225" s="724" t="s">
        <v>728</v>
      </c>
      <c r="B225" s="724" t="s">
        <v>728</v>
      </c>
      <c r="C225" s="724" t="s">
        <v>730</v>
      </c>
      <c r="D225" s="724" t="s">
        <v>673</v>
      </c>
      <c r="E225" s="724" t="s">
        <v>3</v>
      </c>
      <c r="F225" s="725" t="s">
        <v>7</v>
      </c>
      <c r="G225" s="725" t="s">
        <v>684</v>
      </c>
      <c r="H225" s="726">
        <v>200870</v>
      </c>
      <c r="I225" s="726">
        <v>200870</v>
      </c>
      <c r="J225" s="726">
        <v>0</v>
      </c>
      <c r="K225" s="726">
        <v>0</v>
      </c>
      <c r="L225" s="726">
        <v>200870</v>
      </c>
      <c r="M225" s="726">
        <v>0</v>
      </c>
      <c r="N225" s="726">
        <v>0</v>
      </c>
      <c r="O225" s="726">
        <v>0</v>
      </c>
      <c r="P225" s="726">
        <v>0</v>
      </c>
      <c r="Q225" s="726">
        <v>0</v>
      </c>
      <c r="R225" s="726">
        <v>0</v>
      </c>
      <c r="S225" s="726">
        <v>0</v>
      </c>
      <c r="T225" s="726">
        <v>0</v>
      </c>
      <c r="U225" s="726">
        <v>0</v>
      </c>
      <c r="V225" s="726">
        <v>0</v>
      </c>
      <c r="W225" s="726">
        <v>0</v>
      </c>
      <c r="X225" s="724" t="s">
        <v>674</v>
      </c>
      <c r="Y225" s="724" t="s">
        <v>1226</v>
      </c>
      <c r="Z225" s="724" t="s">
        <v>1226</v>
      </c>
      <c r="AA225" s="724" t="s">
        <v>675</v>
      </c>
      <c r="AB225" s="724" t="s">
        <v>675</v>
      </c>
      <c r="AC225" s="724"/>
      <c r="AD225" s="724"/>
      <c r="AE225" s="724"/>
      <c r="AF225" s="724"/>
      <c r="AG225" s="725" t="s">
        <v>740</v>
      </c>
      <c r="AH225" s="724"/>
      <c r="AI225" s="725" t="s">
        <v>740</v>
      </c>
      <c r="AJ225" s="725" t="s">
        <v>677</v>
      </c>
      <c r="AK225" s="724" t="s">
        <v>677</v>
      </c>
      <c r="AL225" s="724"/>
      <c r="AM225" s="724"/>
      <c r="AN225" s="724"/>
      <c r="AO225" s="724"/>
      <c r="AP225" s="724"/>
      <c r="AQ225" s="724"/>
      <c r="AR225" s="726"/>
      <c r="AS225" s="724"/>
      <c r="AT225" s="726"/>
      <c r="AU225" s="724" t="s">
        <v>678</v>
      </c>
      <c r="AV225" s="724" t="s">
        <v>677</v>
      </c>
      <c r="AW225" s="724" t="s">
        <v>676</v>
      </c>
      <c r="AX225" s="724" t="s">
        <v>674</v>
      </c>
      <c r="AY225" s="724"/>
      <c r="AZ225" s="724"/>
      <c r="BA225" s="724" t="s">
        <v>679</v>
      </c>
      <c r="BB225" s="724"/>
      <c r="BC225" s="724"/>
      <c r="BD225" s="724"/>
      <c r="BE225" s="726"/>
      <c r="BF225" s="724" t="s">
        <v>298</v>
      </c>
      <c r="BG225" s="724" t="s">
        <v>680</v>
      </c>
      <c r="BH225" s="724" t="s">
        <v>681</v>
      </c>
      <c r="BI225" s="724"/>
    </row>
    <row r="226" spans="1:61">
      <c r="A226" s="724" t="s">
        <v>728</v>
      </c>
      <c r="B226" s="724" t="s">
        <v>728</v>
      </c>
      <c r="C226" s="724" t="s">
        <v>730</v>
      </c>
      <c r="D226" s="724" t="s">
        <v>673</v>
      </c>
      <c r="E226" s="724" t="s">
        <v>3</v>
      </c>
      <c r="F226" s="725" t="s">
        <v>7</v>
      </c>
      <c r="G226" s="725" t="s">
        <v>684</v>
      </c>
      <c r="H226" s="726">
        <v>3347790</v>
      </c>
      <c r="I226" s="726">
        <v>3347790</v>
      </c>
      <c r="J226" s="726">
        <v>0</v>
      </c>
      <c r="K226" s="726">
        <v>0</v>
      </c>
      <c r="L226" s="726">
        <v>3347790</v>
      </c>
      <c r="M226" s="726">
        <v>0</v>
      </c>
      <c r="N226" s="726">
        <v>0</v>
      </c>
      <c r="O226" s="726">
        <v>0</v>
      </c>
      <c r="P226" s="726">
        <v>0</v>
      </c>
      <c r="Q226" s="726">
        <v>0</v>
      </c>
      <c r="R226" s="726">
        <v>0</v>
      </c>
      <c r="S226" s="726">
        <v>0</v>
      </c>
      <c r="T226" s="726">
        <v>0</v>
      </c>
      <c r="U226" s="726">
        <v>0</v>
      </c>
      <c r="V226" s="726">
        <v>0</v>
      </c>
      <c r="W226" s="726">
        <v>0</v>
      </c>
      <c r="X226" s="724" t="s">
        <v>674</v>
      </c>
      <c r="Y226" s="724" t="s">
        <v>1226</v>
      </c>
      <c r="Z226" s="724" t="s">
        <v>1226</v>
      </c>
      <c r="AA226" s="724" t="s">
        <v>675</v>
      </c>
      <c r="AB226" s="724" t="s">
        <v>675</v>
      </c>
      <c r="AC226" s="724"/>
      <c r="AD226" s="724"/>
      <c r="AE226" s="724"/>
      <c r="AF226" s="724"/>
      <c r="AG226" s="725" t="s">
        <v>741</v>
      </c>
      <c r="AH226" s="724"/>
      <c r="AI226" s="725" t="s">
        <v>741</v>
      </c>
      <c r="AJ226" s="725" t="s">
        <v>677</v>
      </c>
      <c r="AK226" s="724" t="s">
        <v>677</v>
      </c>
      <c r="AL226" s="724"/>
      <c r="AM226" s="724"/>
      <c r="AN226" s="724"/>
      <c r="AO226" s="724"/>
      <c r="AP226" s="724"/>
      <c r="AQ226" s="724"/>
      <c r="AR226" s="726"/>
      <c r="AS226" s="724"/>
      <c r="AT226" s="726"/>
      <c r="AU226" s="724" t="s">
        <v>678</v>
      </c>
      <c r="AV226" s="724" t="s">
        <v>677</v>
      </c>
      <c r="AW226" s="724" t="s">
        <v>676</v>
      </c>
      <c r="AX226" s="724" t="s">
        <v>674</v>
      </c>
      <c r="AY226" s="724"/>
      <c r="AZ226" s="724"/>
      <c r="BA226" s="724" t="s">
        <v>679</v>
      </c>
      <c r="BB226" s="724"/>
      <c r="BC226" s="724"/>
      <c r="BD226" s="724"/>
      <c r="BE226" s="726"/>
      <c r="BF226" s="724" t="s">
        <v>298</v>
      </c>
      <c r="BG226" s="724" t="s">
        <v>680</v>
      </c>
      <c r="BH226" s="724" t="s">
        <v>681</v>
      </c>
      <c r="BI226" s="724"/>
    </row>
    <row r="227" spans="1:61">
      <c r="A227" s="724" t="s">
        <v>723</v>
      </c>
      <c r="B227" s="724" t="s">
        <v>682</v>
      </c>
      <c r="C227" s="724" t="s">
        <v>723</v>
      </c>
      <c r="D227" s="724" t="s">
        <v>716</v>
      </c>
      <c r="E227" s="724" t="s">
        <v>3</v>
      </c>
      <c r="F227" s="725" t="s">
        <v>71</v>
      </c>
      <c r="G227" s="725" t="s">
        <v>719</v>
      </c>
      <c r="H227" s="726">
        <v>3168000</v>
      </c>
      <c r="I227" s="726">
        <v>3168000</v>
      </c>
      <c r="J227" s="726">
        <v>0</v>
      </c>
      <c r="K227" s="726">
        <v>0</v>
      </c>
      <c r="L227" s="726">
        <v>2880000</v>
      </c>
      <c r="M227" s="726">
        <v>0</v>
      </c>
      <c r="N227" s="726">
        <v>0</v>
      </c>
      <c r="O227" s="726">
        <v>288000</v>
      </c>
      <c r="P227" s="726">
        <v>0</v>
      </c>
      <c r="Q227" s="726">
        <v>0</v>
      </c>
      <c r="R227" s="726">
        <v>0</v>
      </c>
      <c r="S227" s="726">
        <v>0</v>
      </c>
      <c r="T227" s="726">
        <v>0</v>
      </c>
      <c r="U227" s="726">
        <v>0</v>
      </c>
      <c r="V227" s="726">
        <v>0</v>
      </c>
      <c r="W227" s="726">
        <v>0</v>
      </c>
      <c r="X227" s="724" t="s">
        <v>674</v>
      </c>
      <c r="Y227" s="724" t="s">
        <v>1226</v>
      </c>
      <c r="Z227" s="724" t="s">
        <v>1226</v>
      </c>
      <c r="AA227" s="724" t="s">
        <v>675</v>
      </c>
      <c r="AB227" s="724" t="s">
        <v>675</v>
      </c>
      <c r="AC227" s="724"/>
      <c r="AD227" s="724"/>
      <c r="AE227" s="724"/>
      <c r="AF227" s="724"/>
      <c r="AG227" s="725" t="s">
        <v>742</v>
      </c>
      <c r="AH227" s="724"/>
      <c r="AI227" s="725" t="s">
        <v>742</v>
      </c>
      <c r="AJ227" s="725" t="s">
        <v>743</v>
      </c>
      <c r="AK227" s="724" t="s">
        <v>677</v>
      </c>
      <c r="AL227" s="724"/>
      <c r="AM227" s="724"/>
      <c r="AN227" s="724"/>
      <c r="AO227" s="724"/>
      <c r="AP227" s="724"/>
      <c r="AQ227" s="724"/>
      <c r="AR227" s="726"/>
      <c r="AS227" s="724"/>
      <c r="AT227" s="726"/>
      <c r="AU227" s="724" t="s">
        <v>678</v>
      </c>
      <c r="AV227" s="724" t="s">
        <v>677</v>
      </c>
      <c r="AW227" s="724" t="s">
        <v>676</v>
      </c>
      <c r="AX227" s="724" t="s">
        <v>674</v>
      </c>
      <c r="AY227" s="724"/>
      <c r="AZ227" s="724"/>
      <c r="BA227" s="724" t="s">
        <v>679</v>
      </c>
      <c r="BB227" s="724"/>
      <c r="BC227" s="724"/>
      <c r="BD227" s="724"/>
      <c r="BE227" s="726"/>
      <c r="BF227" s="724" t="s">
        <v>298</v>
      </c>
      <c r="BG227" s="724" t="s">
        <v>680</v>
      </c>
      <c r="BH227" s="724" t="s">
        <v>681</v>
      </c>
      <c r="BI227" s="724"/>
    </row>
    <row r="228" spans="1:61">
      <c r="A228" s="724" t="s">
        <v>730</v>
      </c>
      <c r="B228" s="724" t="s">
        <v>730</v>
      </c>
      <c r="C228" s="724" t="s">
        <v>744</v>
      </c>
      <c r="D228" s="724" t="s">
        <v>673</v>
      </c>
      <c r="E228" s="724" t="s">
        <v>3</v>
      </c>
      <c r="F228" s="725" t="s">
        <v>83</v>
      </c>
      <c r="G228" s="725" t="s">
        <v>691</v>
      </c>
      <c r="H228" s="726">
        <v>176000</v>
      </c>
      <c r="I228" s="726">
        <v>176000</v>
      </c>
      <c r="J228" s="726">
        <v>0</v>
      </c>
      <c r="K228" s="726">
        <v>0</v>
      </c>
      <c r="L228" s="726">
        <v>176000</v>
      </c>
      <c r="M228" s="726">
        <v>0</v>
      </c>
      <c r="N228" s="726">
        <v>0</v>
      </c>
      <c r="O228" s="726">
        <v>0</v>
      </c>
      <c r="P228" s="726">
        <v>0</v>
      </c>
      <c r="Q228" s="726">
        <v>0</v>
      </c>
      <c r="R228" s="726">
        <v>0</v>
      </c>
      <c r="S228" s="726">
        <v>0</v>
      </c>
      <c r="T228" s="726">
        <v>0</v>
      </c>
      <c r="U228" s="726">
        <v>0</v>
      </c>
      <c r="V228" s="726">
        <v>0</v>
      </c>
      <c r="W228" s="726">
        <v>0</v>
      </c>
      <c r="X228" s="724" t="s">
        <v>674</v>
      </c>
      <c r="Y228" s="724" t="s">
        <v>1226</v>
      </c>
      <c r="Z228" s="724" t="s">
        <v>1226</v>
      </c>
      <c r="AA228" s="724" t="s">
        <v>675</v>
      </c>
      <c r="AB228" s="724" t="s">
        <v>675</v>
      </c>
      <c r="AC228" s="724"/>
      <c r="AD228" s="724"/>
      <c r="AE228" s="724" t="s">
        <v>676</v>
      </c>
      <c r="AF228" s="724"/>
      <c r="AG228" s="725" t="s">
        <v>745</v>
      </c>
      <c r="AH228" s="724"/>
      <c r="AI228" s="725" t="s">
        <v>745</v>
      </c>
      <c r="AJ228" s="725" t="s">
        <v>677</v>
      </c>
      <c r="AK228" s="724" t="s">
        <v>677</v>
      </c>
      <c r="AL228" s="724"/>
      <c r="AM228" s="724"/>
      <c r="AN228" s="724"/>
      <c r="AO228" s="724"/>
      <c r="AP228" s="724"/>
      <c r="AQ228" s="724"/>
      <c r="AR228" s="726"/>
      <c r="AS228" s="724"/>
      <c r="AT228" s="726"/>
      <c r="AU228" s="724" t="s">
        <v>678</v>
      </c>
      <c r="AV228" s="724" t="s">
        <v>677</v>
      </c>
      <c r="AW228" s="724" t="s">
        <v>676</v>
      </c>
      <c r="AX228" s="724" t="s">
        <v>674</v>
      </c>
      <c r="AY228" s="724"/>
      <c r="AZ228" s="724"/>
      <c r="BA228" s="724" t="s">
        <v>679</v>
      </c>
      <c r="BB228" s="724"/>
      <c r="BC228" s="724"/>
      <c r="BD228" s="724"/>
      <c r="BE228" s="726"/>
      <c r="BF228" s="724" t="s">
        <v>298</v>
      </c>
      <c r="BG228" s="724" t="s">
        <v>680</v>
      </c>
      <c r="BH228" s="724" t="s">
        <v>681</v>
      </c>
      <c r="BI228" s="724"/>
    </row>
    <row r="229" spans="1:61">
      <c r="A229" s="724" t="s">
        <v>730</v>
      </c>
      <c r="B229" s="724" t="s">
        <v>730</v>
      </c>
      <c r="C229" s="724" t="s">
        <v>744</v>
      </c>
      <c r="D229" s="724" t="s">
        <v>673</v>
      </c>
      <c r="E229" s="724" t="s">
        <v>3</v>
      </c>
      <c r="F229" s="725" t="s">
        <v>83</v>
      </c>
      <c r="G229" s="725" t="s">
        <v>691</v>
      </c>
      <c r="H229" s="726">
        <v>1824000</v>
      </c>
      <c r="I229" s="726">
        <v>1824000</v>
      </c>
      <c r="J229" s="726">
        <v>0</v>
      </c>
      <c r="K229" s="726">
        <v>0</v>
      </c>
      <c r="L229" s="726">
        <v>1824000</v>
      </c>
      <c r="M229" s="726">
        <v>0</v>
      </c>
      <c r="N229" s="726">
        <v>0</v>
      </c>
      <c r="O229" s="726">
        <v>0</v>
      </c>
      <c r="P229" s="726">
        <v>0</v>
      </c>
      <c r="Q229" s="726">
        <v>0</v>
      </c>
      <c r="R229" s="726">
        <v>0</v>
      </c>
      <c r="S229" s="726">
        <v>0</v>
      </c>
      <c r="T229" s="726">
        <v>0</v>
      </c>
      <c r="U229" s="726">
        <v>0</v>
      </c>
      <c r="V229" s="726">
        <v>0</v>
      </c>
      <c r="W229" s="726">
        <v>0</v>
      </c>
      <c r="X229" s="724" t="s">
        <v>674</v>
      </c>
      <c r="Y229" s="724" t="s">
        <v>1226</v>
      </c>
      <c r="Z229" s="724" t="s">
        <v>1226</v>
      </c>
      <c r="AA229" s="724" t="s">
        <v>675</v>
      </c>
      <c r="AB229" s="724" t="s">
        <v>675</v>
      </c>
      <c r="AC229" s="724"/>
      <c r="AD229" s="724"/>
      <c r="AE229" s="724" t="s">
        <v>676</v>
      </c>
      <c r="AF229" s="724"/>
      <c r="AG229" s="725" t="s">
        <v>746</v>
      </c>
      <c r="AH229" s="724"/>
      <c r="AI229" s="725" t="s">
        <v>746</v>
      </c>
      <c r="AJ229" s="725" t="s">
        <v>677</v>
      </c>
      <c r="AK229" s="724" t="s">
        <v>677</v>
      </c>
      <c r="AL229" s="724"/>
      <c r="AM229" s="724"/>
      <c r="AN229" s="724"/>
      <c r="AO229" s="724"/>
      <c r="AP229" s="724"/>
      <c r="AQ229" s="724"/>
      <c r="AR229" s="726"/>
      <c r="AS229" s="724"/>
      <c r="AT229" s="726"/>
      <c r="AU229" s="724" t="s">
        <v>678</v>
      </c>
      <c r="AV229" s="724" t="s">
        <v>677</v>
      </c>
      <c r="AW229" s="724" t="s">
        <v>676</v>
      </c>
      <c r="AX229" s="724" t="s">
        <v>674</v>
      </c>
      <c r="AY229" s="724"/>
      <c r="AZ229" s="724"/>
      <c r="BA229" s="724" t="s">
        <v>679</v>
      </c>
      <c r="BB229" s="724"/>
      <c r="BC229" s="724"/>
      <c r="BD229" s="724"/>
      <c r="BE229" s="726"/>
      <c r="BF229" s="724" t="s">
        <v>298</v>
      </c>
      <c r="BG229" s="724" t="s">
        <v>680</v>
      </c>
      <c r="BH229" s="724" t="s">
        <v>681</v>
      </c>
      <c r="BI229" s="724"/>
    </row>
    <row r="230" spans="1:61">
      <c r="A230" s="724" t="s">
        <v>730</v>
      </c>
      <c r="B230" s="724" t="s">
        <v>730</v>
      </c>
      <c r="C230" s="724" t="s">
        <v>744</v>
      </c>
      <c r="D230" s="724" t="s">
        <v>673</v>
      </c>
      <c r="E230" s="724" t="s">
        <v>3</v>
      </c>
      <c r="F230" s="725" t="s">
        <v>83</v>
      </c>
      <c r="G230" s="725" t="s">
        <v>691</v>
      </c>
      <c r="H230" s="726">
        <v>176000</v>
      </c>
      <c r="I230" s="726">
        <v>176000</v>
      </c>
      <c r="J230" s="726">
        <v>0</v>
      </c>
      <c r="K230" s="726">
        <v>0</v>
      </c>
      <c r="L230" s="726">
        <v>176000</v>
      </c>
      <c r="M230" s="726">
        <v>0</v>
      </c>
      <c r="N230" s="726">
        <v>0</v>
      </c>
      <c r="O230" s="726">
        <v>0</v>
      </c>
      <c r="P230" s="726">
        <v>0</v>
      </c>
      <c r="Q230" s="726">
        <v>0</v>
      </c>
      <c r="R230" s="726">
        <v>0</v>
      </c>
      <c r="S230" s="726">
        <v>0</v>
      </c>
      <c r="T230" s="726">
        <v>0</v>
      </c>
      <c r="U230" s="726">
        <v>0</v>
      </c>
      <c r="V230" s="726">
        <v>0</v>
      </c>
      <c r="W230" s="726">
        <v>0</v>
      </c>
      <c r="X230" s="724" t="s">
        <v>674</v>
      </c>
      <c r="Y230" s="724" t="s">
        <v>1226</v>
      </c>
      <c r="Z230" s="724" t="s">
        <v>1226</v>
      </c>
      <c r="AA230" s="724" t="s">
        <v>675</v>
      </c>
      <c r="AB230" s="724" t="s">
        <v>675</v>
      </c>
      <c r="AC230" s="724"/>
      <c r="AD230" s="724"/>
      <c r="AE230" s="724" t="s">
        <v>676</v>
      </c>
      <c r="AF230" s="724"/>
      <c r="AG230" s="725" t="s">
        <v>747</v>
      </c>
      <c r="AH230" s="724"/>
      <c r="AI230" s="725" t="s">
        <v>747</v>
      </c>
      <c r="AJ230" s="725" t="s">
        <v>677</v>
      </c>
      <c r="AK230" s="724" t="s">
        <v>677</v>
      </c>
      <c r="AL230" s="724"/>
      <c r="AM230" s="724"/>
      <c r="AN230" s="724"/>
      <c r="AO230" s="724"/>
      <c r="AP230" s="724"/>
      <c r="AQ230" s="724"/>
      <c r="AR230" s="726"/>
      <c r="AS230" s="724"/>
      <c r="AT230" s="726"/>
      <c r="AU230" s="724" t="s">
        <v>678</v>
      </c>
      <c r="AV230" s="724" t="s">
        <v>677</v>
      </c>
      <c r="AW230" s="724" t="s">
        <v>676</v>
      </c>
      <c r="AX230" s="724" t="s">
        <v>674</v>
      </c>
      <c r="AY230" s="724"/>
      <c r="AZ230" s="724"/>
      <c r="BA230" s="724" t="s">
        <v>679</v>
      </c>
      <c r="BB230" s="724"/>
      <c r="BC230" s="724"/>
      <c r="BD230" s="724"/>
      <c r="BE230" s="726"/>
      <c r="BF230" s="724" t="s">
        <v>298</v>
      </c>
      <c r="BG230" s="724" t="s">
        <v>680</v>
      </c>
      <c r="BH230" s="724" t="s">
        <v>681</v>
      </c>
      <c r="BI230" s="724"/>
    </row>
    <row r="231" spans="1:61">
      <c r="A231" s="724" t="s">
        <v>730</v>
      </c>
      <c r="B231" s="724" t="s">
        <v>730</v>
      </c>
      <c r="C231" s="724" t="s">
        <v>744</v>
      </c>
      <c r="D231" s="724" t="s">
        <v>673</v>
      </c>
      <c r="E231" s="724" t="s">
        <v>3</v>
      </c>
      <c r="F231" s="725" t="s">
        <v>83</v>
      </c>
      <c r="G231" s="725" t="s">
        <v>691</v>
      </c>
      <c r="H231" s="726">
        <v>1824000</v>
      </c>
      <c r="I231" s="726">
        <v>1824000</v>
      </c>
      <c r="J231" s="726">
        <v>0</v>
      </c>
      <c r="K231" s="726">
        <v>0</v>
      </c>
      <c r="L231" s="726">
        <v>1824000</v>
      </c>
      <c r="M231" s="726">
        <v>0</v>
      </c>
      <c r="N231" s="726">
        <v>0</v>
      </c>
      <c r="O231" s="726">
        <v>0</v>
      </c>
      <c r="P231" s="726">
        <v>0</v>
      </c>
      <c r="Q231" s="726">
        <v>0</v>
      </c>
      <c r="R231" s="726">
        <v>0</v>
      </c>
      <c r="S231" s="726">
        <v>0</v>
      </c>
      <c r="T231" s="726">
        <v>0</v>
      </c>
      <c r="U231" s="726">
        <v>0</v>
      </c>
      <c r="V231" s="726">
        <v>0</v>
      </c>
      <c r="W231" s="726">
        <v>0</v>
      </c>
      <c r="X231" s="724" t="s">
        <v>674</v>
      </c>
      <c r="Y231" s="724" t="s">
        <v>1226</v>
      </c>
      <c r="Z231" s="724" t="s">
        <v>1226</v>
      </c>
      <c r="AA231" s="724" t="s">
        <v>675</v>
      </c>
      <c r="AB231" s="724" t="s">
        <v>675</v>
      </c>
      <c r="AC231" s="724"/>
      <c r="AD231" s="724"/>
      <c r="AE231" s="724" t="s">
        <v>676</v>
      </c>
      <c r="AF231" s="724"/>
      <c r="AG231" s="725" t="s">
        <v>748</v>
      </c>
      <c r="AH231" s="724"/>
      <c r="AI231" s="725" t="s">
        <v>748</v>
      </c>
      <c r="AJ231" s="725" t="s">
        <v>677</v>
      </c>
      <c r="AK231" s="724" t="s">
        <v>677</v>
      </c>
      <c r="AL231" s="724"/>
      <c r="AM231" s="724"/>
      <c r="AN231" s="724"/>
      <c r="AO231" s="724"/>
      <c r="AP231" s="724"/>
      <c r="AQ231" s="724"/>
      <c r="AR231" s="726"/>
      <c r="AS231" s="724"/>
      <c r="AT231" s="726"/>
      <c r="AU231" s="724" t="s">
        <v>678</v>
      </c>
      <c r="AV231" s="724" t="s">
        <v>677</v>
      </c>
      <c r="AW231" s="724" t="s">
        <v>676</v>
      </c>
      <c r="AX231" s="724" t="s">
        <v>674</v>
      </c>
      <c r="AY231" s="724"/>
      <c r="AZ231" s="724"/>
      <c r="BA231" s="724" t="s">
        <v>679</v>
      </c>
      <c r="BB231" s="724"/>
      <c r="BC231" s="724"/>
      <c r="BD231" s="724"/>
      <c r="BE231" s="726"/>
      <c r="BF231" s="724" t="s">
        <v>298</v>
      </c>
      <c r="BG231" s="724" t="s">
        <v>680</v>
      </c>
      <c r="BH231" s="724" t="s">
        <v>681</v>
      </c>
      <c r="BI231" s="724"/>
    </row>
    <row r="232" spans="1:61">
      <c r="A232" s="724" t="s">
        <v>730</v>
      </c>
      <c r="B232" s="724" t="s">
        <v>730</v>
      </c>
      <c r="C232" s="724" t="s">
        <v>744</v>
      </c>
      <c r="D232" s="724" t="s">
        <v>673</v>
      </c>
      <c r="E232" s="724" t="s">
        <v>3</v>
      </c>
      <c r="F232" s="725" t="s">
        <v>83</v>
      </c>
      <c r="G232" s="725" t="s">
        <v>691</v>
      </c>
      <c r="H232" s="726">
        <v>2736000</v>
      </c>
      <c r="I232" s="726">
        <v>2736000</v>
      </c>
      <c r="J232" s="726">
        <v>0</v>
      </c>
      <c r="K232" s="726">
        <v>0</v>
      </c>
      <c r="L232" s="726">
        <v>2736000</v>
      </c>
      <c r="M232" s="726">
        <v>0</v>
      </c>
      <c r="N232" s="726">
        <v>0</v>
      </c>
      <c r="O232" s="726">
        <v>0</v>
      </c>
      <c r="P232" s="726">
        <v>0</v>
      </c>
      <c r="Q232" s="726">
        <v>0</v>
      </c>
      <c r="R232" s="726">
        <v>0</v>
      </c>
      <c r="S232" s="726">
        <v>0</v>
      </c>
      <c r="T232" s="726">
        <v>0</v>
      </c>
      <c r="U232" s="726">
        <v>0</v>
      </c>
      <c r="V232" s="726">
        <v>0</v>
      </c>
      <c r="W232" s="726">
        <v>0</v>
      </c>
      <c r="X232" s="724" t="s">
        <v>674</v>
      </c>
      <c r="Y232" s="724" t="s">
        <v>1226</v>
      </c>
      <c r="Z232" s="724" t="s">
        <v>1226</v>
      </c>
      <c r="AA232" s="724" t="s">
        <v>675</v>
      </c>
      <c r="AB232" s="724" t="s">
        <v>675</v>
      </c>
      <c r="AC232" s="724"/>
      <c r="AD232" s="724"/>
      <c r="AE232" s="724" t="s">
        <v>676</v>
      </c>
      <c r="AF232" s="724"/>
      <c r="AG232" s="725" t="s">
        <v>746</v>
      </c>
      <c r="AH232" s="724"/>
      <c r="AI232" s="725" t="s">
        <v>746</v>
      </c>
      <c r="AJ232" s="725" t="s">
        <v>677</v>
      </c>
      <c r="AK232" s="724" t="s">
        <v>677</v>
      </c>
      <c r="AL232" s="724"/>
      <c r="AM232" s="724"/>
      <c r="AN232" s="724"/>
      <c r="AO232" s="724"/>
      <c r="AP232" s="724"/>
      <c r="AQ232" s="724"/>
      <c r="AR232" s="726"/>
      <c r="AS232" s="724"/>
      <c r="AT232" s="726"/>
      <c r="AU232" s="724" t="s">
        <v>678</v>
      </c>
      <c r="AV232" s="724" t="s">
        <v>677</v>
      </c>
      <c r="AW232" s="724" t="s">
        <v>676</v>
      </c>
      <c r="AX232" s="724" t="s">
        <v>674</v>
      </c>
      <c r="AY232" s="724"/>
      <c r="AZ232" s="724"/>
      <c r="BA232" s="724" t="s">
        <v>679</v>
      </c>
      <c r="BB232" s="724"/>
      <c r="BC232" s="724"/>
      <c r="BD232" s="724"/>
      <c r="BE232" s="726"/>
      <c r="BF232" s="724" t="s">
        <v>298</v>
      </c>
      <c r="BG232" s="724" t="s">
        <v>680</v>
      </c>
      <c r="BH232" s="724" t="s">
        <v>681</v>
      </c>
      <c r="BI232" s="724"/>
    </row>
    <row r="233" spans="1:61">
      <c r="A233" s="724" t="s">
        <v>730</v>
      </c>
      <c r="B233" s="724" t="s">
        <v>730</v>
      </c>
      <c r="C233" s="724" t="s">
        <v>744</v>
      </c>
      <c r="D233" s="724" t="s">
        <v>673</v>
      </c>
      <c r="E233" s="724" t="s">
        <v>3</v>
      </c>
      <c r="F233" s="725" t="s">
        <v>83</v>
      </c>
      <c r="G233" s="725" t="s">
        <v>691</v>
      </c>
      <c r="H233" s="726">
        <v>264000</v>
      </c>
      <c r="I233" s="726">
        <v>264000</v>
      </c>
      <c r="J233" s="726">
        <v>0</v>
      </c>
      <c r="K233" s="726">
        <v>0</v>
      </c>
      <c r="L233" s="726">
        <v>264000</v>
      </c>
      <c r="M233" s="726">
        <v>0</v>
      </c>
      <c r="N233" s="726">
        <v>0</v>
      </c>
      <c r="O233" s="726">
        <v>0</v>
      </c>
      <c r="P233" s="726">
        <v>0</v>
      </c>
      <c r="Q233" s="726">
        <v>0</v>
      </c>
      <c r="R233" s="726">
        <v>0</v>
      </c>
      <c r="S233" s="726">
        <v>0</v>
      </c>
      <c r="T233" s="726">
        <v>0</v>
      </c>
      <c r="U233" s="726">
        <v>0</v>
      </c>
      <c r="V233" s="726">
        <v>0</v>
      </c>
      <c r="W233" s="726">
        <v>0</v>
      </c>
      <c r="X233" s="724" t="s">
        <v>674</v>
      </c>
      <c r="Y233" s="724" t="s">
        <v>1226</v>
      </c>
      <c r="Z233" s="724" t="s">
        <v>1226</v>
      </c>
      <c r="AA233" s="724" t="s">
        <v>675</v>
      </c>
      <c r="AB233" s="724" t="s">
        <v>675</v>
      </c>
      <c r="AC233" s="724"/>
      <c r="AD233" s="724"/>
      <c r="AE233" s="724" t="s">
        <v>676</v>
      </c>
      <c r="AF233" s="724"/>
      <c r="AG233" s="725" t="s">
        <v>747</v>
      </c>
      <c r="AH233" s="724"/>
      <c r="AI233" s="725" t="s">
        <v>747</v>
      </c>
      <c r="AJ233" s="725" t="s">
        <v>677</v>
      </c>
      <c r="AK233" s="724" t="s">
        <v>677</v>
      </c>
      <c r="AL233" s="724"/>
      <c r="AM233" s="724"/>
      <c r="AN233" s="724"/>
      <c r="AO233" s="724"/>
      <c r="AP233" s="724"/>
      <c r="AQ233" s="724"/>
      <c r="AR233" s="726"/>
      <c r="AS233" s="724"/>
      <c r="AT233" s="726"/>
      <c r="AU233" s="724" t="s">
        <v>678</v>
      </c>
      <c r="AV233" s="724" t="s">
        <v>677</v>
      </c>
      <c r="AW233" s="724" t="s">
        <v>676</v>
      </c>
      <c r="AX233" s="724" t="s">
        <v>674</v>
      </c>
      <c r="AY233" s="724"/>
      <c r="AZ233" s="724"/>
      <c r="BA233" s="724" t="s">
        <v>679</v>
      </c>
      <c r="BB233" s="724"/>
      <c r="BC233" s="724"/>
      <c r="BD233" s="724"/>
      <c r="BE233" s="726"/>
      <c r="BF233" s="724" t="s">
        <v>298</v>
      </c>
      <c r="BG233" s="724" t="s">
        <v>680</v>
      </c>
      <c r="BH233" s="724" t="s">
        <v>681</v>
      </c>
      <c r="BI233" s="724"/>
    </row>
    <row r="234" spans="1:61">
      <c r="A234" s="724" t="s">
        <v>749</v>
      </c>
      <c r="B234" s="724" t="s">
        <v>671</v>
      </c>
      <c r="C234" s="724" t="s">
        <v>672</v>
      </c>
      <c r="D234" s="724" t="s">
        <v>724</v>
      </c>
      <c r="E234" s="724" t="s">
        <v>3</v>
      </c>
      <c r="F234" s="725" t="s">
        <v>83</v>
      </c>
      <c r="G234" s="725" t="s">
        <v>93</v>
      </c>
      <c r="H234" s="726">
        <v>409734</v>
      </c>
      <c r="I234" s="726">
        <v>409734</v>
      </c>
      <c r="J234" s="726">
        <v>0</v>
      </c>
      <c r="K234" s="726">
        <v>0</v>
      </c>
      <c r="L234" s="726">
        <v>372486</v>
      </c>
      <c r="M234" s="726">
        <v>0</v>
      </c>
      <c r="N234" s="726">
        <v>0</v>
      </c>
      <c r="O234" s="726">
        <v>37248</v>
      </c>
      <c r="P234" s="726">
        <v>0</v>
      </c>
      <c r="Q234" s="726">
        <v>0</v>
      </c>
      <c r="R234" s="726">
        <v>0</v>
      </c>
      <c r="S234" s="726">
        <v>0</v>
      </c>
      <c r="T234" s="726">
        <v>0</v>
      </c>
      <c r="U234" s="726">
        <v>0</v>
      </c>
      <c r="V234" s="726">
        <v>0</v>
      </c>
      <c r="W234" s="726">
        <v>0</v>
      </c>
      <c r="X234" s="724" t="s">
        <v>674</v>
      </c>
      <c r="Y234" s="724" t="s">
        <v>1226</v>
      </c>
      <c r="Z234" s="724" t="s">
        <v>1226</v>
      </c>
      <c r="AA234" s="724" t="s">
        <v>675</v>
      </c>
      <c r="AB234" s="724" t="s">
        <v>675</v>
      </c>
      <c r="AC234" s="724"/>
      <c r="AD234" s="724"/>
      <c r="AE234" s="724" t="s">
        <v>676</v>
      </c>
      <c r="AF234" s="724"/>
      <c r="AG234" s="725" t="s">
        <v>557</v>
      </c>
      <c r="AH234" s="724"/>
      <c r="AI234" s="725" t="s">
        <v>557</v>
      </c>
      <c r="AJ234" s="725" t="s">
        <v>750</v>
      </c>
      <c r="AK234" s="724" t="s">
        <v>677</v>
      </c>
      <c r="AL234" s="724"/>
      <c r="AM234" s="724" t="s">
        <v>726</v>
      </c>
      <c r="AN234" s="724" t="s">
        <v>751</v>
      </c>
      <c r="AO234" s="724" t="s">
        <v>749</v>
      </c>
      <c r="AP234" s="724" t="s">
        <v>752</v>
      </c>
      <c r="AQ234" s="724" t="s">
        <v>729</v>
      </c>
      <c r="AR234" s="726">
        <v>409734</v>
      </c>
      <c r="AS234" s="724" t="s">
        <v>675</v>
      </c>
      <c r="AT234" s="726">
        <v>0</v>
      </c>
      <c r="AU234" s="724" t="s">
        <v>678</v>
      </c>
      <c r="AV234" s="724" t="s">
        <v>677</v>
      </c>
      <c r="AW234" s="724" t="s">
        <v>676</v>
      </c>
      <c r="AX234" s="724" t="s">
        <v>674</v>
      </c>
      <c r="AY234" s="724"/>
      <c r="AZ234" s="724"/>
      <c r="BA234" s="724" t="s">
        <v>679</v>
      </c>
      <c r="BB234" s="724"/>
      <c r="BC234" s="724"/>
      <c r="BD234" s="724"/>
      <c r="BE234" s="726"/>
      <c r="BF234" s="724" t="s">
        <v>298</v>
      </c>
      <c r="BG234" s="724" t="s">
        <v>680</v>
      </c>
      <c r="BH234" s="724" t="s">
        <v>681</v>
      </c>
      <c r="BI234" s="724"/>
    </row>
    <row r="235" spans="1:61">
      <c r="A235" s="724" t="s">
        <v>753</v>
      </c>
      <c r="B235" s="724" t="s">
        <v>703</v>
      </c>
      <c r="C235" s="724" t="s">
        <v>704</v>
      </c>
      <c r="D235" s="724" t="s">
        <v>724</v>
      </c>
      <c r="E235" s="724" t="s">
        <v>3</v>
      </c>
      <c r="F235" s="725" t="s">
        <v>83</v>
      </c>
      <c r="G235" s="725" t="s">
        <v>700</v>
      </c>
      <c r="H235" s="726">
        <v>501199</v>
      </c>
      <c r="I235" s="726">
        <v>501199</v>
      </c>
      <c r="J235" s="726">
        <v>0</v>
      </c>
      <c r="K235" s="726">
        <v>0</v>
      </c>
      <c r="L235" s="726">
        <v>501199</v>
      </c>
      <c r="M235" s="726">
        <v>0</v>
      </c>
      <c r="N235" s="726">
        <v>0</v>
      </c>
      <c r="O235" s="726">
        <v>0</v>
      </c>
      <c r="P235" s="726">
        <v>0</v>
      </c>
      <c r="Q235" s="726">
        <v>0</v>
      </c>
      <c r="R235" s="726">
        <v>0</v>
      </c>
      <c r="S235" s="726">
        <v>0</v>
      </c>
      <c r="T235" s="726">
        <v>0</v>
      </c>
      <c r="U235" s="726">
        <v>0</v>
      </c>
      <c r="V235" s="726">
        <v>0</v>
      </c>
      <c r="W235" s="726">
        <v>0</v>
      </c>
      <c r="X235" s="724" t="s">
        <v>674</v>
      </c>
      <c r="Y235" s="724" t="s">
        <v>1226</v>
      </c>
      <c r="Z235" s="724" t="s">
        <v>1226</v>
      </c>
      <c r="AA235" s="724" t="s">
        <v>675</v>
      </c>
      <c r="AB235" s="724" t="s">
        <v>675</v>
      </c>
      <c r="AC235" s="724"/>
      <c r="AD235" s="724"/>
      <c r="AE235" s="724"/>
      <c r="AF235" s="724"/>
      <c r="AG235" s="725" t="s">
        <v>705</v>
      </c>
      <c r="AH235" s="724"/>
      <c r="AI235" s="725" t="s">
        <v>705</v>
      </c>
      <c r="AJ235" s="725" t="s">
        <v>754</v>
      </c>
      <c r="AK235" s="724" t="s">
        <v>677</v>
      </c>
      <c r="AL235" s="724"/>
      <c r="AM235" s="724" t="s">
        <v>726</v>
      </c>
      <c r="AN235" s="724" t="s">
        <v>755</v>
      </c>
      <c r="AO235" s="724" t="s">
        <v>753</v>
      </c>
      <c r="AP235" s="724" t="s">
        <v>756</v>
      </c>
      <c r="AQ235" s="724" t="s">
        <v>757</v>
      </c>
      <c r="AR235" s="726">
        <v>501199</v>
      </c>
      <c r="AS235" s="724" t="s">
        <v>675</v>
      </c>
      <c r="AT235" s="726">
        <v>0</v>
      </c>
      <c r="AU235" s="724" t="s">
        <v>678</v>
      </c>
      <c r="AV235" s="724" t="s">
        <v>677</v>
      </c>
      <c r="AW235" s="724" t="s">
        <v>676</v>
      </c>
      <c r="AX235" s="724" t="s">
        <v>674</v>
      </c>
      <c r="AY235" s="724"/>
      <c r="AZ235" s="724"/>
      <c r="BA235" s="724" t="s">
        <v>679</v>
      </c>
      <c r="BB235" s="724"/>
      <c r="BC235" s="724"/>
      <c r="BD235" s="724"/>
      <c r="BE235" s="726"/>
      <c r="BF235" s="724" t="s">
        <v>298</v>
      </c>
      <c r="BG235" s="724" t="s">
        <v>680</v>
      </c>
      <c r="BH235" s="724" t="s">
        <v>681</v>
      </c>
      <c r="BI235" s="724"/>
    </row>
    <row r="236" spans="1:61">
      <c r="A236" s="724" t="s">
        <v>753</v>
      </c>
      <c r="B236" s="724" t="s">
        <v>703</v>
      </c>
      <c r="C236" s="724" t="s">
        <v>704</v>
      </c>
      <c r="D236" s="724" t="s">
        <v>724</v>
      </c>
      <c r="E236" s="724" t="s">
        <v>3</v>
      </c>
      <c r="F236" s="725" t="s">
        <v>83</v>
      </c>
      <c r="G236" s="725" t="s">
        <v>700</v>
      </c>
      <c r="H236" s="726">
        <v>501199</v>
      </c>
      <c r="I236" s="726">
        <v>501199</v>
      </c>
      <c r="J236" s="726">
        <v>0</v>
      </c>
      <c r="K236" s="726">
        <v>0</v>
      </c>
      <c r="L236" s="726">
        <v>501199</v>
      </c>
      <c r="M236" s="726">
        <v>0</v>
      </c>
      <c r="N236" s="726">
        <v>0</v>
      </c>
      <c r="O236" s="726">
        <v>0</v>
      </c>
      <c r="P236" s="726">
        <v>0</v>
      </c>
      <c r="Q236" s="726">
        <v>0</v>
      </c>
      <c r="R236" s="726">
        <v>0</v>
      </c>
      <c r="S236" s="726">
        <v>0</v>
      </c>
      <c r="T236" s="726">
        <v>0</v>
      </c>
      <c r="U236" s="726">
        <v>0</v>
      </c>
      <c r="V236" s="726">
        <v>0</v>
      </c>
      <c r="W236" s="726">
        <v>0</v>
      </c>
      <c r="X236" s="724" t="s">
        <v>674</v>
      </c>
      <c r="Y236" s="724" t="s">
        <v>1226</v>
      </c>
      <c r="Z236" s="724" t="s">
        <v>1226</v>
      </c>
      <c r="AA236" s="724" t="s">
        <v>675</v>
      </c>
      <c r="AB236" s="724" t="s">
        <v>675</v>
      </c>
      <c r="AC236" s="724"/>
      <c r="AD236" s="724"/>
      <c r="AE236" s="724"/>
      <c r="AF236" s="724"/>
      <c r="AG236" s="725" t="s">
        <v>705</v>
      </c>
      <c r="AH236" s="724"/>
      <c r="AI236" s="725" t="s">
        <v>705</v>
      </c>
      <c r="AJ236" s="725" t="s">
        <v>754</v>
      </c>
      <c r="AK236" s="724" t="s">
        <v>677</v>
      </c>
      <c r="AL236" s="724"/>
      <c r="AM236" s="724" t="s">
        <v>726</v>
      </c>
      <c r="AN236" s="724" t="s">
        <v>758</v>
      </c>
      <c r="AO236" s="724" t="s">
        <v>753</v>
      </c>
      <c r="AP236" s="724" t="s">
        <v>756</v>
      </c>
      <c r="AQ236" s="724" t="s">
        <v>757</v>
      </c>
      <c r="AR236" s="726">
        <v>501199</v>
      </c>
      <c r="AS236" s="724" t="s">
        <v>675</v>
      </c>
      <c r="AT236" s="726">
        <v>0</v>
      </c>
      <c r="AU236" s="724" t="s">
        <v>678</v>
      </c>
      <c r="AV236" s="724" t="s">
        <v>677</v>
      </c>
      <c r="AW236" s="724" t="s">
        <v>676</v>
      </c>
      <c r="AX236" s="724" t="s">
        <v>674</v>
      </c>
      <c r="AY236" s="724"/>
      <c r="AZ236" s="724"/>
      <c r="BA236" s="724" t="s">
        <v>679</v>
      </c>
      <c r="BB236" s="724"/>
      <c r="BC236" s="724"/>
      <c r="BD236" s="724"/>
      <c r="BE236" s="726"/>
      <c r="BF236" s="724" t="s">
        <v>298</v>
      </c>
      <c r="BG236" s="724" t="s">
        <v>680</v>
      </c>
      <c r="BH236" s="724" t="s">
        <v>681</v>
      </c>
      <c r="BI236" s="724"/>
    </row>
    <row r="237" spans="1:61">
      <c r="A237" s="724" t="s">
        <v>759</v>
      </c>
      <c r="B237" s="724" t="s">
        <v>760</v>
      </c>
      <c r="C237" s="724" t="s">
        <v>760</v>
      </c>
      <c r="D237" s="724" t="s">
        <v>724</v>
      </c>
      <c r="E237" s="724" t="s">
        <v>3</v>
      </c>
      <c r="F237" s="725" t="s">
        <v>83</v>
      </c>
      <c r="G237" s="725" t="s">
        <v>700</v>
      </c>
      <c r="H237" s="726">
        <v>109000</v>
      </c>
      <c r="I237" s="726">
        <v>109000</v>
      </c>
      <c r="J237" s="726">
        <v>0</v>
      </c>
      <c r="K237" s="726">
        <v>0</v>
      </c>
      <c r="L237" s="726">
        <v>99091</v>
      </c>
      <c r="M237" s="726">
        <v>0</v>
      </c>
      <c r="N237" s="726">
        <v>0</v>
      </c>
      <c r="O237" s="726">
        <v>9909</v>
      </c>
      <c r="P237" s="726">
        <v>0</v>
      </c>
      <c r="Q237" s="726">
        <v>0</v>
      </c>
      <c r="R237" s="726">
        <v>0</v>
      </c>
      <c r="S237" s="726">
        <v>0</v>
      </c>
      <c r="T237" s="726">
        <v>0</v>
      </c>
      <c r="U237" s="726">
        <v>0</v>
      </c>
      <c r="V237" s="726">
        <v>0</v>
      </c>
      <c r="W237" s="726">
        <v>0</v>
      </c>
      <c r="X237" s="724" t="s">
        <v>674</v>
      </c>
      <c r="Y237" s="724" t="s">
        <v>1226</v>
      </c>
      <c r="Z237" s="724" t="s">
        <v>1226</v>
      </c>
      <c r="AA237" s="724" t="s">
        <v>675</v>
      </c>
      <c r="AB237" s="724" t="s">
        <v>675</v>
      </c>
      <c r="AC237" s="724"/>
      <c r="AD237" s="724"/>
      <c r="AE237" s="724"/>
      <c r="AF237" s="724"/>
      <c r="AG237" s="725" t="s">
        <v>761</v>
      </c>
      <c r="AH237" s="724"/>
      <c r="AI237" s="725" t="s">
        <v>761</v>
      </c>
      <c r="AJ237" s="725" t="s">
        <v>762</v>
      </c>
      <c r="AK237" s="724" t="s">
        <v>677</v>
      </c>
      <c r="AL237" s="724"/>
      <c r="AM237" s="724" t="s">
        <v>763</v>
      </c>
      <c r="AN237" s="724" t="s">
        <v>764</v>
      </c>
      <c r="AO237" s="724" t="s">
        <v>759</v>
      </c>
      <c r="AP237" s="724" t="s">
        <v>753</v>
      </c>
      <c r="AQ237" s="724" t="s">
        <v>757</v>
      </c>
      <c r="AR237" s="726">
        <v>109000</v>
      </c>
      <c r="AS237" s="724" t="s">
        <v>675</v>
      </c>
      <c r="AT237" s="726">
        <v>0</v>
      </c>
      <c r="AU237" s="724" t="s">
        <v>678</v>
      </c>
      <c r="AV237" s="724" t="s">
        <v>677</v>
      </c>
      <c r="AW237" s="724" t="s">
        <v>676</v>
      </c>
      <c r="AX237" s="724" t="s">
        <v>674</v>
      </c>
      <c r="AY237" s="724"/>
      <c r="AZ237" s="724"/>
      <c r="BA237" s="724" t="s">
        <v>679</v>
      </c>
      <c r="BB237" s="724"/>
      <c r="BC237" s="724"/>
      <c r="BD237" s="724"/>
      <c r="BE237" s="726"/>
      <c r="BF237" s="724" t="s">
        <v>298</v>
      </c>
      <c r="BG237" s="724" t="s">
        <v>680</v>
      </c>
      <c r="BH237" s="724" t="s">
        <v>681</v>
      </c>
      <c r="BI237" s="724"/>
    </row>
    <row r="238" spans="1:61">
      <c r="A238" s="724" t="s">
        <v>753</v>
      </c>
      <c r="B238" s="724" t="s">
        <v>753</v>
      </c>
      <c r="C238" s="724" t="s">
        <v>759</v>
      </c>
      <c r="D238" s="724" t="s">
        <v>673</v>
      </c>
      <c r="E238" s="724" t="s">
        <v>3</v>
      </c>
      <c r="F238" s="725" t="s">
        <v>83</v>
      </c>
      <c r="G238" s="725" t="s">
        <v>691</v>
      </c>
      <c r="H238" s="726">
        <v>147320</v>
      </c>
      <c r="I238" s="726">
        <v>147320</v>
      </c>
      <c r="J238" s="726">
        <v>0</v>
      </c>
      <c r="K238" s="726">
        <v>0</v>
      </c>
      <c r="L238" s="726">
        <v>147320</v>
      </c>
      <c r="M238" s="726">
        <v>0</v>
      </c>
      <c r="N238" s="726">
        <v>0</v>
      </c>
      <c r="O238" s="726">
        <v>0</v>
      </c>
      <c r="P238" s="726">
        <v>0</v>
      </c>
      <c r="Q238" s="726">
        <v>0</v>
      </c>
      <c r="R238" s="726">
        <v>0</v>
      </c>
      <c r="S238" s="726">
        <v>0</v>
      </c>
      <c r="T238" s="726">
        <v>0</v>
      </c>
      <c r="U238" s="726">
        <v>0</v>
      </c>
      <c r="V238" s="726">
        <v>0</v>
      </c>
      <c r="W238" s="726">
        <v>0</v>
      </c>
      <c r="X238" s="724" t="s">
        <v>674</v>
      </c>
      <c r="Y238" s="724" t="s">
        <v>1226</v>
      </c>
      <c r="Z238" s="724" t="s">
        <v>1226</v>
      </c>
      <c r="AA238" s="724" t="s">
        <v>675</v>
      </c>
      <c r="AB238" s="724" t="s">
        <v>675</v>
      </c>
      <c r="AC238" s="724"/>
      <c r="AD238" s="724"/>
      <c r="AE238" s="724" t="s">
        <v>676</v>
      </c>
      <c r="AF238" s="724"/>
      <c r="AG238" s="725" t="s">
        <v>733</v>
      </c>
      <c r="AH238" s="724"/>
      <c r="AI238" s="725" t="s">
        <v>733</v>
      </c>
      <c r="AJ238" s="725" t="s">
        <v>677</v>
      </c>
      <c r="AK238" s="724" t="s">
        <v>677</v>
      </c>
      <c r="AL238" s="724"/>
      <c r="AM238" s="724"/>
      <c r="AN238" s="724"/>
      <c r="AO238" s="724"/>
      <c r="AP238" s="724"/>
      <c r="AQ238" s="724"/>
      <c r="AR238" s="726"/>
      <c r="AS238" s="724"/>
      <c r="AT238" s="726"/>
      <c r="AU238" s="724" t="s">
        <v>678</v>
      </c>
      <c r="AV238" s="724" t="s">
        <v>677</v>
      </c>
      <c r="AW238" s="724" t="s">
        <v>676</v>
      </c>
      <c r="AX238" s="724" t="s">
        <v>674</v>
      </c>
      <c r="AY238" s="724"/>
      <c r="AZ238" s="724"/>
      <c r="BA238" s="724" t="s">
        <v>679</v>
      </c>
      <c r="BB238" s="724"/>
      <c r="BC238" s="724"/>
      <c r="BD238" s="724"/>
      <c r="BE238" s="726"/>
      <c r="BF238" s="724" t="s">
        <v>298</v>
      </c>
      <c r="BG238" s="724" t="s">
        <v>680</v>
      </c>
      <c r="BH238" s="724" t="s">
        <v>681</v>
      </c>
      <c r="BI238" s="724"/>
    </row>
    <row r="239" spans="1:61">
      <c r="A239" s="724" t="s">
        <v>753</v>
      </c>
      <c r="B239" s="724" t="s">
        <v>753</v>
      </c>
      <c r="C239" s="724" t="s">
        <v>759</v>
      </c>
      <c r="D239" s="724" t="s">
        <v>673</v>
      </c>
      <c r="E239" s="724" t="s">
        <v>3</v>
      </c>
      <c r="F239" s="725" t="s">
        <v>83</v>
      </c>
      <c r="G239" s="725" t="s">
        <v>691</v>
      </c>
      <c r="H239" s="726">
        <v>1745570</v>
      </c>
      <c r="I239" s="726">
        <v>1745570</v>
      </c>
      <c r="J239" s="726">
        <v>0</v>
      </c>
      <c r="K239" s="726">
        <v>0</v>
      </c>
      <c r="L239" s="726">
        <v>1745570</v>
      </c>
      <c r="M239" s="726">
        <v>0</v>
      </c>
      <c r="N239" s="726">
        <v>0</v>
      </c>
      <c r="O239" s="726">
        <v>0</v>
      </c>
      <c r="P239" s="726">
        <v>0</v>
      </c>
      <c r="Q239" s="726">
        <v>0</v>
      </c>
      <c r="R239" s="726">
        <v>0</v>
      </c>
      <c r="S239" s="726">
        <v>0</v>
      </c>
      <c r="T239" s="726">
        <v>0</v>
      </c>
      <c r="U239" s="726">
        <v>0</v>
      </c>
      <c r="V239" s="726">
        <v>0</v>
      </c>
      <c r="W239" s="726">
        <v>0</v>
      </c>
      <c r="X239" s="724" t="s">
        <v>674</v>
      </c>
      <c r="Y239" s="724" t="s">
        <v>1226</v>
      </c>
      <c r="Z239" s="724" t="s">
        <v>1226</v>
      </c>
      <c r="AA239" s="724" t="s">
        <v>675</v>
      </c>
      <c r="AB239" s="724" t="s">
        <v>675</v>
      </c>
      <c r="AC239" s="724"/>
      <c r="AD239" s="724"/>
      <c r="AE239" s="724" t="s">
        <v>676</v>
      </c>
      <c r="AF239" s="724"/>
      <c r="AG239" s="725" t="s">
        <v>736</v>
      </c>
      <c r="AH239" s="724"/>
      <c r="AI239" s="725" t="s">
        <v>736</v>
      </c>
      <c r="AJ239" s="725" t="s">
        <v>677</v>
      </c>
      <c r="AK239" s="724" t="s">
        <v>677</v>
      </c>
      <c r="AL239" s="724"/>
      <c r="AM239" s="724"/>
      <c r="AN239" s="724"/>
      <c r="AO239" s="724"/>
      <c r="AP239" s="724"/>
      <c r="AQ239" s="724"/>
      <c r="AR239" s="726"/>
      <c r="AS239" s="724"/>
      <c r="AT239" s="726"/>
      <c r="AU239" s="724" t="s">
        <v>678</v>
      </c>
      <c r="AV239" s="724" t="s">
        <v>677</v>
      </c>
      <c r="AW239" s="724" t="s">
        <v>676</v>
      </c>
      <c r="AX239" s="724" t="s">
        <v>674</v>
      </c>
      <c r="AY239" s="724"/>
      <c r="AZ239" s="724"/>
      <c r="BA239" s="724" t="s">
        <v>679</v>
      </c>
      <c r="BB239" s="724"/>
      <c r="BC239" s="724"/>
      <c r="BD239" s="724"/>
      <c r="BE239" s="726"/>
      <c r="BF239" s="724" t="s">
        <v>298</v>
      </c>
      <c r="BG239" s="724" t="s">
        <v>680</v>
      </c>
      <c r="BH239" s="724" t="s">
        <v>681</v>
      </c>
      <c r="BI239" s="724"/>
    </row>
    <row r="240" spans="1:61">
      <c r="A240" s="724" t="s">
        <v>753</v>
      </c>
      <c r="B240" s="724" t="s">
        <v>753</v>
      </c>
      <c r="C240" s="724" t="s">
        <v>759</v>
      </c>
      <c r="D240" s="724" t="s">
        <v>673</v>
      </c>
      <c r="E240" s="724" t="s">
        <v>3</v>
      </c>
      <c r="F240" s="725" t="s">
        <v>83</v>
      </c>
      <c r="G240" s="725" t="s">
        <v>691</v>
      </c>
      <c r="H240" s="726">
        <v>389900</v>
      </c>
      <c r="I240" s="726">
        <v>389900</v>
      </c>
      <c r="J240" s="726">
        <v>0</v>
      </c>
      <c r="K240" s="726">
        <v>0</v>
      </c>
      <c r="L240" s="726">
        <v>389900</v>
      </c>
      <c r="M240" s="726">
        <v>0</v>
      </c>
      <c r="N240" s="726">
        <v>0</v>
      </c>
      <c r="O240" s="726">
        <v>0</v>
      </c>
      <c r="P240" s="726">
        <v>0</v>
      </c>
      <c r="Q240" s="726">
        <v>0</v>
      </c>
      <c r="R240" s="726">
        <v>0</v>
      </c>
      <c r="S240" s="726">
        <v>0</v>
      </c>
      <c r="T240" s="726">
        <v>0</v>
      </c>
      <c r="U240" s="726">
        <v>0</v>
      </c>
      <c r="V240" s="726">
        <v>0</v>
      </c>
      <c r="W240" s="726">
        <v>0</v>
      </c>
      <c r="X240" s="724" t="s">
        <v>674</v>
      </c>
      <c r="Y240" s="724" t="s">
        <v>1226</v>
      </c>
      <c r="Z240" s="724" t="s">
        <v>1226</v>
      </c>
      <c r="AA240" s="724" t="s">
        <v>675</v>
      </c>
      <c r="AB240" s="724" t="s">
        <v>675</v>
      </c>
      <c r="AC240" s="724"/>
      <c r="AD240" s="724"/>
      <c r="AE240" s="724" t="s">
        <v>676</v>
      </c>
      <c r="AF240" s="724"/>
      <c r="AG240" s="725" t="s">
        <v>733</v>
      </c>
      <c r="AH240" s="724"/>
      <c r="AI240" s="725" t="s">
        <v>733</v>
      </c>
      <c r="AJ240" s="725" t="s">
        <v>677</v>
      </c>
      <c r="AK240" s="724" t="s">
        <v>677</v>
      </c>
      <c r="AL240" s="724"/>
      <c r="AM240" s="724"/>
      <c r="AN240" s="724"/>
      <c r="AO240" s="724"/>
      <c r="AP240" s="724"/>
      <c r="AQ240" s="724"/>
      <c r="AR240" s="726"/>
      <c r="AS240" s="724"/>
      <c r="AT240" s="726"/>
      <c r="AU240" s="724" t="s">
        <v>678</v>
      </c>
      <c r="AV240" s="724" t="s">
        <v>677</v>
      </c>
      <c r="AW240" s="724" t="s">
        <v>676</v>
      </c>
      <c r="AX240" s="724" t="s">
        <v>674</v>
      </c>
      <c r="AY240" s="724"/>
      <c r="AZ240" s="724"/>
      <c r="BA240" s="724" t="s">
        <v>679</v>
      </c>
      <c r="BB240" s="724"/>
      <c r="BC240" s="724"/>
      <c r="BD240" s="724"/>
      <c r="BE240" s="726"/>
      <c r="BF240" s="724" t="s">
        <v>298</v>
      </c>
      <c r="BG240" s="724" t="s">
        <v>680</v>
      </c>
      <c r="BH240" s="724" t="s">
        <v>681</v>
      </c>
      <c r="BI240" s="724"/>
    </row>
    <row r="241" spans="1:61">
      <c r="A241" s="724" t="s">
        <v>753</v>
      </c>
      <c r="B241" s="724" t="s">
        <v>753</v>
      </c>
      <c r="C241" s="724" t="s">
        <v>759</v>
      </c>
      <c r="D241" s="724" t="s">
        <v>673</v>
      </c>
      <c r="E241" s="724" t="s">
        <v>3</v>
      </c>
      <c r="F241" s="725" t="s">
        <v>83</v>
      </c>
      <c r="G241" s="725" t="s">
        <v>691</v>
      </c>
      <c r="H241" s="726">
        <v>1526880</v>
      </c>
      <c r="I241" s="726">
        <v>1526880</v>
      </c>
      <c r="J241" s="726">
        <v>0</v>
      </c>
      <c r="K241" s="726">
        <v>0</v>
      </c>
      <c r="L241" s="726">
        <v>1526880</v>
      </c>
      <c r="M241" s="726">
        <v>0</v>
      </c>
      <c r="N241" s="726">
        <v>0</v>
      </c>
      <c r="O241" s="726">
        <v>0</v>
      </c>
      <c r="P241" s="726">
        <v>0</v>
      </c>
      <c r="Q241" s="726">
        <v>0</v>
      </c>
      <c r="R241" s="726">
        <v>0</v>
      </c>
      <c r="S241" s="726">
        <v>0</v>
      </c>
      <c r="T241" s="726">
        <v>0</v>
      </c>
      <c r="U241" s="726">
        <v>0</v>
      </c>
      <c r="V241" s="726">
        <v>0</v>
      </c>
      <c r="W241" s="726">
        <v>0</v>
      </c>
      <c r="X241" s="724" t="s">
        <v>674</v>
      </c>
      <c r="Y241" s="724" t="s">
        <v>1226</v>
      </c>
      <c r="Z241" s="724" t="s">
        <v>1226</v>
      </c>
      <c r="AA241" s="724" t="s">
        <v>675</v>
      </c>
      <c r="AB241" s="724" t="s">
        <v>675</v>
      </c>
      <c r="AC241" s="724"/>
      <c r="AD241" s="724"/>
      <c r="AE241" s="724" t="s">
        <v>676</v>
      </c>
      <c r="AF241" s="724"/>
      <c r="AG241" s="725" t="s">
        <v>736</v>
      </c>
      <c r="AH241" s="724"/>
      <c r="AI241" s="725" t="s">
        <v>736</v>
      </c>
      <c r="AJ241" s="725" t="s">
        <v>677</v>
      </c>
      <c r="AK241" s="724" t="s">
        <v>677</v>
      </c>
      <c r="AL241" s="724"/>
      <c r="AM241" s="724"/>
      <c r="AN241" s="724"/>
      <c r="AO241" s="724"/>
      <c r="AP241" s="724"/>
      <c r="AQ241" s="724"/>
      <c r="AR241" s="726"/>
      <c r="AS241" s="724"/>
      <c r="AT241" s="726"/>
      <c r="AU241" s="724" t="s">
        <v>678</v>
      </c>
      <c r="AV241" s="724" t="s">
        <v>677</v>
      </c>
      <c r="AW241" s="724" t="s">
        <v>676</v>
      </c>
      <c r="AX241" s="724" t="s">
        <v>674</v>
      </c>
      <c r="AY241" s="724"/>
      <c r="AZ241" s="724"/>
      <c r="BA241" s="724" t="s">
        <v>679</v>
      </c>
      <c r="BB241" s="724"/>
      <c r="BC241" s="724"/>
      <c r="BD241" s="724"/>
      <c r="BE241" s="726"/>
      <c r="BF241" s="724" t="s">
        <v>298</v>
      </c>
      <c r="BG241" s="724" t="s">
        <v>680</v>
      </c>
      <c r="BH241" s="724" t="s">
        <v>681</v>
      </c>
      <c r="BI241" s="724"/>
    </row>
    <row r="242" spans="1:61">
      <c r="A242" s="724" t="s">
        <v>753</v>
      </c>
      <c r="B242" s="724" t="s">
        <v>753</v>
      </c>
      <c r="C242" s="724" t="s">
        <v>759</v>
      </c>
      <c r="D242" s="724" t="s">
        <v>673</v>
      </c>
      <c r="E242" s="724" t="s">
        <v>3</v>
      </c>
      <c r="F242" s="725" t="s">
        <v>83</v>
      </c>
      <c r="G242" s="725" t="s">
        <v>691</v>
      </c>
      <c r="H242" s="726">
        <v>168430</v>
      </c>
      <c r="I242" s="726">
        <v>168430</v>
      </c>
      <c r="J242" s="726">
        <v>0</v>
      </c>
      <c r="K242" s="726">
        <v>0</v>
      </c>
      <c r="L242" s="726">
        <v>168430</v>
      </c>
      <c r="M242" s="726">
        <v>0</v>
      </c>
      <c r="N242" s="726">
        <v>0</v>
      </c>
      <c r="O242" s="726">
        <v>0</v>
      </c>
      <c r="P242" s="726">
        <v>0</v>
      </c>
      <c r="Q242" s="726">
        <v>0</v>
      </c>
      <c r="R242" s="726">
        <v>0</v>
      </c>
      <c r="S242" s="726">
        <v>0</v>
      </c>
      <c r="T242" s="726">
        <v>0</v>
      </c>
      <c r="U242" s="726">
        <v>0</v>
      </c>
      <c r="V242" s="726">
        <v>0</v>
      </c>
      <c r="W242" s="726">
        <v>0</v>
      </c>
      <c r="X242" s="724" t="s">
        <v>674</v>
      </c>
      <c r="Y242" s="724" t="s">
        <v>1226</v>
      </c>
      <c r="Z242" s="724" t="s">
        <v>1226</v>
      </c>
      <c r="AA242" s="724" t="s">
        <v>675</v>
      </c>
      <c r="AB242" s="724" t="s">
        <v>675</v>
      </c>
      <c r="AC242" s="724"/>
      <c r="AD242" s="724"/>
      <c r="AE242" s="724" t="s">
        <v>676</v>
      </c>
      <c r="AF242" s="724"/>
      <c r="AG242" s="725" t="s">
        <v>733</v>
      </c>
      <c r="AH242" s="724"/>
      <c r="AI242" s="725" t="s">
        <v>733</v>
      </c>
      <c r="AJ242" s="725" t="s">
        <v>677</v>
      </c>
      <c r="AK242" s="724" t="s">
        <v>677</v>
      </c>
      <c r="AL242" s="724"/>
      <c r="AM242" s="724"/>
      <c r="AN242" s="724"/>
      <c r="AO242" s="724"/>
      <c r="AP242" s="724"/>
      <c r="AQ242" s="724"/>
      <c r="AR242" s="726"/>
      <c r="AS242" s="724"/>
      <c r="AT242" s="726"/>
      <c r="AU242" s="724" t="s">
        <v>678</v>
      </c>
      <c r="AV242" s="724" t="s">
        <v>677</v>
      </c>
      <c r="AW242" s="724" t="s">
        <v>676</v>
      </c>
      <c r="AX242" s="724" t="s">
        <v>674</v>
      </c>
      <c r="AY242" s="724"/>
      <c r="AZ242" s="724"/>
      <c r="BA242" s="724" t="s">
        <v>679</v>
      </c>
      <c r="BB242" s="724"/>
      <c r="BC242" s="724"/>
      <c r="BD242" s="724"/>
      <c r="BE242" s="726"/>
      <c r="BF242" s="724" t="s">
        <v>298</v>
      </c>
      <c r="BG242" s="724" t="s">
        <v>680</v>
      </c>
      <c r="BH242" s="724" t="s">
        <v>681</v>
      </c>
      <c r="BI242" s="724"/>
    </row>
    <row r="243" spans="1:61">
      <c r="A243" s="724" t="s">
        <v>753</v>
      </c>
      <c r="B243" s="724" t="s">
        <v>753</v>
      </c>
      <c r="C243" s="724" t="s">
        <v>759</v>
      </c>
      <c r="D243" s="724" t="s">
        <v>673</v>
      </c>
      <c r="E243" s="724" t="s">
        <v>3</v>
      </c>
      <c r="F243" s="725" t="s">
        <v>83</v>
      </c>
      <c r="G243" s="725" t="s">
        <v>691</v>
      </c>
      <c r="H243" s="726">
        <v>4040900</v>
      </c>
      <c r="I243" s="726">
        <v>4040900</v>
      </c>
      <c r="J243" s="726">
        <v>0</v>
      </c>
      <c r="K243" s="726">
        <v>0</v>
      </c>
      <c r="L243" s="726">
        <v>4040900</v>
      </c>
      <c r="M243" s="726">
        <v>0</v>
      </c>
      <c r="N243" s="726">
        <v>0</v>
      </c>
      <c r="O243" s="726">
        <v>0</v>
      </c>
      <c r="P243" s="726">
        <v>0</v>
      </c>
      <c r="Q243" s="726">
        <v>0</v>
      </c>
      <c r="R243" s="726">
        <v>0</v>
      </c>
      <c r="S243" s="726">
        <v>0</v>
      </c>
      <c r="T243" s="726">
        <v>0</v>
      </c>
      <c r="U243" s="726">
        <v>0</v>
      </c>
      <c r="V243" s="726">
        <v>0</v>
      </c>
      <c r="W243" s="726">
        <v>0</v>
      </c>
      <c r="X243" s="724" t="s">
        <v>674</v>
      </c>
      <c r="Y243" s="724" t="s">
        <v>1226</v>
      </c>
      <c r="Z243" s="724" t="s">
        <v>1226</v>
      </c>
      <c r="AA243" s="724" t="s">
        <v>675</v>
      </c>
      <c r="AB243" s="724" t="s">
        <v>675</v>
      </c>
      <c r="AC243" s="724"/>
      <c r="AD243" s="724"/>
      <c r="AE243" s="724" t="s">
        <v>676</v>
      </c>
      <c r="AF243" s="724"/>
      <c r="AG243" s="725" t="s">
        <v>736</v>
      </c>
      <c r="AH243" s="724"/>
      <c r="AI243" s="725" t="s">
        <v>736</v>
      </c>
      <c r="AJ243" s="725" t="s">
        <v>677</v>
      </c>
      <c r="AK243" s="724" t="s">
        <v>677</v>
      </c>
      <c r="AL243" s="724"/>
      <c r="AM243" s="724"/>
      <c r="AN243" s="724"/>
      <c r="AO243" s="724"/>
      <c r="AP243" s="724"/>
      <c r="AQ243" s="724"/>
      <c r="AR243" s="726"/>
      <c r="AS243" s="724"/>
      <c r="AT243" s="726"/>
      <c r="AU243" s="724" t="s">
        <v>678</v>
      </c>
      <c r="AV243" s="724" t="s">
        <v>677</v>
      </c>
      <c r="AW243" s="724" t="s">
        <v>676</v>
      </c>
      <c r="AX243" s="724" t="s">
        <v>674</v>
      </c>
      <c r="AY243" s="724"/>
      <c r="AZ243" s="724"/>
      <c r="BA243" s="724" t="s">
        <v>679</v>
      </c>
      <c r="BB243" s="724"/>
      <c r="BC243" s="724"/>
      <c r="BD243" s="724"/>
      <c r="BE243" s="726"/>
      <c r="BF243" s="724" t="s">
        <v>298</v>
      </c>
      <c r="BG243" s="724" t="s">
        <v>680</v>
      </c>
      <c r="BH243" s="724" t="s">
        <v>681</v>
      </c>
      <c r="BI243" s="724"/>
    </row>
    <row r="244" spans="1:61">
      <c r="A244" s="724" t="s">
        <v>753</v>
      </c>
      <c r="B244" s="724" t="s">
        <v>753</v>
      </c>
      <c r="C244" s="724" t="s">
        <v>759</v>
      </c>
      <c r="D244" s="724" t="s">
        <v>673</v>
      </c>
      <c r="E244" s="724" t="s">
        <v>3</v>
      </c>
      <c r="F244" s="725" t="s">
        <v>83</v>
      </c>
      <c r="G244" s="725" t="s">
        <v>691</v>
      </c>
      <c r="H244" s="726">
        <v>912000</v>
      </c>
      <c r="I244" s="726">
        <v>912000</v>
      </c>
      <c r="J244" s="726">
        <v>0</v>
      </c>
      <c r="K244" s="726">
        <v>0</v>
      </c>
      <c r="L244" s="726">
        <v>912000</v>
      </c>
      <c r="M244" s="726">
        <v>0</v>
      </c>
      <c r="N244" s="726">
        <v>0</v>
      </c>
      <c r="O244" s="726">
        <v>0</v>
      </c>
      <c r="P244" s="726">
        <v>0</v>
      </c>
      <c r="Q244" s="726">
        <v>0</v>
      </c>
      <c r="R244" s="726">
        <v>0</v>
      </c>
      <c r="S244" s="726">
        <v>0</v>
      </c>
      <c r="T244" s="726">
        <v>0</v>
      </c>
      <c r="U244" s="726">
        <v>0</v>
      </c>
      <c r="V244" s="726">
        <v>0</v>
      </c>
      <c r="W244" s="726">
        <v>0</v>
      </c>
      <c r="X244" s="724" t="s">
        <v>674</v>
      </c>
      <c r="Y244" s="724" t="s">
        <v>1226</v>
      </c>
      <c r="Z244" s="724" t="s">
        <v>1226</v>
      </c>
      <c r="AA244" s="724" t="s">
        <v>675</v>
      </c>
      <c r="AB244" s="724" t="s">
        <v>675</v>
      </c>
      <c r="AC244" s="724"/>
      <c r="AD244" s="724"/>
      <c r="AE244" s="724" t="s">
        <v>676</v>
      </c>
      <c r="AF244" s="724"/>
      <c r="AG244" s="725" t="s">
        <v>735</v>
      </c>
      <c r="AH244" s="724"/>
      <c r="AI244" s="725" t="s">
        <v>735</v>
      </c>
      <c r="AJ244" s="725" t="s">
        <v>677</v>
      </c>
      <c r="AK244" s="724" t="s">
        <v>677</v>
      </c>
      <c r="AL244" s="724"/>
      <c r="AM244" s="724"/>
      <c r="AN244" s="724"/>
      <c r="AO244" s="724"/>
      <c r="AP244" s="724"/>
      <c r="AQ244" s="724"/>
      <c r="AR244" s="726"/>
      <c r="AS244" s="724"/>
      <c r="AT244" s="726"/>
      <c r="AU244" s="724" t="s">
        <v>678</v>
      </c>
      <c r="AV244" s="724" t="s">
        <v>677</v>
      </c>
      <c r="AW244" s="724" t="s">
        <v>676</v>
      </c>
      <c r="AX244" s="724" t="s">
        <v>674</v>
      </c>
      <c r="AY244" s="724"/>
      <c r="AZ244" s="724"/>
      <c r="BA244" s="724" t="s">
        <v>679</v>
      </c>
      <c r="BB244" s="724"/>
      <c r="BC244" s="724"/>
      <c r="BD244" s="724"/>
      <c r="BE244" s="726"/>
      <c r="BF244" s="724" t="s">
        <v>298</v>
      </c>
      <c r="BG244" s="724" t="s">
        <v>680</v>
      </c>
      <c r="BH244" s="724" t="s">
        <v>681</v>
      </c>
      <c r="BI244" s="724"/>
    </row>
    <row r="245" spans="1:61">
      <c r="A245" s="724" t="s">
        <v>753</v>
      </c>
      <c r="B245" s="724" t="s">
        <v>753</v>
      </c>
      <c r="C245" s="724" t="s">
        <v>759</v>
      </c>
      <c r="D245" s="724" t="s">
        <v>673</v>
      </c>
      <c r="E245" s="724" t="s">
        <v>3</v>
      </c>
      <c r="F245" s="725" t="s">
        <v>83</v>
      </c>
      <c r="G245" s="725" t="s">
        <v>691</v>
      </c>
      <c r="H245" s="726">
        <v>88000</v>
      </c>
      <c r="I245" s="726">
        <v>88000</v>
      </c>
      <c r="J245" s="726">
        <v>0</v>
      </c>
      <c r="K245" s="726">
        <v>0</v>
      </c>
      <c r="L245" s="726">
        <v>88000</v>
      </c>
      <c r="M245" s="726">
        <v>0</v>
      </c>
      <c r="N245" s="726">
        <v>0</v>
      </c>
      <c r="O245" s="726">
        <v>0</v>
      </c>
      <c r="P245" s="726">
        <v>0</v>
      </c>
      <c r="Q245" s="726">
        <v>0</v>
      </c>
      <c r="R245" s="726">
        <v>0</v>
      </c>
      <c r="S245" s="726">
        <v>0</v>
      </c>
      <c r="T245" s="726">
        <v>0</v>
      </c>
      <c r="U245" s="726">
        <v>0</v>
      </c>
      <c r="V245" s="726">
        <v>0</v>
      </c>
      <c r="W245" s="726">
        <v>0</v>
      </c>
      <c r="X245" s="724" t="s">
        <v>674</v>
      </c>
      <c r="Y245" s="724" t="s">
        <v>675</v>
      </c>
      <c r="Z245" s="724" t="s">
        <v>675</v>
      </c>
      <c r="AA245" s="724" t="s">
        <v>675</v>
      </c>
      <c r="AB245" s="724" t="s">
        <v>675</v>
      </c>
      <c r="AC245" s="724"/>
      <c r="AD245" s="724"/>
      <c r="AE245" s="724" t="s">
        <v>676</v>
      </c>
      <c r="AF245" s="724"/>
      <c r="AG245" s="725" t="s">
        <v>734</v>
      </c>
      <c r="AH245" s="724"/>
      <c r="AI245" s="725" t="s">
        <v>734</v>
      </c>
      <c r="AJ245" s="725" t="s">
        <v>677</v>
      </c>
      <c r="AK245" s="724" t="s">
        <v>677</v>
      </c>
      <c r="AL245" s="724"/>
      <c r="AM245" s="724"/>
      <c r="AN245" s="724"/>
      <c r="AO245" s="724"/>
      <c r="AP245" s="724"/>
      <c r="AQ245" s="724"/>
      <c r="AR245" s="726"/>
      <c r="AS245" s="724"/>
      <c r="AT245" s="726"/>
      <c r="AU245" s="724" t="s">
        <v>678</v>
      </c>
      <c r="AV245" s="724" t="s">
        <v>677</v>
      </c>
      <c r="AW245" s="724" t="s">
        <v>676</v>
      </c>
      <c r="AX245" s="724" t="s">
        <v>674</v>
      </c>
      <c r="AY245" s="724"/>
      <c r="AZ245" s="724"/>
      <c r="BA245" s="724" t="s">
        <v>679</v>
      </c>
      <c r="BB245" s="724"/>
      <c r="BC245" s="724"/>
      <c r="BD245" s="724"/>
      <c r="BE245" s="726"/>
      <c r="BF245" s="724" t="s">
        <v>298</v>
      </c>
      <c r="BG245" s="724" t="s">
        <v>680</v>
      </c>
      <c r="BH245" s="724" t="s">
        <v>681</v>
      </c>
      <c r="BI245" s="724"/>
    </row>
    <row r="246" spans="1:61">
      <c r="A246" s="724" t="s">
        <v>753</v>
      </c>
      <c r="B246" s="724" t="s">
        <v>753</v>
      </c>
      <c r="C246" s="724" t="s">
        <v>759</v>
      </c>
      <c r="D246" s="724" t="s">
        <v>673</v>
      </c>
      <c r="E246" s="724" t="s">
        <v>3</v>
      </c>
      <c r="F246" s="725" t="s">
        <v>83</v>
      </c>
      <c r="G246" s="725" t="s">
        <v>691</v>
      </c>
      <c r="H246" s="726">
        <v>88000</v>
      </c>
      <c r="I246" s="726">
        <v>88000</v>
      </c>
      <c r="J246" s="726">
        <v>0</v>
      </c>
      <c r="K246" s="726">
        <v>0</v>
      </c>
      <c r="L246" s="726">
        <v>88000</v>
      </c>
      <c r="M246" s="726">
        <v>0</v>
      </c>
      <c r="N246" s="726">
        <v>0</v>
      </c>
      <c r="O246" s="726">
        <v>0</v>
      </c>
      <c r="P246" s="726">
        <v>0</v>
      </c>
      <c r="Q246" s="726">
        <v>0</v>
      </c>
      <c r="R246" s="726">
        <v>0</v>
      </c>
      <c r="S246" s="726">
        <v>0</v>
      </c>
      <c r="T246" s="726">
        <v>0</v>
      </c>
      <c r="U246" s="726">
        <v>0</v>
      </c>
      <c r="V246" s="726">
        <v>0</v>
      </c>
      <c r="W246" s="726">
        <v>0</v>
      </c>
      <c r="X246" s="724" t="s">
        <v>674</v>
      </c>
      <c r="Y246" s="724" t="s">
        <v>675</v>
      </c>
      <c r="Z246" s="724" t="s">
        <v>675</v>
      </c>
      <c r="AA246" s="724" t="s">
        <v>675</v>
      </c>
      <c r="AB246" s="724" t="s">
        <v>675</v>
      </c>
      <c r="AC246" s="724"/>
      <c r="AD246" s="724"/>
      <c r="AE246" s="724" t="s">
        <v>676</v>
      </c>
      <c r="AF246" s="724"/>
      <c r="AG246" s="725" t="s">
        <v>734</v>
      </c>
      <c r="AH246" s="724"/>
      <c r="AI246" s="725" t="s">
        <v>734</v>
      </c>
      <c r="AJ246" s="725" t="s">
        <v>677</v>
      </c>
      <c r="AK246" s="724" t="s">
        <v>677</v>
      </c>
      <c r="AL246" s="724"/>
      <c r="AM246" s="724"/>
      <c r="AN246" s="724"/>
      <c r="AO246" s="724"/>
      <c r="AP246" s="724"/>
      <c r="AQ246" s="724"/>
      <c r="AR246" s="726"/>
      <c r="AS246" s="724"/>
      <c r="AT246" s="726"/>
      <c r="AU246" s="724" t="s">
        <v>678</v>
      </c>
      <c r="AV246" s="724" t="s">
        <v>677</v>
      </c>
      <c r="AW246" s="724" t="s">
        <v>676</v>
      </c>
      <c r="AX246" s="724" t="s">
        <v>674</v>
      </c>
      <c r="AY246" s="724"/>
      <c r="AZ246" s="724"/>
      <c r="BA246" s="724" t="s">
        <v>679</v>
      </c>
      <c r="BB246" s="724"/>
      <c r="BC246" s="724"/>
      <c r="BD246" s="724"/>
      <c r="BE246" s="726"/>
      <c r="BF246" s="724" t="s">
        <v>298</v>
      </c>
      <c r="BG246" s="724" t="s">
        <v>680</v>
      </c>
      <c r="BH246" s="724" t="s">
        <v>681</v>
      </c>
      <c r="BI246" s="724"/>
    </row>
    <row r="247" spans="1:61">
      <c r="A247" s="724" t="s">
        <v>753</v>
      </c>
      <c r="B247" s="724" t="s">
        <v>753</v>
      </c>
      <c r="C247" s="724" t="s">
        <v>759</v>
      </c>
      <c r="D247" s="724" t="s">
        <v>673</v>
      </c>
      <c r="E247" s="724" t="s">
        <v>3</v>
      </c>
      <c r="F247" s="725" t="s">
        <v>83</v>
      </c>
      <c r="G247" s="725" t="s">
        <v>691</v>
      </c>
      <c r="H247" s="726">
        <v>912000</v>
      </c>
      <c r="I247" s="726">
        <v>912000</v>
      </c>
      <c r="J247" s="726">
        <v>0</v>
      </c>
      <c r="K247" s="726">
        <v>0</v>
      </c>
      <c r="L247" s="726">
        <v>912000</v>
      </c>
      <c r="M247" s="726">
        <v>0</v>
      </c>
      <c r="N247" s="726">
        <v>0</v>
      </c>
      <c r="O247" s="726">
        <v>0</v>
      </c>
      <c r="P247" s="726">
        <v>0</v>
      </c>
      <c r="Q247" s="726">
        <v>0</v>
      </c>
      <c r="R247" s="726">
        <v>0</v>
      </c>
      <c r="S247" s="726">
        <v>0</v>
      </c>
      <c r="T247" s="726">
        <v>0</v>
      </c>
      <c r="U247" s="726">
        <v>0</v>
      </c>
      <c r="V247" s="726">
        <v>0</v>
      </c>
      <c r="W247" s="726">
        <v>0</v>
      </c>
      <c r="X247" s="724" t="s">
        <v>674</v>
      </c>
      <c r="Y247" s="724" t="s">
        <v>1226</v>
      </c>
      <c r="Z247" s="724" t="s">
        <v>1226</v>
      </c>
      <c r="AA247" s="724" t="s">
        <v>675</v>
      </c>
      <c r="AB247" s="724" t="s">
        <v>675</v>
      </c>
      <c r="AC247" s="724"/>
      <c r="AD247" s="724"/>
      <c r="AE247" s="724" t="s">
        <v>676</v>
      </c>
      <c r="AF247" s="724"/>
      <c r="AG247" s="725" t="s">
        <v>735</v>
      </c>
      <c r="AH247" s="724"/>
      <c r="AI247" s="725" t="s">
        <v>735</v>
      </c>
      <c r="AJ247" s="725" t="s">
        <v>677</v>
      </c>
      <c r="AK247" s="724" t="s">
        <v>677</v>
      </c>
      <c r="AL247" s="724"/>
      <c r="AM247" s="724"/>
      <c r="AN247" s="724"/>
      <c r="AO247" s="724"/>
      <c r="AP247" s="724"/>
      <c r="AQ247" s="724"/>
      <c r="AR247" s="726"/>
      <c r="AS247" s="724"/>
      <c r="AT247" s="726"/>
      <c r="AU247" s="724" t="s">
        <v>678</v>
      </c>
      <c r="AV247" s="724" t="s">
        <v>677</v>
      </c>
      <c r="AW247" s="724" t="s">
        <v>676</v>
      </c>
      <c r="AX247" s="724" t="s">
        <v>674</v>
      </c>
      <c r="AY247" s="724"/>
      <c r="AZ247" s="724"/>
      <c r="BA247" s="724" t="s">
        <v>679</v>
      </c>
      <c r="BB247" s="724"/>
      <c r="BC247" s="724"/>
      <c r="BD247" s="724"/>
      <c r="BE247" s="726"/>
      <c r="BF247" s="724" t="s">
        <v>298</v>
      </c>
      <c r="BG247" s="724" t="s">
        <v>680</v>
      </c>
      <c r="BH247" s="724" t="s">
        <v>681</v>
      </c>
      <c r="BI247" s="724"/>
    </row>
    <row r="248" spans="1:61">
      <c r="A248" s="724" t="s">
        <v>767</v>
      </c>
      <c r="B248" s="724" t="s">
        <v>1105</v>
      </c>
      <c r="C248" s="724" t="s">
        <v>1105</v>
      </c>
      <c r="D248" s="724" t="s">
        <v>724</v>
      </c>
      <c r="E248" s="724" t="s">
        <v>3</v>
      </c>
      <c r="F248" s="725" t="s">
        <v>83</v>
      </c>
      <c r="G248" s="725" t="s">
        <v>700</v>
      </c>
      <c r="H248" s="726">
        <v>153610</v>
      </c>
      <c r="I248" s="726">
        <v>153610</v>
      </c>
      <c r="J248" s="726">
        <v>0</v>
      </c>
      <c r="K248" s="726">
        <v>0</v>
      </c>
      <c r="L248" s="726">
        <v>139646</v>
      </c>
      <c r="M248" s="726">
        <v>0</v>
      </c>
      <c r="N248" s="726">
        <v>0</v>
      </c>
      <c r="O248" s="726">
        <v>13964</v>
      </c>
      <c r="P248" s="726">
        <v>0</v>
      </c>
      <c r="Q248" s="726">
        <v>0</v>
      </c>
      <c r="R248" s="726">
        <v>0</v>
      </c>
      <c r="S248" s="726">
        <v>0</v>
      </c>
      <c r="T248" s="726">
        <v>0</v>
      </c>
      <c r="U248" s="726">
        <v>0</v>
      </c>
      <c r="V248" s="726">
        <v>0</v>
      </c>
      <c r="W248" s="726">
        <v>0</v>
      </c>
      <c r="X248" s="724" t="s">
        <v>674</v>
      </c>
      <c r="Y248" s="724" t="s">
        <v>1226</v>
      </c>
      <c r="Z248" s="724" t="s">
        <v>1226</v>
      </c>
      <c r="AA248" s="724" t="s">
        <v>675</v>
      </c>
      <c r="AB248" s="724" t="s">
        <v>675</v>
      </c>
      <c r="AC248" s="724"/>
      <c r="AD248" s="724"/>
      <c r="AE248" s="724"/>
      <c r="AF248" s="724"/>
      <c r="AG248" s="725" t="s">
        <v>1106</v>
      </c>
      <c r="AH248" s="724"/>
      <c r="AI248" s="725" t="s">
        <v>1106</v>
      </c>
      <c r="AJ248" s="725" t="s">
        <v>1002</v>
      </c>
      <c r="AK248" s="724" t="s">
        <v>677</v>
      </c>
      <c r="AL248" s="724"/>
      <c r="AM248" s="724" t="s">
        <v>726</v>
      </c>
      <c r="AN248" s="724" t="s">
        <v>1135</v>
      </c>
      <c r="AO248" s="724" t="s">
        <v>767</v>
      </c>
      <c r="AP248" s="724" t="s">
        <v>845</v>
      </c>
      <c r="AQ248" s="724" t="s">
        <v>729</v>
      </c>
      <c r="AR248" s="726">
        <v>153610</v>
      </c>
      <c r="AS248" s="724" t="s">
        <v>675</v>
      </c>
      <c r="AT248" s="726">
        <v>0</v>
      </c>
      <c r="AU248" s="724" t="s">
        <v>678</v>
      </c>
      <c r="AV248" s="724" t="s">
        <v>677</v>
      </c>
      <c r="AW248" s="724" t="s">
        <v>676</v>
      </c>
      <c r="AX248" s="724" t="s">
        <v>674</v>
      </c>
      <c r="AY248" s="724"/>
      <c r="AZ248" s="724"/>
      <c r="BA248" s="724" t="s">
        <v>679</v>
      </c>
      <c r="BB248" s="724"/>
      <c r="BC248" s="724"/>
      <c r="BD248" s="724"/>
      <c r="BE248" s="726"/>
      <c r="BF248" s="724" t="s">
        <v>298</v>
      </c>
      <c r="BG248" s="724" t="s">
        <v>680</v>
      </c>
      <c r="BH248" s="724" t="s">
        <v>681</v>
      </c>
      <c r="BI248" s="724"/>
    </row>
    <row r="249" spans="1:61">
      <c r="A249" s="724" t="s">
        <v>767</v>
      </c>
      <c r="B249" s="724" t="s">
        <v>1105</v>
      </c>
      <c r="C249" s="724" t="s">
        <v>1105</v>
      </c>
      <c r="D249" s="724" t="s">
        <v>724</v>
      </c>
      <c r="E249" s="724" t="s">
        <v>3</v>
      </c>
      <c r="F249" s="725" t="s">
        <v>83</v>
      </c>
      <c r="G249" s="725" t="s">
        <v>700</v>
      </c>
      <c r="H249" s="726">
        <v>1452600</v>
      </c>
      <c r="I249" s="726">
        <v>1452600</v>
      </c>
      <c r="J249" s="726">
        <v>0</v>
      </c>
      <c r="K249" s="726">
        <v>0</v>
      </c>
      <c r="L249" s="726">
        <v>1452600</v>
      </c>
      <c r="M249" s="726">
        <v>0</v>
      </c>
      <c r="N249" s="726">
        <v>0</v>
      </c>
      <c r="O249" s="726">
        <v>0</v>
      </c>
      <c r="P249" s="726">
        <v>0</v>
      </c>
      <c r="Q249" s="726">
        <v>0</v>
      </c>
      <c r="R249" s="726">
        <v>0</v>
      </c>
      <c r="S249" s="726">
        <v>0</v>
      </c>
      <c r="T249" s="726">
        <v>0</v>
      </c>
      <c r="U249" s="726">
        <v>0</v>
      </c>
      <c r="V249" s="726">
        <v>0</v>
      </c>
      <c r="W249" s="726">
        <v>0</v>
      </c>
      <c r="X249" s="724" t="s">
        <v>674</v>
      </c>
      <c r="Y249" s="724" t="s">
        <v>1226</v>
      </c>
      <c r="Z249" s="724" t="s">
        <v>1226</v>
      </c>
      <c r="AA249" s="724" t="s">
        <v>675</v>
      </c>
      <c r="AB249" s="724" t="s">
        <v>675</v>
      </c>
      <c r="AC249" s="724"/>
      <c r="AD249" s="724"/>
      <c r="AE249" s="724"/>
      <c r="AF249" s="724"/>
      <c r="AG249" s="725" t="s">
        <v>1106</v>
      </c>
      <c r="AH249" s="724"/>
      <c r="AI249" s="725" t="s">
        <v>1106</v>
      </c>
      <c r="AJ249" s="725" t="s">
        <v>1136</v>
      </c>
      <c r="AK249" s="724" t="s">
        <v>677</v>
      </c>
      <c r="AL249" s="724"/>
      <c r="AM249" s="724" t="s">
        <v>726</v>
      </c>
      <c r="AN249" s="724" t="s">
        <v>1137</v>
      </c>
      <c r="AO249" s="724" t="s">
        <v>767</v>
      </c>
      <c r="AP249" s="724" t="s">
        <v>1138</v>
      </c>
      <c r="AQ249" s="724" t="s">
        <v>729</v>
      </c>
      <c r="AR249" s="726">
        <v>1452600</v>
      </c>
      <c r="AS249" s="724" t="s">
        <v>675</v>
      </c>
      <c r="AT249" s="726">
        <v>0</v>
      </c>
      <c r="AU249" s="724" t="s">
        <v>678</v>
      </c>
      <c r="AV249" s="724" t="s">
        <v>677</v>
      </c>
      <c r="AW249" s="724" t="s">
        <v>676</v>
      </c>
      <c r="AX249" s="724" t="s">
        <v>674</v>
      </c>
      <c r="AY249" s="724"/>
      <c r="AZ249" s="724"/>
      <c r="BA249" s="724" t="s">
        <v>679</v>
      </c>
      <c r="BB249" s="724"/>
      <c r="BC249" s="724"/>
      <c r="BD249" s="724"/>
      <c r="BE249" s="726"/>
      <c r="BF249" s="724" t="s">
        <v>298</v>
      </c>
      <c r="BG249" s="724" t="s">
        <v>680</v>
      </c>
      <c r="BH249" s="724" t="s">
        <v>681</v>
      </c>
      <c r="BI249" s="724"/>
    </row>
    <row r="250" spans="1:61">
      <c r="A250" s="724" t="s">
        <v>767</v>
      </c>
      <c r="B250" s="724" t="s">
        <v>1105</v>
      </c>
      <c r="C250" s="724" t="s">
        <v>1105</v>
      </c>
      <c r="D250" s="724" t="s">
        <v>724</v>
      </c>
      <c r="E250" s="724" t="s">
        <v>3</v>
      </c>
      <c r="F250" s="725" t="s">
        <v>83</v>
      </c>
      <c r="G250" s="725" t="s">
        <v>700</v>
      </c>
      <c r="H250" s="726">
        <v>1452600</v>
      </c>
      <c r="I250" s="726">
        <v>1452600</v>
      </c>
      <c r="J250" s="726">
        <v>0</v>
      </c>
      <c r="K250" s="726">
        <v>0</v>
      </c>
      <c r="L250" s="726">
        <v>1452600</v>
      </c>
      <c r="M250" s="726">
        <v>0</v>
      </c>
      <c r="N250" s="726">
        <v>0</v>
      </c>
      <c r="O250" s="726">
        <v>0</v>
      </c>
      <c r="P250" s="726">
        <v>0</v>
      </c>
      <c r="Q250" s="726">
        <v>0</v>
      </c>
      <c r="R250" s="726">
        <v>0</v>
      </c>
      <c r="S250" s="726">
        <v>0</v>
      </c>
      <c r="T250" s="726">
        <v>0</v>
      </c>
      <c r="U250" s="726">
        <v>0</v>
      </c>
      <c r="V250" s="726">
        <v>0</v>
      </c>
      <c r="W250" s="726">
        <v>0</v>
      </c>
      <c r="X250" s="724" t="s">
        <v>674</v>
      </c>
      <c r="Y250" s="724" t="s">
        <v>1226</v>
      </c>
      <c r="Z250" s="724" t="s">
        <v>1226</v>
      </c>
      <c r="AA250" s="724" t="s">
        <v>675</v>
      </c>
      <c r="AB250" s="724" t="s">
        <v>675</v>
      </c>
      <c r="AC250" s="724"/>
      <c r="AD250" s="724"/>
      <c r="AE250" s="724"/>
      <c r="AF250" s="724"/>
      <c r="AG250" s="725" t="s">
        <v>1106</v>
      </c>
      <c r="AH250" s="724"/>
      <c r="AI250" s="725" t="s">
        <v>1106</v>
      </c>
      <c r="AJ250" s="725" t="s">
        <v>1139</v>
      </c>
      <c r="AK250" s="724" t="s">
        <v>677</v>
      </c>
      <c r="AL250" s="724"/>
      <c r="AM250" s="724" t="s">
        <v>726</v>
      </c>
      <c r="AN250" s="724" t="s">
        <v>1140</v>
      </c>
      <c r="AO250" s="724" t="s">
        <v>767</v>
      </c>
      <c r="AP250" s="724" t="s">
        <v>1138</v>
      </c>
      <c r="AQ250" s="724" t="s">
        <v>729</v>
      </c>
      <c r="AR250" s="726">
        <v>1452600</v>
      </c>
      <c r="AS250" s="724" t="s">
        <v>675</v>
      </c>
      <c r="AT250" s="726">
        <v>0</v>
      </c>
      <c r="AU250" s="724" t="s">
        <v>678</v>
      </c>
      <c r="AV250" s="724" t="s">
        <v>677</v>
      </c>
      <c r="AW250" s="724" t="s">
        <v>676</v>
      </c>
      <c r="AX250" s="724" t="s">
        <v>674</v>
      </c>
      <c r="AY250" s="724"/>
      <c r="AZ250" s="724"/>
      <c r="BA250" s="724" t="s">
        <v>679</v>
      </c>
      <c r="BB250" s="724"/>
      <c r="BC250" s="724"/>
      <c r="BD250" s="724"/>
      <c r="BE250" s="726"/>
      <c r="BF250" s="724" t="s">
        <v>298</v>
      </c>
      <c r="BG250" s="724" t="s">
        <v>680</v>
      </c>
      <c r="BH250" s="724" t="s">
        <v>681</v>
      </c>
      <c r="BI250" s="724"/>
    </row>
    <row r="251" spans="1:61">
      <c r="A251" s="724" t="s">
        <v>765</v>
      </c>
      <c r="B251" s="724" t="s">
        <v>703</v>
      </c>
      <c r="C251" s="724" t="s">
        <v>704</v>
      </c>
      <c r="D251" s="724" t="s">
        <v>724</v>
      </c>
      <c r="E251" s="724" t="s">
        <v>3</v>
      </c>
      <c r="F251" s="725" t="s">
        <v>83</v>
      </c>
      <c r="G251" s="725" t="s">
        <v>700</v>
      </c>
      <c r="H251" s="726">
        <v>504669</v>
      </c>
      <c r="I251" s="726">
        <v>504669</v>
      </c>
      <c r="J251" s="726">
        <v>0</v>
      </c>
      <c r="K251" s="726">
        <v>0</v>
      </c>
      <c r="L251" s="726">
        <v>504669</v>
      </c>
      <c r="M251" s="726">
        <v>0</v>
      </c>
      <c r="N251" s="726">
        <v>0</v>
      </c>
      <c r="O251" s="726">
        <v>0</v>
      </c>
      <c r="P251" s="726">
        <v>0</v>
      </c>
      <c r="Q251" s="726">
        <v>0</v>
      </c>
      <c r="R251" s="726">
        <v>0</v>
      </c>
      <c r="S251" s="726">
        <v>0</v>
      </c>
      <c r="T251" s="726">
        <v>0</v>
      </c>
      <c r="U251" s="726">
        <v>0</v>
      </c>
      <c r="V251" s="726">
        <v>0</v>
      </c>
      <c r="W251" s="726">
        <v>0</v>
      </c>
      <c r="X251" s="724" t="s">
        <v>674</v>
      </c>
      <c r="Y251" s="724" t="s">
        <v>1226</v>
      </c>
      <c r="Z251" s="724" t="s">
        <v>1226</v>
      </c>
      <c r="AA251" s="724" t="s">
        <v>675</v>
      </c>
      <c r="AB251" s="724" t="s">
        <v>675</v>
      </c>
      <c r="AC251" s="724"/>
      <c r="AD251" s="724"/>
      <c r="AE251" s="724"/>
      <c r="AF251" s="724"/>
      <c r="AG251" s="725" t="s">
        <v>705</v>
      </c>
      <c r="AH251" s="724"/>
      <c r="AI251" s="725" t="s">
        <v>705</v>
      </c>
      <c r="AJ251" s="725" t="s">
        <v>754</v>
      </c>
      <c r="AK251" s="724" t="s">
        <v>677</v>
      </c>
      <c r="AL251" s="724"/>
      <c r="AM251" s="724" t="s">
        <v>726</v>
      </c>
      <c r="AN251" s="724" t="s">
        <v>766</v>
      </c>
      <c r="AO251" s="724" t="s">
        <v>765</v>
      </c>
      <c r="AP251" s="724" t="s">
        <v>767</v>
      </c>
      <c r="AQ251" s="724" t="s">
        <v>757</v>
      </c>
      <c r="AR251" s="726">
        <v>504669</v>
      </c>
      <c r="AS251" s="724" t="s">
        <v>675</v>
      </c>
      <c r="AT251" s="726">
        <v>0</v>
      </c>
      <c r="AU251" s="724" t="s">
        <v>678</v>
      </c>
      <c r="AV251" s="724" t="s">
        <v>677</v>
      </c>
      <c r="AW251" s="724" t="s">
        <v>676</v>
      </c>
      <c r="AX251" s="724" t="s">
        <v>674</v>
      </c>
      <c r="AY251" s="724"/>
      <c r="AZ251" s="724"/>
      <c r="BA251" s="724" t="s">
        <v>679</v>
      </c>
      <c r="BB251" s="724"/>
      <c r="BC251" s="724"/>
      <c r="BD251" s="724"/>
      <c r="BE251" s="726"/>
      <c r="BF251" s="724" t="s">
        <v>298</v>
      </c>
      <c r="BG251" s="724" t="s">
        <v>680</v>
      </c>
      <c r="BH251" s="724" t="s">
        <v>681</v>
      </c>
      <c r="BI251" s="724"/>
    </row>
    <row r="252" spans="1:61">
      <c r="A252" s="724" t="s">
        <v>765</v>
      </c>
      <c r="B252" s="724" t="s">
        <v>703</v>
      </c>
      <c r="C252" s="724" t="s">
        <v>704</v>
      </c>
      <c r="D252" s="724" t="s">
        <v>724</v>
      </c>
      <c r="E252" s="724" t="s">
        <v>3</v>
      </c>
      <c r="F252" s="725" t="s">
        <v>83</v>
      </c>
      <c r="G252" s="725" t="s">
        <v>700</v>
      </c>
      <c r="H252" s="726">
        <v>504669</v>
      </c>
      <c r="I252" s="726">
        <v>504669</v>
      </c>
      <c r="J252" s="726">
        <v>0</v>
      </c>
      <c r="K252" s="726">
        <v>0</v>
      </c>
      <c r="L252" s="726">
        <v>504669</v>
      </c>
      <c r="M252" s="726">
        <v>0</v>
      </c>
      <c r="N252" s="726">
        <v>0</v>
      </c>
      <c r="O252" s="726">
        <v>0</v>
      </c>
      <c r="P252" s="726">
        <v>0</v>
      </c>
      <c r="Q252" s="726">
        <v>0</v>
      </c>
      <c r="R252" s="726">
        <v>0</v>
      </c>
      <c r="S252" s="726">
        <v>0</v>
      </c>
      <c r="T252" s="726">
        <v>0</v>
      </c>
      <c r="U252" s="726">
        <v>0</v>
      </c>
      <c r="V252" s="726">
        <v>0</v>
      </c>
      <c r="W252" s="726">
        <v>0</v>
      </c>
      <c r="X252" s="724" t="s">
        <v>674</v>
      </c>
      <c r="Y252" s="724" t="s">
        <v>1226</v>
      </c>
      <c r="Z252" s="724" t="s">
        <v>1226</v>
      </c>
      <c r="AA252" s="724" t="s">
        <v>675</v>
      </c>
      <c r="AB252" s="724" t="s">
        <v>675</v>
      </c>
      <c r="AC252" s="724"/>
      <c r="AD252" s="724"/>
      <c r="AE252" s="724"/>
      <c r="AF252" s="724"/>
      <c r="AG252" s="725" t="s">
        <v>705</v>
      </c>
      <c r="AH252" s="724"/>
      <c r="AI252" s="725" t="s">
        <v>705</v>
      </c>
      <c r="AJ252" s="725" t="s">
        <v>754</v>
      </c>
      <c r="AK252" s="724" t="s">
        <v>677</v>
      </c>
      <c r="AL252" s="724"/>
      <c r="AM252" s="724" t="s">
        <v>726</v>
      </c>
      <c r="AN252" s="724" t="s">
        <v>768</v>
      </c>
      <c r="AO252" s="724" t="s">
        <v>765</v>
      </c>
      <c r="AP252" s="724" t="s">
        <v>767</v>
      </c>
      <c r="AQ252" s="724" t="s">
        <v>757</v>
      </c>
      <c r="AR252" s="726">
        <v>504669</v>
      </c>
      <c r="AS252" s="724" t="s">
        <v>675</v>
      </c>
      <c r="AT252" s="726">
        <v>0</v>
      </c>
      <c r="AU252" s="724" t="s">
        <v>678</v>
      </c>
      <c r="AV252" s="724" t="s">
        <v>677</v>
      </c>
      <c r="AW252" s="724" t="s">
        <v>676</v>
      </c>
      <c r="AX252" s="724" t="s">
        <v>674</v>
      </c>
      <c r="AY252" s="724"/>
      <c r="AZ252" s="724"/>
      <c r="BA252" s="724" t="s">
        <v>679</v>
      </c>
      <c r="BB252" s="724"/>
      <c r="BC252" s="724"/>
      <c r="BD252" s="724"/>
      <c r="BE252" s="726"/>
      <c r="BF252" s="724" t="s">
        <v>298</v>
      </c>
      <c r="BG252" s="724" t="s">
        <v>680</v>
      </c>
      <c r="BH252" s="724" t="s">
        <v>681</v>
      </c>
      <c r="BI252" s="724"/>
    </row>
    <row r="253" spans="1:61">
      <c r="A253" s="724" t="s">
        <v>765</v>
      </c>
      <c r="B253" s="724" t="s">
        <v>703</v>
      </c>
      <c r="C253" s="724" t="s">
        <v>704</v>
      </c>
      <c r="D253" s="724" t="s">
        <v>724</v>
      </c>
      <c r="E253" s="724" t="s">
        <v>3</v>
      </c>
      <c r="F253" s="725" t="s">
        <v>83</v>
      </c>
      <c r="G253" s="725" t="s">
        <v>700</v>
      </c>
      <c r="H253" s="726">
        <v>504669</v>
      </c>
      <c r="I253" s="726">
        <v>504669</v>
      </c>
      <c r="J253" s="726">
        <v>0</v>
      </c>
      <c r="K253" s="726">
        <v>0</v>
      </c>
      <c r="L253" s="726">
        <v>504669</v>
      </c>
      <c r="M253" s="726">
        <v>0</v>
      </c>
      <c r="N253" s="726">
        <v>0</v>
      </c>
      <c r="O253" s="726">
        <v>0</v>
      </c>
      <c r="P253" s="726">
        <v>0</v>
      </c>
      <c r="Q253" s="726">
        <v>0</v>
      </c>
      <c r="R253" s="726">
        <v>0</v>
      </c>
      <c r="S253" s="726">
        <v>0</v>
      </c>
      <c r="T253" s="726">
        <v>0</v>
      </c>
      <c r="U253" s="726">
        <v>0</v>
      </c>
      <c r="V253" s="726">
        <v>0</v>
      </c>
      <c r="W253" s="726">
        <v>0</v>
      </c>
      <c r="X253" s="724" t="s">
        <v>674</v>
      </c>
      <c r="Y253" s="724" t="s">
        <v>1226</v>
      </c>
      <c r="Z253" s="724" t="s">
        <v>1226</v>
      </c>
      <c r="AA253" s="724" t="s">
        <v>675</v>
      </c>
      <c r="AB253" s="724" t="s">
        <v>675</v>
      </c>
      <c r="AC253" s="724"/>
      <c r="AD253" s="724"/>
      <c r="AE253" s="724"/>
      <c r="AF253" s="724"/>
      <c r="AG253" s="725" t="s">
        <v>705</v>
      </c>
      <c r="AH253" s="724"/>
      <c r="AI253" s="725" t="s">
        <v>705</v>
      </c>
      <c r="AJ253" s="725" t="s">
        <v>754</v>
      </c>
      <c r="AK253" s="724" t="s">
        <v>677</v>
      </c>
      <c r="AL253" s="724"/>
      <c r="AM253" s="724" t="s">
        <v>726</v>
      </c>
      <c r="AN253" s="724" t="s">
        <v>769</v>
      </c>
      <c r="AO253" s="724" t="s">
        <v>765</v>
      </c>
      <c r="AP253" s="724" t="s">
        <v>767</v>
      </c>
      <c r="AQ253" s="724" t="s">
        <v>757</v>
      </c>
      <c r="AR253" s="726">
        <v>504669</v>
      </c>
      <c r="AS253" s="724" t="s">
        <v>675</v>
      </c>
      <c r="AT253" s="726">
        <v>0</v>
      </c>
      <c r="AU253" s="724" t="s">
        <v>678</v>
      </c>
      <c r="AV253" s="724" t="s">
        <v>677</v>
      </c>
      <c r="AW253" s="724" t="s">
        <v>676</v>
      </c>
      <c r="AX253" s="724" t="s">
        <v>674</v>
      </c>
      <c r="AY253" s="724"/>
      <c r="AZ253" s="724"/>
      <c r="BA253" s="724" t="s">
        <v>679</v>
      </c>
      <c r="BB253" s="724"/>
      <c r="BC253" s="724"/>
      <c r="BD253" s="724"/>
      <c r="BE253" s="726"/>
      <c r="BF253" s="724" t="s">
        <v>298</v>
      </c>
      <c r="BG253" s="724" t="s">
        <v>680</v>
      </c>
      <c r="BH253" s="724" t="s">
        <v>681</v>
      </c>
      <c r="BI253" s="724"/>
    </row>
    <row r="254" spans="1:61">
      <c r="A254" s="724" t="s">
        <v>770</v>
      </c>
      <c r="B254" s="724" t="s">
        <v>1179</v>
      </c>
      <c r="C254" s="724" t="s">
        <v>729</v>
      </c>
      <c r="D254" s="724" t="s">
        <v>724</v>
      </c>
      <c r="E254" s="724" t="s">
        <v>3</v>
      </c>
      <c r="F254" s="725" t="s">
        <v>83</v>
      </c>
      <c r="G254" s="725" t="s">
        <v>829</v>
      </c>
      <c r="H254" s="726">
        <v>52500</v>
      </c>
      <c r="I254" s="726">
        <v>52500</v>
      </c>
      <c r="J254" s="726">
        <v>0</v>
      </c>
      <c r="K254" s="726">
        <v>0</v>
      </c>
      <c r="L254" s="726">
        <v>47728</v>
      </c>
      <c r="M254" s="726">
        <v>0</v>
      </c>
      <c r="N254" s="726">
        <v>0</v>
      </c>
      <c r="O254" s="726">
        <v>4772</v>
      </c>
      <c r="P254" s="726">
        <v>0</v>
      </c>
      <c r="Q254" s="726">
        <v>0</v>
      </c>
      <c r="R254" s="726">
        <v>0</v>
      </c>
      <c r="S254" s="726">
        <v>0</v>
      </c>
      <c r="T254" s="726">
        <v>0</v>
      </c>
      <c r="U254" s="726">
        <v>0</v>
      </c>
      <c r="V254" s="726">
        <v>0</v>
      </c>
      <c r="W254" s="726">
        <v>0</v>
      </c>
      <c r="X254" s="724" t="s">
        <v>674</v>
      </c>
      <c r="Y254" s="724" t="s">
        <v>675</v>
      </c>
      <c r="Z254" s="724" t="s">
        <v>675</v>
      </c>
      <c r="AA254" s="724" t="s">
        <v>675</v>
      </c>
      <c r="AB254" s="724" t="s">
        <v>675</v>
      </c>
      <c r="AC254" s="724"/>
      <c r="AD254" s="724"/>
      <c r="AE254" s="724"/>
      <c r="AF254" s="724"/>
      <c r="AG254" s="725" t="s">
        <v>1199</v>
      </c>
      <c r="AH254" s="724"/>
      <c r="AI254" s="725" t="s">
        <v>1199</v>
      </c>
      <c r="AJ254" s="725" t="s">
        <v>833</v>
      </c>
      <c r="AK254" s="724" t="s">
        <v>677</v>
      </c>
      <c r="AL254" s="724"/>
      <c r="AM254" s="724" t="s">
        <v>763</v>
      </c>
      <c r="AN254" s="724" t="s">
        <v>1200</v>
      </c>
      <c r="AO254" s="724" t="s">
        <v>770</v>
      </c>
      <c r="AP254" s="724" t="s">
        <v>765</v>
      </c>
      <c r="AQ254" s="724" t="s">
        <v>1184</v>
      </c>
      <c r="AR254" s="726">
        <v>52500</v>
      </c>
      <c r="AS254" s="724" t="s">
        <v>675</v>
      </c>
      <c r="AT254" s="726">
        <v>0</v>
      </c>
      <c r="AU254" s="724" t="s">
        <v>678</v>
      </c>
      <c r="AV254" s="724" t="s">
        <v>677</v>
      </c>
      <c r="AW254" s="724" t="s">
        <v>676</v>
      </c>
      <c r="AX254" s="724" t="s">
        <v>674</v>
      </c>
      <c r="AY254" s="724"/>
      <c r="AZ254" s="724"/>
      <c r="BA254" s="724" t="s">
        <v>679</v>
      </c>
      <c r="BB254" s="724"/>
      <c r="BC254" s="724"/>
      <c r="BD254" s="724"/>
      <c r="BE254" s="726"/>
      <c r="BF254" s="724" t="s">
        <v>298</v>
      </c>
      <c r="BG254" s="724" t="s">
        <v>680</v>
      </c>
      <c r="BH254" s="724" t="s">
        <v>681</v>
      </c>
      <c r="BI254" s="724"/>
    </row>
    <row r="255" spans="1:61">
      <c r="A255" s="724" t="s">
        <v>770</v>
      </c>
      <c r="B255" s="724" t="s">
        <v>703</v>
      </c>
      <c r="C255" s="724" t="s">
        <v>704</v>
      </c>
      <c r="D255" s="724" t="s">
        <v>724</v>
      </c>
      <c r="E255" s="724" t="s">
        <v>3</v>
      </c>
      <c r="F255" s="725" t="s">
        <v>83</v>
      </c>
      <c r="G255" s="725" t="s">
        <v>700</v>
      </c>
      <c r="H255" s="726">
        <v>11062500</v>
      </c>
      <c r="I255" s="726">
        <v>11062500</v>
      </c>
      <c r="J255" s="726">
        <v>0</v>
      </c>
      <c r="K255" s="726">
        <v>0</v>
      </c>
      <c r="L255" s="726">
        <v>11062500</v>
      </c>
      <c r="M255" s="726">
        <v>0</v>
      </c>
      <c r="N255" s="726">
        <v>0</v>
      </c>
      <c r="O255" s="726">
        <v>0</v>
      </c>
      <c r="P255" s="726">
        <v>0</v>
      </c>
      <c r="Q255" s="726">
        <v>0</v>
      </c>
      <c r="R255" s="726">
        <v>0</v>
      </c>
      <c r="S255" s="726">
        <v>0</v>
      </c>
      <c r="T255" s="726">
        <v>0</v>
      </c>
      <c r="U255" s="726">
        <v>0</v>
      </c>
      <c r="V255" s="726">
        <v>0</v>
      </c>
      <c r="W255" s="726">
        <v>0</v>
      </c>
      <c r="X255" s="724" t="s">
        <v>674</v>
      </c>
      <c r="Y255" s="724" t="s">
        <v>1226</v>
      </c>
      <c r="Z255" s="724" t="s">
        <v>1226</v>
      </c>
      <c r="AA255" s="724" t="s">
        <v>675</v>
      </c>
      <c r="AB255" s="724" t="s">
        <v>675</v>
      </c>
      <c r="AC255" s="724"/>
      <c r="AD255" s="724"/>
      <c r="AE255" s="724"/>
      <c r="AF255" s="724"/>
      <c r="AG255" s="725" t="s">
        <v>705</v>
      </c>
      <c r="AH255" s="724"/>
      <c r="AI255" s="725" t="s">
        <v>705</v>
      </c>
      <c r="AJ255" s="725" t="s">
        <v>771</v>
      </c>
      <c r="AK255" s="724" t="s">
        <v>677</v>
      </c>
      <c r="AL255" s="724"/>
      <c r="AM255" s="724" t="s">
        <v>763</v>
      </c>
      <c r="AN255" s="724" t="s">
        <v>772</v>
      </c>
      <c r="AO255" s="724" t="s">
        <v>770</v>
      </c>
      <c r="AP255" s="724" t="s">
        <v>773</v>
      </c>
      <c r="AQ255" s="724" t="s">
        <v>757</v>
      </c>
      <c r="AR255" s="726">
        <v>11062500</v>
      </c>
      <c r="AS255" s="724" t="s">
        <v>675</v>
      </c>
      <c r="AT255" s="726">
        <v>0</v>
      </c>
      <c r="AU255" s="724" t="s">
        <v>678</v>
      </c>
      <c r="AV255" s="724" t="s">
        <v>677</v>
      </c>
      <c r="AW255" s="724" t="s">
        <v>676</v>
      </c>
      <c r="AX255" s="724" t="s">
        <v>674</v>
      </c>
      <c r="AY255" s="724"/>
      <c r="AZ255" s="724"/>
      <c r="BA255" s="724" t="s">
        <v>679</v>
      </c>
      <c r="BB255" s="724"/>
      <c r="BC255" s="724"/>
      <c r="BD255" s="724"/>
      <c r="BE255" s="726"/>
      <c r="BF255" s="724" t="s">
        <v>298</v>
      </c>
      <c r="BG255" s="724" t="s">
        <v>680</v>
      </c>
      <c r="BH255" s="724" t="s">
        <v>681</v>
      </c>
      <c r="BI255" s="724"/>
    </row>
    <row r="256" spans="1:61">
      <c r="A256" s="724" t="s">
        <v>770</v>
      </c>
      <c r="B256" s="724" t="s">
        <v>703</v>
      </c>
      <c r="C256" s="724" t="s">
        <v>704</v>
      </c>
      <c r="D256" s="724" t="s">
        <v>724</v>
      </c>
      <c r="E256" s="724" t="s">
        <v>3</v>
      </c>
      <c r="F256" s="725" t="s">
        <v>83</v>
      </c>
      <c r="G256" s="725" t="s">
        <v>700</v>
      </c>
      <c r="H256" s="726">
        <v>30279</v>
      </c>
      <c r="I256" s="726">
        <v>30279</v>
      </c>
      <c r="J256" s="726">
        <v>0</v>
      </c>
      <c r="K256" s="726">
        <v>0</v>
      </c>
      <c r="L256" s="726">
        <v>30279</v>
      </c>
      <c r="M256" s="726">
        <v>0</v>
      </c>
      <c r="N256" s="726">
        <v>0</v>
      </c>
      <c r="O256" s="726">
        <v>0</v>
      </c>
      <c r="P256" s="726">
        <v>0</v>
      </c>
      <c r="Q256" s="726">
        <v>0</v>
      </c>
      <c r="R256" s="726">
        <v>0</v>
      </c>
      <c r="S256" s="726">
        <v>0</v>
      </c>
      <c r="T256" s="726">
        <v>0</v>
      </c>
      <c r="U256" s="726">
        <v>0</v>
      </c>
      <c r="V256" s="726">
        <v>0</v>
      </c>
      <c r="W256" s="726">
        <v>0</v>
      </c>
      <c r="X256" s="724" t="s">
        <v>674</v>
      </c>
      <c r="Y256" s="724" t="s">
        <v>675</v>
      </c>
      <c r="Z256" s="724" t="s">
        <v>675</v>
      </c>
      <c r="AA256" s="724" t="s">
        <v>675</v>
      </c>
      <c r="AB256" s="724" t="s">
        <v>675</v>
      </c>
      <c r="AC256" s="724"/>
      <c r="AD256" s="724"/>
      <c r="AE256" s="724"/>
      <c r="AF256" s="724"/>
      <c r="AG256" s="725" t="s">
        <v>705</v>
      </c>
      <c r="AH256" s="724"/>
      <c r="AI256" s="725" t="s">
        <v>705</v>
      </c>
      <c r="AJ256" s="725" t="s">
        <v>774</v>
      </c>
      <c r="AK256" s="724" t="s">
        <v>677</v>
      </c>
      <c r="AL256" s="724"/>
      <c r="AM256" s="724" t="s">
        <v>726</v>
      </c>
      <c r="AN256" s="724" t="s">
        <v>775</v>
      </c>
      <c r="AO256" s="724" t="s">
        <v>770</v>
      </c>
      <c r="AP256" s="724" t="s">
        <v>767</v>
      </c>
      <c r="AQ256" s="724" t="s">
        <v>757</v>
      </c>
      <c r="AR256" s="726">
        <v>30279</v>
      </c>
      <c r="AS256" s="724" t="s">
        <v>675</v>
      </c>
      <c r="AT256" s="726">
        <v>0</v>
      </c>
      <c r="AU256" s="724" t="s">
        <v>678</v>
      </c>
      <c r="AV256" s="724" t="s">
        <v>677</v>
      </c>
      <c r="AW256" s="724" t="s">
        <v>676</v>
      </c>
      <c r="AX256" s="724" t="s">
        <v>674</v>
      </c>
      <c r="AY256" s="724"/>
      <c r="AZ256" s="724"/>
      <c r="BA256" s="724" t="s">
        <v>679</v>
      </c>
      <c r="BB256" s="724"/>
      <c r="BC256" s="724"/>
      <c r="BD256" s="724"/>
      <c r="BE256" s="726"/>
      <c r="BF256" s="724" t="s">
        <v>298</v>
      </c>
      <c r="BG256" s="724" t="s">
        <v>680</v>
      </c>
      <c r="BH256" s="724" t="s">
        <v>681</v>
      </c>
      <c r="BI256" s="724"/>
    </row>
    <row r="257" spans="1:61">
      <c r="A257" s="724" t="s">
        <v>770</v>
      </c>
      <c r="B257" s="724" t="s">
        <v>703</v>
      </c>
      <c r="C257" s="724" t="s">
        <v>704</v>
      </c>
      <c r="D257" s="724" t="s">
        <v>724</v>
      </c>
      <c r="E257" s="724" t="s">
        <v>3</v>
      </c>
      <c r="F257" s="725" t="s">
        <v>83</v>
      </c>
      <c r="G257" s="725" t="s">
        <v>700</v>
      </c>
      <c r="H257" s="726">
        <v>504669</v>
      </c>
      <c r="I257" s="726">
        <v>504669</v>
      </c>
      <c r="J257" s="726">
        <v>0</v>
      </c>
      <c r="K257" s="726">
        <v>0</v>
      </c>
      <c r="L257" s="726">
        <v>504669</v>
      </c>
      <c r="M257" s="726">
        <v>0</v>
      </c>
      <c r="N257" s="726">
        <v>0</v>
      </c>
      <c r="O257" s="726">
        <v>0</v>
      </c>
      <c r="P257" s="726">
        <v>0</v>
      </c>
      <c r="Q257" s="726">
        <v>0</v>
      </c>
      <c r="R257" s="726">
        <v>0</v>
      </c>
      <c r="S257" s="726">
        <v>0</v>
      </c>
      <c r="T257" s="726">
        <v>0</v>
      </c>
      <c r="U257" s="726">
        <v>0</v>
      </c>
      <c r="V257" s="726">
        <v>0</v>
      </c>
      <c r="W257" s="726">
        <v>0</v>
      </c>
      <c r="X257" s="724" t="s">
        <v>674</v>
      </c>
      <c r="Y257" s="724" t="s">
        <v>1226</v>
      </c>
      <c r="Z257" s="724" t="s">
        <v>1226</v>
      </c>
      <c r="AA257" s="724" t="s">
        <v>675</v>
      </c>
      <c r="AB257" s="724" t="s">
        <v>675</v>
      </c>
      <c r="AC257" s="724"/>
      <c r="AD257" s="724"/>
      <c r="AE257" s="724"/>
      <c r="AF257" s="724"/>
      <c r="AG257" s="725" t="s">
        <v>705</v>
      </c>
      <c r="AH257" s="724"/>
      <c r="AI257" s="725" t="s">
        <v>705</v>
      </c>
      <c r="AJ257" s="725" t="s">
        <v>754</v>
      </c>
      <c r="AK257" s="724" t="s">
        <v>677</v>
      </c>
      <c r="AL257" s="724"/>
      <c r="AM257" s="724" t="s">
        <v>726</v>
      </c>
      <c r="AN257" s="724" t="s">
        <v>776</v>
      </c>
      <c r="AO257" s="724" t="s">
        <v>770</v>
      </c>
      <c r="AP257" s="724" t="s">
        <v>767</v>
      </c>
      <c r="AQ257" s="724" t="s">
        <v>757</v>
      </c>
      <c r="AR257" s="726">
        <v>504669</v>
      </c>
      <c r="AS257" s="724" t="s">
        <v>675</v>
      </c>
      <c r="AT257" s="726">
        <v>0</v>
      </c>
      <c r="AU257" s="724" t="s">
        <v>678</v>
      </c>
      <c r="AV257" s="724" t="s">
        <v>677</v>
      </c>
      <c r="AW257" s="724" t="s">
        <v>676</v>
      </c>
      <c r="AX257" s="724" t="s">
        <v>674</v>
      </c>
      <c r="AY257" s="724"/>
      <c r="AZ257" s="724"/>
      <c r="BA257" s="724" t="s">
        <v>679</v>
      </c>
      <c r="BB257" s="724"/>
      <c r="BC257" s="724"/>
      <c r="BD257" s="724"/>
      <c r="BE257" s="726"/>
      <c r="BF257" s="724" t="s">
        <v>298</v>
      </c>
      <c r="BG257" s="724" t="s">
        <v>680</v>
      </c>
      <c r="BH257" s="724" t="s">
        <v>681</v>
      </c>
      <c r="BI257" s="724"/>
    </row>
    <row r="258" spans="1:61">
      <c r="A258" s="724" t="s">
        <v>770</v>
      </c>
      <c r="B258" s="724" t="s">
        <v>703</v>
      </c>
      <c r="C258" s="724" t="s">
        <v>704</v>
      </c>
      <c r="D258" s="724" t="s">
        <v>724</v>
      </c>
      <c r="E258" s="724" t="s">
        <v>3</v>
      </c>
      <c r="F258" s="725" t="s">
        <v>83</v>
      </c>
      <c r="G258" s="725" t="s">
        <v>700</v>
      </c>
      <c r="H258" s="726">
        <v>30279</v>
      </c>
      <c r="I258" s="726">
        <v>30279</v>
      </c>
      <c r="J258" s="726">
        <v>0</v>
      </c>
      <c r="K258" s="726">
        <v>0</v>
      </c>
      <c r="L258" s="726">
        <v>30279</v>
      </c>
      <c r="M258" s="726">
        <v>0</v>
      </c>
      <c r="N258" s="726">
        <v>0</v>
      </c>
      <c r="O258" s="726">
        <v>0</v>
      </c>
      <c r="P258" s="726">
        <v>0</v>
      </c>
      <c r="Q258" s="726">
        <v>0</v>
      </c>
      <c r="R258" s="726">
        <v>0</v>
      </c>
      <c r="S258" s="726">
        <v>0</v>
      </c>
      <c r="T258" s="726">
        <v>0</v>
      </c>
      <c r="U258" s="726">
        <v>0</v>
      </c>
      <c r="V258" s="726">
        <v>0</v>
      </c>
      <c r="W258" s="726">
        <v>0</v>
      </c>
      <c r="X258" s="724" t="s">
        <v>674</v>
      </c>
      <c r="Y258" s="724" t="s">
        <v>675</v>
      </c>
      <c r="Z258" s="724" t="s">
        <v>675</v>
      </c>
      <c r="AA258" s="724" t="s">
        <v>675</v>
      </c>
      <c r="AB258" s="724" t="s">
        <v>675</v>
      </c>
      <c r="AC258" s="724"/>
      <c r="AD258" s="724"/>
      <c r="AE258" s="724"/>
      <c r="AF258" s="724"/>
      <c r="AG258" s="725" t="s">
        <v>705</v>
      </c>
      <c r="AH258" s="724"/>
      <c r="AI258" s="725" t="s">
        <v>705</v>
      </c>
      <c r="AJ258" s="725" t="s">
        <v>774</v>
      </c>
      <c r="AK258" s="724" t="s">
        <v>677</v>
      </c>
      <c r="AL258" s="724"/>
      <c r="AM258" s="724" t="s">
        <v>726</v>
      </c>
      <c r="AN258" s="724" t="s">
        <v>777</v>
      </c>
      <c r="AO258" s="724" t="s">
        <v>770</v>
      </c>
      <c r="AP258" s="724" t="s">
        <v>767</v>
      </c>
      <c r="AQ258" s="724" t="s">
        <v>757</v>
      </c>
      <c r="AR258" s="726">
        <v>30279</v>
      </c>
      <c r="AS258" s="724" t="s">
        <v>675</v>
      </c>
      <c r="AT258" s="726">
        <v>0</v>
      </c>
      <c r="AU258" s="724" t="s">
        <v>678</v>
      </c>
      <c r="AV258" s="724" t="s">
        <v>677</v>
      </c>
      <c r="AW258" s="724" t="s">
        <v>676</v>
      </c>
      <c r="AX258" s="724" t="s">
        <v>674</v>
      </c>
      <c r="AY258" s="724"/>
      <c r="AZ258" s="724"/>
      <c r="BA258" s="724" t="s">
        <v>679</v>
      </c>
      <c r="BB258" s="724"/>
      <c r="BC258" s="724"/>
      <c r="BD258" s="724"/>
      <c r="BE258" s="726"/>
      <c r="BF258" s="724" t="s">
        <v>298</v>
      </c>
      <c r="BG258" s="724" t="s">
        <v>680</v>
      </c>
      <c r="BH258" s="724" t="s">
        <v>681</v>
      </c>
      <c r="BI258" s="724"/>
    </row>
    <row r="259" spans="1:61">
      <c r="A259" s="724" t="s">
        <v>770</v>
      </c>
      <c r="B259" s="724" t="s">
        <v>703</v>
      </c>
      <c r="C259" s="724" t="s">
        <v>704</v>
      </c>
      <c r="D259" s="724" t="s">
        <v>724</v>
      </c>
      <c r="E259" s="724" t="s">
        <v>3</v>
      </c>
      <c r="F259" s="725" t="s">
        <v>83</v>
      </c>
      <c r="G259" s="725" t="s">
        <v>700</v>
      </c>
      <c r="H259" s="726">
        <v>30279</v>
      </c>
      <c r="I259" s="726">
        <v>30279</v>
      </c>
      <c r="J259" s="726">
        <v>0</v>
      </c>
      <c r="K259" s="726">
        <v>0</v>
      </c>
      <c r="L259" s="726">
        <v>30279</v>
      </c>
      <c r="M259" s="726">
        <v>0</v>
      </c>
      <c r="N259" s="726">
        <v>0</v>
      </c>
      <c r="O259" s="726">
        <v>0</v>
      </c>
      <c r="P259" s="726">
        <v>0</v>
      </c>
      <c r="Q259" s="726">
        <v>0</v>
      </c>
      <c r="R259" s="726">
        <v>0</v>
      </c>
      <c r="S259" s="726">
        <v>0</v>
      </c>
      <c r="T259" s="726">
        <v>0</v>
      </c>
      <c r="U259" s="726">
        <v>0</v>
      </c>
      <c r="V259" s="726">
        <v>0</v>
      </c>
      <c r="W259" s="726">
        <v>0</v>
      </c>
      <c r="X259" s="724" t="s">
        <v>674</v>
      </c>
      <c r="Y259" s="724" t="s">
        <v>675</v>
      </c>
      <c r="Z259" s="724" t="s">
        <v>675</v>
      </c>
      <c r="AA259" s="724" t="s">
        <v>675</v>
      </c>
      <c r="AB259" s="724" t="s">
        <v>675</v>
      </c>
      <c r="AC259" s="724"/>
      <c r="AD259" s="724"/>
      <c r="AE259" s="724"/>
      <c r="AF259" s="724"/>
      <c r="AG259" s="725" t="s">
        <v>705</v>
      </c>
      <c r="AH259" s="724"/>
      <c r="AI259" s="725" t="s">
        <v>705</v>
      </c>
      <c r="AJ259" s="725" t="s">
        <v>774</v>
      </c>
      <c r="AK259" s="724" t="s">
        <v>677</v>
      </c>
      <c r="AL259" s="724"/>
      <c r="AM259" s="724" t="s">
        <v>726</v>
      </c>
      <c r="AN259" s="724" t="s">
        <v>778</v>
      </c>
      <c r="AO259" s="724" t="s">
        <v>770</v>
      </c>
      <c r="AP259" s="724" t="s">
        <v>767</v>
      </c>
      <c r="AQ259" s="724" t="s">
        <v>757</v>
      </c>
      <c r="AR259" s="726">
        <v>30279</v>
      </c>
      <c r="AS259" s="724" t="s">
        <v>675</v>
      </c>
      <c r="AT259" s="726">
        <v>0</v>
      </c>
      <c r="AU259" s="724" t="s">
        <v>678</v>
      </c>
      <c r="AV259" s="724" t="s">
        <v>677</v>
      </c>
      <c r="AW259" s="724" t="s">
        <v>676</v>
      </c>
      <c r="AX259" s="724" t="s">
        <v>674</v>
      </c>
      <c r="AY259" s="724"/>
      <c r="AZ259" s="724"/>
      <c r="BA259" s="724" t="s">
        <v>679</v>
      </c>
      <c r="BB259" s="724"/>
      <c r="BC259" s="724"/>
      <c r="BD259" s="724"/>
      <c r="BE259" s="726"/>
      <c r="BF259" s="724" t="s">
        <v>298</v>
      </c>
      <c r="BG259" s="724" t="s">
        <v>680</v>
      </c>
      <c r="BH259" s="724" t="s">
        <v>681</v>
      </c>
      <c r="BI259" s="724"/>
    </row>
    <row r="260" spans="1:61">
      <c r="A260" s="724" t="s">
        <v>760</v>
      </c>
      <c r="B260" s="724" t="s">
        <v>779</v>
      </c>
      <c r="C260" s="724" t="s">
        <v>779</v>
      </c>
      <c r="D260" s="724" t="s">
        <v>716</v>
      </c>
      <c r="E260" s="724" t="s">
        <v>3</v>
      </c>
      <c r="F260" s="725" t="s">
        <v>308</v>
      </c>
      <c r="G260" s="725" t="s">
        <v>780</v>
      </c>
      <c r="H260" s="726">
        <v>42988000</v>
      </c>
      <c r="I260" s="726">
        <v>42988000</v>
      </c>
      <c r="J260" s="726">
        <v>0</v>
      </c>
      <c r="K260" s="726">
        <v>0</v>
      </c>
      <c r="L260" s="726">
        <v>39080000</v>
      </c>
      <c r="M260" s="726">
        <v>0</v>
      </c>
      <c r="N260" s="726">
        <v>0</v>
      </c>
      <c r="O260" s="726">
        <v>3908000</v>
      </c>
      <c r="P260" s="726">
        <v>0</v>
      </c>
      <c r="Q260" s="726">
        <v>0</v>
      </c>
      <c r="R260" s="726">
        <v>0</v>
      </c>
      <c r="S260" s="726">
        <v>0</v>
      </c>
      <c r="T260" s="726">
        <v>0</v>
      </c>
      <c r="U260" s="726">
        <v>0</v>
      </c>
      <c r="V260" s="726">
        <v>0</v>
      </c>
      <c r="W260" s="726">
        <v>0</v>
      </c>
      <c r="X260" s="724" t="s">
        <v>674</v>
      </c>
      <c r="Y260" s="724" t="s">
        <v>1226</v>
      </c>
      <c r="Z260" s="724" t="s">
        <v>1226</v>
      </c>
      <c r="AA260" s="724" t="s">
        <v>675</v>
      </c>
      <c r="AB260" s="724" t="s">
        <v>675</v>
      </c>
      <c r="AC260" s="724"/>
      <c r="AD260" s="724" t="s">
        <v>781</v>
      </c>
      <c r="AE260" s="724"/>
      <c r="AF260" s="724"/>
      <c r="AG260" s="725" t="s">
        <v>782</v>
      </c>
      <c r="AH260" s="724"/>
      <c r="AI260" s="725" t="s">
        <v>782</v>
      </c>
      <c r="AJ260" s="725" t="s">
        <v>783</v>
      </c>
      <c r="AK260" s="724" t="s">
        <v>677</v>
      </c>
      <c r="AL260" s="724"/>
      <c r="AM260" s="724"/>
      <c r="AN260" s="724"/>
      <c r="AO260" s="724"/>
      <c r="AP260" s="724"/>
      <c r="AQ260" s="724"/>
      <c r="AR260" s="726"/>
      <c r="AS260" s="724"/>
      <c r="AT260" s="726"/>
      <c r="AU260" s="724" t="s">
        <v>678</v>
      </c>
      <c r="AV260" s="724" t="s">
        <v>677</v>
      </c>
      <c r="AW260" s="724" t="s">
        <v>676</v>
      </c>
      <c r="AX260" s="724" t="s">
        <v>674</v>
      </c>
      <c r="AY260" s="724"/>
      <c r="AZ260" s="724"/>
      <c r="BA260" s="724" t="s">
        <v>679</v>
      </c>
      <c r="BB260" s="724"/>
      <c r="BC260" s="724"/>
      <c r="BD260" s="724"/>
      <c r="BE260" s="726"/>
      <c r="BF260" s="724" t="s">
        <v>298</v>
      </c>
      <c r="BG260" s="724" t="s">
        <v>680</v>
      </c>
      <c r="BH260" s="724" t="s">
        <v>681</v>
      </c>
      <c r="BI260" s="724"/>
    </row>
    <row r="261" spans="1:61">
      <c r="A261" s="724" t="s">
        <v>786</v>
      </c>
      <c r="B261" s="724" t="s">
        <v>682</v>
      </c>
      <c r="C261" s="724" t="s">
        <v>723</v>
      </c>
      <c r="D261" s="724" t="s">
        <v>724</v>
      </c>
      <c r="E261" s="724" t="s">
        <v>3</v>
      </c>
      <c r="F261" s="725" t="s">
        <v>71</v>
      </c>
      <c r="G261" s="725" t="s">
        <v>719</v>
      </c>
      <c r="H261" s="726">
        <v>33500</v>
      </c>
      <c r="I261" s="726">
        <v>33500</v>
      </c>
      <c r="J261" s="726">
        <v>0</v>
      </c>
      <c r="K261" s="726">
        <v>0</v>
      </c>
      <c r="L261" s="726">
        <v>30455</v>
      </c>
      <c r="M261" s="726">
        <v>0</v>
      </c>
      <c r="N261" s="726">
        <v>0</v>
      </c>
      <c r="O261" s="726">
        <v>3045</v>
      </c>
      <c r="P261" s="726">
        <v>0</v>
      </c>
      <c r="Q261" s="726">
        <v>0</v>
      </c>
      <c r="R261" s="726">
        <v>0</v>
      </c>
      <c r="S261" s="726">
        <v>0</v>
      </c>
      <c r="T261" s="726">
        <v>0</v>
      </c>
      <c r="U261" s="726">
        <v>0</v>
      </c>
      <c r="V261" s="726">
        <v>0</v>
      </c>
      <c r="W261" s="726">
        <v>0</v>
      </c>
      <c r="X261" s="724" t="s">
        <v>674</v>
      </c>
      <c r="Y261" s="724" t="s">
        <v>675</v>
      </c>
      <c r="Z261" s="724" t="s">
        <v>675</v>
      </c>
      <c r="AA261" s="724" t="s">
        <v>675</v>
      </c>
      <c r="AB261" s="724" t="s">
        <v>675</v>
      </c>
      <c r="AC261" s="724"/>
      <c r="AD261" s="724"/>
      <c r="AE261" s="724"/>
      <c r="AF261" s="724"/>
      <c r="AG261" s="725" t="s">
        <v>787</v>
      </c>
      <c r="AH261" s="724"/>
      <c r="AI261" s="725" t="s">
        <v>787</v>
      </c>
      <c r="AJ261" s="725" t="s">
        <v>788</v>
      </c>
      <c r="AK261" s="724" t="s">
        <v>677</v>
      </c>
      <c r="AL261" s="724"/>
      <c r="AM261" s="724" t="s">
        <v>726</v>
      </c>
      <c r="AN261" s="724" t="s">
        <v>789</v>
      </c>
      <c r="AO261" s="724" t="s">
        <v>786</v>
      </c>
      <c r="AP261" s="724" t="s">
        <v>790</v>
      </c>
      <c r="AQ261" s="724" t="s">
        <v>729</v>
      </c>
      <c r="AR261" s="726">
        <v>33500</v>
      </c>
      <c r="AS261" s="724" t="s">
        <v>675</v>
      </c>
      <c r="AT261" s="726">
        <v>0</v>
      </c>
      <c r="AU261" s="724" t="s">
        <v>678</v>
      </c>
      <c r="AV261" s="724" t="s">
        <v>677</v>
      </c>
      <c r="AW261" s="724" t="s">
        <v>676</v>
      </c>
      <c r="AX261" s="724" t="s">
        <v>674</v>
      </c>
      <c r="AY261" s="724"/>
      <c r="AZ261" s="724"/>
      <c r="BA261" s="724" t="s">
        <v>679</v>
      </c>
      <c r="BB261" s="724"/>
      <c r="BC261" s="724"/>
      <c r="BD261" s="724"/>
      <c r="BE261" s="726"/>
      <c r="BF261" s="724" t="s">
        <v>298</v>
      </c>
      <c r="BG261" s="724" t="s">
        <v>680</v>
      </c>
      <c r="BH261" s="724" t="s">
        <v>681</v>
      </c>
      <c r="BI261" s="724"/>
    </row>
    <row r="262" spans="1:61">
      <c r="A262" s="724" t="s">
        <v>723</v>
      </c>
      <c r="B262" s="724" t="s">
        <v>682</v>
      </c>
      <c r="C262" s="724" t="s">
        <v>723</v>
      </c>
      <c r="D262" s="724" t="s">
        <v>716</v>
      </c>
      <c r="E262" s="724" t="s">
        <v>3</v>
      </c>
      <c r="F262" s="725" t="s">
        <v>308</v>
      </c>
      <c r="G262" s="725" t="s">
        <v>780</v>
      </c>
      <c r="H262" s="726">
        <v>21990000</v>
      </c>
      <c r="I262" s="726">
        <v>21990000</v>
      </c>
      <c r="J262" s="726">
        <v>0</v>
      </c>
      <c r="K262" s="726">
        <v>0</v>
      </c>
      <c r="L262" s="726">
        <v>19990909</v>
      </c>
      <c r="M262" s="726">
        <v>0</v>
      </c>
      <c r="N262" s="726">
        <v>0</v>
      </c>
      <c r="O262" s="726">
        <v>1999091</v>
      </c>
      <c r="P262" s="726">
        <v>0</v>
      </c>
      <c r="Q262" s="726">
        <v>0</v>
      </c>
      <c r="R262" s="726">
        <v>0</v>
      </c>
      <c r="S262" s="726">
        <v>0</v>
      </c>
      <c r="T262" s="726">
        <v>0</v>
      </c>
      <c r="U262" s="726">
        <v>0</v>
      </c>
      <c r="V262" s="726">
        <v>0</v>
      </c>
      <c r="W262" s="726">
        <v>0</v>
      </c>
      <c r="X262" s="724" t="s">
        <v>674</v>
      </c>
      <c r="Y262" s="724" t="s">
        <v>1226</v>
      </c>
      <c r="Z262" s="724" t="s">
        <v>1226</v>
      </c>
      <c r="AA262" s="724" t="s">
        <v>675</v>
      </c>
      <c r="AB262" s="724" t="s">
        <v>675</v>
      </c>
      <c r="AC262" s="724"/>
      <c r="AD262" s="724" t="s">
        <v>676</v>
      </c>
      <c r="AE262" s="724"/>
      <c r="AF262" s="724"/>
      <c r="AG262" s="725" t="s">
        <v>791</v>
      </c>
      <c r="AH262" s="724"/>
      <c r="AI262" s="725" t="s">
        <v>791</v>
      </c>
      <c r="AJ262" s="725" t="s">
        <v>792</v>
      </c>
      <c r="AK262" s="724" t="s">
        <v>677</v>
      </c>
      <c r="AL262" s="724"/>
      <c r="AM262" s="724"/>
      <c r="AN262" s="724"/>
      <c r="AO262" s="724"/>
      <c r="AP262" s="724"/>
      <c r="AQ262" s="724"/>
      <c r="AR262" s="726"/>
      <c r="AS262" s="724"/>
      <c r="AT262" s="726"/>
      <c r="AU262" s="724" t="s">
        <v>678</v>
      </c>
      <c r="AV262" s="724" t="s">
        <v>677</v>
      </c>
      <c r="AW262" s="724" t="s">
        <v>676</v>
      </c>
      <c r="AX262" s="724" t="s">
        <v>674</v>
      </c>
      <c r="AY262" s="724"/>
      <c r="AZ262" s="724"/>
      <c r="BA262" s="724" t="s">
        <v>679</v>
      </c>
      <c r="BB262" s="724"/>
      <c r="BC262" s="724"/>
      <c r="BD262" s="724"/>
      <c r="BE262" s="726"/>
      <c r="BF262" s="724" t="s">
        <v>298</v>
      </c>
      <c r="BG262" s="724" t="s">
        <v>680</v>
      </c>
      <c r="BH262" s="724" t="s">
        <v>681</v>
      </c>
      <c r="BI262" s="724"/>
    </row>
    <row r="263" spans="1:61">
      <c r="A263" s="724" t="s">
        <v>793</v>
      </c>
      <c r="B263" s="724" t="s">
        <v>793</v>
      </c>
      <c r="C263" s="724" t="s">
        <v>790</v>
      </c>
      <c r="D263" s="724" t="s">
        <v>673</v>
      </c>
      <c r="E263" s="724" t="s">
        <v>3</v>
      </c>
      <c r="F263" s="725" t="s">
        <v>7</v>
      </c>
      <c r="G263" s="725" t="s">
        <v>684</v>
      </c>
      <c r="H263" s="726">
        <v>72840</v>
      </c>
      <c r="I263" s="726">
        <v>72840</v>
      </c>
      <c r="J263" s="726">
        <v>0</v>
      </c>
      <c r="K263" s="726">
        <v>0</v>
      </c>
      <c r="L263" s="726">
        <v>72840</v>
      </c>
      <c r="M263" s="726">
        <v>0</v>
      </c>
      <c r="N263" s="726">
        <v>0</v>
      </c>
      <c r="O263" s="726">
        <v>0</v>
      </c>
      <c r="P263" s="726">
        <v>0</v>
      </c>
      <c r="Q263" s="726">
        <v>0</v>
      </c>
      <c r="R263" s="726">
        <v>0</v>
      </c>
      <c r="S263" s="726">
        <v>0</v>
      </c>
      <c r="T263" s="726">
        <v>0</v>
      </c>
      <c r="U263" s="726">
        <v>0</v>
      </c>
      <c r="V263" s="726">
        <v>0</v>
      </c>
      <c r="W263" s="726">
        <v>0</v>
      </c>
      <c r="X263" s="724" t="s">
        <v>674</v>
      </c>
      <c r="Y263" s="724" t="s">
        <v>675</v>
      </c>
      <c r="Z263" s="724" t="s">
        <v>675</v>
      </c>
      <c r="AA263" s="724" t="s">
        <v>675</v>
      </c>
      <c r="AB263" s="724" t="s">
        <v>675</v>
      </c>
      <c r="AC263" s="724"/>
      <c r="AD263" s="724"/>
      <c r="AE263" s="724"/>
      <c r="AF263" s="724"/>
      <c r="AG263" s="725" t="s">
        <v>794</v>
      </c>
      <c r="AH263" s="724"/>
      <c r="AI263" s="725" t="s">
        <v>794</v>
      </c>
      <c r="AJ263" s="725" t="s">
        <v>677</v>
      </c>
      <c r="AK263" s="724" t="s">
        <v>677</v>
      </c>
      <c r="AL263" s="724"/>
      <c r="AM263" s="724"/>
      <c r="AN263" s="724"/>
      <c r="AO263" s="724"/>
      <c r="AP263" s="724"/>
      <c r="AQ263" s="724"/>
      <c r="AR263" s="726"/>
      <c r="AS263" s="724"/>
      <c r="AT263" s="726"/>
      <c r="AU263" s="724" t="s">
        <v>678</v>
      </c>
      <c r="AV263" s="724" t="s">
        <v>677</v>
      </c>
      <c r="AW263" s="724" t="s">
        <v>676</v>
      </c>
      <c r="AX263" s="724" t="s">
        <v>674</v>
      </c>
      <c r="AY263" s="724"/>
      <c r="AZ263" s="724"/>
      <c r="BA263" s="724" t="s">
        <v>679</v>
      </c>
      <c r="BB263" s="724"/>
      <c r="BC263" s="724"/>
      <c r="BD263" s="724"/>
      <c r="BE263" s="726"/>
      <c r="BF263" s="724" t="s">
        <v>298</v>
      </c>
      <c r="BG263" s="724" t="s">
        <v>680</v>
      </c>
      <c r="BH263" s="724" t="s">
        <v>681</v>
      </c>
      <c r="BI263" s="724"/>
    </row>
    <row r="264" spans="1:61">
      <c r="A264" s="724" t="s">
        <v>793</v>
      </c>
      <c r="B264" s="724" t="s">
        <v>793</v>
      </c>
      <c r="C264" s="724" t="s">
        <v>790</v>
      </c>
      <c r="D264" s="724" t="s">
        <v>673</v>
      </c>
      <c r="E264" s="724" t="s">
        <v>3</v>
      </c>
      <c r="F264" s="725" t="s">
        <v>7</v>
      </c>
      <c r="G264" s="725" t="s">
        <v>684</v>
      </c>
      <c r="H264" s="726">
        <v>274240</v>
      </c>
      <c r="I264" s="726">
        <v>274240</v>
      </c>
      <c r="J264" s="726">
        <v>0</v>
      </c>
      <c r="K264" s="726">
        <v>0</v>
      </c>
      <c r="L264" s="726">
        <v>274240</v>
      </c>
      <c r="M264" s="726">
        <v>0</v>
      </c>
      <c r="N264" s="726">
        <v>0</v>
      </c>
      <c r="O264" s="726">
        <v>0</v>
      </c>
      <c r="P264" s="726">
        <v>0</v>
      </c>
      <c r="Q264" s="726">
        <v>0</v>
      </c>
      <c r="R264" s="726">
        <v>0</v>
      </c>
      <c r="S264" s="726">
        <v>0</v>
      </c>
      <c r="T264" s="726">
        <v>0</v>
      </c>
      <c r="U264" s="726">
        <v>0</v>
      </c>
      <c r="V264" s="726">
        <v>0</v>
      </c>
      <c r="W264" s="726">
        <v>0</v>
      </c>
      <c r="X264" s="724" t="s">
        <v>674</v>
      </c>
      <c r="Y264" s="724" t="s">
        <v>1226</v>
      </c>
      <c r="Z264" s="724" t="s">
        <v>1226</v>
      </c>
      <c r="AA264" s="724" t="s">
        <v>675</v>
      </c>
      <c r="AB264" s="724" t="s">
        <v>675</v>
      </c>
      <c r="AC264" s="724"/>
      <c r="AD264" s="724"/>
      <c r="AE264" s="724"/>
      <c r="AF264" s="724"/>
      <c r="AG264" s="725" t="s">
        <v>795</v>
      </c>
      <c r="AH264" s="724"/>
      <c r="AI264" s="725" t="s">
        <v>795</v>
      </c>
      <c r="AJ264" s="725" t="s">
        <v>677</v>
      </c>
      <c r="AK264" s="724" t="s">
        <v>677</v>
      </c>
      <c r="AL264" s="724"/>
      <c r="AM264" s="724"/>
      <c r="AN264" s="724"/>
      <c r="AO264" s="724"/>
      <c r="AP264" s="724"/>
      <c r="AQ264" s="724"/>
      <c r="AR264" s="726"/>
      <c r="AS264" s="724"/>
      <c r="AT264" s="726"/>
      <c r="AU264" s="724" t="s">
        <v>678</v>
      </c>
      <c r="AV264" s="724" t="s">
        <v>677</v>
      </c>
      <c r="AW264" s="724" t="s">
        <v>676</v>
      </c>
      <c r="AX264" s="724" t="s">
        <v>674</v>
      </c>
      <c r="AY264" s="724"/>
      <c r="AZ264" s="724"/>
      <c r="BA264" s="724" t="s">
        <v>679</v>
      </c>
      <c r="BB264" s="724"/>
      <c r="BC264" s="724"/>
      <c r="BD264" s="724"/>
      <c r="BE264" s="726"/>
      <c r="BF264" s="724" t="s">
        <v>298</v>
      </c>
      <c r="BG264" s="724" t="s">
        <v>680</v>
      </c>
      <c r="BH264" s="724" t="s">
        <v>681</v>
      </c>
      <c r="BI264" s="724"/>
    </row>
    <row r="265" spans="1:61">
      <c r="A265" s="724" t="s">
        <v>793</v>
      </c>
      <c r="B265" s="724" t="s">
        <v>793</v>
      </c>
      <c r="C265" s="724" t="s">
        <v>790</v>
      </c>
      <c r="D265" s="724" t="s">
        <v>673</v>
      </c>
      <c r="E265" s="724" t="s">
        <v>3</v>
      </c>
      <c r="F265" s="725" t="s">
        <v>7</v>
      </c>
      <c r="G265" s="725" t="s">
        <v>684</v>
      </c>
      <c r="H265" s="726">
        <v>2569587</v>
      </c>
      <c r="I265" s="726">
        <v>2569587</v>
      </c>
      <c r="J265" s="726">
        <v>0</v>
      </c>
      <c r="K265" s="726">
        <v>0</v>
      </c>
      <c r="L265" s="726">
        <v>2569587</v>
      </c>
      <c r="M265" s="726">
        <v>0</v>
      </c>
      <c r="N265" s="726">
        <v>0</v>
      </c>
      <c r="O265" s="726">
        <v>0</v>
      </c>
      <c r="P265" s="726">
        <v>0</v>
      </c>
      <c r="Q265" s="726">
        <v>0</v>
      </c>
      <c r="R265" s="726">
        <v>0</v>
      </c>
      <c r="S265" s="726">
        <v>0</v>
      </c>
      <c r="T265" s="726">
        <v>0</v>
      </c>
      <c r="U265" s="726">
        <v>0</v>
      </c>
      <c r="V265" s="726">
        <v>0</v>
      </c>
      <c r="W265" s="726">
        <v>0</v>
      </c>
      <c r="X265" s="724" t="s">
        <v>674</v>
      </c>
      <c r="Y265" s="724" t="s">
        <v>1226</v>
      </c>
      <c r="Z265" s="724" t="s">
        <v>1226</v>
      </c>
      <c r="AA265" s="724" t="s">
        <v>675</v>
      </c>
      <c r="AB265" s="724" t="s">
        <v>675</v>
      </c>
      <c r="AC265" s="724"/>
      <c r="AD265" s="724"/>
      <c r="AE265" s="724"/>
      <c r="AF265" s="724"/>
      <c r="AG265" s="725" t="s">
        <v>796</v>
      </c>
      <c r="AH265" s="724"/>
      <c r="AI265" s="725" t="s">
        <v>796</v>
      </c>
      <c r="AJ265" s="725" t="s">
        <v>677</v>
      </c>
      <c r="AK265" s="724" t="s">
        <v>677</v>
      </c>
      <c r="AL265" s="724"/>
      <c r="AM265" s="724"/>
      <c r="AN265" s="724"/>
      <c r="AO265" s="724"/>
      <c r="AP265" s="724"/>
      <c r="AQ265" s="724"/>
      <c r="AR265" s="726"/>
      <c r="AS265" s="724"/>
      <c r="AT265" s="726"/>
      <c r="AU265" s="724" t="s">
        <v>678</v>
      </c>
      <c r="AV265" s="724" t="s">
        <v>677</v>
      </c>
      <c r="AW265" s="724" t="s">
        <v>676</v>
      </c>
      <c r="AX265" s="724" t="s">
        <v>674</v>
      </c>
      <c r="AY265" s="724"/>
      <c r="AZ265" s="724"/>
      <c r="BA265" s="724" t="s">
        <v>679</v>
      </c>
      <c r="BB265" s="724"/>
      <c r="BC265" s="724"/>
      <c r="BD265" s="724"/>
      <c r="BE265" s="726"/>
      <c r="BF265" s="724" t="s">
        <v>298</v>
      </c>
      <c r="BG265" s="724" t="s">
        <v>680</v>
      </c>
      <c r="BH265" s="724" t="s">
        <v>681</v>
      </c>
      <c r="BI265" s="724"/>
    </row>
    <row r="266" spans="1:61">
      <c r="A266" s="724" t="s">
        <v>793</v>
      </c>
      <c r="B266" s="724" t="s">
        <v>793</v>
      </c>
      <c r="C266" s="724" t="s">
        <v>790</v>
      </c>
      <c r="D266" s="724" t="s">
        <v>673</v>
      </c>
      <c r="E266" s="724" t="s">
        <v>3</v>
      </c>
      <c r="F266" s="725" t="s">
        <v>7</v>
      </c>
      <c r="G266" s="725" t="s">
        <v>684</v>
      </c>
      <c r="H266" s="726">
        <v>23240</v>
      </c>
      <c r="I266" s="726">
        <v>23240</v>
      </c>
      <c r="J266" s="726">
        <v>0</v>
      </c>
      <c r="K266" s="726">
        <v>0</v>
      </c>
      <c r="L266" s="726">
        <v>23240</v>
      </c>
      <c r="M266" s="726">
        <v>0</v>
      </c>
      <c r="N266" s="726">
        <v>0</v>
      </c>
      <c r="O266" s="726">
        <v>0</v>
      </c>
      <c r="P266" s="726">
        <v>0</v>
      </c>
      <c r="Q266" s="726">
        <v>0</v>
      </c>
      <c r="R266" s="726">
        <v>0</v>
      </c>
      <c r="S266" s="726">
        <v>0</v>
      </c>
      <c r="T266" s="726">
        <v>0</v>
      </c>
      <c r="U266" s="726">
        <v>0</v>
      </c>
      <c r="V266" s="726">
        <v>0</v>
      </c>
      <c r="W266" s="726">
        <v>0</v>
      </c>
      <c r="X266" s="724" t="s">
        <v>674</v>
      </c>
      <c r="Y266" s="724" t="s">
        <v>675</v>
      </c>
      <c r="Z266" s="724" t="s">
        <v>675</v>
      </c>
      <c r="AA266" s="724" t="s">
        <v>675</v>
      </c>
      <c r="AB266" s="724" t="s">
        <v>675</v>
      </c>
      <c r="AC266" s="724"/>
      <c r="AD266" s="724"/>
      <c r="AE266" s="724"/>
      <c r="AF266" s="724"/>
      <c r="AG266" s="725" t="s">
        <v>794</v>
      </c>
      <c r="AH266" s="724"/>
      <c r="AI266" s="725" t="s">
        <v>794</v>
      </c>
      <c r="AJ266" s="725" t="s">
        <v>677</v>
      </c>
      <c r="AK266" s="724" t="s">
        <v>677</v>
      </c>
      <c r="AL266" s="724"/>
      <c r="AM266" s="724"/>
      <c r="AN266" s="724"/>
      <c r="AO266" s="724"/>
      <c r="AP266" s="724"/>
      <c r="AQ266" s="724"/>
      <c r="AR266" s="726"/>
      <c r="AS266" s="724"/>
      <c r="AT266" s="726"/>
      <c r="AU266" s="724" t="s">
        <v>678</v>
      </c>
      <c r="AV266" s="724" t="s">
        <v>677</v>
      </c>
      <c r="AW266" s="724" t="s">
        <v>676</v>
      </c>
      <c r="AX266" s="724" t="s">
        <v>674</v>
      </c>
      <c r="AY266" s="724"/>
      <c r="AZ266" s="724"/>
      <c r="BA266" s="724" t="s">
        <v>679</v>
      </c>
      <c r="BB266" s="724"/>
      <c r="BC266" s="724"/>
      <c r="BD266" s="724"/>
      <c r="BE266" s="726"/>
      <c r="BF266" s="724" t="s">
        <v>298</v>
      </c>
      <c r="BG266" s="724" t="s">
        <v>680</v>
      </c>
      <c r="BH266" s="724" t="s">
        <v>681</v>
      </c>
      <c r="BI266" s="724"/>
    </row>
    <row r="267" spans="1:61">
      <c r="A267" s="724" t="s">
        <v>793</v>
      </c>
      <c r="B267" s="724" t="s">
        <v>793</v>
      </c>
      <c r="C267" s="724" t="s">
        <v>790</v>
      </c>
      <c r="D267" s="724" t="s">
        <v>673</v>
      </c>
      <c r="E267" s="724" t="s">
        <v>3</v>
      </c>
      <c r="F267" s="725" t="s">
        <v>7</v>
      </c>
      <c r="G267" s="725" t="s">
        <v>684</v>
      </c>
      <c r="H267" s="726">
        <v>1839670</v>
      </c>
      <c r="I267" s="726">
        <v>1839670</v>
      </c>
      <c r="J267" s="726">
        <v>0</v>
      </c>
      <c r="K267" s="726">
        <v>0</v>
      </c>
      <c r="L267" s="726">
        <v>1839670</v>
      </c>
      <c r="M267" s="726">
        <v>0</v>
      </c>
      <c r="N267" s="726">
        <v>0</v>
      </c>
      <c r="O267" s="726">
        <v>0</v>
      </c>
      <c r="P267" s="726">
        <v>0</v>
      </c>
      <c r="Q267" s="726">
        <v>0</v>
      </c>
      <c r="R267" s="726">
        <v>0</v>
      </c>
      <c r="S267" s="726">
        <v>0</v>
      </c>
      <c r="T267" s="726">
        <v>0</v>
      </c>
      <c r="U267" s="726">
        <v>0</v>
      </c>
      <c r="V267" s="726">
        <v>0</v>
      </c>
      <c r="W267" s="726">
        <v>0</v>
      </c>
      <c r="X267" s="724" t="s">
        <v>674</v>
      </c>
      <c r="Y267" s="724" t="s">
        <v>1226</v>
      </c>
      <c r="Z267" s="724" t="s">
        <v>1226</v>
      </c>
      <c r="AA267" s="724" t="s">
        <v>675</v>
      </c>
      <c r="AB267" s="724" t="s">
        <v>675</v>
      </c>
      <c r="AC267" s="724"/>
      <c r="AD267" s="724"/>
      <c r="AE267" s="724"/>
      <c r="AF267" s="724"/>
      <c r="AG267" s="725" t="s">
        <v>796</v>
      </c>
      <c r="AH267" s="724"/>
      <c r="AI267" s="725" t="s">
        <v>796</v>
      </c>
      <c r="AJ267" s="725" t="s">
        <v>677</v>
      </c>
      <c r="AK267" s="724" t="s">
        <v>677</v>
      </c>
      <c r="AL267" s="724"/>
      <c r="AM267" s="724"/>
      <c r="AN267" s="724"/>
      <c r="AO267" s="724"/>
      <c r="AP267" s="724"/>
      <c r="AQ267" s="724"/>
      <c r="AR267" s="726"/>
      <c r="AS267" s="724"/>
      <c r="AT267" s="726"/>
      <c r="AU267" s="724" t="s">
        <v>678</v>
      </c>
      <c r="AV267" s="724" t="s">
        <v>677</v>
      </c>
      <c r="AW267" s="724" t="s">
        <v>676</v>
      </c>
      <c r="AX267" s="724" t="s">
        <v>674</v>
      </c>
      <c r="AY267" s="724"/>
      <c r="AZ267" s="724"/>
      <c r="BA267" s="724" t="s">
        <v>679</v>
      </c>
      <c r="BB267" s="724"/>
      <c r="BC267" s="724"/>
      <c r="BD267" s="724"/>
      <c r="BE267" s="726"/>
      <c r="BF267" s="724" t="s">
        <v>298</v>
      </c>
      <c r="BG267" s="724" t="s">
        <v>680</v>
      </c>
      <c r="BH267" s="724" t="s">
        <v>681</v>
      </c>
      <c r="BI267" s="724"/>
    </row>
    <row r="268" spans="1:61">
      <c r="A268" s="724" t="s">
        <v>793</v>
      </c>
      <c r="B268" s="724" t="s">
        <v>793</v>
      </c>
      <c r="C268" s="724" t="s">
        <v>790</v>
      </c>
      <c r="D268" s="724" t="s">
        <v>673</v>
      </c>
      <c r="E268" s="724" t="s">
        <v>3</v>
      </c>
      <c r="F268" s="725" t="s">
        <v>7</v>
      </c>
      <c r="G268" s="725" t="s">
        <v>684</v>
      </c>
      <c r="H268" s="726">
        <v>3347790</v>
      </c>
      <c r="I268" s="726">
        <v>3347790</v>
      </c>
      <c r="J268" s="726">
        <v>0</v>
      </c>
      <c r="K268" s="726">
        <v>0</v>
      </c>
      <c r="L268" s="726">
        <v>3347790</v>
      </c>
      <c r="M268" s="726">
        <v>0</v>
      </c>
      <c r="N268" s="726">
        <v>0</v>
      </c>
      <c r="O268" s="726">
        <v>0</v>
      </c>
      <c r="P268" s="726">
        <v>0</v>
      </c>
      <c r="Q268" s="726">
        <v>0</v>
      </c>
      <c r="R268" s="726">
        <v>0</v>
      </c>
      <c r="S268" s="726">
        <v>0</v>
      </c>
      <c r="T268" s="726">
        <v>0</v>
      </c>
      <c r="U268" s="726">
        <v>0</v>
      </c>
      <c r="V268" s="726">
        <v>0</v>
      </c>
      <c r="W268" s="726">
        <v>0</v>
      </c>
      <c r="X268" s="724" t="s">
        <v>674</v>
      </c>
      <c r="Y268" s="724" t="s">
        <v>1226</v>
      </c>
      <c r="Z268" s="724" t="s">
        <v>1226</v>
      </c>
      <c r="AA268" s="724" t="s">
        <v>675</v>
      </c>
      <c r="AB268" s="724" t="s">
        <v>675</v>
      </c>
      <c r="AC268" s="724"/>
      <c r="AD268" s="724"/>
      <c r="AE268" s="724"/>
      <c r="AF268" s="724"/>
      <c r="AG268" s="725" t="s">
        <v>796</v>
      </c>
      <c r="AH268" s="724"/>
      <c r="AI268" s="725" t="s">
        <v>796</v>
      </c>
      <c r="AJ268" s="725" t="s">
        <v>677</v>
      </c>
      <c r="AK268" s="724" t="s">
        <v>677</v>
      </c>
      <c r="AL268" s="724"/>
      <c r="AM268" s="724"/>
      <c r="AN268" s="724"/>
      <c r="AO268" s="724"/>
      <c r="AP268" s="724"/>
      <c r="AQ268" s="724"/>
      <c r="AR268" s="726"/>
      <c r="AS268" s="724"/>
      <c r="AT268" s="726"/>
      <c r="AU268" s="724" t="s">
        <v>678</v>
      </c>
      <c r="AV268" s="724" t="s">
        <v>677</v>
      </c>
      <c r="AW268" s="724" t="s">
        <v>676</v>
      </c>
      <c r="AX268" s="724" t="s">
        <v>674</v>
      </c>
      <c r="AY268" s="724"/>
      <c r="AZ268" s="724"/>
      <c r="BA268" s="724" t="s">
        <v>679</v>
      </c>
      <c r="BB268" s="724"/>
      <c r="BC268" s="724"/>
      <c r="BD268" s="724"/>
      <c r="BE268" s="726"/>
      <c r="BF268" s="724" t="s">
        <v>298</v>
      </c>
      <c r="BG268" s="724" t="s">
        <v>680</v>
      </c>
      <c r="BH268" s="724" t="s">
        <v>681</v>
      </c>
      <c r="BI268" s="724"/>
    </row>
    <row r="269" spans="1:61">
      <c r="A269" s="724" t="s">
        <v>793</v>
      </c>
      <c r="B269" s="724" t="s">
        <v>793</v>
      </c>
      <c r="C269" s="724" t="s">
        <v>790</v>
      </c>
      <c r="D269" s="724" t="s">
        <v>673</v>
      </c>
      <c r="E269" s="724" t="s">
        <v>3</v>
      </c>
      <c r="F269" s="725" t="s">
        <v>7</v>
      </c>
      <c r="G269" s="725" t="s">
        <v>684</v>
      </c>
      <c r="H269" s="726">
        <v>316700</v>
      </c>
      <c r="I269" s="726">
        <v>316700</v>
      </c>
      <c r="J269" s="726">
        <v>0</v>
      </c>
      <c r="K269" s="726">
        <v>0</v>
      </c>
      <c r="L269" s="726">
        <v>316700</v>
      </c>
      <c r="M269" s="726">
        <v>0</v>
      </c>
      <c r="N269" s="726">
        <v>0</v>
      </c>
      <c r="O269" s="726">
        <v>0</v>
      </c>
      <c r="P269" s="726">
        <v>0</v>
      </c>
      <c r="Q269" s="726">
        <v>0</v>
      </c>
      <c r="R269" s="726">
        <v>0</v>
      </c>
      <c r="S269" s="726">
        <v>0</v>
      </c>
      <c r="T269" s="726">
        <v>0</v>
      </c>
      <c r="U269" s="726">
        <v>0</v>
      </c>
      <c r="V269" s="726">
        <v>0</v>
      </c>
      <c r="W269" s="726">
        <v>0</v>
      </c>
      <c r="X269" s="724" t="s">
        <v>674</v>
      </c>
      <c r="Y269" s="724" t="s">
        <v>1226</v>
      </c>
      <c r="Z269" s="724" t="s">
        <v>1226</v>
      </c>
      <c r="AA269" s="724" t="s">
        <v>675</v>
      </c>
      <c r="AB269" s="724" t="s">
        <v>675</v>
      </c>
      <c r="AC269" s="724"/>
      <c r="AD269" s="724"/>
      <c r="AE269" s="724"/>
      <c r="AF269" s="724"/>
      <c r="AG269" s="725" t="s">
        <v>797</v>
      </c>
      <c r="AH269" s="724"/>
      <c r="AI269" s="725" t="s">
        <v>797</v>
      </c>
      <c r="AJ269" s="725" t="s">
        <v>677</v>
      </c>
      <c r="AK269" s="724" t="s">
        <v>677</v>
      </c>
      <c r="AL269" s="724"/>
      <c r="AM269" s="724"/>
      <c r="AN269" s="724"/>
      <c r="AO269" s="724"/>
      <c r="AP269" s="724"/>
      <c r="AQ269" s="724"/>
      <c r="AR269" s="726"/>
      <c r="AS269" s="724"/>
      <c r="AT269" s="726"/>
      <c r="AU269" s="724" t="s">
        <v>678</v>
      </c>
      <c r="AV269" s="724" t="s">
        <v>677</v>
      </c>
      <c r="AW269" s="724" t="s">
        <v>676</v>
      </c>
      <c r="AX269" s="724" t="s">
        <v>674</v>
      </c>
      <c r="AY269" s="724"/>
      <c r="AZ269" s="724"/>
      <c r="BA269" s="724" t="s">
        <v>679</v>
      </c>
      <c r="BB269" s="724"/>
      <c r="BC269" s="724"/>
      <c r="BD269" s="724"/>
      <c r="BE269" s="726"/>
      <c r="BF269" s="724" t="s">
        <v>298</v>
      </c>
      <c r="BG269" s="724" t="s">
        <v>680</v>
      </c>
      <c r="BH269" s="724" t="s">
        <v>681</v>
      </c>
      <c r="BI269" s="724"/>
    </row>
    <row r="270" spans="1:61">
      <c r="A270" s="724" t="s">
        <v>793</v>
      </c>
      <c r="B270" s="724" t="s">
        <v>793</v>
      </c>
      <c r="C270" s="724" t="s">
        <v>790</v>
      </c>
      <c r="D270" s="724" t="s">
        <v>673</v>
      </c>
      <c r="E270" s="724" t="s">
        <v>3</v>
      </c>
      <c r="F270" s="725" t="s">
        <v>7</v>
      </c>
      <c r="G270" s="725" t="s">
        <v>684</v>
      </c>
      <c r="H270" s="726">
        <v>171354</v>
      </c>
      <c r="I270" s="726">
        <v>171354</v>
      </c>
      <c r="J270" s="726">
        <v>0</v>
      </c>
      <c r="K270" s="726">
        <v>0</v>
      </c>
      <c r="L270" s="726">
        <v>171354</v>
      </c>
      <c r="M270" s="726">
        <v>0</v>
      </c>
      <c r="N270" s="726">
        <v>0</v>
      </c>
      <c r="O270" s="726">
        <v>0</v>
      </c>
      <c r="P270" s="726">
        <v>0</v>
      </c>
      <c r="Q270" s="726">
        <v>0</v>
      </c>
      <c r="R270" s="726">
        <v>0</v>
      </c>
      <c r="S270" s="726">
        <v>0</v>
      </c>
      <c r="T270" s="726">
        <v>0</v>
      </c>
      <c r="U270" s="726">
        <v>0</v>
      </c>
      <c r="V270" s="726">
        <v>0</v>
      </c>
      <c r="W270" s="726">
        <v>0</v>
      </c>
      <c r="X270" s="724" t="s">
        <v>674</v>
      </c>
      <c r="Y270" s="724" t="s">
        <v>1226</v>
      </c>
      <c r="Z270" s="724" t="s">
        <v>1226</v>
      </c>
      <c r="AA270" s="724" t="s">
        <v>675</v>
      </c>
      <c r="AB270" s="724" t="s">
        <v>675</v>
      </c>
      <c r="AC270" s="724"/>
      <c r="AD270" s="724"/>
      <c r="AE270" s="724"/>
      <c r="AF270" s="724"/>
      <c r="AG270" s="725" t="s">
        <v>798</v>
      </c>
      <c r="AH270" s="724"/>
      <c r="AI270" s="725" t="s">
        <v>798</v>
      </c>
      <c r="AJ270" s="725" t="s">
        <v>677</v>
      </c>
      <c r="AK270" s="724" t="s">
        <v>677</v>
      </c>
      <c r="AL270" s="724"/>
      <c r="AM270" s="724"/>
      <c r="AN270" s="724"/>
      <c r="AO270" s="724"/>
      <c r="AP270" s="724"/>
      <c r="AQ270" s="724"/>
      <c r="AR270" s="726"/>
      <c r="AS270" s="724"/>
      <c r="AT270" s="726"/>
      <c r="AU270" s="724" t="s">
        <v>678</v>
      </c>
      <c r="AV270" s="724" t="s">
        <v>677</v>
      </c>
      <c r="AW270" s="724" t="s">
        <v>676</v>
      </c>
      <c r="AX270" s="724" t="s">
        <v>674</v>
      </c>
      <c r="AY270" s="724"/>
      <c r="AZ270" s="724"/>
      <c r="BA270" s="724" t="s">
        <v>679</v>
      </c>
      <c r="BB270" s="724"/>
      <c r="BC270" s="724"/>
      <c r="BD270" s="724"/>
      <c r="BE270" s="726"/>
      <c r="BF270" s="724" t="s">
        <v>298</v>
      </c>
      <c r="BG270" s="724" t="s">
        <v>680</v>
      </c>
      <c r="BH270" s="724" t="s">
        <v>681</v>
      </c>
      <c r="BI270" s="724"/>
    </row>
    <row r="271" spans="1:61">
      <c r="A271" s="724" t="s">
        <v>793</v>
      </c>
      <c r="B271" s="724" t="s">
        <v>793</v>
      </c>
      <c r="C271" s="724" t="s">
        <v>790</v>
      </c>
      <c r="D271" s="724" t="s">
        <v>673</v>
      </c>
      <c r="E271" s="724" t="s">
        <v>3</v>
      </c>
      <c r="F271" s="725" t="s">
        <v>7</v>
      </c>
      <c r="G271" s="725" t="s">
        <v>684</v>
      </c>
      <c r="H271" s="726">
        <v>223280</v>
      </c>
      <c r="I271" s="726">
        <v>223280</v>
      </c>
      <c r="J271" s="726">
        <v>0</v>
      </c>
      <c r="K271" s="726">
        <v>0</v>
      </c>
      <c r="L271" s="726">
        <v>223280</v>
      </c>
      <c r="M271" s="726">
        <v>0</v>
      </c>
      <c r="N271" s="726">
        <v>0</v>
      </c>
      <c r="O271" s="726">
        <v>0</v>
      </c>
      <c r="P271" s="726">
        <v>0</v>
      </c>
      <c r="Q271" s="726">
        <v>0</v>
      </c>
      <c r="R271" s="726">
        <v>0</v>
      </c>
      <c r="S271" s="726">
        <v>0</v>
      </c>
      <c r="T271" s="726">
        <v>0</v>
      </c>
      <c r="U271" s="726">
        <v>0</v>
      </c>
      <c r="V271" s="726">
        <v>0</v>
      </c>
      <c r="W271" s="726">
        <v>0</v>
      </c>
      <c r="X271" s="724" t="s">
        <v>674</v>
      </c>
      <c r="Y271" s="724" t="s">
        <v>1226</v>
      </c>
      <c r="Z271" s="724" t="s">
        <v>1226</v>
      </c>
      <c r="AA271" s="724" t="s">
        <v>675</v>
      </c>
      <c r="AB271" s="724" t="s">
        <v>675</v>
      </c>
      <c r="AC271" s="724"/>
      <c r="AD271" s="724"/>
      <c r="AE271" s="724"/>
      <c r="AF271" s="724"/>
      <c r="AG271" s="725" t="s">
        <v>797</v>
      </c>
      <c r="AH271" s="724"/>
      <c r="AI271" s="725" t="s">
        <v>797</v>
      </c>
      <c r="AJ271" s="725" t="s">
        <v>677</v>
      </c>
      <c r="AK271" s="724" t="s">
        <v>677</v>
      </c>
      <c r="AL271" s="724"/>
      <c r="AM271" s="724"/>
      <c r="AN271" s="724"/>
      <c r="AO271" s="724"/>
      <c r="AP271" s="724"/>
      <c r="AQ271" s="724"/>
      <c r="AR271" s="726"/>
      <c r="AS271" s="724"/>
      <c r="AT271" s="726"/>
      <c r="AU271" s="724" t="s">
        <v>678</v>
      </c>
      <c r="AV271" s="724" t="s">
        <v>677</v>
      </c>
      <c r="AW271" s="724" t="s">
        <v>676</v>
      </c>
      <c r="AX271" s="724" t="s">
        <v>674</v>
      </c>
      <c r="AY271" s="724"/>
      <c r="AZ271" s="724"/>
      <c r="BA271" s="724" t="s">
        <v>679</v>
      </c>
      <c r="BB271" s="724"/>
      <c r="BC271" s="724"/>
      <c r="BD271" s="724"/>
      <c r="BE271" s="726"/>
      <c r="BF271" s="724" t="s">
        <v>298</v>
      </c>
      <c r="BG271" s="724" t="s">
        <v>680</v>
      </c>
      <c r="BH271" s="724" t="s">
        <v>681</v>
      </c>
      <c r="BI271" s="724"/>
    </row>
    <row r="272" spans="1:61">
      <c r="A272" s="724" t="s">
        <v>793</v>
      </c>
      <c r="B272" s="724" t="s">
        <v>793</v>
      </c>
      <c r="C272" s="724" t="s">
        <v>790</v>
      </c>
      <c r="D272" s="724" t="s">
        <v>673</v>
      </c>
      <c r="E272" s="724" t="s">
        <v>3</v>
      </c>
      <c r="F272" s="725" t="s">
        <v>7</v>
      </c>
      <c r="G272" s="725" t="s">
        <v>684</v>
      </c>
      <c r="H272" s="726">
        <v>193340</v>
      </c>
      <c r="I272" s="726">
        <v>193340</v>
      </c>
      <c r="J272" s="726">
        <v>0</v>
      </c>
      <c r="K272" s="726">
        <v>0</v>
      </c>
      <c r="L272" s="726">
        <v>193340</v>
      </c>
      <c r="M272" s="726">
        <v>0</v>
      </c>
      <c r="N272" s="726">
        <v>0</v>
      </c>
      <c r="O272" s="726">
        <v>0</v>
      </c>
      <c r="P272" s="726">
        <v>0</v>
      </c>
      <c r="Q272" s="726">
        <v>0</v>
      </c>
      <c r="R272" s="726">
        <v>0</v>
      </c>
      <c r="S272" s="726">
        <v>0</v>
      </c>
      <c r="T272" s="726">
        <v>0</v>
      </c>
      <c r="U272" s="726">
        <v>0</v>
      </c>
      <c r="V272" s="726">
        <v>0</v>
      </c>
      <c r="W272" s="726">
        <v>0</v>
      </c>
      <c r="X272" s="724" t="s">
        <v>674</v>
      </c>
      <c r="Y272" s="724" t="s">
        <v>1226</v>
      </c>
      <c r="Z272" s="724" t="s">
        <v>1226</v>
      </c>
      <c r="AA272" s="724" t="s">
        <v>675</v>
      </c>
      <c r="AB272" s="724" t="s">
        <v>675</v>
      </c>
      <c r="AC272" s="724"/>
      <c r="AD272" s="724"/>
      <c r="AE272" s="724"/>
      <c r="AF272" s="724"/>
      <c r="AG272" s="725" t="s">
        <v>795</v>
      </c>
      <c r="AH272" s="724"/>
      <c r="AI272" s="725" t="s">
        <v>795</v>
      </c>
      <c r="AJ272" s="725" t="s">
        <v>677</v>
      </c>
      <c r="AK272" s="724" t="s">
        <v>677</v>
      </c>
      <c r="AL272" s="724"/>
      <c r="AM272" s="724"/>
      <c r="AN272" s="724"/>
      <c r="AO272" s="724"/>
      <c r="AP272" s="724"/>
      <c r="AQ272" s="724"/>
      <c r="AR272" s="726"/>
      <c r="AS272" s="724"/>
      <c r="AT272" s="726"/>
      <c r="AU272" s="724" t="s">
        <v>678</v>
      </c>
      <c r="AV272" s="724" t="s">
        <v>677</v>
      </c>
      <c r="AW272" s="724" t="s">
        <v>676</v>
      </c>
      <c r="AX272" s="724" t="s">
        <v>674</v>
      </c>
      <c r="AY272" s="724"/>
      <c r="AZ272" s="724"/>
      <c r="BA272" s="724" t="s">
        <v>679</v>
      </c>
      <c r="BB272" s="724"/>
      <c r="BC272" s="724"/>
      <c r="BD272" s="724"/>
      <c r="BE272" s="726"/>
      <c r="BF272" s="724" t="s">
        <v>298</v>
      </c>
      <c r="BG272" s="724" t="s">
        <v>680</v>
      </c>
      <c r="BH272" s="724" t="s">
        <v>681</v>
      </c>
      <c r="BI272" s="724"/>
    </row>
    <row r="273" spans="1:61">
      <c r="A273" s="724" t="s">
        <v>793</v>
      </c>
      <c r="B273" s="724" t="s">
        <v>793</v>
      </c>
      <c r="C273" s="724" t="s">
        <v>790</v>
      </c>
      <c r="D273" s="724" t="s">
        <v>673</v>
      </c>
      <c r="E273" s="724" t="s">
        <v>3</v>
      </c>
      <c r="F273" s="725" t="s">
        <v>7</v>
      </c>
      <c r="G273" s="725" t="s">
        <v>684</v>
      </c>
      <c r="H273" s="726">
        <v>326410</v>
      </c>
      <c r="I273" s="726">
        <v>326410</v>
      </c>
      <c r="J273" s="726">
        <v>0</v>
      </c>
      <c r="K273" s="726">
        <v>0</v>
      </c>
      <c r="L273" s="726">
        <v>326410</v>
      </c>
      <c r="M273" s="726">
        <v>0</v>
      </c>
      <c r="N273" s="726">
        <v>0</v>
      </c>
      <c r="O273" s="726">
        <v>0</v>
      </c>
      <c r="P273" s="726">
        <v>0</v>
      </c>
      <c r="Q273" s="726">
        <v>0</v>
      </c>
      <c r="R273" s="726">
        <v>0</v>
      </c>
      <c r="S273" s="726">
        <v>0</v>
      </c>
      <c r="T273" s="726">
        <v>0</v>
      </c>
      <c r="U273" s="726">
        <v>0</v>
      </c>
      <c r="V273" s="726">
        <v>0</v>
      </c>
      <c r="W273" s="726">
        <v>0</v>
      </c>
      <c r="X273" s="724" t="s">
        <v>674</v>
      </c>
      <c r="Y273" s="724" t="s">
        <v>1226</v>
      </c>
      <c r="Z273" s="724" t="s">
        <v>1226</v>
      </c>
      <c r="AA273" s="724" t="s">
        <v>675</v>
      </c>
      <c r="AB273" s="724" t="s">
        <v>675</v>
      </c>
      <c r="AC273" s="724"/>
      <c r="AD273" s="724"/>
      <c r="AE273" s="724"/>
      <c r="AF273" s="724"/>
      <c r="AG273" s="725" t="s">
        <v>798</v>
      </c>
      <c r="AH273" s="724"/>
      <c r="AI273" s="725" t="s">
        <v>798</v>
      </c>
      <c r="AJ273" s="725" t="s">
        <v>677</v>
      </c>
      <c r="AK273" s="724" t="s">
        <v>677</v>
      </c>
      <c r="AL273" s="724"/>
      <c r="AM273" s="724"/>
      <c r="AN273" s="724"/>
      <c r="AO273" s="724"/>
      <c r="AP273" s="724"/>
      <c r="AQ273" s="724"/>
      <c r="AR273" s="726"/>
      <c r="AS273" s="724"/>
      <c r="AT273" s="726"/>
      <c r="AU273" s="724" t="s">
        <v>678</v>
      </c>
      <c r="AV273" s="724" t="s">
        <v>677</v>
      </c>
      <c r="AW273" s="724" t="s">
        <v>676</v>
      </c>
      <c r="AX273" s="724" t="s">
        <v>674</v>
      </c>
      <c r="AY273" s="724"/>
      <c r="AZ273" s="724"/>
      <c r="BA273" s="724" t="s">
        <v>679</v>
      </c>
      <c r="BB273" s="724"/>
      <c r="BC273" s="724"/>
      <c r="BD273" s="724"/>
      <c r="BE273" s="726"/>
      <c r="BF273" s="724" t="s">
        <v>298</v>
      </c>
      <c r="BG273" s="724" t="s">
        <v>680</v>
      </c>
      <c r="BH273" s="724" t="s">
        <v>681</v>
      </c>
      <c r="BI273" s="724"/>
    </row>
    <row r="274" spans="1:61">
      <c r="A274" s="724" t="s">
        <v>793</v>
      </c>
      <c r="B274" s="724" t="s">
        <v>793</v>
      </c>
      <c r="C274" s="724" t="s">
        <v>790</v>
      </c>
      <c r="D274" s="724" t="s">
        <v>673</v>
      </c>
      <c r="E274" s="724" t="s">
        <v>3</v>
      </c>
      <c r="F274" s="725" t="s">
        <v>7</v>
      </c>
      <c r="G274" s="725" t="s">
        <v>684</v>
      </c>
      <c r="H274" s="726">
        <v>425360</v>
      </c>
      <c r="I274" s="726">
        <v>425360</v>
      </c>
      <c r="J274" s="726">
        <v>0</v>
      </c>
      <c r="K274" s="726">
        <v>0</v>
      </c>
      <c r="L274" s="726">
        <v>425360</v>
      </c>
      <c r="M274" s="726">
        <v>0</v>
      </c>
      <c r="N274" s="726">
        <v>0</v>
      </c>
      <c r="O274" s="726">
        <v>0</v>
      </c>
      <c r="P274" s="726">
        <v>0</v>
      </c>
      <c r="Q274" s="726">
        <v>0</v>
      </c>
      <c r="R274" s="726">
        <v>0</v>
      </c>
      <c r="S274" s="726">
        <v>0</v>
      </c>
      <c r="T274" s="726">
        <v>0</v>
      </c>
      <c r="U274" s="726">
        <v>0</v>
      </c>
      <c r="V274" s="726">
        <v>0</v>
      </c>
      <c r="W274" s="726">
        <v>0</v>
      </c>
      <c r="X274" s="724" t="s">
        <v>674</v>
      </c>
      <c r="Y274" s="724" t="s">
        <v>1226</v>
      </c>
      <c r="Z274" s="724" t="s">
        <v>1226</v>
      </c>
      <c r="AA274" s="724" t="s">
        <v>675</v>
      </c>
      <c r="AB274" s="724" t="s">
        <v>675</v>
      </c>
      <c r="AC274" s="724"/>
      <c r="AD274" s="724"/>
      <c r="AE274" s="724"/>
      <c r="AF274" s="724"/>
      <c r="AG274" s="725" t="s">
        <v>797</v>
      </c>
      <c r="AH274" s="724"/>
      <c r="AI274" s="725" t="s">
        <v>797</v>
      </c>
      <c r="AJ274" s="725" t="s">
        <v>677</v>
      </c>
      <c r="AK274" s="724" t="s">
        <v>677</v>
      </c>
      <c r="AL274" s="724"/>
      <c r="AM274" s="724"/>
      <c r="AN274" s="724"/>
      <c r="AO274" s="724"/>
      <c r="AP274" s="724"/>
      <c r="AQ274" s="724"/>
      <c r="AR274" s="726"/>
      <c r="AS274" s="724"/>
      <c r="AT274" s="726"/>
      <c r="AU274" s="724" t="s">
        <v>678</v>
      </c>
      <c r="AV274" s="724" t="s">
        <v>677</v>
      </c>
      <c r="AW274" s="724" t="s">
        <v>676</v>
      </c>
      <c r="AX274" s="724" t="s">
        <v>674</v>
      </c>
      <c r="AY274" s="724"/>
      <c r="AZ274" s="724"/>
      <c r="BA274" s="724" t="s">
        <v>679</v>
      </c>
      <c r="BB274" s="724"/>
      <c r="BC274" s="724"/>
      <c r="BD274" s="724"/>
      <c r="BE274" s="726"/>
      <c r="BF274" s="724" t="s">
        <v>298</v>
      </c>
      <c r="BG274" s="724" t="s">
        <v>680</v>
      </c>
      <c r="BH274" s="724" t="s">
        <v>681</v>
      </c>
      <c r="BI274" s="724"/>
    </row>
    <row r="275" spans="1:61">
      <c r="A275" s="724" t="s">
        <v>793</v>
      </c>
      <c r="B275" s="724" t="s">
        <v>793</v>
      </c>
      <c r="C275" s="724" t="s">
        <v>790</v>
      </c>
      <c r="D275" s="724" t="s">
        <v>673</v>
      </c>
      <c r="E275" s="724" t="s">
        <v>3</v>
      </c>
      <c r="F275" s="725" t="s">
        <v>7</v>
      </c>
      <c r="G275" s="725" t="s">
        <v>684</v>
      </c>
      <c r="H275" s="726">
        <v>200870</v>
      </c>
      <c r="I275" s="726">
        <v>200870</v>
      </c>
      <c r="J275" s="726">
        <v>0</v>
      </c>
      <c r="K275" s="726">
        <v>0</v>
      </c>
      <c r="L275" s="726">
        <v>200870</v>
      </c>
      <c r="M275" s="726">
        <v>0</v>
      </c>
      <c r="N275" s="726">
        <v>0</v>
      </c>
      <c r="O275" s="726">
        <v>0</v>
      </c>
      <c r="P275" s="726">
        <v>0</v>
      </c>
      <c r="Q275" s="726">
        <v>0</v>
      </c>
      <c r="R275" s="726">
        <v>0</v>
      </c>
      <c r="S275" s="726">
        <v>0</v>
      </c>
      <c r="T275" s="726">
        <v>0</v>
      </c>
      <c r="U275" s="726">
        <v>0</v>
      </c>
      <c r="V275" s="726">
        <v>0</v>
      </c>
      <c r="W275" s="726">
        <v>0</v>
      </c>
      <c r="X275" s="724" t="s">
        <v>674</v>
      </c>
      <c r="Y275" s="724" t="s">
        <v>1226</v>
      </c>
      <c r="Z275" s="724" t="s">
        <v>1226</v>
      </c>
      <c r="AA275" s="724" t="s">
        <v>675</v>
      </c>
      <c r="AB275" s="724" t="s">
        <v>675</v>
      </c>
      <c r="AC275" s="724"/>
      <c r="AD275" s="724"/>
      <c r="AE275" s="724"/>
      <c r="AF275" s="724"/>
      <c r="AG275" s="725" t="s">
        <v>794</v>
      </c>
      <c r="AH275" s="724"/>
      <c r="AI275" s="725" t="s">
        <v>794</v>
      </c>
      <c r="AJ275" s="725" t="s">
        <v>677</v>
      </c>
      <c r="AK275" s="724" t="s">
        <v>677</v>
      </c>
      <c r="AL275" s="724"/>
      <c r="AM275" s="724"/>
      <c r="AN275" s="724"/>
      <c r="AO275" s="724"/>
      <c r="AP275" s="724"/>
      <c r="AQ275" s="724"/>
      <c r="AR275" s="726"/>
      <c r="AS275" s="724"/>
      <c r="AT275" s="726"/>
      <c r="AU275" s="724" t="s">
        <v>678</v>
      </c>
      <c r="AV275" s="724" t="s">
        <v>677</v>
      </c>
      <c r="AW275" s="724" t="s">
        <v>676</v>
      </c>
      <c r="AX275" s="724" t="s">
        <v>674</v>
      </c>
      <c r="AY275" s="724"/>
      <c r="AZ275" s="724"/>
      <c r="BA275" s="724" t="s">
        <v>679</v>
      </c>
      <c r="BB275" s="724"/>
      <c r="BC275" s="724"/>
      <c r="BD275" s="724"/>
      <c r="BE275" s="726"/>
      <c r="BF275" s="724" t="s">
        <v>298</v>
      </c>
      <c r="BG275" s="724" t="s">
        <v>680</v>
      </c>
      <c r="BH275" s="724" t="s">
        <v>681</v>
      </c>
      <c r="BI275" s="724"/>
    </row>
    <row r="276" spans="1:61">
      <c r="A276" s="724" t="s">
        <v>793</v>
      </c>
      <c r="B276" s="724" t="s">
        <v>793</v>
      </c>
      <c r="C276" s="724" t="s">
        <v>790</v>
      </c>
      <c r="D276" s="724" t="s">
        <v>673</v>
      </c>
      <c r="E276" s="724" t="s">
        <v>3</v>
      </c>
      <c r="F276" s="725" t="s">
        <v>7</v>
      </c>
      <c r="G276" s="725" t="s">
        <v>684</v>
      </c>
      <c r="H276" s="726">
        <v>368340</v>
      </c>
      <c r="I276" s="726">
        <v>368340</v>
      </c>
      <c r="J276" s="726">
        <v>0</v>
      </c>
      <c r="K276" s="726">
        <v>0</v>
      </c>
      <c r="L276" s="726">
        <v>368340</v>
      </c>
      <c r="M276" s="726">
        <v>0</v>
      </c>
      <c r="N276" s="726">
        <v>0</v>
      </c>
      <c r="O276" s="726">
        <v>0</v>
      </c>
      <c r="P276" s="726">
        <v>0</v>
      </c>
      <c r="Q276" s="726">
        <v>0</v>
      </c>
      <c r="R276" s="726">
        <v>0</v>
      </c>
      <c r="S276" s="726">
        <v>0</v>
      </c>
      <c r="T276" s="726">
        <v>0</v>
      </c>
      <c r="U276" s="726">
        <v>0</v>
      </c>
      <c r="V276" s="726">
        <v>0</v>
      </c>
      <c r="W276" s="726">
        <v>0</v>
      </c>
      <c r="X276" s="724" t="s">
        <v>674</v>
      </c>
      <c r="Y276" s="724" t="s">
        <v>1226</v>
      </c>
      <c r="Z276" s="724" t="s">
        <v>1226</v>
      </c>
      <c r="AA276" s="724" t="s">
        <v>675</v>
      </c>
      <c r="AB276" s="724" t="s">
        <v>675</v>
      </c>
      <c r="AC276" s="724"/>
      <c r="AD276" s="724"/>
      <c r="AE276" s="724"/>
      <c r="AF276" s="724"/>
      <c r="AG276" s="725" t="s">
        <v>795</v>
      </c>
      <c r="AH276" s="724"/>
      <c r="AI276" s="725" t="s">
        <v>795</v>
      </c>
      <c r="AJ276" s="725" t="s">
        <v>677</v>
      </c>
      <c r="AK276" s="724" t="s">
        <v>677</v>
      </c>
      <c r="AL276" s="724"/>
      <c r="AM276" s="724"/>
      <c r="AN276" s="724"/>
      <c r="AO276" s="724"/>
      <c r="AP276" s="724"/>
      <c r="AQ276" s="724"/>
      <c r="AR276" s="726"/>
      <c r="AS276" s="724"/>
      <c r="AT276" s="726"/>
      <c r="AU276" s="724" t="s">
        <v>678</v>
      </c>
      <c r="AV276" s="724" t="s">
        <v>677</v>
      </c>
      <c r="AW276" s="724" t="s">
        <v>676</v>
      </c>
      <c r="AX276" s="724" t="s">
        <v>674</v>
      </c>
      <c r="AY276" s="724"/>
      <c r="AZ276" s="724"/>
      <c r="BA276" s="724" t="s">
        <v>679</v>
      </c>
      <c r="BB276" s="724"/>
      <c r="BC276" s="724"/>
      <c r="BD276" s="724"/>
      <c r="BE276" s="726"/>
      <c r="BF276" s="724" t="s">
        <v>298</v>
      </c>
      <c r="BG276" s="724" t="s">
        <v>680</v>
      </c>
      <c r="BH276" s="724" t="s">
        <v>681</v>
      </c>
      <c r="BI276" s="724"/>
    </row>
    <row r="277" spans="1:61">
      <c r="A277" s="724" t="s">
        <v>793</v>
      </c>
      <c r="B277" s="724" t="s">
        <v>793</v>
      </c>
      <c r="C277" s="724" t="s">
        <v>790</v>
      </c>
      <c r="D277" s="724" t="s">
        <v>673</v>
      </c>
      <c r="E277" s="724" t="s">
        <v>3</v>
      </c>
      <c r="F277" s="725" t="s">
        <v>7</v>
      </c>
      <c r="G277" s="725" t="s">
        <v>684</v>
      </c>
      <c r="H277" s="726">
        <v>200870</v>
      </c>
      <c r="I277" s="726">
        <v>200870</v>
      </c>
      <c r="J277" s="726">
        <v>0</v>
      </c>
      <c r="K277" s="726">
        <v>0</v>
      </c>
      <c r="L277" s="726">
        <v>200870</v>
      </c>
      <c r="M277" s="726">
        <v>0</v>
      </c>
      <c r="N277" s="726">
        <v>0</v>
      </c>
      <c r="O277" s="726">
        <v>0</v>
      </c>
      <c r="P277" s="726">
        <v>0</v>
      </c>
      <c r="Q277" s="726">
        <v>0</v>
      </c>
      <c r="R277" s="726">
        <v>0</v>
      </c>
      <c r="S277" s="726">
        <v>0</v>
      </c>
      <c r="T277" s="726">
        <v>0</v>
      </c>
      <c r="U277" s="726">
        <v>0</v>
      </c>
      <c r="V277" s="726">
        <v>0</v>
      </c>
      <c r="W277" s="726">
        <v>0</v>
      </c>
      <c r="X277" s="724" t="s">
        <v>674</v>
      </c>
      <c r="Y277" s="724" t="s">
        <v>1226</v>
      </c>
      <c r="Z277" s="724" t="s">
        <v>1226</v>
      </c>
      <c r="AA277" s="724" t="s">
        <v>675</v>
      </c>
      <c r="AB277" s="724" t="s">
        <v>675</v>
      </c>
      <c r="AC277" s="724"/>
      <c r="AD277" s="724"/>
      <c r="AE277" s="724"/>
      <c r="AF277" s="724"/>
      <c r="AG277" s="725" t="s">
        <v>794</v>
      </c>
      <c r="AH277" s="724"/>
      <c r="AI277" s="725" t="s">
        <v>794</v>
      </c>
      <c r="AJ277" s="725" t="s">
        <v>677</v>
      </c>
      <c r="AK277" s="724" t="s">
        <v>677</v>
      </c>
      <c r="AL277" s="724"/>
      <c r="AM277" s="724"/>
      <c r="AN277" s="724"/>
      <c r="AO277" s="724"/>
      <c r="AP277" s="724"/>
      <c r="AQ277" s="724"/>
      <c r="AR277" s="726"/>
      <c r="AS277" s="724"/>
      <c r="AT277" s="726"/>
      <c r="AU277" s="724" t="s">
        <v>678</v>
      </c>
      <c r="AV277" s="724" t="s">
        <v>677</v>
      </c>
      <c r="AW277" s="724" t="s">
        <v>676</v>
      </c>
      <c r="AX277" s="724" t="s">
        <v>674</v>
      </c>
      <c r="AY277" s="724"/>
      <c r="AZ277" s="724"/>
      <c r="BA277" s="724" t="s">
        <v>679</v>
      </c>
      <c r="BB277" s="724"/>
      <c r="BC277" s="724"/>
      <c r="BD277" s="724"/>
      <c r="BE277" s="726"/>
      <c r="BF277" s="724" t="s">
        <v>298</v>
      </c>
      <c r="BG277" s="724" t="s">
        <v>680</v>
      </c>
      <c r="BH277" s="724" t="s">
        <v>681</v>
      </c>
      <c r="BI277" s="724"/>
    </row>
    <row r="278" spans="1:61">
      <c r="A278" s="724" t="s">
        <v>793</v>
      </c>
      <c r="B278" s="724" t="s">
        <v>793</v>
      </c>
      <c r="C278" s="724" t="s">
        <v>790</v>
      </c>
      <c r="D278" s="724" t="s">
        <v>673</v>
      </c>
      <c r="E278" s="724" t="s">
        <v>3</v>
      </c>
      <c r="F278" s="725" t="s">
        <v>7</v>
      </c>
      <c r="G278" s="725" t="s">
        <v>684</v>
      </c>
      <c r="H278" s="726">
        <v>3347790</v>
      </c>
      <c r="I278" s="726">
        <v>3347790</v>
      </c>
      <c r="J278" s="726">
        <v>0</v>
      </c>
      <c r="K278" s="726">
        <v>0</v>
      </c>
      <c r="L278" s="726">
        <v>3347790</v>
      </c>
      <c r="M278" s="726">
        <v>0</v>
      </c>
      <c r="N278" s="726">
        <v>0</v>
      </c>
      <c r="O278" s="726">
        <v>0</v>
      </c>
      <c r="P278" s="726">
        <v>0</v>
      </c>
      <c r="Q278" s="726">
        <v>0</v>
      </c>
      <c r="R278" s="726">
        <v>0</v>
      </c>
      <c r="S278" s="726">
        <v>0</v>
      </c>
      <c r="T278" s="726">
        <v>0</v>
      </c>
      <c r="U278" s="726">
        <v>0</v>
      </c>
      <c r="V278" s="726">
        <v>0</v>
      </c>
      <c r="W278" s="726">
        <v>0</v>
      </c>
      <c r="X278" s="724" t="s">
        <v>674</v>
      </c>
      <c r="Y278" s="724" t="s">
        <v>1226</v>
      </c>
      <c r="Z278" s="724" t="s">
        <v>1226</v>
      </c>
      <c r="AA278" s="724" t="s">
        <v>675</v>
      </c>
      <c r="AB278" s="724" t="s">
        <v>675</v>
      </c>
      <c r="AC278" s="724"/>
      <c r="AD278" s="724"/>
      <c r="AE278" s="724"/>
      <c r="AF278" s="724"/>
      <c r="AG278" s="725" t="s">
        <v>796</v>
      </c>
      <c r="AH278" s="724"/>
      <c r="AI278" s="725" t="s">
        <v>796</v>
      </c>
      <c r="AJ278" s="725" t="s">
        <v>677</v>
      </c>
      <c r="AK278" s="724" t="s">
        <v>677</v>
      </c>
      <c r="AL278" s="724"/>
      <c r="AM278" s="724"/>
      <c r="AN278" s="724"/>
      <c r="AO278" s="724"/>
      <c r="AP278" s="724"/>
      <c r="AQ278" s="724"/>
      <c r="AR278" s="726"/>
      <c r="AS278" s="724"/>
      <c r="AT278" s="726"/>
      <c r="AU278" s="724" t="s">
        <v>678</v>
      </c>
      <c r="AV278" s="724" t="s">
        <v>677</v>
      </c>
      <c r="AW278" s="724" t="s">
        <v>676</v>
      </c>
      <c r="AX278" s="724" t="s">
        <v>674</v>
      </c>
      <c r="AY278" s="724"/>
      <c r="AZ278" s="724"/>
      <c r="BA278" s="724" t="s">
        <v>679</v>
      </c>
      <c r="BB278" s="724"/>
      <c r="BC278" s="724"/>
      <c r="BD278" s="724"/>
      <c r="BE278" s="726"/>
      <c r="BF278" s="724" t="s">
        <v>298</v>
      </c>
      <c r="BG278" s="724" t="s">
        <v>680</v>
      </c>
      <c r="BH278" s="724" t="s">
        <v>681</v>
      </c>
      <c r="BI278" s="724"/>
    </row>
    <row r="279" spans="1:61">
      <c r="A279" s="724" t="s">
        <v>793</v>
      </c>
      <c r="B279" s="724" t="s">
        <v>793</v>
      </c>
      <c r="C279" s="724" t="s">
        <v>790</v>
      </c>
      <c r="D279" s="724" t="s">
        <v>673</v>
      </c>
      <c r="E279" s="724" t="s">
        <v>3</v>
      </c>
      <c r="F279" s="725" t="s">
        <v>7</v>
      </c>
      <c r="G279" s="725" t="s">
        <v>684</v>
      </c>
      <c r="H279" s="726">
        <v>368340</v>
      </c>
      <c r="I279" s="726">
        <v>368340</v>
      </c>
      <c r="J279" s="726">
        <v>0</v>
      </c>
      <c r="K279" s="726">
        <v>0</v>
      </c>
      <c r="L279" s="726">
        <v>368340</v>
      </c>
      <c r="M279" s="726">
        <v>0</v>
      </c>
      <c r="N279" s="726">
        <v>0</v>
      </c>
      <c r="O279" s="726">
        <v>0</v>
      </c>
      <c r="P279" s="726">
        <v>0</v>
      </c>
      <c r="Q279" s="726">
        <v>0</v>
      </c>
      <c r="R279" s="726">
        <v>0</v>
      </c>
      <c r="S279" s="726">
        <v>0</v>
      </c>
      <c r="T279" s="726">
        <v>0</v>
      </c>
      <c r="U279" s="726">
        <v>0</v>
      </c>
      <c r="V279" s="726">
        <v>0</v>
      </c>
      <c r="W279" s="726">
        <v>0</v>
      </c>
      <c r="X279" s="724" t="s">
        <v>674</v>
      </c>
      <c r="Y279" s="724" t="s">
        <v>1226</v>
      </c>
      <c r="Z279" s="724" t="s">
        <v>1226</v>
      </c>
      <c r="AA279" s="724" t="s">
        <v>675</v>
      </c>
      <c r="AB279" s="724" t="s">
        <v>675</v>
      </c>
      <c r="AC279" s="724"/>
      <c r="AD279" s="724"/>
      <c r="AE279" s="724"/>
      <c r="AF279" s="724"/>
      <c r="AG279" s="725" t="s">
        <v>795</v>
      </c>
      <c r="AH279" s="724"/>
      <c r="AI279" s="725" t="s">
        <v>795</v>
      </c>
      <c r="AJ279" s="725" t="s">
        <v>677</v>
      </c>
      <c r="AK279" s="724" t="s">
        <v>677</v>
      </c>
      <c r="AL279" s="724"/>
      <c r="AM279" s="724"/>
      <c r="AN279" s="724"/>
      <c r="AO279" s="724"/>
      <c r="AP279" s="724"/>
      <c r="AQ279" s="724"/>
      <c r="AR279" s="726"/>
      <c r="AS279" s="724"/>
      <c r="AT279" s="726"/>
      <c r="AU279" s="724" t="s">
        <v>678</v>
      </c>
      <c r="AV279" s="724" t="s">
        <v>677</v>
      </c>
      <c r="AW279" s="724" t="s">
        <v>676</v>
      </c>
      <c r="AX279" s="724" t="s">
        <v>674</v>
      </c>
      <c r="AY279" s="724"/>
      <c r="AZ279" s="724"/>
      <c r="BA279" s="724" t="s">
        <v>679</v>
      </c>
      <c r="BB279" s="724"/>
      <c r="BC279" s="724"/>
      <c r="BD279" s="724"/>
      <c r="BE279" s="726"/>
      <c r="BF279" s="724" t="s">
        <v>298</v>
      </c>
      <c r="BG279" s="724" t="s">
        <v>680</v>
      </c>
      <c r="BH279" s="724" t="s">
        <v>681</v>
      </c>
      <c r="BI279" s="724"/>
    </row>
    <row r="280" spans="1:61">
      <c r="A280" s="724" t="s">
        <v>793</v>
      </c>
      <c r="B280" s="724" t="s">
        <v>793</v>
      </c>
      <c r="C280" s="724" t="s">
        <v>790</v>
      </c>
      <c r="D280" s="724" t="s">
        <v>673</v>
      </c>
      <c r="E280" s="724" t="s">
        <v>3</v>
      </c>
      <c r="F280" s="725" t="s">
        <v>7</v>
      </c>
      <c r="G280" s="725" t="s">
        <v>684</v>
      </c>
      <c r="H280" s="726">
        <v>243050</v>
      </c>
      <c r="I280" s="726">
        <v>243050</v>
      </c>
      <c r="J280" s="726">
        <v>0</v>
      </c>
      <c r="K280" s="726">
        <v>0</v>
      </c>
      <c r="L280" s="726">
        <v>243050</v>
      </c>
      <c r="M280" s="726">
        <v>0</v>
      </c>
      <c r="N280" s="726">
        <v>0</v>
      </c>
      <c r="O280" s="726">
        <v>0</v>
      </c>
      <c r="P280" s="726">
        <v>0</v>
      </c>
      <c r="Q280" s="726">
        <v>0</v>
      </c>
      <c r="R280" s="726">
        <v>0</v>
      </c>
      <c r="S280" s="726">
        <v>0</v>
      </c>
      <c r="T280" s="726">
        <v>0</v>
      </c>
      <c r="U280" s="726">
        <v>0</v>
      </c>
      <c r="V280" s="726">
        <v>0</v>
      </c>
      <c r="W280" s="726">
        <v>0</v>
      </c>
      <c r="X280" s="724" t="s">
        <v>674</v>
      </c>
      <c r="Y280" s="724" t="s">
        <v>1226</v>
      </c>
      <c r="Z280" s="724" t="s">
        <v>1226</v>
      </c>
      <c r="AA280" s="724" t="s">
        <v>675</v>
      </c>
      <c r="AB280" s="724" t="s">
        <v>675</v>
      </c>
      <c r="AC280" s="724"/>
      <c r="AD280" s="724"/>
      <c r="AE280" s="724"/>
      <c r="AF280" s="724"/>
      <c r="AG280" s="725" t="s">
        <v>798</v>
      </c>
      <c r="AH280" s="724"/>
      <c r="AI280" s="725" t="s">
        <v>798</v>
      </c>
      <c r="AJ280" s="725" t="s">
        <v>677</v>
      </c>
      <c r="AK280" s="724" t="s">
        <v>677</v>
      </c>
      <c r="AL280" s="724"/>
      <c r="AM280" s="724"/>
      <c r="AN280" s="724"/>
      <c r="AO280" s="724"/>
      <c r="AP280" s="724"/>
      <c r="AQ280" s="724"/>
      <c r="AR280" s="726"/>
      <c r="AS280" s="724"/>
      <c r="AT280" s="726"/>
      <c r="AU280" s="724" t="s">
        <v>678</v>
      </c>
      <c r="AV280" s="724" t="s">
        <v>677</v>
      </c>
      <c r="AW280" s="724" t="s">
        <v>676</v>
      </c>
      <c r="AX280" s="724" t="s">
        <v>674</v>
      </c>
      <c r="AY280" s="724"/>
      <c r="AZ280" s="724"/>
      <c r="BA280" s="724" t="s">
        <v>679</v>
      </c>
      <c r="BB280" s="724"/>
      <c r="BC280" s="724"/>
      <c r="BD280" s="724"/>
      <c r="BE280" s="726"/>
      <c r="BF280" s="724" t="s">
        <v>298</v>
      </c>
      <c r="BG280" s="724" t="s">
        <v>680</v>
      </c>
      <c r="BH280" s="724" t="s">
        <v>681</v>
      </c>
      <c r="BI280" s="724"/>
    </row>
    <row r="281" spans="1:61">
      <c r="A281" s="724" t="s">
        <v>793</v>
      </c>
      <c r="B281" s="724" t="s">
        <v>793</v>
      </c>
      <c r="C281" s="724" t="s">
        <v>790</v>
      </c>
      <c r="D281" s="724" t="s">
        <v>673</v>
      </c>
      <c r="E281" s="724" t="s">
        <v>3</v>
      </c>
      <c r="F281" s="725" t="s">
        <v>7</v>
      </c>
      <c r="G281" s="725" t="s">
        <v>684</v>
      </c>
      <c r="H281" s="726">
        <v>326417</v>
      </c>
      <c r="I281" s="726">
        <v>326417</v>
      </c>
      <c r="J281" s="726">
        <v>0</v>
      </c>
      <c r="K281" s="726">
        <v>0</v>
      </c>
      <c r="L281" s="726">
        <v>326417</v>
      </c>
      <c r="M281" s="726">
        <v>0</v>
      </c>
      <c r="N281" s="726">
        <v>0</v>
      </c>
      <c r="O281" s="726">
        <v>0</v>
      </c>
      <c r="P281" s="726">
        <v>0</v>
      </c>
      <c r="Q281" s="726">
        <v>0</v>
      </c>
      <c r="R281" s="726">
        <v>0</v>
      </c>
      <c r="S281" s="726">
        <v>0</v>
      </c>
      <c r="T281" s="726">
        <v>0</v>
      </c>
      <c r="U281" s="726">
        <v>0</v>
      </c>
      <c r="V281" s="726">
        <v>0</v>
      </c>
      <c r="W281" s="726">
        <v>0</v>
      </c>
      <c r="X281" s="724" t="s">
        <v>674</v>
      </c>
      <c r="Y281" s="724" t="s">
        <v>1226</v>
      </c>
      <c r="Z281" s="724" t="s">
        <v>1226</v>
      </c>
      <c r="AA281" s="724" t="s">
        <v>675</v>
      </c>
      <c r="AB281" s="724" t="s">
        <v>675</v>
      </c>
      <c r="AC281" s="724"/>
      <c r="AD281" s="724"/>
      <c r="AE281" s="724"/>
      <c r="AF281" s="724"/>
      <c r="AG281" s="725" t="s">
        <v>798</v>
      </c>
      <c r="AH281" s="724"/>
      <c r="AI281" s="725" t="s">
        <v>798</v>
      </c>
      <c r="AJ281" s="725" t="s">
        <v>677</v>
      </c>
      <c r="AK281" s="724" t="s">
        <v>677</v>
      </c>
      <c r="AL281" s="724"/>
      <c r="AM281" s="724"/>
      <c r="AN281" s="724"/>
      <c r="AO281" s="724"/>
      <c r="AP281" s="724"/>
      <c r="AQ281" s="724"/>
      <c r="AR281" s="726"/>
      <c r="AS281" s="724"/>
      <c r="AT281" s="726"/>
      <c r="AU281" s="724" t="s">
        <v>678</v>
      </c>
      <c r="AV281" s="724" t="s">
        <v>677</v>
      </c>
      <c r="AW281" s="724" t="s">
        <v>676</v>
      </c>
      <c r="AX281" s="724" t="s">
        <v>674</v>
      </c>
      <c r="AY281" s="724"/>
      <c r="AZ281" s="724"/>
      <c r="BA281" s="724" t="s">
        <v>679</v>
      </c>
      <c r="BB281" s="724"/>
      <c r="BC281" s="724"/>
      <c r="BD281" s="724"/>
      <c r="BE281" s="726"/>
      <c r="BF281" s="724" t="s">
        <v>298</v>
      </c>
      <c r="BG281" s="724" t="s">
        <v>680</v>
      </c>
      <c r="BH281" s="724" t="s">
        <v>681</v>
      </c>
      <c r="BI281" s="724"/>
    </row>
    <row r="282" spans="1:61">
      <c r="A282" s="724" t="s">
        <v>793</v>
      </c>
      <c r="B282" s="724" t="s">
        <v>793</v>
      </c>
      <c r="C282" s="724" t="s">
        <v>790</v>
      </c>
      <c r="D282" s="724" t="s">
        <v>673</v>
      </c>
      <c r="E282" s="724" t="s">
        <v>3</v>
      </c>
      <c r="F282" s="725" t="s">
        <v>7</v>
      </c>
      <c r="G282" s="725" t="s">
        <v>684</v>
      </c>
      <c r="H282" s="726">
        <v>425360</v>
      </c>
      <c r="I282" s="726">
        <v>425360</v>
      </c>
      <c r="J282" s="726">
        <v>0</v>
      </c>
      <c r="K282" s="726">
        <v>0</v>
      </c>
      <c r="L282" s="726">
        <v>425360</v>
      </c>
      <c r="M282" s="726">
        <v>0</v>
      </c>
      <c r="N282" s="726">
        <v>0</v>
      </c>
      <c r="O282" s="726">
        <v>0</v>
      </c>
      <c r="P282" s="726">
        <v>0</v>
      </c>
      <c r="Q282" s="726">
        <v>0</v>
      </c>
      <c r="R282" s="726">
        <v>0</v>
      </c>
      <c r="S282" s="726">
        <v>0</v>
      </c>
      <c r="T282" s="726">
        <v>0</v>
      </c>
      <c r="U282" s="726">
        <v>0</v>
      </c>
      <c r="V282" s="726">
        <v>0</v>
      </c>
      <c r="W282" s="726">
        <v>0</v>
      </c>
      <c r="X282" s="724" t="s">
        <v>674</v>
      </c>
      <c r="Y282" s="724" t="s">
        <v>1226</v>
      </c>
      <c r="Z282" s="724" t="s">
        <v>1226</v>
      </c>
      <c r="AA282" s="724" t="s">
        <v>675</v>
      </c>
      <c r="AB282" s="724" t="s">
        <v>675</v>
      </c>
      <c r="AC282" s="724"/>
      <c r="AD282" s="724"/>
      <c r="AE282" s="724"/>
      <c r="AF282" s="724"/>
      <c r="AG282" s="725" t="s">
        <v>797</v>
      </c>
      <c r="AH282" s="724"/>
      <c r="AI282" s="725" t="s">
        <v>797</v>
      </c>
      <c r="AJ282" s="725" t="s">
        <v>677</v>
      </c>
      <c r="AK282" s="724" t="s">
        <v>677</v>
      </c>
      <c r="AL282" s="724"/>
      <c r="AM282" s="724"/>
      <c r="AN282" s="724"/>
      <c r="AO282" s="724"/>
      <c r="AP282" s="724"/>
      <c r="AQ282" s="724"/>
      <c r="AR282" s="726"/>
      <c r="AS282" s="724"/>
      <c r="AT282" s="726"/>
      <c r="AU282" s="724" t="s">
        <v>678</v>
      </c>
      <c r="AV282" s="724" t="s">
        <v>677</v>
      </c>
      <c r="AW282" s="724" t="s">
        <v>676</v>
      </c>
      <c r="AX282" s="724" t="s">
        <v>674</v>
      </c>
      <c r="AY282" s="724"/>
      <c r="AZ282" s="724"/>
      <c r="BA282" s="724" t="s">
        <v>679</v>
      </c>
      <c r="BB282" s="724"/>
      <c r="BC282" s="724"/>
      <c r="BD282" s="724"/>
      <c r="BE282" s="726"/>
      <c r="BF282" s="724" t="s">
        <v>298</v>
      </c>
      <c r="BG282" s="724" t="s">
        <v>680</v>
      </c>
      <c r="BH282" s="724" t="s">
        <v>681</v>
      </c>
      <c r="BI282" s="724"/>
    </row>
    <row r="283" spans="1:61">
      <c r="A283" s="724" t="s">
        <v>799</v>
      </c>
      <c r="B283" s="724" t="s">
        <v>682</v>
      </c>
      <c r="C283" s="724" t="s">
        <v>683</v>
      </c>
      <c r="D283" s="724" t="s">
        <v>724</v>
      </c>
      <c r="E283" s="724" t="s">
        <v>3</v>
      </c>
      <c r="F283" s="725" t="s">
        <v>308</v>
      </c>
      <c r="G283" s="725" t="s">
        <v>697</v>
      </c>
      <c r="H283" s="726">
        <v>165000</v>
      </c>
      <c r="I283" s="726">
        <v>165000</v>
      </c>
      <c r="J283" s="726">
        <v>0</v>
      </c>
      <c r="K283" s="726">
        <v>0</v>
      </c>
      <c r="L283" s="726">
        <v>150000</v>
      </c>
      <c r="M283" s="726">
        <v>0</v>
      </c>
      <c r="N283" s="726">
        <v>0</v>
      </c>
      <c r="O283" s="726">
        <v>15000</v>
      </c>
      <c r="P283" s="726">
        <v>0</v>
      </c>
      <c r="Q283" s="726">
        <v>0</v>
      </c>
      <c r="R283" s="726">
        <v>0</v>
      </c>
      <c r="S283" s="726">
        <v>0</v>
      </c>
      <c r="T283" s="726">
        <v>0</v>
      </c>
      <c r="U283" s="726">
        <v>0</v>
      </c>
      <c r="V283" s="726">
        <v>0</v>
      </c>
      <c r="W283" s="726">
        <v>0</v>
      </c>
      <c r="X283" s="724" t="s">
        <v>674</v>
      </c>
      <c r="Y283" s="724" t="s">
        <v>1226</v>
      </c>
      <c r="Z283" s="724" t="s">
        <v>1226</v>
      </c>
      <c r="AA283" s="724" t="s">
        <v>675</v>
      </c>
      <c r="AB283" s="724" t="s">
        <v>675</v>
      </c>
      <c r="AC283" s="724"/>
      <c r="AD283" s="724"/>
      <c r="AE283" s="724"/>
      <c r="AF283" s="724"/>
      <c r="AG283" s="725" t="s">
        <v>800</v>
      </c>
      <c r="AH283" s="724"/>
      <c r="AI283" s="725" t="s">
        <v>800</v>
      </c>
      <c r="AJ283" s="725" t="s">
        <v>801</v>
      </c>
      <c r="AK283" s="724" t="s">
        <v>677</v>
      </c>
      <c r="AL283" s="724"/>
      <c r="AM283" s="724" t="s">
        <v>726</v>
      </c>
      <c r="AN283" s="724" t="s">
        <v>802</v>
      </c>
      <c r="AO283" s="724" t="s">
        <v>799</v>
      </c>
      <c r="AP283" s="724" t="s">
        <v>786</v>
      </c>
      <c r="AQ283" s="724" t="s">
        <v>729</v>
      </c>
      <c r="AR283" s="726">
        <v>165000</v>
      </c>
      <c r="AS283" s="724" t="s">
        <v>675</v>
      </c>
      <c r="AT283" s="726">
        <v>0</v>
      </c>
      <c r="AU283" s="724" t="s">
        <v>678</v>
      </c>
      <c r="AV283" s="724" t="s">
        <v>677</v>
      </c>
      <c r="AW283" s="724" t="s">
        <v>676</v>
      </c>
      <c r="AX283" s="724" t="s">
        <v>674</v>
      </c>
      <c r="AY283" s="724"/>
      <c r="AZ283" s="724"/>
      <c r="BA283" s="724" t="s">
        <v>679</v>
      </c>
      <c r="BB283" s="724"/>
      <c r="BC283" s="724"/>
      <c r="BD283" s="724"/>
      <c r="BE283" s="726"/>
      <c r="BF283" s="724" t="s">
        <v>298</v>
      </c>
      <c r="BG283" s="724" t="s">
        <v>680</v>
      </c>
      <c r="BH283" s="724" t="s">
        <v>681</v>
      </c>
      <c r="BI283" s="724"/>
    </row>
    <row r="284" spans="1:61">
      <c r="A284" s="724" t="s">
        <v>753</v>
      </c>
      <c r="B284" s="724" t="s">
        <v>753</v>
      </c>
      <c r="C284" s="724" t="s">
        <v>753</v>
      </c>
      <c r="D284" s="724" t="s">
        <v>716</v>
      </c>
      <c r="E284" s="724" t="s">
        <v>3</v>
      </c>
      <c r="F284" s="725" t="s">
        <v>71</v>
      </c>
      <c r="G284" s="725" t="s">
        <v>719</v>
      </c>
      <c r="H284" s="726">
        <v>643500</v>
      </c>
      <c r="I284" s="726">
        <v>643500</v>
      </c>
      <c r="J284" s="726">
        <v>0</v>
      </c>
      <c r="K284" s="726">
        <v>0</v>
      </c>
      <c r="L284" s="726">
        <v>585000</v>
      </c>
      <c r="M284" s="726">
        <v>0</v>
      </c>
      <c r="N284" s="726">
        <v>0</v>
      </c>
      <c r="O284" s="726">
        <v>58500</v>
      </c>
      <c r="P284" s="726">
        <v>0</v>
      </c>
      <c r="Q284" s="726">
        <v>0</v>
      </c>
      <c r="R284" s="726">
        <v>0</v>
      </c>
      <c r="S284" s="726">
        <v>0</v>
      </c>
      <c r="T284" s="726">
        <v>0</v>
      </c>
      <c r="U284" s="726">
        <v>0</v>
      </c>
      <c r="V284" s="726">
        <v>0</v>
      </c>
      <c r="W284" s="726">
        <v>0</v>
      </c>
      <c r="X284" s="724" t="s">
        <v>674</v>
      </c>
      <c r="Y284" s="724" t="s">
        <v>1226</v>
      </c>
      <c r="Z284" s="724" t="s">
        <v>1226</v>
      </c>
      <c r="AA284" s="724" t="s">
        <v>675</v>
      </c>
      <c r="AB284" s="724" t="s">
        <v>675</v>
      </c>
      <c r="AC284" s="724"/>
      <c r="AD284" s="724"/>
      <c r="AE284" s="724"/>
      <c r="AF284" s="724"/>
      <c r="AG284" s="725" t="s">
        <v>803</v>
      </c>
      <c r="AH284" s="724"/>
      <c r="AI284" s="725" t="s">
        <v>803</v>
      </c>
      <c r="AJ284" s="725" t="s">
        <v>804</v>
      </c>
      <c r="AK284" s="724" t="s">
        <v>677</v>
      </c>
      <c r="AL284" s="724"/>
      <c r="AM284" s="724"/>
      <c r="AN284" s="724"/>
      <c r="AO284" s="724"/>
      <c r="AP284" s="724"/>
      <c r="AQ284" s="724"/>
      <c r="AR284" s="726"/>
      <c r="AS284" s="724"/>
      <c r="AT284" s="726"/>
      <c r="AU284" s="724" t="s">
        <v>678</v>
      </c>
      <c r="AV284" s="724" t="s">
        <v>677</v>
      </c>
      <c r="AW284" s="724" t="s">
        <v>676</v>
      </c>
      <c r="AX284" s="724" t="s">
        <v>674</v>
      </c>
      <c r="AY284" s="724"/>
      <c r="AZ284" s="724"/>
      <c r="BA284" s="724" t="s">
        <v>679</v>
      </c>
      <c r="BB284" s="724"/>
      <c r="BC284" s="724"/>
      <c r="BD284" s="724"/>
      <c r="BE284" s="726"/>
      <c r="BF284" s="724" t="s">
        <v>298</v>
      </c>
      <c r="BG284" s="724" t="s">
        <v>680</v>
      </c>
      <c r="BH284" s="724" t="s">
        <v>681</v>
      </c>
      <c r="BI284" s="724"/>
    </row>
    <row r="285" spans="1:61">
      <c r="A285" s="724" t="s">
        <v>805</v>
      </c>
      <c r="B285" s="724" t="s">
        <v>805</v>
      </c>
      <c r="C285" s="724" t="s">
        <v>806</v>
      </c>
      <c r="D285" s="724" t="s">
        <v>673</v>
      </c>
      <c r="E285" s="724" t="s">
        <v>3</v>
      </c>
      <c r="F285" s="725" t="s">
        <v>308</v>
      </c>
      <c r="G285" s="725" t="s">
        <v>780</v>
      </c>
      <c r="H285" s="726">
        <v>30000</v>
      </c>
      <c r="I285" s="726">
        <v>30000</v>
      </c>
      <c r="J285" s="726">
        <v>0</v>
      </c>
      <c r="K285" s="726">
        <v>0</v>
      </c>
      <c r="L285" s="726">
        <v>30000</v>
      </c>
      <c r="M285" s="726">
        <v>0</v>
      </c>
      <c r="N285" s="726">
        <v>0</v>
      </c>
      <c r="O285" s="726">
        <v>0</v>
      </c>
      <c r="P285" s="726">
        <v>0</v>
      </c>
      <c r="Q285" s="726">
        <v>0</v>
      </c>
      <c r="R285" s="726">
        <v>0</v>
      </c>
      <c r="S285" s="726">
        <v>0</v>
      </c>
      <c r="T285" s="726">
        <v>0</v>
      </c>
      <c r="U285" s="726">
        <v>0</v>
      </c>
      <c r="V285" s="726">
        <v>0</v>
      </c>
      <c r="W285" s="726">
        <v>0</v>
      </c>
      <c r="X285" s="724" t="s">
        <v>674</v>
      </c>
      <c r="Y285" s="724" t="s">
        <v>675</v>
      </c>
      <c r="Z285" s="724" t="s">
        <v>675</v>
      </c>
      <c r="AA285" s="724" t="s">
        <v>675</v>
      </c>
      <c r="AB285" s="724" t="s">
        <v>675</v>
      </c>
      <c r="AC285" s="724"/>
      <c r="AD285" s="724" t="s">
        <v>807</v>
      </c>
      <c r="AE285" s="724"/>
      <c r="AF285" s="724"/>
      <c r="AG285" s="725" t="s">
        <v>808</v>
      </c>
      <c r="AH285" s="724"/>
      <c r="AI285" s="725" t="s">
        <v>808</v>
      </c>
      <c r="AJ285" s="725" t="s">
        <v>677</v>
      </c>
      <c r="AK285" s="724" t="s">
        <v>677</v>
      </c>
      <c r="AL285" s="724"/>
      <c r="AM285" s="724"/>
      <c r="AN285" s="724"/>
      <c r="AO285" s="724"/>
      <c r="AP285" s="724"/>
      <c r="AQ285" s="724"/>
      <c r="AR285" s="726"/>
      <c r="AS285" s="724"/>
      <c r="AT285" s="726"/>
      <c r="AU285" s="724" t="s">
        <v>678</v>
      </c>
      <c r="AV285" s="724" t="s">
        <v>677</v>
      </c>
      <c r="AW285" s="724" t="s">
        <v>676</v>
      </c>
      <c r="AX285" s="724" t="s">
        <v>674</v>
      </c>
      <c r="AY285" s="724"/>
      <c r="AZ285" s="724"/>
      <c r="BA285" s="724" t="s">
        <v>679</v>
      </c>
      <c r="BB285" s="724"/>
      <c r="BC285" s="724"/>
      <c r="BD285" s="724"/>
      <c r="BE285" s="726"/>
      <c r="BF285" s="724" t="s">
        <v>298</v>
      </c>
      <c r="BG285" s="724" t="s">
        <v>680</v>
      </c>
      <c r="BH285" s="724" t="s">
        <v>681</v>
      </c>
      <c r="BI285" s="724"/>
    </row>
    <row r="286" spans="1:61">
      <c r="A286" s="724" t="s">
        <v>805</v>
      </c>
      <c r="B286" s="724" t="s">
        <v>805</v>
      </c>
      <c r="C286" s="724" t="s">
        <v>806</v>
      </c>
      <c r="D286" s="724" t="s">
        <v>673</v>
      </c>
      <c r="E286" s="724" t="s">
        <v>3</v>
      </c>
      <c r="F286" s="725" t="s">
        <v>308</v>
      </c>
      <c r="G286" s="725" t="s">
        <v>780</v>
      </c>
      <c r="H286" s="726">
        <v>30000</v>
      </c>
      <c r="I286" s="726">
        <v>30000</v>
      </c>
      <c r="J286" s="726">
        <v>0</v>
      </c>
      <c r="K286" s="726">
        <v>0</v>
      </c>
      <c r="L286" s="726">
        <v>30000</v>
      </c>
      <c r="M286" s="726">
        <v>0</v>
      </c>
      <c r="N286" s="726">
        <v>0</v>
      </c>
      <c r="O286" s="726">
        <v>0</v>
      </c>
      <c r="P286" s="726">
        <v>0</v>
      </c>
      <c r="Q286" s="726">
        <v>0</v>
      </c>
      <c r="R286" s="726">
        <v>0</v>
      </c>
      <c r="S286" s="726">
        <v>0</v>
      </c>
      <c r="T286" s="726">
        <v>0</v>
      </c>
      <c r="U286" s="726">
        <v>0</v>
      </c>
      <c r="V286" s="726">
        <v>0</v>
      </c>
      <c r="W286" s="726">
        <v>0</v>
      </c>
      <c r="X286" s="724" t="s">
        <v>674</v>
      </c>
      <c r="Y286" s="724" t="s">
        <v>675</v>
      </c>
      <c r="Z286" s="724" t="s">
        <v>675</v>
      </c>
      <c r="AA286" s="724" t="s">
        <v>675</v>
      </c>
      <c r="AB286" s="724" t="s">
        <v>675</v>
      </c>
      <c r="AC286" s="724"/>
      <c r="AD286" s="724" t="s">
        <v>807</v>
      </c>
      <c r="AE286" s="724"/>
      <c r="AF286" s="724"/>
      <c r="AG286" s="725" t="s">
        <v>809</v>
      </c>
      <c r="AH286" s="724"/>
      <c r="AI286" s="725" t="s">
        <v>809</v>
      </c>
      <c r="AJ286" s="725" t="s">
        <v>677</v>
      </c>
      <c r="AK286" s="724" t="s">
        <v>677</v>
      </c>
      <c r="AL286" s="724"/>
      <c r="AM286" s="724"/>
      <c r="AN286" s="724"/>
      <c r="AO286" s="724"/>
      <c r="AP286" s="724"/>
      <c r="AQ286" s="724"/>
      <c r="AR286" s="726"/>
      <c r="AS286" s="724"/>
      <c r="AT286" s="726"/>
      <c r="AU286" s="724" t="s">
        <v>678</v>
      </c>
      <c r="AV286" s="724" t="s">
        <v>677</v>
      </c>
      <c r="AW286" s="724" t="s">
        <v>676</v>
      </c>
      <c r="AX286" s="724" t="s">
        <v>674</v>
      </c>
      <c r="AY286" s="724"/>
      <c r="AZ286" s="724"/>
      <c r="BA286" s="724" t="s">
        <v>679</v>
      </c>
      <c r="BB286" s="724"/>
      <c r="BC286" s="724"/>
      <c r="BD286" s="724"/>
      <c r="BE286" s="726"/>
      <c r="BF286" s="724" t="s">
        <v>298</v>
      </c>
      <c r="BG286" s="724" t="s">
        <v>680</v>
      </c>
      <c r="BH286" s="724" t="s">
        <v>681</v>
      </c>
      <c r="BI286" s="724"/>
    </row>
    <row r="287" spans="1:61">
      <c r="A287" s="724" t="s">
        <v>805</v>
      </c>
      <c r="B287" s="724" t="s">
        <v>805</v>
      </c>
      <c r="C287" s="724" t="s">
        <v>806</v>
      </c>
      <c r="D287" s="724" t="s">
        <v>673</v>
      </c>
      <c r="E287" s="724" t="s">
        <v>3</v>
      </c>
      <c r="F287" s="725" t="s">
        <v>308</v>
      </c>
      <c r="G287" s="725" t="s">
        <v>780</v>
      </c>
      <c r="H287" s="726">
        <v>30000</v>
      </c>
      <c r="I287" s="726">
        <v>30000</v>
      </c>
      <c r="J287" s="726">
        <v>0</v>
      </c>
      <c r="K287" s="726">
        <v>0</v>
      </c>
      <c r="L287" s="726">
        <v>30000</v>
      </c>
      <c r="M287" s="726">
        <v>0</v>
      </c>
      <c r="N287" s="726">
        <v>0</v>
      </c>
      <c r="O287" s="726">
        <v>0</v>
      </c>
      <c r="P287" s="726">
        <v>0</v>
      </c>
      <c r="Q287" s="726">
        <v>0</v>
      </c>
      <c r="R287" s="726">
        <v>0</v>
      </c>
      <c r="S287" s="726">
        <v>0</v>
      </c>
      <c r="T287" s="726">
        <v>0</v>
      </c>
      <c r="U287" s="726">
        <v>0</v>
      </c>
      <c r="V287" s="726">
        <v>0</v>
      </c>
      <c r="W287" s="726">
        <v>0</v>
      </c>
      <c r="X287" s="724" t="s">
        <v>674</v>
      </c>
      <c r="Y287" s="724" t="s">
        <v>675</v>
      </c>
      <c r="Z287" s="724" t="s">
        <v>675</v>
      </c>
      <c r="AA287" s="724" t="s">
        <v>675</v>
      </c>
      <c r="AB287" s="724" t="s">
        <v>675</v>
      </c>
      <c r="AC287" s="724"/>
      <c r="AD287" s="724" t="s">
        <v>807</v>
      </c>
      <c r="AE287" s="724"/>
      <c r="AF287" s="724"/>
      <c r="AG287" s="725" t="s">
        <v>810</v>
      </c>
      <c r="AH287" s="724"/>
      <c r="AI287" s="725" t="s">
        <v>810</v>
      </c>
      <c r="AJ287" s="725" t="s">
        <v>677</v>
      </c>
      <c r="AK287" s="724" t="s">
        <v>677</v>
      </c>
      <c r="AL287" s="724"/>
      <c r="AM287" s="724"/>
      <c r="AN287" s="724"/>
      <c r="AO287" s="724"/>
      <c r="AP287" s="724"/>
      <c r="AQ287" s="724"/>
      <c r="AR287" s="726"/>
      <c r="AS287" s="724"/>
      <c r="AT287" s="726"/>
      <c r="AU287" s="724" t="s">
        <v>678</v>
      </c>
      <c r="AV287" s="724" t="s">
        <v>677</v>
      </c>
      <c r="AW287" s="724" t="s">
        <v>676</v>
      </c>
      <c r="AX287" s="724" t="s">
        <v>674</v>
      </c>
      <c r="AY287" s="724"/>
      <c r="AZ287" s="724"/>
      <c r="BA287" s="724" t="s">
        <v>679</v>
      </c>
      <c r="BB287" s="724"/>
      <c r="BC287" s="724"/>
      <c r="BD287" s="724"/>
      <c r="BE287" s="726"/>
      <c r="BF287" s="724" t="s">
        <v>298</v>
      </c>
      <c r="BG287" s="724" t="s">
        <v>680</v>
      </c>
      <c r="BH287" s="724" t="s">
        <v>681</v>
      </c>
      <c r="BI287" s="724"/>
    </row>
    <row r="288" spans="1:61">
      <c r="A288" s="724" t="s">
        <v>1141</v>
      </c>
      <c r="B288" s="724" t="s">
        <v>1105</v>
      </c>
      <c r="C288" s="724" t="s">
        <v>1105</v>
      </c>
      <c r="D288" s="724" t="s">
        <v>724</v>
      </c>
      <c r="E288" s="724" t="s">
        <v>3</v>
      </c>
      <c r="F288" s="725" t="s">
        <v>83</v>
      </c>
      <c r="G288" s="725" t="s">
        <v>700</v>
      </c>
      <c r="H288" s="726">
        <v>350000</v>
      </c>
      <c r="I288" s="726">
        <v>350000</v>
      </c>
      <c r="J288" s="726">
        <v>0</v>
      </c>
      <c r="K288" s="726">
        <v>0</v>
      </c>
      <c r="L288" s="726">
        <v>318182</v>
      </c>
      <c r="M288" s="726">
        <v>0</v>
      </c>
      <c r="N288" s="726">
        <v>0</v>
      </c>
      <c r="O288" s="726">
        <v>31818</v>
      </c>
      <c r="P288" s="726">
        <v>0</v>
      </c>
      <c r="Q288" s="726">
        <v>0</v>
      </c>
      <c r="R288" s="726">
        <v>0</v>
      </c>
      <c r="S288" s="726">
        <v>0</v>
      </c>
      <c r="T288" s="726">
        <v>0</v>
      </c>
      <c r="U288" s="726">
        <v>0</v>
      </c>
      <c r="V288" s="726">
        <v>0</v>
      </c>
      <c r="W288" s="726">
        <v>0</v>
      </c>
      <c r="X288" s="724" t="s">
        <v>674</v>
      </c>
      <c r="Y288" s="724" t="s">
        <v>1226</v>
      </c>
      <c r="Z288" s="724" t="s">
        <v>1226</v>
      </c>
      <c r="AA288" s="724" t="s">
        <v>675</v>
      </c>
      <c r="AB288" s="724" t="s">
        <v>675</v>
      </c>
      <c r="AC288" s="724"/>
      <c r="AD288" s="724"/>
      <c r="AE288" s="724"/>
      <c r="AF288" s="724"/>
      <c r="AG288" s="725" t="s">
        <v>1106</v>
      </c>
      <c r="AH288" s="724"/>
      <c r="AI288" s="725" t="s">
        <v>1106</v>
      </c>
      <c r="AJ288" s="725" t="s">
        <v>1012</v>
      </c>
      <c r="AK288" s="724" t="s">
        <v>677</v>
      </c>
      <c r="AL288" s="724"/>
      <c r="AM288" s="724" t="s">
        <v>726</v>
      </c>
      <c r="AN288" s="724" t="s">
        <v>1142</v>
      </c>
      <c r="AO288" s="724" t="s">
        <v>1141</v>
      </c>
      <c r="AP288" s="724" t="s">
        <v>840</v>
      </c>
      <c r="AQ288" s="724" t="s">
        <v>729</v>
      </c>
      <c r="AR288" s="726">
        <v>350000</v>
      </c>
      <c r="AS288" s="724" t="s">
        <v>675</v>
      </c>
      <c r="AT288" s="726">
        <v>0</v>
      </c>
      <c r="AU288" s="724" t="s">
        <v>678</v>
      </c>
      <c r="AV288" s="724" t="s">
        <v>677</v>
      </c>
      <c r="AW288" s="724" t="s">
        <v>676</v>
      </c>
      <c r="AX288" s="724" t="s">
        <v>674</v>
      </c>
      <c r="AY288" s="724"/>
      <c r="AZ288" s="724"/>
      <c r="BA288" s="724" t="s">
        <v>679</v>
      </c>
      <c r="BB288" s="724"/>
      <c r="BC288" s="724"/>
      <c r="BD288" s="724"/>
      <c r="BE288" s="726"/>
      <c r="BF288" s="724" t="s">
        <v>298</v>
      </c>
      <c r="BG288" s="724" t="s">
        <v>680</v>
      </c>
      <c r="BH288" s="724" t="s">
        <v>681</v>
      </c>
      <c r="BI288" s="724"/>
    </row>
    <row r="289" spans="1:61">
      <c r="A289" s="724" t="s">
        <v>1141</v>
      </c>
      <c r="B289" s="724" t="s">
        <v>1105</v>
      </c>
      <c r="C289" s="724" t="s">
        <v>1105</v>
      </c>
      <c r="D289" s="724" t="s">
        <v>724</v>
      </c>
      <c r="E289" s="724" t="s">
        <v>3</v>
      </c>
      <c r="F289" s="725" t="s">
        <v>83</v>
      </c>
      <c r="G289" s="725" t="s">
        <v>700</v>
      </c>
      <c r="H289" s="726">
        <v>350000</v>
      </c>
      <c r="I289" s="726">
        <v>350000</v>
      </c>
      <c r="J289" s="726">
        <v>0</v>
      </c>
      <c r="K289" s="726">
        <v>0</v>
      </c>
      <c r="L289" s="726">
        <v>318182</v>
      </c>
      <c r="M289" s="726">
        <v>0</v>
      </c>
      <c r="N289" s="726">
        <v>0</v>
      </c>
      <c r="O289" s="726">
        <v>31818</v>
      </c>
      <c r="P289" s="726">
        <v>0</v>
      </c>
      <c r="Q289" s="726">
        <v>0</v>
      </c>
      <c r="R289" s="726">
        <v>0</v>
      </c>
      <c r="S289" s="726">
        <v>0</v>
      </c>
      <c r="T289" s="726">
        <v>0</v>
      </c>
      <c r="U289" s="726">
        <v>0</v>
      </c>
      <c r="V289" s="726">
        <v>0</v>
      </c>
      <c r="W289" s="726">
        <v>0</v>
      </c>
      <c r="X289" s="724" t="s">
        <v>674</v>
      </c>
      <c r="Y289" s="724" t="s">
        <v>1226</v>
      </c>
      <c r="Z289" s="724" t="s">
        <v>1226</v>
      </c>
      <c r="AA289" s="724" t="s">
        <v>675</v>
      </c>
      <c r="AB289" s="724" t="s">
        <v>675</v>
      </c>
      <c r="AC289" s="724"/>
      <c r="AD289" s="724"/>
      <c r="AE289" s="724"/>
      <c r="AF289" s="724"/>
      <c r="AG289" s="725" t="s">
        <v>1106</v>
      </c>
      <c r="AH289" s="724"/>
      <c r="AI289" s="725" t="s">
        <v>1106</v>
      </c>
      <c r="AJ289" s="725" t="s">
        <v>1012</v>
      </c>
      <c r="AK289" s="724" t="s">
        <v>677</v>
      </c>
      <c r="AL289" s="724"/>
      <c r="AM289" s="724" t="s">
        <v>726</v>
      </c>
      <c r="AN289" s="724" t="s">
        <v>1143</v>
      </c>
      <c r="AO289" s="724" t="s">
        <v>1141</v>
      </c>
      <c r="AP289" s="724" t="s">
        <v>840</v>
      </c>
      <c r="AQ289" s="724" t="s">
        <v>729</v>
      </c>
      <c r="AR289" s="726">
        <v>350000</v>
      </c>
      <c r="AS289" s="724" t="s">
        <v>675</v>
      </c>
      <c r="AT289" s="726">
        <v>0</v>
      </c>
      <c r="AU289" s="724" t="s">
        <v>678</v>
      </c>
      <c r="AV289" s="724" t="s">
        <v>677</v>
      </c>
      <c r="AW289" s="724" t="s">
        <v>676</v>
      </c>
      <c r="AX289" s="724" t="s">
        <v>674</v>
      </c>
      <c r="AY289" s="724"/>
      <c r="AZ289" s="724"/>
      <c r="BA289" s="724" t="s">
        <v>679</v>
      </c>
      <c r="BB289" s="724"/>
      <c r="BC289" s="724"/>
      <c r="BD289" s="724"/>
      <c r="BE289" s="726"/>
      <c r="BF289" s="724" t="s">
        <v>298</v>
      </c>
      <c r="BG289" s="724" t="s">
        <v>680</v>
      </c>
      <c r="BH289" s="724" t="s">
        <v>681</v>
      </c>
      <c r="BI289" s="724"/>
    </row>
    <row r="290" spans="1:61">
      <c r="A290" s="724" t="s">
        <v>821</v>
      </c>
      <c r="B290" s="724" t="s">
        <v>1105</v>
      </c>
      <c r="C290" s="724" t="s">
        <v>1105</v>
      </c>
      <c r="D290" s="724" t="s">
        <v>724</v>
      </c>
      <c r="E290" s="724" t="s">
        <v>3</v>
      </c>
      <c r="F290" s="725" t="s">
        <v>83</v>
      </c>
      <c r="G290" s="725" t="s">
        <v>700</v>
      </c>
      <c r="H290" s="726">
        <v>350000</v>
      </c>
      <c r="I290" s="726">
        <v>350000</v>
      </c>
      <c r="J290" s="726">
        <v>0</v>
      </c>
      <c r="K290" s="726">
        <v>0</v>
      </c>
      <c r="L290" s="726">
        <v>318182</v>
      </c>
      <c r="M290" s="726">
        <v>0</v>
      </c>
      <c r="N290" s="726">
        <v>0</v>
      </c>
      <c r="O290" s="726">
        <v>31818</v>
      </c>
      <c r="P290" s="726">
        <v>0</v>
      </c>
      <c r="Q290" s="726">
        <v>0</v>
      </c>
      <c r="R290" s="726">
        <v>0</v>
      </c>
      <c r="S290" s="726">
        <v>0</v>
      </c>
      <c r="T290" s="726">
        <v>0</v>
      </c>
      <c r="U290" s="726">
        <v>0</v>
      </c>
      <c r="V290" s="726">
        <v>0</v>
      </c>
      <c r="W290" s="726">
        <v>0</v>
      </c>
      <c r="X290" s="724" t="s">
        <v>674</v>
      </c>
      <c r="Y290" s="724" t="s">
        <v>1226</v>
      </c>
      <c r="Z290" s="724" t="s">
        <v>1226</v>
      </c>
      <c r="AA290" s="724" t="s">
        <v>675</v>
      </c>
      <c r="AB290" s="724" t="s">
        <v>675</v>
      </c>
      <c r="AC290" s="724"/>
      <c r="AD290" s="724"/>
      <c r="AE290" s="724"/>
      <c r="AF290" s="724"/>
      <c r="AG290" s="725" t="s">
        <v>1106</v>
      </c>
      <c r="AH290" s="724"/>
      <c r="AI290" s="725" t="s">
        <v>1106</v>
      </c>
      <c r="AJ290" s="725" t="s">
        <v>1012</v>
      </c>
      <c r="AK290" s="724" t="s">
        <v>677</v>
      </c>
      <c r="AL290" s="724"/>
      <c r="AM290" s="724" t="s">
        <v>726</v>
      </c>
      <c r="AN290" s="724" t="s">
        <v>1144</v>
      </c>
      <c r="AO290" s="724" t="s">
        <v>821</v>
      </c>
      <c r="AP290" s="724" t="s">
        <v>1141</v>
      </c>
      <c r="AQ290" s="724" t="s">
        <v>729</v>
      </c>
      <c r="AR290" s="726">
        <v>350000</v>
      </c>
      <c r="AS290" s="724" t="s">
        <v>675</v>
      </c>
      <c r="AT290" s="726">
        <v>0</v>
      </c>
      <c r="AU290" s="724" t="s">
        <v>678</v>
      </c>
      <c r="AV290" s="724" t="s">
        <v>677</v>
      </c>
      <c r="AW290" s="724" t="s">
        <v>676</v>
      </c>
      <c r="AX290" s="724" t="s">
        <v>674</v>
      </c>
      <c r="AY290" s="724"/>
      <c r="AZ290" s="724"/>
      <c r="BA290" s="724" t="s">
        <v>679</v>
      </c>
      <c r="BB290" s="724"/>
      <c r="BC290" s="724"/>
      <c r="BD290" s="724"/>
      <c r="BE290" s="726"/>
      <c r="BF290" s="724" t="s">
        <v>298</v>
      </c>
      <c r="BG290" s="724" t="s">
        <v>680</v>
      </c>
      <c r="BH290" s="724" t="s">
        <v>681</v>
      </c>
      <c r="BI290" s="724"/>
    </row>
    <row r="291" spans="1:61">
      <c r="A291" s="724" t="s">
        <v>821</v>
      </c>
      <c r="B291" s="724" t="s">
        <v>1105</v>
      </c>
      <c r="C291" s="724" t="s">
        <v>1105</v>
      </c>
      <c r="D291" s="724" t="s">
        <v>724</v>
      </c>
      <c r="E291" s="724" t="s">
        <v>3</v>
      </c>
      <c r="F291" s="725" t="s">
        <v>83</v>
      </c>
      <c r="G291" s="725" t="s">
        <v>700</v>
      </c>
      <c r="H291" s="726">
        <v>350000</v>
      </c>
      <c r="I291" s="726">
        <v>350000</v>
      </c>
      <c r="J291" s="726">
        <v>0</v>
      </c>
      <c r="K291" s="726">
        <v>0</v>
      </c>
      <c r="L291" s="726">
        <v>318182</v>
      </c>
      <c r="M291" s="726">
        <v>0</v>
      </c>
      <c r="N291" s="726">
        <v>0</v>
      </c>
      <c r="O291" s="726">
        <v>31818</v>
      </c>
      <c r="P291" s="726">
        <v>0</v>
      </c>
      <c r="Q291" s="726">
        <v>0</v>
      </c>
      <c r="R291" s="726">
        <v>0</v>
      </c>
      <c r="S291" s="726">
        <v>0</v>
      </c>
      <c r="T291" s="726">
        <v>0</v>
      </c>
      <c r="U291" s="726">
        <v>0</v>
      </c>
      <c r="V291" s="726">
        <v>0</v>
      </c>
      <c r="W291" s="726">
        <v>0</v>
      </c>
      <c r="X291" s="724" t="s">
        <v>674</v>
      </c>
      <c r="Y291" s="724" t="s">
        <v>1226</v>
      </c>
      <c r="Z291" s="724" t="s">
        <v>1226</v>
      </c>
      <c r="AA291" s="724" t="s">
        <v>675</v>
      </c>
      <c r="AB291" s="724" t="s">
        <v>675</v>
      </c>
      <c r="AC291" s="724"/>
      <c r="AD291" s="724"/>
      <c r="AE291" s="724"/>
      <c r="AF291" s="724"/>
      <c r="AG291" s="725" t="s">
        <v>1106</v>
      </c>
      <c r="AH291" s="724"/>
      <c r="AI291" s="725" t="s">
        <v>1106</v>
      </c>
      <c r="AJ291" s="725" t="s">
        <v>1012</v>
      </c>
      <c r="AK291" s="724" t="s">
        <v>677</v>
      </c>
      <c r="AL291" s="724"/>
      <c r="AM291" s="724" t="s">
        <v>726</v>
      </c>
      <c r="AN291" s="724" t="s">
        <v>1145</v>
      </c>
      <c r="AO291" s="724" t="s">
        <v>821</v>
      </c>
      <c r="AP291" s="724" t="s">
        <v>1141</v>
      </c>
      <c r="AQ291" s="724" t="s">
        <v>729</v>
      </c>
      <c r="AR291" s="726">
        <v>350000</v>
      </c>
      <c r="AS291" s="724" t="s">
        <v>675</v>
      </c>
      <c r="AT291" s="726">
        <v>0</v>
      </c>
      <c r="AU291" s="724" t="s">
        <v>678</v>
      </c>
      <c r="AV291" s="724" t="s">
        <v>677</v>
      </c>
      <c r="AW291" s="724" t="s">
        <v>676</v>
      </c>
      <c r="AX291" s="724" t="s">
        <v>674</v>
      </c>
      <c r="AY291" s="724"/>
      <c r="AZ291" s="724"/>
      <c r="BA291" s="724" t="s">
        <v>679</v>
      </c>
      <c r="BB291" s="724"/>
      <c r="BC291" s="724"/>
      <c r="BD291" s="724"/>
      <c r="BE291" s="726"/>
      <c r="BF291" s="724" t="s">
        <v>298</v>
      </c>
      <c r="BG291" s="724" t="s">
        <v>680</v>
      </c>
      <c r="BH291" s="724" t="s">
        <v>681</v>
      </c>
      <c r="BI291" s="724"/>
    </row>
    <row r="292" spans="1:61">
      <c r="A292" s="724" t="s">
        <v>821</v>
      </c>
      <c r="B292" s="724" t="s">
        <v>1105</v>
      </c>
      <c r="C292" s="724" t="s">
        <v>1105</v>
      </c>
      <c r="D292" s="724" t="s">
        <v>724</v>
      </c>
      <c r="E292" s="724" t="s">
        <v>3</v>
      </c>
      <c r="F292" s="725" t="s">
        <v>83</v>
      </c>
      <c r="G292" s="725" t="s">
        <v>700</v>
      </c>
      <c r="H292" s="726">
        <v>990000</v>
      </c>
      <c r="I292" s="726">
        <v>990000</v>
      </c>
      <c r="J292" s="726">
        <v>0</v>
      </c>
      <c r="K292" s="726">
        <v>0</v>
      </c>
      <c r="L292" s="726">
        <v>900000</v>
      </c>
      <c r="M292" s="726">
        <v>0</v>
      </c>
      <c r="N292" s="726">
        <v>0</v>
      </c>
      <c r="O292" s="726">
        <v>90000</v>
      </c>
      <c r="P292" s="726">
        <v>0</v>
      </c>
      <c r="Q292" s="726">
        <v>0</v>
      </c>
      <c r="R292" s="726">
        <v>0</v>
      </c>
      <c r="S292" s="726">
        <v>0</v>
      </c>
      <c r="T292" s="726">
        <v>0</v>
      </c>
      <c r="U292" s="726">
        <v>0</v>
      </c>
      <c r="V292" s="726">
        <v>0</v>
      </c>
      <c r="W292" s="726">
        <v>0</v>
      </c>
      <c r="X292" s="724" t="s">
        <v>674</v>
      </c>
      <c r="Y292" s="724" t="s">
        <v>1226</v>
      </c>
      <c r="Z292" s="724" t="s">
        <v>1226</v>
      </c>
      <c r="AA292" s="724" t="s">
        <v>675</v>
      </c>
      <c r="AB292" s="724" t="s">
        <v>675</v>
      </c>
      <c r="AC292" s="724"/>
      <c r="AD292" s="724"/>
      <c r="AE292" s="724"/>
      <c r="AF292" s="724"/>
      <c r="AG292" s="725" t="s">
        <v>1106</v>
      </c>
      <c r="AH292" s="724"/>
      <c r="AI292" s="725" t="s">
        <v>1106</v>
      </c>
      <c r="AJ292" s="725" t="s">
        <v>1012</v>
      </c>
      <c r="AK292" s="724" t="s">
        <v>677</v>
      </c>
      <c r="AL292" s="724"/>
      <c r="AM292" s="724" t="s">
        <v>726</v>
      </c>
      <c r="AN292" s="724" t="s">
        <v>1146</v>
      </c>
      <c r="AO292" s="724" t="s">
        <v>821</v>
      </c>
      <c r="AP292" s="724" t="s">
        <v>1141</v>
      </c>
      <c r="AQ292" s="724" t="s">
        <v>729</v>
      </c>
      <c r="AR292" s="726">
        <v>990000</v>
      </c>
      <c r="AS292" s="724" t="s">
        <v>675</v>
      </c>
      <c r="AT292" s="726">
        <v>0</v>
      </c>
      <c r="AU292" s="724" t="s">
        <v>678</v>
      </c>
      <c r="AV292" s="724" t="s">
        <v>677</v>
      </c>
      <c r="AW292" s="724" t="s">
        <v>676</v>
      </c>
      <c r="AX292" s="724" t="s">
        <v>674</v>
      </c>
      <c r="AY292" s="724"/>
      <c r="AZ292" s="724"/>
      <c r="BA292" s="724" t="s">
        <v>679</v>
      </c>
      <c r="BB292" s="724"/>
      <c r="BC292" s="724"/>
      <c r="BD292" s="724"/>
      <c r="BE292" s="726"/>
      <c r="BF292" s="724" t="s">
        <v>298</v>
      </c>
      <c r="BG292" s="724" t="s">
        <v>680</v>
      </c>
      <c r="BH292" s="724" t="s">
        <v>681</v>
      </c>
      <c r="BI292" s="724"/>
    </row>
    <row r="293" spans="1:61">
      <c r="A293" s="724" t="s">
        <v>821</v>
      </c>
      <c r="B293" s="724" t="s">
        <v>1105</v>
      </c>
      <c r="C293" s="724" t="s">
        <v>1105</v>
      </c>
      <c r="D293" s="724" t="s">
        <v>724</v>
      </c>
      <c r="E293" s="724" t="s">
        <v>3</v>
      </c>
      <c r="F293" s="725" t="s">
        <v>83</v>
      </c>
      <c r="G293" s="725" t="s">
        <v>700</v>
      </c>
      <c r="H293" s="726">
        <v>700000</v>
      </c>
      <c r="I293" s="726">
        <v>700000</v>
      </c>
      <c r="J293" s="726">
        <v>0</v>
      </c>
      <c r="K293" s="726">
        <v>0</v>
      </c>
      <c r="L293" s="726">
        <v>636364</v>
      </c>
      <c r="M293" s="726">
        <v>0</v>
      </c>
      <c r="N293" s="726">
        <v>0</v>
      </c>
      <c r="O293" s="726">
        <v>63636</v>
      </c>
      <c r="P293" s="726">
        <v>0</v>
      </c>
      <c r="Q293" s="726">
        <v>0</v>
      </c>
      <c r="R293" s="726">
        <v>0</v>
      </c>
      <c r="S293" s="726">
        <v>0</v>
      </c>
      <c r="T293" s="726">
        <v>0</v>
      </c>
      <c r="U293" s="726">
        <v>0</v>
      </c>
      <c r="V293" s="726">
        <v>0</v>
      </c>
      <c r="W293" s="726">
        <v>0</v>
      </c>
      <c r="X293" s="724" t="s">
        <v>674</v>
      </c>
      <c r="Y293" s="724" t="s">
        <v>1226</v>
      </c>
      <c r="Z293" s="724" t="s">
        <v>1226</v>
      </c>
      <c r="AA293" s="724" t="s">
        <v>675</v>
      </c>
      <c r="AB293" s="724" t="s">
        <v>675</v>
      </c>
      <c r="AC293" s="724"/>
      <c r="AD293" s="724"/>
      <c r="AE293" s="724"/>
      <c r="AF293" s="724"/>
      <c r="AG293" s="725" t="s">
        <v>1106</v>
      </c>
      <c r="AH293" s="724"/>
      <c r="AI293" s="725" t="s">
        <v>1106</v>
      </c>
      <c r="AJ293" s="725" t="s">
        <v>1012</v>
      </c>
      <c r="AK293" s="724" t="s">
        <v>677</v>
      </c>
      <c r="AL293" s="724"/>
      <c r="AM293" s="724" t="s">
        <v>726</v>
      </c>
      <c r="AN293" s="724" t="s">
        <v>1147</v>
      </c>
      <c r="AO293" s="724" t="s">
        <v>821</v>
      </c>
      <c r="AP293" s="724" t="s">
        <v>1141</v>
      </c>
      <c r="AQ293" s="724" t="s">
        <v>729</v>
      </c>
      <c r="AR293" s="726">
        <v>700000</v>
      </c>
      <c r="AS293" s="724" t="s">
        <v>675</v>
      </c>
      <c r="AT293" s="726">
        <v>0</v>
      </c>
      <c r="AU293" s="724" t="s">
        <v>678</v>
      </c>
      <c r="AV293" s="724" t="s">
        <v>677</v>
      </c>
      <c r="AW293" s="724" t="s">
        <v>676</v>
      </c>
      <c r="AX293" s="724" t="s">
        <v>674</v>
      </c>
      <c r="AY293" s="724"/>
      <c r="AZ293" s="724"/>
      <c r="BA293" s="724" t="s">
        <v>679</v>
      </c>
      <c r="BB293" s="724"/>
      <c r="BC293" s="724"/>
      <c r="BD293" s="724"/>
      <c r="BE293" s="726"/>
      <c r="BF293" s="724" t="s">
        <v>298</v>
      </c>
      <c r="BG293" s="724" t="s">
        <v>680</v>
      </c>
      <c r="BH293" s="724" t="s">
        <v>681</v>
      </c>
      <c r="BI293" s="724"/>
    </row>
    <row r="294" spans="1:61">
      <c r="A294" s="724" t="s">
        <v>821</v>
      </c>
      <c r="B294" s="724" t="s">
        <v>1105</v>
      </c>
      <c r="C294" s="724" t="s">
        <v>1105</v>
      </c>
      <c r="D294" s="724" t="s">
        <v>724</v>
      </c>
      <c r="E294" s="724" t="s">
        <v>3</v>
      </c>
      <c r="F294" s="725" t="s">
        <v>83</v>
      </c>
      <c r="G294" s="725" t="s">
        <v>700</v>
      </c>
      <c r="H294" s="726">
        <v>350000</v>
      </c>
      <c r="I294" s="726">
        <v>350000</v>
      </c>
      <c r="J294" s="726">
        <v>0</v>
      </c>
      <c r="K294" s="726">
        <v>0</v>
      </c>
      <c r="L294" s="726">
        <v>318182</v>
      </c>
      <c r="M294" s="726">
        <v>0</v>
      </c>
      <c r="N294" s="726">
        <v>0</v>
      </c>
      <c r="O294" s="726">
        <v>31818</v>
      </c>
      <c r="P294" s="726">
        <v>0</v>
      </c>
      <c r="Q294" s="726">
        <v>0</v>
      </c>
      <c r="R294" s="726">
        <v>0</v>
      </c>
      <c r="S294" s="726">
        <v>0</v>
      </c>
      <c r="T294" s="726">
        <v>0</v>
      </c>
      <c r="U294" s="726">
        <v>0</v>
      </c>
      <c r="V294" s="726">
        <v>0</v>
      </c>
      <c r="W294" s="726">
        <v>0</v>
      </c>
      <c r="X294" s="724" t="s">
        <v>674</v>
      </c>
      <c r="Y294" s="724" t="s">
        <v>1226</v>
      </c>
      <c r="Z294" s="724" t="s">
        <v>1226</v>
      </c>
      <c r="AA294" s="724" t="s">
        <v>675</v>
      </c>
      <c r="AB294" s="724" t="s">
        <v>675</v>
      </c>
      <c r="AC294" s="724"/>
      <c r="AD294" s="724"/>
      <c r="AE294" s="724"/>
      <c r="AF294" s="724"/>
      <c r="AG294" s="725" t="s">
        <v>1106</v>
      </c>
      <c r="AH294" s="724"/>
      <c r="AI294" s="725" t="s">
        <v>1106</v>
      </c>
      <c r="AJ294" s="725" t="s">
        <v>1012</v>
      </c>
      <c r="AK294" s="724" t="s">
        <v>677</v>
      </c>
      <c r="AL294" s="724"/>
      <c r="AM294" s="724" t="s">
        <v>726</v>
      </c>
      <c r="AN294" s="724" t="s">
        <v>1148</v>
      </c>
      <c r="AO294" s="724" t="s">
        <v>821</v>
      </c>
      <c r="AP294" s="724" t="s">
        <v>1141</v>
      </c>
      <c r="AQ294" s="724" t="s">
        <v>729</v>
      </c>
      <c r="AR294" s="726">
        <v>350000</v>
      </c>
      <c r="AS294" s="724" t="s">
        <v>675</v>
      </c>
      <c r="AT294" s="726">
        <v>0</v>
      </c>
      <c r="AU294" s="724" t="s">
        <v>678</v>
      </c>
      <c r="AV294" s="724" t="s">
        <v>677</v>
      </c>
      <c r="AW294" s="724" t="s">
        <v>676</v>
      </c>
      <c r="AX294" s="724" t="s">
        <v>674</v>
      </c>
      <c r="AY294" s="724"/>
      <c r="AZ294" s="724"/>
      <c r="BA294" s="724" t="s">
        <v>679</v>
      </c>
      <c r="BB294" s="724"/>
      <c r="BC294" s="724"/>
      <c r="BD294" s="724"/>
      <c r="BE294" s="726"/>
      <c r="BF294" s="724" t="s">
        <v>298</v>
      </c>
      <c r="BG294" s="724" t="s">
        <v>680</v>
      </c>
      <c r="BH294" s="724" t="s">
        <v>681</v>
      </c>
      <c r="BI294" s="724"/>
    </row>
    <row r="295" spans="1:61">
      <c r="A295" s="724" t="s">
        <v>821</v>
      </c>
      <c r="B295" s="724" t="s">
        <v>1105</v>
      </c>
      <c r="C295" s="724" t="s">
        <v>1105</v>
      </c>
      <c r="D295" s="724" t="s">
        <v>724</v>
      </c>
      <c r="E295" s="724" t="s">
        <v>3</v>
      </c>
      <c r="F295" s="725" t="s">
        <v>83</v>
      </c>
      <c r="G295" s="725" t="s">
        <v>700</v>
      </c>
      <c r="H295" s="726">
        <v>350000</v>
      </c>
      <c r="I295" s="726">
        <v>350000</v>
      </c>
      <c r="J295" s="726">
        <v>0</v>
      </c>
      <c r="K295" s="726">
        <v>0</v>
      </c>
      <c r="L295" s="726">
        <v>318182</v>
      </c>
      <c r="M295" s="726">
        <v>0</v>
      </c>
      <c r="N295" s="726">
        <v>0</v>
      </c>
      <c r="O295" s="726">
        <v>31818</v>
      </c>
      <c r="P295" s="726">
        <v>0</v>
      </c>
      <c r="Q295" s="726">
        <v>0</v>
      </c>
      <c r="R295" s="726">
        <v>0</v>
      </c>
      <c r="S295" s="726">
        <v>0</v>
      </c>
      <c r="T295" s="726">
        <v>0</v>
      </c>
      <c r="U295" s="726">
        <v>0</v>
      </c>
      <c r="V295" s="726">
        <v>0</v>
      </c>
      <c r="W295" s="726">
        <v>0</v>
      </c>
      <c r="X295" s="724" t="s">
        <v>674</v>
      </c>
      <c r="Y295" s="724" t="s">
        <v>1226</v>
      </c>
      <c r="Z295" s="724" t="s">
        <v>1226</v>
      </c>
      <c r="AA295" s="724" t="s">
        <v>675</v>
      </c>
      <c r="AB295" s="724" t="s">
        <v>675</v>
      </c>
      <c r="AC295" s="724"/>
      <c r="AD295" s="724"/>
      <c r="AE295" s="724"/>
      <c r="AF295" s="724"/>
      <c r="AG295" s="725" t="s">
        <v>1106</v>
      </c>
      <c r="AH295" s="724"/>
      <c r="AI295" s="725" t="s">
        <v>1106</v>
      </c>
      <c r="AJ295" s="725" t="s">
        <v>1012</v>
      </c>
      <c r="AK295" s="724" t="s">
        <v>677</v>
      </c>
      <c r="AL295" s="724"/>
      <c r="AM295" s="724" t="s">
        <v>726</v>
      </c>
      <c r="AN295" s="724" t="s">
        <v>1149</v>
      </c>
      <c r="AO295" s="724" t="s">
        <v>821</v>
      </c>
      <c r="AP295" s="724" t="s">
        <v>1141</v>
      </c>
      <c r="AQ295" s="724" t="s">
        <v>729</v>
      </c>
      <c r="AR295" s="726">
        <v>350000</v>
      </c>
      <c r="AS295" s="724" t="s">
        <v>675</v>
      </c>
      <c r="AT295" s="726">
        <v>0</v>
      </c>
      <c r="AU295" s="724" t="s">
        <v>678</v>
      </c>
      <c r="AV295" s="724" t="s">
        <v>677</v>
      </c>
      <c r="AW295" s="724" t="s">
        <v>676</v>
      </c>
      <c r="AX295" s="724" t="s">
        <v>674</v>
      </c>
      <c r="AY295" s="724"/>
      <c r="AZ295" s="724"/>
      <c r="BA295" s="724" t="s">
        <v>679</v>
      </c>
      <c r="BB295" s="724"/>
      <c r="BC295" s="724"/>
      <c r="BD295" s="724"/>
      <c r="BE295" s="726"/>
      <c r="BF295" s="724" t="s">
        <v>298</v>
      </c>
      <c r="BG295" s="724" t="s">
        <v>680</v>
      </c>
      <c r="BH295" s="724" t="s">
        <v>681</v>
      </c>
      <c r="BI295" s="724"/>
    </row>
    <row r="296" spans="1:61">
      <c r="A296" s="724" t="s">
        <v>821</v>
      </c>
      <c r="B296" s="724" t="s">
        <v>1105</v>
      </c>
      <c r="C296" s="724" t="s">
        <v>1105</v>
      </c>
      <c r="D296" s="724" t="s">
        <v>724</v>
      </c>
      <c r="E296" s="724" t="s">
        <v>3</v>
      </c>
      <c r="F296" s="725" t="s">
        <v>83</v>
      </c>
      <c r="G296" s="725" t="s">
        <v>700</v>
      </c>
      <c r="H296" s="726">
        <v>350000</v>
      </c>
      <c r="I296" s="726">
        <v>350000</v>
      </c>
      <c r="J296" s="726">
        <v>0</v>
      </c>
      <c r="K296" s="726">
        <v>0</v>
      </c>
      <c r="L296" s="726">
        <v>318182</v>
      </c>
      <c r="M296" s="726">
        <v>0</v>
      </c>
      <c r="N296" s="726">
        <v>0</v>
      </c>
      <c r="O296" s="726">
        <v>31818</v>
      </c>
      <c r="P296" s="726">
        <v>0</v>
      </c>
      <c r="Q296" s="726">
        <v>0</v>
      </c>
      <c r="R296" s="726">
        <v>0</v>
      </c>
      <c r="S296" s="726">
        <v>0</v>
      </c>
      <c r="T296" s="726">
        <v>0</v>
      </c>
      <c r="U296" s="726">
        <v>0</v>
      </c>
      <c r="V296" s="726">
        <v>0</v>
      </c>
      <c r="W296" s="726">
        <v>0</v>
      </c>
      <c r="X296" s="724" t="s">
        <v>674</v>
      </c>
      <c r="Y296" s="724" t="s">
        <v>1226</v>
      </c>
      <c r="Z296" s="724" t="s">
        <v>1226</v>
      </c>
      <c r="AA296" s="724" t="s">
        <v>675</v>
      </c>
      <c r="AB296" s="724" t="s">
        <v>675</v>
      </c>
      <c r="AC296" s="724"/>
      <c r="AD296" s="724"/>
      <c r="AE296" s="724"/>
      <c r="AF296" s="724"/>
      <c r="AG296" s="725" t="s">
        <v>1106</v>
      </c>
      <c r="AH296" s="724"/>
      <c r="AI296" s="725" t="s">
        <v>1106</v>
      </c>
      <c r="AJ296" s="725" t="s">
        <v>1012</v>
      </c>
      <c r="AK296" s="724" t="s">
        <v>677</v>
      </c>
      <c r="AL296" s="724"/>
      <c r="AM296" s="724" t="s">
        <v>726</v>
      </c>
      <c r="AN296" s="724" t="s">
        <v>1150</v>
      </c>
      <c r="AO296" s="724" t="s">
        <v>821</v>
      </c>
      <c r="AP296" s="724" t="s">
        <v>1141</v>
      </c>
      <c r="AQ296" s="724" t="s">
        <v>729</v>
      </c>
      <c r="AR296" s="726">
        <v>350000</v>
      </c>
      <c r="AS296" s="724" t="s">
        <v>675</v>
      </c>
      <c r="AT296" s="726">
        <v>0</v>
      </c>
      <c r="AU296" s="724" t="s">
        <v>678</v>
      </c>
      <c r="AV296" s="724" t="s">
        <v>677</v>
      </c>
      <c r="AW296" s="724" t="s">
        <v>676</v>
      </c>
      <c r="AX296" s="724" t="s">
        <v>674</v>
      </c>
      <c r="AY296" s="724"/>
      <c r="AZ296" s="724"/>
      <c r="BA296" s="724" t="s">
        <v>679</v>
      </c>
      <c r="BB296" s="724"/>
      <c r="BC296" s="724"/>
      <c r="BD296" s="724"/>
      <c r="BE296" s="726"/>
      <c r="BF296" s="724" t="s">
        <v>298</v>
      </c>
      <c r="BG296" s="724" t="s">
        <v>680</v>
      </c>
      <c r="BH296" s="724" t="s">
        <v>681</v>
      </c>
      <c r="BI296" s="724"/>
    </row>
    <row r="297" spans="1:61">
      <c r="A297" s="724" t="s">
        <v>821</v>
      </c>
      <c r="B297" s="724" t="s">
        <v>1105</v>
      </c>
      <c r="C297" s="724" t="s">
        <v>1105</v>
      </c>
      <c r="D297" s="724" t="s">
        <v>724</v>
      </c>
      <c r="E297" s="724" t="s">
        <v>3</v>
      </c>
      <c r="F297" s="725" t="s">
        <v>83</v>
      </c>
      <c r="G297" s="725" t="s">
        <v>700</v>
      </c>
      <c r="H297" s="726">
        <v>350000</v>
      </c>
      <c r="I297" s="726">
        <v>350000</v>
      </c>
      <c r="J297" s="726">
        <v>0</v>
      </c>
      <c r="K297" s="726">
        <v>0</v>
      </c>
      <c r="L297" s="726">
        <v>318182</v>
      </c>
      <c r="M297" s="726">
        <v>0</v>
      </c>
      <c r="N297" s="726">
        <v>0</v>
      </c>
      <c r="O297" s="726">
        <v>31818</v>
      </c>
      <c r="P297" s="726">
        <v>0</v>
      </c>
      <c r="Q297" s="726">
        <v>0</v>
      </c>
      <c r="R297" s="726">
        <v>0</v>
      </c>
      <c r="S297" s="726">
        <v>0</v>
      </c>
      <c r="T297" s="726">
        <v>0</v>
      </c>
      <c r="U297" s="726">
        <v>0</v>
      </c>
      <c r="V297" s="726">
        <v>0</v>
      </c>
      <c r="W297" s="726">
        <v>0</v>
      </c>
      <c r="X297" s="724" t="s">
        <v>674</v>
      </c>
      <c r="Y297" s="724" t="s">
        <v>1226</v>
      </c>
      <c r="Z297" s="724" t="s">
        <v>1226</v>
      </c>
      <c r="AA297" s="724" t="s">
        <v>675</v>
      </c>
      <c r="AB297" s="724" t="s">
        <v>675</v>
      </c>
      <c r="AC297" s="724"/>
      <c r="AD297" s="724"/>
      <c r="AE297" s="724"/>
      <c r="AF297" s="724"/>
      <c r="AG297" s="725" t="s">
        <v>1106</v>
      </c>
      <c r="AH297" s="724"/>
      <c r="AI297" s="725" t="s">
        <v>1106</v>
      </c>
      <c r="AJ297" s="725" t="s">
        <v>1012</v>
      </c>
      <c r="AK297" s="724" t="s">
        <v>677</v>
      </c>
      <c r="AL297" s="724"/>
      <c r="AM297" s="724" t="s">
        <v>726</v>
      </c>
      <c r="AN297" s="724" t="s">
        <v>1151</v>
      </c>
      <c r="AO297" s="724" t="s">
        <v>821</v>
      </c>
      <c r="AP297" s="724" t="s">
        <v>1141</v>
      </c>
      <c r="AQ297" s="724" t="s">
        <v>729</v>
      </c>
      <c r="AR297" s="726">
        <v>350000</v>
      </c>
      <c r="AS297" s="724" t="s">
        <v>675</v>
      </c>
      <c r="AT297" s="726">
        <v>0</v>
      </c>
      <c r="AU297" s="724" t="s">
        <v>678</v>
      </c>
      <c r="AV297" s="724" t="s">
        <v>677</v>
      </c>
      <c r="AW297" s="724" t="s">
        <v>676</v>
      </c>
      <c r="AX297" s="724" t="s">
        <v>674</v>
      </c>
      <c r="AY297" s="724"/>
      <c r="AZ297" s="724"/>
      <c r="BA297" s="724" t="s">
        <v>679</v>
      </c>
      <c r="BB297" s="724"/>
      <c r="BC297" s="724"/>
      <c r="BD297" s="724"/>
      <c r="BE297" s="726"/>
      <c r="BF297" s="724" t="s">
        <v>298</v>
      </c>
      <c r="BG297" s="724" t="s">
        <v>680</v>
      </c>
      <c r="BH297" s="724" t="s">
        <v>681</v>
      </c>
      <c r="BI297" s="724"/>
    </row>
    <row r="298" spans="1:61">
      <c r="A298" s="724" t="s">
        <v>821</v>
      </c>
      <c r="B298" s="724" t="s">
        <v>1105</v>
      </c>
      <c r="C298" s="724" t="s">
        <v>1105</v>
      </c>
      <c r="D298" s="724" t="s">
        <v>724</v>
      </c>
      <c r="E298" s="724" t="s">
        <v>3</v>
      </c>
      <c r="F298" s="725" t="s">
        <v>83</v>
      </c>
      <c r="G298" s="725" t="s">
        <v>700</v>
      </c>
      <c r="H298" s="726">
        <v>350000</v>
      </c>
      <c r="I298" s="726">
        <v>350000</v>
      </c>
      <c r="J298" s="726">
        <v>0</v>
      </c>
      <c r="K298" s="726">
        <v>0</v>
      </c>
      <c r="L298" s="726">
        <v>318182</v>
      </c>
      <c r="M298" s="726">
        <v>0</v>
      </c>
      <c r="N298" s="726">
        <v>0</v>
      </c>
      <c r="O298" s="726">
        <v>31818</v>
      </c>
      <c r="P298" s="726">
        <v>0</v>
      </c>
      <c r="Q298" s="726">
        <v>0</v>
      </c>
      <c r="R298" s="726">
        <v>0</v>
      </c>
      <c r="S298" s="726">
        <v>0</v>
      </c>
      <c r="T298" s="726">
        <v>0</v>
      </c>
      <c r="U298" s="726">
        <v>0</v>
      </c>
      <c r="V298" s="726">
        <v>0</v>
      </c>
      <c r="W298" s="726">
        <v>0</v>
      </c>
      <c r="X298" s="724" t="s">
        <v>674</v>
      </c>
      <c r="Y298" s="724" t="s">
        <v>1226</v>
      </c>
      <c r="Z298" s="724" t="s">
        <v>1226</v>
      </c>
      <c r="AA298" s="724" t="s">
        <v>675</v>
      </c>
      <c r="AB298" s="724" t="s">
        <v>675</v>
      </c>
      <c r="AC298" s="724"/>
      <c r="AD298" s="724"/>
      <c r="AE298" s="724"/>
      <c r="AF298" s="724"/>
      <c r="AG298" s="725" t="s">
        <v>1106</v>
      </c>
      <c r="AH298" s="724"/>
      <c r="AI298" s="725" t="s">
        <v>1106</v>
      </c>
      <c r="AJ298" s="725" t="s">
        <v>1012</v>
      </c>
      <c r="AK298" s="724" t="s">
        <v>677</v>
      </c>
      <c r="AL298" s="724"/>
      <c r="AM298" s="724" t="s">
        <v>726</v>
      </c>
      <c r="AN298" s="724" t="s">
        <v>1152</v>
      </c>
      <c r="AO298" s="724" t="s">
        <v>821</v>
      </c>
      <c r="AP298" s="724" t="s">
        <v>1141</v>
      </c>
      <c r="AQ298" s="724" t="s">
        <v>729</v>
      </c>
      <c r="AR298" s="726">
        <v>350000</v>
      </c>
      <c r="AS298" s="724" t="s">
        <v>675</v>
      </c>
      <c r="AT298" s="726">
        <v>0</v>
      </c>
      <c r="AU298" s="724" t="s">
        <v>678</v>
      </c>
      <c r="AV298" s="724" t="s">
        <v>677</v>
      </c>
      <c r="AW298" s="724" t="s">
        <v>676</v>
      </c>
      <c r="AX298" s="724" t="s">
        <v>674</v>
      </c>
      <c r="AY298" s="724"/>
      <c r="AZ298" s="724"/>
      <c r="BA298" s="724" t="s">
        <v>679</v>
      </c>
      <c r="BB298" s="724"/>
      <c r="BC298" s="724"/>
      <c r="BD298" s="724"/>
      <c r="BE298" s="726"/>
      <c r="BF298" s="724" t="s">
        <v>298</v>
      </c>
      <c r="BG298" s="724" t="s">
        <v>680</v>
      </c>
      <c r="BH298" s="724" t="s">
        <v>681</v>
      </c>
      <c r="BI298" s="724"/>
    </row>
    <row r="299" spans="1:61">
      <c r="A299" s="724" t="s">
        <v>821</v>
      </c>
      <c r="B299" s="724" t="s">
        <v>1105</v>
      </c>
      <c r="C299" s="724" t="s">
        <v>1105</v>
      </c>
      <c r="D299" s="724" t="s">
        <v>724</v>
      </c>
      <c r="E299" s="724" t="s">
        <v>3</v>
      </c>
      <c r="F299" s="725" t="s">
        <v>83</v>
      </c>
      <c r="G299" s="725" t="s">
        <v>700</v>
      </c>
      <c r="H299" s="726">
        <v>350000</v>
      </c>
      <c r="I299" s="726">
        <v>350000</v>
      </c>
      <c r="J299" s="726">
        <v>0</v>
      </c>
      <c r="K299" s="726">
        <v>0</v>
      </c>
      <c r="L299" s="726">
        <v>318182</v>
      </c>
      <c r="M299" s="726">
        <v>0</v>
      </c>
      <c r="N299" s="726">
        <v>0</v>
      </c>
      <c r="O299" s="726">
        <v>31818</v>
      </c>
      <c r="P299" s="726">
        <v>0</v>
      </c>
      <c r="Q299" s="726">
        <v>0</v>
      </c>
      <c r="R299" s="726">
        <v>0</v>
      </c>
      <c r="S299" s="726">
        <v>0</v>
      </c>
      <c r="T299" s="726">
        <v>0</v>
      </c>
      <c r="U299" s="726">
        <v>0</v>
      </c>
      <c r="V299" s="726">
        <v>0</v>
      </c>
      <c r="W299" s="726">
        <v>0</v>
      </c>
      <c r="X299" s="724" t="s">
        <v>674</v>
      </c>
      <c r="Y299" s="724" t="s">
        <v>1226</v>
      </c>
      <c r="Z299" s="724" t="s">
        <v>1226</v>
      </c>
      <c r="AA299" s="724" t="s">
        <v>675</v>
      </c>
      <c r="AB299" s="724" t="s">
        <v>675</v>
      </c>
      <c r="AC299" s="724"/>
      <c r="AD299" s="724"/>
      <c r="AE299" s="724"/>
      <c r="AF299" s="724"/>
      <c r="AG299" s="725" t="s">
        <v>1106</v>
      </c>
      <c r="AH299" s="724"/>
      <c r="AI299" s="725" t="s">
        <v>1106</v>
      </c>
      <c r="AJ299" s="725" t="s">
        <v>1012</v>
      </c>
      <c r="AK299" s="724" t="s">
        <v>677</v>
      </c>
      <c r="AL299" s="724"/>
      <c r="AM299" s="724" t="s">
        <v>726</v>
      </c>
      <c r="AN299" s="724" t="s">
        <v>1153</v>
      </c>
      <c r="AO299" s="724" t="s">
        <v>821</v>
      </c>
      <c r="AP299" s="724" t="s">
        <v>1141</v>
      </c>
      <c r="AQ299" s="724" t="s">
        <v>729</v>
      </c>
      <c r="AR299" s="726">
        <v>350000</v>
      </c>
      <c r="AS299" s="724" t="s">
        <v>675</v>
      </c>
      <c r="AT299" s="726">
        <v>0</v>
      </c>
      <c r="AU299" s="724" t="s">
        <v>678</v>
      </c>
      <c r="AV299" s="724" t="s">
        <v>677</v>
      </c>
      <c r="AW299" s="724" t="s">
        <v>676</v>
      </c>
      <c r="AX299" s="724" t="s">
        <v>674</v>
      </c>
      <c r="AY299" s="724"/>
      <c r="AZ299" s="724"/>
      <c r="BA299" s="724" t="s">
        <v>679</v>
      </c>
      <c r="BB299" s="724"/>
      <c r="BC299" s="724"/>
      <c r="BD299" s="724"/>
      <c r="BE299" s="726"/>
      <c r="BF299" s="724" t="s">
        <v>298</v>
      </c>
      <c r="BG299" s="724" t="s">
        <v>680</v>
      </c>
      <c r="BH299" s="724" t="s">
        <v>681</v>
      </c>
      <c r="BI299" s="724"/>
    </row>
    <row r="300" spans="1:61">
      <c r="A300" s="724" t="s">
        <v>821</v>
      </c>
      <c r="B300" s="724" t="s">
        <v>1105</v>
      </c>
      <c r="C300" s="724" t="s">
        <v>1105</v>
      </c>
      <c r="D300" s="724" t="s">
        <v>724</v>
      </c>
      <c r="E300" s="724" t="s">
        <v>3</v>
      </c>
      <c r="F300" s="725" t="s">
        <v>83</v>
      </c>
      <c r="G300" s="725" t="s">
        <v>700</v>
      </c>
      <c r="H300" s="726">
        <v>350000</v>
      </c>
      <c r="I300" s="726">
        <v>350000</v>
      </c>
      <c r="J300" s="726">
        <v>0</v>
      </c>
      <c r="K300" s="726">
        <v>0</v>
      </c>
      <c r="L300" s="726">
        <v>318182</v>
      </c>
      <c r="M300" s="726">
        <v>0</v>
      </c>
      <c r="N300" s="726">
        <v>0</v>
      </c>
      <c r="O300" s="726">
        <v>31818</v>
      </c>
      <c r="P300" s="726">
        <v>0</v>
      </c>
      <c r="Q300" s="726">
        <v>0</v>
      </c>
      <c r="R300" s="726">
        <v>0</v>
      </c>
      <c r="S300" s="726">
        <v>0</v>
      </c>
      <c r="T300" s="726">
        <v>0</v>
      </c>
      <c r="U300" s="726">
        <v>0</v>
      </c>
      <c r="V300" s="726">
        <v>0</v>
      </c>
      <c r="W300" s="726">
        <v>0</v>
      </c>
      <c r="X300" s="724" t="s">
        <v>674</v>
      </c>
      <c r="Y300" s="724" t="s">
        <v>1226</v>
      </c>
      <c r="Z300" s="724" t="s">
        <v>1226</v>
      </c>
      <c r="AA300" s="724" t="s">
        <v>675</v>
      </c>
      <c r="AB300" s="724" t="s">
        <v>675</v>
      </c>
      <c r="AC300" s="724"/>
      <c r="AD300" s="724"/>
      <c r="AE300" s="724"/>
      <c r="AF300" s="724"/>
      <c r="AG300" s="725" t="s">
        <v>1106</v>
      </c>
      <c r="AH300" s="724"/>
      <c r="AI300" s="725" t="s">
        <v>1106</v>
      </c>
      <c r="AJ300" s="725" t="s">
        <v>1012</v>
      </c>
      <c r="AK300" s="724" t="s">
        <v>677</v>
      </c>
      <c r="AL300" s="724"/>
      <c r="AM300" s="724" t="s">
        <v>726</v>
      </c>
      <c r="AN300" s="724" t="s">
        <v>1154</v>
      </c>
      <c r="AO300" s="724" t="s">
        <v>821</v>
      </c>
      <c r="AP300" s="724" t="s">
        <v>1141</v>
      </c>
      <c r="AQ300" s="724" t="s">
        <v>729</v>
      </c>
      <c r="AR300" s="726">
        <v>350000</v>
      </c>
      <c r="AS300" s="724" t="s">
        <v>675</v>
      </c>
      <c r="AT300" s="726">
        <v>0</v>
      </c>
      <c r="AU300" s="724" t="s">
        <v>678</v>
      </c>
      <c r="AV300" s="724" t="s">
        <v>677</v>
      </c>
      <c r="AW300" s="724" t="s">
        <v>676</v>
      </c>
      <c r="AX300" s="724" t="s">
        <v>674</v>
      </c>
      <c r="AY300" s="724"/>
      <c r="AZ300" s="724"/>
      <c r="BA300" s="724" t="s">
        <v>679</v>
      </c>
      <c r="BB300" s="724"/>
      <c r="BC300" s="724"/>
      <c r="BD300" s="724"/>
      <c r="BE300" s="726"/>
      <c r="BF300" s="724" t="s">
        <v>298</v>
      </c>
      <c r="BG300" s="724" t="s">
        <v>680</v>
      </c>
      <c r="BH300" s="724" t="s">
        <v>681</v>
      </c>
      <c r="BI300" s="724"/>
    </row>
    <row r="301" spans="1:61">
      <c r="A301" s="724" t="s">
        <v>821</v>
      </c>
      <c r="B301" s="724" t="s">
        <v>1105</v>
      </c>
      <c r="C301" s="724" t="s">
        <v>1105</v>
      </c>
      <c r="D301" s="724" t="s">
        <v>724</v>
      </c>
      <c r="E301" s="724" t="s">
        <v>3</v>
      </c>
      <c r="F301" s="725" t="s">
        <v>83</v>
      </c>
      <c r="G301" s="725" t="s">
        <v>700</v>
      </c>
      <c r="H301" s="726">
        <v>350000</v>
      </c>
      <c r="I301" s="726">
        <v>350000</v>
      </c>
      <c r="J301" s="726">
        <v>0</v>
      </c>
      <c r="K301" s="726">
        <v>0</v>
      </c>
      <c r="L301" s="726">
        <v>318182</v>
      </c>
      <c r="M301" s="726">
        <v>0</v>
      </c>
      <c r="N301" s="726">
        <v>0</v>
      </c>
      <c r="O301" s="726">
        <v>31818</v>
      </c>
      <c r="P301" s="726">
        <v>0</v>
      </c>
      <c r="Q301" s="726">
        <v>0</v>
      </c>
      <c r="R301" s="726">
        <v>0</v>
      </c>
      <c r="S301" s="726">
        <v>0</v>
      </c>
      <c r="T301" s="726">
        <v>0</v>
      </c>
      <c r="U301" s="726">
        <v>0</v>
      </c>
      <c r="V301" s="726">
        <v>0</v>
      </c>
      <c r="W301" s="726">
        <v>0</v>
      </c>
      <c r="X301" s="724" t="s">
        <v>674</v>
      </c>
      <c r="Y301" s="724" t="s">
        <v>1226</v>
      </c>
      <c r="Z301" s="724" t="s">
        <v>1226</v>
      </c>
      <c r="AA301" s="724" t="s">
        <v>675</v>
      </c>
      <c r="AB301" s="724" t="s">
        <v>675</v>
      </c>
      <c r="AC301" s="724"/>
      <c r="AD301" s="724"/>
      <c r="AE301" s="724"/>
      <c r="AF301" s="724"/>
      <c r="AG301" s="725" t="s">
        <v>1106</v>
      </c>
      <c r="AH301" s="724"/>
      <c r="AI301" s="725" t="s">
        <v>1106</v>
      </c>
      <c r="AJ301" s="725" t="s">
        <v>1012</v>
      </c>
      <c r="AK301" s="724" t="s">
        <v>677</v>
      </c>
      <c r="AL301" s="724"/>
      <c r="AM301" s="724" t="s">
        <v>726</v>
      </c>
      <c r="AN301" s="724" t="s">
        <v>1155</v>
      </c>
      <c r="AO301" s="724" t="s">
        <v>821</v>
      </c>
      <c r="AP301" s="724" t="s">
        <v>1141</v>
      </c>
      <c r="AQ301" s="724" t="s">
        <v>729</v>
      </c>
      <c r="AR301" s="726">
        <v>350000</v>
      </c>
      <c r="AS301" s="724" t="s">
        <v>675</v>
      </c>
      <c r="AT301" s="726">
        <v>0</v>
      </c>
      <c r="AU301" s="724" t="s">
        <v>678</v>
      </c>
      <c r="AV301" s="724" t="s">
        <v>677</v>
      </c>
      <c r="AW301" s="724" t="s">
        <v>676</v>
      </c>
      <c r="AX301" s="724" t="s">
        <v>674</v>
      </c>
      <c r="AY301" s="724"/>
      <c r="AZ301" s="724"/>
      <c r="BA301" s="724" t="s">
        <v>679</v>
      </c>
      <c r="BB301" s="724"/>
      <c r="BC301" s="724"/>
      <c r="BD301" s="724"/>
      <c r="BE301" s="726"/>
      <c r="BF301" s="724" t="s">
        <v>298</v>
      </c>
      <c r="BG301" s="724" t="s">
        <v>680</v>
      </c>
      <c r="BH301" s="724" t="s">
        <v>681</v>
      </c>
      <c r="BI301" s="724"/>
    </row>
    <row r="302" spans="1:61">
      <c r="A302" s="724" t="s">
        <v>821</v>
      </c>
      <c r="B302" s="724" t="s">
        <v>1105</v>
      </c>
      <c r="C302" s="724" t="s">
        <v>1105</v>
      </c>
      <c r="D302" s="724" t="s">
        <v>724</v>
      </c>
      <c r="E302" s="724" t="s">
        <v>3</v>
      </c>
      <c r="F302" s="725" t="s">
        <v>83</v>
      </c>
      <c r="G302" s="725" t="s">
        <v>700</v>
      </c>
      <c r="H302" s="726">
        <v>350000</v>
      </c>
      <c r="I302" s="726">
        <v>350000</v>
      </c>
      <c r="J302" s="726">
        <v>0</v>
      </c>
      <c r="K302" s="726">
        <v>0</v>
      </c>
      <c r="L302" s="726">
        <v>318182</v>
      </c>
      <c r="M302" s="726">
        <v>0</v>
      </c>
      <c r="N302" s="726">
        <v>0</v>
      </c>
      <c r="O302" s="726">
        <v>31818</v>
      </c>
      <c r="P302" s="726">
        <v>0</v>
      </c>
      <c r="Q302" s="726">
        <v>0</v>
      </c>
      <c r="R302" s="726">
        <v>0</v>
      </c>
      <c r="S302" s="726">
        <v>0</v>
      </c>
      <c r="T302" s="726">
        <v>0</v>
      </c>
      <c r="U302" s="726">
        <v>0</v>
      </c>
      <c r="V302" s="726">
        <v>0</v>
      </c>
      <c r="W302" s="726">
        <v>0</v>
      </c>
      <c r="X302" s="724" t="s">
        <v>674</v>
      </c>
      <c r="Y302" s="724" t="s">
        <v>1226</v>
      </c>
      <c r="Z302" s="724" t="s">
        <v>1226</v>
      </c>
      <c r="AA302" s="724" t="s">
        <v>675</v>
      </c>
      <c r="AB302" s="724" t="s">
        <v>675</v>
      </c>
      <c r="AC302" s="724"/>
      <c r="AD302" s="724"/>
      <c r="AE302" s="724"/>
      <c r="AF302" s="724"/>
      <c r="AG302" s="725" t="s">
        <v>1106</v>
      </c>
      <c r="AH302" s="724"/>
      <c r="AI302" s="725" t="s">
        <v>1106</v>
      </c>
      <c r="AJ302" s="725" t="s">
        <v>1012</v>
      </c>
      <c r="AK302" s="724" t="s">
        <v>677</v>
      </c>
      <c r="AL302" s="724"/>
      <c r="AM302" s="724" t="s">
        <v>726</v>
      </c>
      <c r="AN302" s="724" t="s">
        <v>1156</v>
      </c>
      <c r="AO302" s="724" t="s">
        <v>821</v>
      </c>
      <c r="AP302" s="724" t="s">
        <v>1141</v>
      </c>
      <c r="AQ302" s="724" t="s">
        <v>729</v>
      </c>
      <c r="AR302" s="726">
        <v>350000</v>
      </c>
      <c r="AS302" s="724" t="s">
        <v>675</v>
      </c>
      <c r="AT302" s="726">
        <v>0</v>
      </c>
      <c r="AU302" s="724" t="s">
        <v>678</v>
      </c>
      <c r="AV302" s="724" t="s">
        <v>677</v>
      </c>
      <c r="AW302" s="724" t="s">
        <v>676</v>
      </c>
      <c r="AX302" s="724" t="s">
        <v>674</v>
      </c>
      <c r="AY302" s="724"/>
      <c r="AZ302" s="724"/>
      <c r="BA302" s="724" t="s">
        <v>679</v>
      </c>
      <c r="BB302" s="724"/>
      <c r="BC302" s="724"/>
      <c r="BD302" s="724"/>
      <c r="BE302" s="726"/>
      <c r="BF302" s="724" t="s">
        <v>298</v>
      </c>
      <c r="BG302" s="724" t="s">
        <v>680</v>
      </c>
      <c r="BH302" s="724" t="s">
        <v>681</v>
      </c>
      <c r="BI302" s="724"/>
    </row>
    <row r="303" spans="1:61">
      <c r="A303" s="724" t="s">
        <v>821</v>
      </c>
      <c r="B303" s="724" t="s">
        <v>1105</v>
      </c>
      <c r="C303" s="724" t="s">
        <v>1105</v>
      </c>
      <c r="D303" s="724" t="s">
        <v>724</v>
      </c>
      <c r="E303" s="724" t="s">
        <v>3</v>
      </c>
      <c r="F303" s="725" t="s">
        <v>83</v>
      </c>
      <c r="G303" s="725" t="s">
        <v>700</v>
      </c>
      <c r="H303" s="726">
        <v>350000</v>
      </c>
      <c r="I303" s="726">
        <v>350000</v>
      </c>
      <c r="J303" s="726">
        <v>0</v>
      </c>
      <c r="K303" s="726">
        <v>0</v>
      </c>
      <c r="L303" s="726">
        <v>318182</v>
      </c>
      <c r="M303" s="726">
        <v>0</v>
      </c>
      <c r="N303" s="726">
        <v>0</v>
      </c>
      <c r="O303" s="726">
        <v>31818</v>
      </c>
      <c r="P303" s="726">
        <v>0</v>
      </c>
      <c r="Q303" s="726">
        <v>0</v>
      </c>
      <c r="R303" s="726">
        <v>0</v>
      </c>
      <c r="S303" s="726">
        <v>0</v>
      </c>
      <c r="T303" s="726">
        <v>0</v>
      </c>
      <c r="U303" s="726">
        <v>0</v>
      </c>
      <c r="V303" s="726">
        <v>0</v>
      </c>
      <c r="W303" s="726">
        <v>0</v>
      </c>
      <c r="X303" s="724" t="s">
        <v>674</v>
      </c>
      <c r="Y303" s="724" t="s">
        <v>1226</v>
      </c>
      <c r="Z303" s="724" t="s">
        <v>1226</v>
      </c>
      <c r="AA303" s="724" t="s">
        <v>675</v>
      </c>
      <c r="AB303" s="724" t="s">
        <v>675</v>
      </c>
      <c r="AC303" s="724"/>
      <c r="AD303" s="724"/>
      <c r="AE303" s="724"/>
      <c r="AF303" s="724"/>
      <c r="AG303" s="725" t="s">
        <v>1106</v>
      </c>
      <c r="AH303" s="724"/>
      <c r="AI303" s="725" t="s">
        <v>1106</v>
      </c>
      <c r="AJ303" s="725" t="s">
        <v>1012</v>
      </c>
      <c r="AK303" s="724" t="s">
        <v>677</v>
      </c>
      <c r="AL303" s="724"/>
      <c r="AM303" s="724" t="s">
        <v>726</v>
      </c>
      <c r="AN303" s="724" t="s">
        <v>1157</v>
      </c>
      <c r="AO303" s="724" t="s">
        <v>821</v>
      </c>
      <c r="AP303" s="724" t="s">
        <v>1141</v>
      </c>
      <c r="AQ303" s="724" t="s">
        <v>729</v>
      </c>
      <c r="AR303" s="726">
        <v>350000</v>
      </c>
      <c r="AS303" s="724" t="s">
        <v>675</v>
      </c>
      <c r="AT303" s="726">
        <v>0</v>
      </c>
      <c r="AU303" s="724" t="s">
        <v>678</v>
      </c>
      <c r="AV303" s="724" t="s">
        <v>677</v>
      </c>
      <c r="AW303" s="724" t="s">
        <v>676</v>
      </c>
      <c r="AX303" s="724" t="s">
        <v>674</v>
      </c>
      <c r="AY303" s="724"/>
      <c r="AZ303" s="724"/>
      <c r="BA303" s="724" t="s">
        <v>679</v>
      </c>
      <c r="BB303" s="724"/>
      <c r="BC303" s="724"/>
      <c r="BD303" s="724"/>
      <c r="BE303" s="726"/>
      <c r="BF303" s="724" t="s">
        <v>298</v>
      </c>
      <c r="BG303" s="724" t="s">
        <v>680</v>
      </c>
      <c r="BH303" s="724" t="s">
        <v>681</v>
      </c>
      <c r="BI303" s="724"/>
    </row>
    <row r="304" spans="1:61">
      <c r="A304" s="724" t="s">
        <v>821</v>
      </c>
      <c r="B304" s="724" t="s">
        <v>1105</v>
      </c>
      <c r="C304" s="724" t="s">
        <v>1105</v>
      </c>
      <c r="D304" s="724" t="s">
        <v>724</v>
      </c>
      <c r="E304" s="724" t="s">
        <v>3</v>
      </c>
      <c r="F304" s="725" t="s">
        <v>83</v>
      </c>
      <c r="G304" s="725" t="s">
        <v>700</v>
      </c>
      <c r="H304" s="726">
        <v>350000</v>
      </c>
      <c r="I304" s="726">
        <v>350000</v>
      </c>
      <c r="J304" s="726">
        <v>0</v>
      </c>
      <c r="K304" s="726">
        <v>0</v>
      </c>
      <c r="L304" s="726">
        <v>318182</v>
      </c>
      <c r="M304" s="726">
        <v>0</v>
      </c>
      <c r="N304" s="726">
        <v>0</v>
      </c>
      <c r="O304" s="726">
        <v>31818</v>
      </c>
      <c r="P304" s="726">
        <v>0</v>
      </c>
      <c r="Q304" s="726">
        <v>0</v>
      </c>
      <c r="R304" s="726">
        <v>0</v>
      </c>
      <c r="S304" s="726">
        <v>0</v>
      </c>
      <c r="T304" s="726">
        <v>0</v>
      </c>
      <c r="U304" s="726">
        <v>0</v>
      </c>
      <c r="V304" s="726">
        <v>0</v>
      </c>
      <c r="W304" s="726">
        <v>0</v>
      </c>
      <c r="X304" s="724" t="s">
        <v>674</v>
      </c>
      <c r="Y304" s="724" t="s">
        <v>1226</v>
      </c>
      <c r="Z304" s="724" t="s">
        <v>1226</v>
      </c>
      <c r="AA304" s="724" t="s">
        <v>675</v>
      </c>
      <c r="AB304" s="724" t="s">
        <v>675</v>
      </c>
      <c r="AC304" s="724"/>
      <c r="AD304" s="724"/>
      <c r="AE304" s="724"/>
      <c r="AF304" s="724"/>
      <c r="AG304" s="725" t="s">
        <v>1106</v>
      </c>
      <c r="AH304" s="724"/>
      <c r="AI304" s="725" t="s">
        <v>1106</v>
      </c>
      <c r="AJ304" s="725" t="s">
        <v>1012</v>
      </c>
      <c r="AK304" s="724" t="s">
        <v>677</v>
      </c>
      <c r="AL304" s="724"/>
      <c r="AM304" s="724" t="s">
        <v>726</v>
      </c>
      <c r="AN304" s="724" t="s">
        <v>1158</v>
      </c>
      <c r="AO304" s="724" t="s">
        <v>821</v>
      </c>
      <c r="AP304" s="724" t="s">
        <v>1141</v>
      </c>
      <c r="AQ304" s="724" t="s">
        <v>729</v>
      </c>
      <c r="AR304" s="726">
        <v>350000</v>
      </c>
      <c r="AS304" s="724" t="s">
        <v>675</v>
      </c>
      <c r="AT304" s="726">
        <v>0</v>
      </c>
      <c r="AU304" s="724" t="s">
        <v>678</v>
      </c>
      <c r="AV304" s="724" t="s">
        <v>677</v>
      </c>
      <c r="AW304" s="724" t="s">
        <v>676</v>
      </c>
      <c r="AX304" s="724" t="s">
        <v>674</v>
      </c>
      <c r="AY304" s="724"/>
      <c r="AZ304" s="724"/>
      <c r="BA304" s="724" t="s">
        <v>679</v>
      </c>
      <c r="BB304" s="724"/>
      <c r="BC304" s="724"/>
      <c r="BD304" s="724"/>
      <c r="BE304" s="726"/>
      <c r="BF304" s="724" t="s">
        <v>298</v>
      </c>
      <c r="BG304" s="724" t="s">
        <v>680</v>
      </c>
      <c r="BH304" s="724" t="s">
        <v>681</v>
      </c>
      <c r="BI304" s="724"/>
    </row>
    <row r="305" spans="1:61">
      <c r="A305" s="724" t="s">
        <v>821</v>
      </c>
      <c r="B305" s="724" t="s">
        <v>1105</v>
      </c>
      <c r="C305" s="724" t="s">
        <v>1105</v>
      </c>
      <c r="D305" s="724" t="s">
        <v>724</v>
      </c>
      <c r="E305" s="724" t="s">
        <v>3</v>
      </c>
      <c r="F305" s="725" t="s">
        <v>83</v>
      </c>
      <c r="G305" s="725" t="s">
        <v>700</v>
      </c>
      <c r="H305" s="726">
        <v>350000</v>
      </c>
      <c r="I305" s="726">
        <v>350000</v>
      </c>
      <c r="J305" s="726">
        <v>0</v>
      </c>
      <c r="K305" s="726">
        <v>0</v>
      </c>
      <c r="L305" s="726">
        <v>318182</v>
      </c>
      <c r="M305" s="726">
        <v>0</v>
      </c>
      <c r="N305" s="726">
        <v>0</v>
      </c>
      <c r="O305" s="726">
        <v>31818</v>
      </c>
      <c r="P305" s="726">
        <v>0</v>
      </c>
      <c r="Q305" s="726">
        <v>0</v>
      </c>
      <c r="R305" s="726">
        <v>0</v>
      </c>
      <c r="S305" s="726">
        <v>0</v>
      </c>
      <c r="T305" s="726">
        <v>0</v>
      </c>
      <c r="U305" s="726">
        <v>0</v>
      </c>
      <c r="V305" s="726">
        <v>0</v>
      </c>
      <c r="W305" s="726">
        <v>0</v>
      </c>
      <c r="X305" s="724" t="s">
        <v>674</v>
      </c>
      <c r="Y305" s="724" t="s">
        <v>1226</v>
      </c>
      <c r="Z305" s="724" t="s">
        <v>1226</v>
      </c>
      <c r="AA305" s="724" t="s">
        <v>675</v>
      </c>
      <c r="AB305" s="724" t="s">
        <v>675</v>
      </c>
      <c r="AC305" s="724"/>
      <c r="AD305" s="724"/>
      <c r="AE305" s="724"/>
      <c r="AF305" s="724"/>
      <c r="AG305" s="725" t="s">
        <v>1106</v>
      </c>
      <c r="AH305" s="724"/>
      <c r="AI305" s="725" t="s">
        <v>1106</v>
      </c>
      <c r="AJ305" s="725" t="s">
        <v>1012</v>
      </c>
      <c r="AK305" s="724" t="s">
        <v>677</v>
      </c>
      <c r="AL305" s="724"/>
      <c r="AM305" s="724" t="s">
        <v>726</v>
      </c>
      <c r="AN305" s="724" t="s">
        <v>1159</v>
      </c>
      <c r="AO305" s="724" t="s">
        <v>821</v>
      </c>
      <c r="AP305" s="724" t="s">
        <v>1141</v>
      </c>
      <c r="AQ305" s="724" t="s">
        <v>729</v>
      </c>
      <c r="AR305" s="726">
        <v>350000</v>
      </c>
      <c r="AS305" s="724" t="s">
        <v>675</v>
      </c>
      <c r="AT305" s="726">
        <v>0</v>
      </c>
      <c r="AU305" s="724" t="s">
        <v>678</v>
      </c>
      <c r="AV305" s="724" t="s">
        <v>677</v>
      </c>
      <c r="AW305" s="724" t="s">
        <v>676</v>
      </c>
      <c r="AX305" s="724" t="s">
        <v>674</v>
      </c>
      <c r="AY305" s="724"/>
      <c r="AZ305" s="724"/>
      <c r="BA305" s="724" t="s">
        <v>679</v>
      </c>
      <c r="BB305" s="724"/>
      <c r="BC305" s="724"/>
      <c r="BD305" s="724"/>
      <c r="BE305" s="726"/>
      <c r="BF305" s="724" t="s">
        <v>298</v>
      </c>
      <c r="BG305" s="724" t="s">
        <v>680</v>
      </c>
      <c r="BH305" s="724" t="s">
        <v>681</v>
      </c>
      <c r="BI305" s="724"/>
    </row>
    <row r="306" spans="1:61">
      <c r="A306" s="724" t="s">
        <v>821</v>
      </c>
      <c r="B306" s="724" t="s">
        <v>1105</v>
      </c>
      <c r="C306" s="724" t="s">
        <v>1105</v>
      </c>
      <c r="D306" s="724" t="s">
        <v>724</v>
      </c>
      <c r="E306" s="724" t="s">
        <v>3</v>
      </c>
      <c r="F306" s="725" t="s">
        <v>83</v>
      </c>
      <c r="G306" s="725" t="s">
        <v>700</v>
      </c>
      <c r="H306" s="726">
        <v>350000</v>
      </c>
      <c r="I306" s="726">
        <v>350000</v>
      </c>
      <c r="J306" s="726">
        <v>0</v>
      </c>
      <c r="K306" s="726">
        <v>0</v>
      </c>
      <c r="L306" s="726">
        <v>318182</v>
      </c>
      <c r="M306" s="726">
        <v>0</v>
      </c>
      <c r="N306" s="726">
        <v>0</v>
      </c>
      <c r="O306" s="726">
        <v>31818</v>
      </c>
      <c r="P306" s="726">
        <v>0</v>
      </c>
      <c r="Q306" s="726">
        <v>0</v>
      </c>
      <c r="R306" s="726">
        <v>0</v>
      </c>
      <c r="S306" s="726">
        <v>0</v>
      </c>
      <c r="T306" s="726">
        <v>0</v>
      </c>
      <c r="U306" s="726">
        <v>0</v>
      </c>
      <c r="V306" s="726">
        <v>0</v>
      </c>
      <c r="W306" s="726">
        <v>0</v>
      </c>
      <c r="X306" s="724" t="s">
        <v>674</v>
      </c>
      <c r="Y306" s="724" t="s">
        <v>1226</v>
      </c>
      <c r="Z306" s="724" t="s">
        <v>1226</v>
      </c>
      <c r="AA306" s="724" t="s">
        <v>675</v>
      </c>
      <c r="AB306" s="724" t="s">
        <v>675</v>
      </c>
      <c r="AC306" s="724"/>
      <c r="AD306" s="724"/>
      <c r="AE306" s="724"/>
      <c r="AF306" s="724"/>
      <c r="AG306" s="725" t="s">
        <v>1106</v>
      </c>
      <c r="AH306" s="724"/>
      <c r="AI306" s="725" t="s">
        <v>1106</v>
      </c>
      <c r="AJ306" s="725" t="s">
        <v>1012</v>
      </c>
      <c r="AK306" s="724" t="s">
        <v>677</v>
      </c>
      <c r="AL306" s="724"/>
      <c r="AM306" s="724" t="s">
        <v>726</v>
      </c>
      <c r="AN306" s="724" t="s">
        <v>1160</v>
      </c>
      <c r="AO306" s="724" t="s">
        <v>821</v>
      </c>
      <c r="AP306" s="724" t="s">
        <v>1141</v>
      </c>
      <c r="AQ306" s="724" t="s">
        <v>729</v>
      </c>
      <c r="AR306" s="726">
        <v>350000</v>
      </c>
      <c r="AS306" s="724" t="s">
        <v>675</v>
      </c>
      <c r="AT306" s="726">
        <v>0</v>
      </c>
      <c r="AU306" s="724" t="s">
        <v>678</v>
      </c>
      <c r="AV306" s="724" t="s">
        <v>677</v>
      </c>
      <c r="AW306" s="724" t="s">
        <v>676</v>
      </c>
      <c r="AX306" s="724" t="s">
        <v>784</v>
      </c>
      <c r="AY306" s="724" t="s">
        <v>785</v>
      </c>
      <c r="AZ306" s="724" t="s">
        <v>1198</v>
      </c>
      <c r="BA306" s="724" t="s">
        <v>679</v>
      </c>
      <c r="BB306" s="724"/>
      <c r="BC306" s="724"/>
      <c r="BD306" s="724"/>
      <c r="BE306" s="726"/>
      <c r="BF306" s="724" t="s">
        <v>298</v>
      </c>
      <c r="BG306" s="724" t="s">
        <v>680</v>
      </c>
      <c r="BH306" s="724" t="s">
        <v>681</v>
      </c>
      <c r="BI306" s="724"/>
    </row>
    <row r="307" spans="1:61">
      <c r="A307" s="724" t="s">
        <v>821</v>
      </c>
      <c r="B307" s="724" t="s">
        <v>1105</v>
      </c>
      <c r="C307" s="724" t="s">
        <v>1105</v>
      </c>
      <c r="D307" s="724" t="s">
        <v>724</v>
      </c>
      <c r="E307" s="724" t="s">
        <v>3</v>
      </c>
      <c r="F307" s="725" t="s">
        <v>83</v>
      </c>
      <c r="G307" s="725" t="s">
        <v>700</v>
      </c>
      <c r="H307" s="726">
        <v>350000</v>
      </c>
      <c r="I307" s="726">
        <v>350000</v>
      </c>
      <c r="J307" s="726">
        <v>0</v>
      </c>
      <c r="K307" s="726">
        <v>0</v>
      </c>
      <c r="L307" s="726">
        <v>318182</v>
      </c>
      <c r="M307" s="726">
        <v>0</v>
      </c>
      <c r="N307" s="726">
        <v>0</v>
      </c>
      <c r="O307" s="726">
        <v>31818</v>
      </c>
      <c r="P307" s="726">
        <v>0</v>
      </c>
      <c r="Q307" s="726">
        <v>0</v>
      </c>
      <c r="R307" s="726">
        <v>0</v>
      </c>
      <c r="S307" s="726">
        <v>0</v>
      </c>
      <c r="T307" s="726">
        <v>0</v>
      </c>
      <c r="U307" s="726">
        <v>0</v>
      </c>
      <c r="V307" s="726">
        <v>0</v>
      </c>
      <c r="W307" s="726">
        <v>0</v>
      </c>
      <c r="X307" s="724" t="s">
        <v>674</v>
      </c>
      <c r="Y307" s="724" t="s">
        <v>1226</v>
      </c>
      <c r="Z307" s="724" t="s">
        <v>1226</v>
      </c>
      <c r="AA307" s="724" t="s">
        <v>675</v>
      </c>
      <c r="AB307" s="724" t="s">
        <v>675</v>
      </c>
      <c r="AC307" s="724"/>
      <c r="AD307" s="724"/>
      <c r="AE307" s="724"/>
      <c r="AF307" s="724"/>
      <c r="AG307" s="725" t="s">
        <v>1106</v>
      </c>
      <c r="AH307" s="724"/>
      <c r="AI307" s="725" t="s">
        <v>1106</v>
      </c>
      <c r="AJ307" s="725" t="s">
        <v>1012</v>
      </c>
      <c r="AK307" s="724" t="s">
        <v>677</v>
      </c>
      <c r="AL307" s="724"/>
      <c r="AM307" s="724" t="s">
        <v>726</v>
      </c>
      <c r="AN307" s="724" t="s">
        <v>1161</v>
      </c>
      <c r="AO307" s="724" t="s">
        <v>821</v>
      </c>
      <c r="AP307" s="724" t="s">
        <v>1141</v>
      </c>
      <c r="AQ307" s="724" t="s">
        <v>729</v>
      </c>
      <c r="AR307" s="726">
        <v>350000</v>
      </c>
      <c r="AS307" s="724" t="s">
        <v>675</v>
      </c>
      <c r="AT307" s="726">
        <v>0</v>
      </c>
      <c r="AU307" s="724" t="s">
        <v>678</v>
      </c>
      <c r="AV307" s="724" t="s">
        <v>677</v>
      </c>
      <c r="AW307" s="724" t="s">
        <v>676</v>
      </c>
      <c r="AX307" s="724" t="s">
        <v>674</v>
      </c>
      <c r="AY307" s="724"/>
      <c r="AZ307" s="724"/>
      <c r="BA307" s="724" t="s">
        <v>679</v>
      </c>
      <c r="BB307" s="724"/>
      <c r="BC307" s="724"/>
      <c r="BD307" s="724"/>
      <c r="BE307" s="726"/>
      <c r="BF307" s="724" t="s">
        <v>298</v>
      </c>
      <c r="BG307" s="724" t="s">
        <v>680</v>
      </c>
      <c r="BH307" s="724" t="s">
        <v>681</v>
      </c>
      <c r="BI307" s="724"/>
    </row>
    <row r="308" spans="1:61">
      <c r="A308" s="724" t="s">
        <v>821</v>
      </c>
      <c r="B308" s="724" t="s">
        <v>1105</v>
      </c>
      <c r="C308" s="724" t="s">
        <v>1105</v>
      </c>
      <c r="D308" s="724" t="s">
        <v>724</v>
      </c>
      <c r="E308" s="724" t="s">
        <v>3</v>
      </c>
      <c r="F308" s="725" t="s">
        <v>83</v>
      </c>
      <c r="G308" s="725" t="s">
        <v>700</v>
      </c>
      <c r="H308" s="726">
        <v>350000</v>
      </c>
      <c r="I308" s="726">
        <v>350000</v>
      </c>
      <c r="J308" s="726">
        <v>0</v>
      </c>
      <c r="K308" s="726">
        <v>0</v>
      </c>
      <c r="L308" s="726">
        <v>318182</v>
      </c>
      <c r="M308" s="726">
        <v>0</v>
      </c>
      <c r="N308" s="726">
        <v>0</v>
      </c>
      <c r="O308" s="726">
        <v>31818</v>
      </c>
      <c r="P308" s="726">
        <v>0</v>
      </c>
      <c r="Q308" s="726">
        <v>0</v>
      </c>
      <c r="R308" s="726">
        <v>0</v>
      </c>
      <c r="S308" s="726">
        <v>0</v>
      </c>
      <c r="T308" s="726">
        <v>0</v>
      </c>
      <c r="U308" s="726">
        <v>0</v>
      </c>
      <c r="V308" s="726">
        <v>0</v>
      </c>
      <c r="W308" s="726">
        <v>0</v>
      </c>
      <c r="X308" s="724" t="s">
        <v>674</v>
      </c>
      <c r="Y308" s="724" t="s">
        <v>1226</v>
      </c>
      <c r="Z308" s="724" t="s">
        <v>1226</v>
      </c>
      <c r="AA308" s="724" t="s">
        <v>675</v>
      </c>
      <c r="AB308" s="724" t="s">
        <v>675</v>
      </c>
      <c r="AC308" s="724"/>
      <c r="AD308" s="724"/>
      <c r="AE308" s="724"/>
      <c r="AF308" s="724"/>
      <c r="AG308" s="725" t="s">
        <v>1106</v>
      </c>
      <c r="AH308" s="724"/>
      <c r="AI308" s="725" t="s">
        <v>1106</v>
      </c>
      <c r="AJ308" s="725" t="s">
        <v>1012</v>
      </c>
      <c r="AK308" s="724" t="s">
        <v>677</v>
      </c>
      <c r="AL308" s="724"/>
      <c r="AM308" s="724" t="s">
        <v>726</v>
      </c>
      <c r="AN308" s="724" t="s">
        <v>1162</v>
      </c>
      <c r="AO308" s="724" t="s">
        <v>821</v>
      </c>
      <c r="AP308" s="724" t="s">
        <v>1141</v>
      </c>
      <c r="AQ308" s="724" t="s">
        <v>729</v>
      </c>
      <c r="AR308" s="726">
        <v>350000</v>
      </c>
      <c r="AS308" s="724" t="s">
        <v>675</v>
      </c>
      <c r="AT308" s="726">
        <v>0</v>
      </c>
      <c r="AU308" s="724" t="s">
        <v>678</v>
      </c>
      <c r="AV308" s="724" t="s">
        <v>677</v>
      </c>
      <c r="AW308" s="724" t="s">
        <v>676</v>
      </c>
      <c r="AX308" s="724" t="s">
        <v>674</v>
      </c>
      <c r="AY308" s="724"/>
      <c r="AZ308" s="724"/>
      <c r="BA308" s="724" t="s">
        <v>679</v>
      </c>
      <c r="BB308" s="724"/>
      <c r="BC308" s="724"/>
      <c r="BD308" s="724"/>
      <c r="BE308" s="726"/>
      <c r="BF308" s="724" t="s">
        <v>298</v>
      </c>
      <c r="BG308" s="724" t="s">
        <v>680</v>
      </c>
      <c r="BH308" s="724" t="s">
        <v>681</v>
      </c>
      <c r="BI308" s="724"/>
    </row>
    <row r="309" spans="1:61">
      <c r="A309" s="724" t="s">
        <v>821</v>
      </c>
      <c r="B309" s="724" t="s">
        <v>1105</v>
      </c>
      <c r="C309" s="724" t="s">
        <v>1105</v>
      </c>
      <c r="D309" s="724" t="s">
        <v>724</v>
      </c>
      <c r="E309" s="724" t="s">
        <v>3</v>
      </c>
      <c r="F309" s="725" t="s">
        <v>83</v>
      </c>
      <c r="G309" s="725" t="s">
        <v>700</v>
      </c>
      <c r="H309" s="726">
        <v>350000</v>
      </c>
      <c r="I309" s="726">
        <v>350000</v>
      </c>
      <c r="J309" s="726">
        <v>0</v>
      </c>
      <c r="K309" s="726">
        <v>0</v>
      </c>
      <c r="L309" s="726">
        <v>318182</v>
      </c>
      <c r="M309" s="726">
        <v>0</v>
      </c>
      <c r="N309" s="726">
        <v>0</v>
      </c>
      <c r="O309" s="726">
        <v>31818</v>
      </c>
      <c r="P309" s="726">
        <v>0</v>
      </c>
      <c r="Q309" s="726">
        <v>0</v>
      </c>
      <c r="R309" s="726">
        <v>0</v>
      </c>
      <c r="S309" s="726">
        <v>0</v>
      </c>
      <c r="T309" s="726">
        <v>0</v>
      </c>
      <c r="U309" s="726">
        <v>0</v>
      </c>
      <c r="V309" s="726">
        <v>0</v>
      </c>
      <c r="W309" s="726">
        <v>0</v>
      </c>
      <c r="X309" s="724" t="s">
        <v>674</v>
      </c>
      <c r="Y309" s="724" t="s">
        <v>1226</v>
      </c>
      <c r="Z309" s="724" t="s">
        <v>1226</v>
      </c>
      <c r="AA309" s="724" t="s">
        <v>675</v>
      </c>
      <c r="AB309" s="724" t="s">
        <v>675</v>
      </c>
      <c r="AC309" s="724"/>
      <c r="AD309" s="724"/>
      <c r="AE309" s="724"/>
      <c r="AF309" s="724"/>
      <c r="AG309" s="725" t="s">
        <v>1106</v>
      </c>
      <c r="AH309" s="724"/>
      <c r="AI309" s="725" t="s">
        <v>1106</v>
      </c>
      <c r="AJ309" s="725" t="s">
        <v>1012</v>
      </c>
      <c r="AK309" s="724" t="s">
        <v>677</v>
      </c>
      <c r="AL309" s="724"/>
      <c r="AM309" s="724" t="s">
        <v>726</v>
      </c>
      <c r="AN309" s="724" t="s">
        <v>1163</v>
      </c>
      <c r="AO309" s="724" t="s">
        <v>821</v>
      </c>
      <c r="AP309" s="724" t="s">
        <v>1141</v>
      </c>
      <c r="AQ309" s="724" t="s">
        <v>729</v>
      </c>
      <c r="AR309" s="726">
        <v>350000</v>
      </c>
      <c r="AS309" s="724" t="s">
        <v>675</v>
      </c>
      <c r="AT309" s="726">
        <v>0</v>
      </c>
      <c r="AU309" s="724" t="s">
        <v>678</v>
      </c>
      <c r="AV309" s="724" t="s">
        <v>677</v>
      </c>
      <c r="AW309" s="724" t="s">
        <v>676</v>
      </c>
      <c r="AX309" s="724" t="s">
        <v>674</v>
      </c>
      <c r="AY309" s="724"/>
      <c r="AZ309" s="724"/>
      <c r="BA309" s="724" t="s">
        <v>679</v>
      </c>
      <c r="BB309" s="724"/>
      <c r="BC309" s="724"/>
      <c r="BD309" s="724"/>
      <c r="BE309" s="726"/>
      <c r="BF309" s="724" t="s">
        <v>298</v>
      </c>
      <c r="BG309" s="724" t="s">
        <v>680</v>
      </c>
      <c r="BH309" s="724" t="s">
        <v>681</v>
      </c>
      <c r="BI309" s="724"/>
    </row>
    <row r="310" spans="1:61">
      <c r="A310" s="724" t="s">
        <v>821</v>
      </c>
      <c r="B310" s="724" t="s">
        <v>1105</v>
      </c>
      <c r="C310" s="724" t="s">
        <v>1105</v>
      </c>
      <c r="D310" s="724" t="s">
        <v>724</v>
      </c>
      <c r="E310" s="724" t="s">
        <v>3</v>
      </c>
      <c r="F310" s="725" t="s">
        <v>83</v>
      </c>
      <c r="G310" s="725" t="s">
        <v>700</v>
      </c>
      <c r="H310" s="726">
        <v>350000</v>
      </c>
      <c r="I310" s="726">
        <v>350000</v>
      </c>
      <c r="J310" s="726">
        <v>0</v>
      </c>
      <c r="K310" s="726">
        <v>0</v>
      </c>
      <c r="L310" s="726">
        <v>318182</v>
      </c>
      <c r="M310" s="726">
        <v>0</v>
      </c>
      <c r="N310" s="726">
        <v>0</v>
      </c>
      <c r="O310" s="726">
        <v>31818</v>
      </c>
      <c r="P310" s="726">
        <v>0</v>
      </c>
      <c r="Q310" s="726">
        <v>0</v>
      </c>
      <c r="R310" s="726">
        <v>0</v>
      </c>
      <c r="S310" s="726">
        <v>0</v>
      </c>
      <c r="T310" s="726">
        <v>0</v>
      </c>
      <c r="U310" s="726">
        <v>0</v>
      </c>
      <c r="V310" s="726">
        <v>0</v>
      </c>
      <c r="W310" s="726">
        <v>0</v>
      </c>
      <c r="X310" s="724" t="s">
        <v>674</v>
      </c>
      <c r="Y310" s="724" t="s">
        <v>1226</v>
      </c>
      <c r="Z310" s="724" t="s">
        <v>1226</v>
      </c>
      <c r="AA310" s="724" t="s">
        <v>675</v>
      </c>
      <c r="AB310" s="724" t="s">
        <v>675</v>
      </c>
      <c r="AC310" s="724"/>
      <c r="AD310" s="724"/>
      <c r="AE310" s="724"/>
      <c r="AF310" s="724"/>
      <c r="AG310" s="725" t="s">
        <v>1106</v>
      </c>
      <c r="AH310" s="724"/>
      <c r="AI310" s="725" t="s">
        <v>1106</v>
      </c>
      <c r="AJ310" s="725" t="s">
        <v>1012</v>
      </c>
      <c r="AK310" s="724" t="s">
        <v>677</v>
      </c>
      <c r="AL310" s="724"/>
      <c r="AM310" s="724" t="s">
        <v>726</v>
      </c>
      <c r="AN310" s="724" t="s">
        <v>1164</v>
      </c>
      <c r="AO310" s="724" t="s">
        <v>821</v>
      </c>
      <c r="AP310" s="724" t="s">
        <v>1141</v>
      </c>
      <c r="AQ310" s="724" t="s">
        <v>729</v>
      </c>
      <c r="AR310" s="726">
        <v>350000</v>
      </c>
      <c r="AS310" s="724" t="s">
        <v>675</v>
      </c>
      <c r="AT310" s="726">
        <v>0</v>
      </c>
      <c r="AU310" s="724" t="s">
        <v>678</v>
      </c>
      <c r="AV310" s="724" t="s">
        <v>677</v>
      </c>
      <c r="AW310" s="724" t="s">
        <v>676</v>
      </c>
      <c r="AX310" s="724" t="s">
        <v>674</v>
      </c>
      <c r="AY310" s="724"/>
      <c r="AZ310" s="724"/>
      <c r="BA310" s="724" t="s">
        <v>679</v>
      </c>
      <c r="BB310" s="724"/>
      <c r="BC310" s="724"/>
      <c r="BD310" s="724"/>
      <c r="BE310" s="726"/>
      <c r="BF310" s="724" t="s">
        <v>298</v>
      </c>
      <c r="BG310" s="724" t="s">
        <v>680</v>
      </c>
      <c r="BH310" s="724" t="s">
        <v>681</v>
      </c>
      <c r="BI310" s="724"/>
    </row>
    <row r="311" spans="1:61">
      <c r="A311" s="724" t="s">
        <v>821</v>
      </c>
      <c r="B311" s="724" t="s">
        <v>1105</v>
      </c>
      <c r="C311" s="724" t="s">
        <v>1105</v>
      </c>
      <c r="D311" s="724" t="s">
        <v>724</v>
      </c>
      <c r="E311" s="724" t="s">
        <v>3</v>
      </c>
      <c r="F311" s="725" t="s">
        <v>83</v>
      </c>
      <c r="G311" s="725" t="s">
        <v>700</v>
      </c>
      <c r="H311" s="726">
        <v>350000</v>
      </c>
      <c r="I311" s="726">
        <v>350000</v>
      </c>
      <c r="J311" s="726">
        <v>0</v>
      </c>
      <c r="K311" s="726">
        <v>0</v>
      </c>
      <c r="L311" s="726">
        <v>318182</v>
      </c>
      <c r="M311" s="726">
        <v>0</v>
      </c>
      <c r="N311" s="726">
        <v>0</v>
      </c>
      <c r="O311" s="726">
        <v>31818</v>
      </c>
      <c r="P311" s="726">
        <v>0</v>
      </c>
      <c r="Q311" s="726">
        <v>0</v>
      </c>
      <c r="R311" s="726">
        <v>0</v>
      </c>
      <c r="S311" s="726">
        <v>0</v>
      </c>
      <c r="T311" s="726">
        <v>0</v>
      </c>
      <c r="U311" s="726">
        <v>0</v>
      </c>
      <c r="V311" s="726">
        <v>0</v>
      </c>
      <c r="W311" s="726">
        <v>0</v>
      </c>
      <c r="X311" s="724" t="s">
        <v>674</v>
      </c>
      <c r="Y311" s="724" t="s">
        <v>1226</v>
      </c>
      <c r="Z311" s="724" t="s">
        <v>1226</v>
      </c>
      <c r="AA311" s="724" t="s">
        <v>675</v>
      </c>
      <c r="AB311" s="724" t="s">
        <v>675</v>
      </c>
      <c r="AC311" s="724"/>
      <c r="AD311" s="724"/>
      <c r="AE311" s="724"/>
      <c r="AF311" s="724"/>
      <c r="AG311" s="725" t="s">
        <v>1106</v>
      </c>
      <c r="AH311" s="724"/>
      <c r="AI311" s="725" t="s">
        <v>1106</v>
      </c>
      <c r="AJ311" s="725" t="s">
        <v>1012</v>
      </c>
      <c r="AK311" s="724" t="s">
        <v>677</v>
      </c>
      <c r="AL311" s="724"/>
      <c r="AM311" s="724" t="s">
        <v>726</v>
      </c>
      <c r="AN311" s="724" t="s">
        <v>1165</v>
      </c>
      <c r="AO311" s="724" t="s">
        <v>821</v>
      </c>
      <c r="AP311" s="724" t="s">
        <v>1141</v>
      </c>
      <c r="AQ311" s="724" t="s">
        <v>729</v>
      </c>
      <c r="AR311" s="726">
        <v>350000</v>
      </c>
      <c r="AS311" s="724" t="s">
        <v>675</v>
      </c>
      <c r="AT311" s="726">
        <v>0</v>
      </c>
      <c r="AU311" s="724" t="s">
        <v>678</v>
      </c>
      <c r="AV311" s="724" t="s">
        <v>677</v>
      </c>
      <c r="AW311" s="724" t="s">
        <v>676</v>
      </c>
      <c r="AX311" s="724" t="s">
        <v>674</v>
      </c>
      <c r="AY311" s="724"/>
      <c r="AZ311" s="724"/>
      <c r="BA311" s="724" t="s">
        <v>679</v>
      </c>
      <c r="BB311" s="724"/>
      <c r="BC311" s="724"/>
      <c r="BD311" s="724"/>
      <c r="BE311" s="726"/>
      <c r="BF311" s="724" t="s">
        <v>298</v>
      </c>
      <c r="BG311" s="724" t="s">
        <v>680</v>
      </c>
      <c r="BH311" s="724" t="s">
        <v>681</v>
      </c>
      <c r="BI311" s="724"/>
    </row>
    <row r="312" spans="1:61">
      <c r="A312" s="724" t="s">
        <v>821</v>
      </c>
      <c r="B312" s="724" t="s">
        <v>1105</v>
      </c>
      <c r="C312" s="724" t="s">
        <v>1105</v>
      </c>
      <c r="D312" s="724" t="s">
        <v>724</v>
      </c>
      <c r="E312" s="724" t="s">
        <v>3</v>
      </c>
      <c r="F312" s="725" t="s">
        <v>83</v>
      </c>
      <c r="G312" s="725" t="s">
        <v>700</v>
      </c>
      <c r="H312" s="726">
        <v>350000</v>
      </c>
      <c r="I312" s="726">
        <v>350000</v>
      </c>
      <c r="J312" s="726">
        <v>0</v>
      </c>
      <c r="K312" s="726">
        <v>0</v>
      </c>
      <c r="L312" s="726">
        <v>318182</v>
      </c>
      <c r="M312" s="726">
        <v>0</v>
      </c>
      <c r="N312" s="726">
        <v>0</v>
      </c>
      <c r="O312" s="726">
        <v>31818</v>
      </c>
      <c r="P312" s="726">
        <v>0</v>
      </c>
      <c r="Q312" s="726">
        <v>0</v>
      </c>
      <c r="R312" s="726">
        <v>0</v>
      </c>
      <c r="S312" s="726">
        <v>0</v>
      </c>
      <c r="T312" s="726">
        <v>0</v>
      </c>
      <c r="U312" s="726">
        <v>0</v>
      </c>
      <c r="V312" s="726">
        <v>0</v>
      </c>
      <c r="W312" s="726">
        <v>0</v>
      </c>
      <c r="X312" s="724" t="s">
        <v>674</v>
      </c>
      <c r="Y312" s="724" t="s">
        <v>1226</v>
      </c>
      <c r="Z312" s="724" t="s">
        <v>1226</v>
      </c>
      <c r="AA312" s="724" t="s">
        <v>675</v>
      </c>
      <c r="AB312" s="724" t="s">
        <v>675</v>
      </c>
      <c r="AC312" s="724"/>
      <c r="AD312" s="724"/>
      <c r="AE312" s="724"/>
      <c r="AF312" s="724"/>
      <c r="AG312" s="725" t="s">
        <v>1106</v>
      </c>
      <c r="AH312" s="724"/>
      <c r="AI312" s="725" t="s">
        <v>1106</v>
      </c>
      <c r="AJ312" s="725" t="s">
        <v>1012</v>
      </c>
      <c r="AK312" s="724" t="s">
        <v>677</v>
      </c>
      <c r="AL312" s="724"/>
      <c r="AM312" s="724" t="s">
        <v>726</v>
      </c>
      <c r="AN312" s="724" t="s">
        <v>1166</v>
      </c>
      <c r="AO312" s="724" t="s">
        <v>821</v>
      </c>
      <c r="AP312" s="724" t="s">
        <v>1141</v>
      </c>
      <c r="AQ312" s="724" t="s">
        <v>729</v>
      </c>
      <c r="AR312" s="726">
        <v>350000</v>
      </c>
      <c r="AS312" s="724" t="s">
        <v>675</v>
      </c>
      <c r="AT312" s="726">
        <v>0</v>
      </c>
      <c r="AU312" s="724" t="s">
        <v>678</v>
      </c>
      <c r="AV312" s="724" t="s">
        <v>677</v>
      </c>
      <c r="AW312" s="724" t="s">
        <v>676</v>
      </c>
      <c r="AX312" s="724" t="s">
        <v>674</v>
      </c>
      <c r="AY312" s="724"/>
      <c r="AZ312" s="724"/>
      <c r="BA312" s="724" t="s">
        <v>679</v>
      </c>
      <c r="BB312" s="724"/>
      <c r="BC312" s="724"/>
      <c r="BD312" s="724"/>
      <c r="BE312" s="726"/>
      <c r="BF312" s="724" t="s">
        <v>298</v>
      </c>
      <c r="BG312" s="724" t="s">
        <v>680</v>
      </c>
      <c r="BH312" s="724" t="s">
        <v>681</v>
      </c>
      <c r="BI312" s="724"/>
    </row>
    <row r="313" spans="1:61">
      <c r="A313" s="724" t="s">
        <v>821</v>
      </c>
      <c r="B313" s="724" t="s">
        <v>1105</v>
      </c>
      <c r="C313" s="724" t="s">
        <v>1105</v>
      </c>
      <c r="D313" s="724" t="s">
        <v>724</v>
      </c>
      <c r="E313" s="724" t="s">
        <v>3</v>
      </c>
      <c r="F313" s="725" t="s">
        <v>83</v>
      </c>
      <c r="G313" s="725" t="s">
        <v>700</v>
      </c>
      <c r="H313" s="726">
        <v>350000</v>
      </c>
      <c r="I313" s="726">
        <v>350000</v>
      </c>
      <c r="J313" s="726">
        <v>0</v>
      </c>
      <c r="K313" s="726">
        <v>0</v>
      </c>
      <c r="L313" s="726">
        <v>318182</v>
      </c>
      <c r="M313" s="726">
        <v>0</v>
      </c>
      <c r="N313" s="726">
        <v>0</v>
      </c>
      <c r="O313" s="726">
        <v>31818</v>
      </c>
      <c r="P313" s="726">
        <v>0</v>
      </c>
      <c r="Q313" s="726">
        <v>0</v>
      </c>
      <c r="R313" s="726">
        <v>0</v>
      </c>
      <c r="S313" s="726">
        <v>0</v>
      </c>
      <c r="T313" s="726">
        <v>0</v>
      </c>
      <c r="U313" s="726">
        <v>0</v>
      </c>
      <c r="V313" s="726">
        <v>0</v>
      </c>
      <c r="W313" s="726">
        <v>0</v>
      </c>
      <c r="X313" s="724" t="s">
        <v>674</v>
      </c>
      <c r="Y313" s="724" t="s">
        <v>1226</v>
      </c>
      <c r="Z313" s="724" t="s">
        <v>1226</v>
      </c>
      <c r="AA313" s="724" t="s">
        <v>675</v>
      </c>
      <c r="AB313" s="724" t="s">
        <v>675</v>
      </c>
      <c r="AC313" s="724"/>
      <c r="AD313" s="724"/>
      <c r="AE313" s="724"/>
      <c r="AF313" s="724"/>
      <c r="AG313" s="725" t="s">
        <v>1106</v>
      </c>
      <c r="AH313" s="724"/>
      <c r="AI313" s="725" t="s">
        <v>1106</v>
      </c>
      <c r="AJ313" s="725" t="s">
        <v>1012</v>
      </c>
      <c r="AK313" s="724" t="s">
        <v>677</v>
      </c>
      <c r="AL313" s="724"/>
      <c r="AM313" s="724" t="s">
        <v>726</v>
      </c>
      <c r="AN313" s="724" t="s">
        <v>1167</v>
      </c>
      <c r="AO313" s="724" t="s">
        <v>821</v>
      </c>
      <c r="AP313" s="724" t="s">
        <v>1141</v>
      </c>
      <c r="AQ313" s="724" t="s">
        <v>729</v>
      </c>
      <c r="AR313" s="726">
        <v>350000</v>
      </c>
      <c r="AS313" s="724" t="s">
        <v>675</v>
      </c>
      <c r="AT313" s="726">
        <v>0</v>
      </c>
      <c r="AU313" s="724" t="s">
        <v>678</v>
      </c>
      <c r="AV313" s="724" t="s">
        <v>677</v>
      </c>
      <c r="AW313" s="724" t="s">
        <v>676</v>
      </c>
      <c r="AX313" s="724" t="s">
        <v>674</v>
      </c>
      <c r="AY313" s="724"/>
      <c r="AZ313" s="724"/>
      <c r="BA313" s="724" t="s">
        <v>679</v>
      </c>
      <c r="BB313" s="724"/>
      <c r="BC313" s="724"/>
      <c r="BD313" s="724"/>
      <c r="BE313" s="726"/>
      <c r="BF313" s="724" t="s">
        <v>298</v>
      </c>
      <c r="BG313" s="724" t="s">
        <v>680</v>
      </c>
      <c r="BH313" s="724" t="s">
        <v>681</v>
      </c>
      <c r="BI313" s="724"/>
    </row>
    <row r="314" spans="1:61">
      <c r="A314" s="724" t="s">
        <v>821</v>
      </c>
      <c r="B314" s="724" t="s">
        <v>1105</v>
      </c>
      <c r="C314" s="724" t="s">
        <v>1105</v>
      </c>
      <c r="D314" s="724" t="s">
        <v>724</v>
      </c>
      <c r="E314" s="724" t="s">
        <v>3</v>
      </c>
      <c r="F314" s="725" t="s">
        <v>83</v>
      </c>
      <c r="G314" s="725" t="s">
        <v>700</v>
      </c>
      <c r="H314" s="726">
        <v>350000</v>
      </c>
      <c r="I314" s="726">
        <v>350000</v>
      </c>
      <c r="J314" s="726">
        <v>0</v>
      </c>
      <c r="K314" s="726">
        <v>0</v>
      </c>
      <c r="L314" s="726">
        <v>318182</v>
      </c>
      <c r="M314" s="726">
        <v>0</v>
      </c>
      <c r="N314" s="726">
        <v>0</v>
      </c>
      <c r="O314" s="726">
        <v>31818</v>
      </c>
      <c r="P314" s="726">
        <v>0</v>
      </c>
      <c r="Q314" s="726">
        <v>0</v>
      </c>
      <c r="R314" s="726">
        <v>0</v>
      </c>
      <c r="S314" s="726">
        <v>0</v>
      </c>
      <c r="T314" s="726">
        <v>0</v>
      </c>
      <c r="U314" s="726">
        <v>0</v>
      </c>
      <c r="V314" s="726">
        <v>0</v>
      </c>
      <c r="W314" s="726">
        <v>0</v>
      </c>
      <c r="X314" s="724" t="s">
        <v>674</v>
      </c>
      <c r="Y314" s="724" t="s">
        <v>1226</v>
      </c>
      <c r="Z314" s="724" t="s">
        <v>1226</v>
      </c>
      <c r="AA314" s="724" t="s">
        <v>675</v>
      </c>
      <c r="AB314" s="724" t="s">
        <v>675</v>
      </c>
      <c r="AC314" s="724"/>
      <c r="AD314" s="724"/>
      <c r="AE314" s="724"/>
      <c r="AF314" s="724"/>
      <c r="AG314" s="725" t="s">
        <v>1106</v>
      </c>
      <c r="AH314" s="724"/>
      <c r="AI314" s="725" t="s">
        <v>1106</v>
      </c>
      <c r="AJ314" s="725" t="s">
        <v>1012</v>
      </c>
      <c r="AK314" s="724" t="s">
        <v>677</v>
      </c>
      <c r="AL314" s="724"/>
      <c r="AM314" s="724" t="s">
        <v>726</v>
      </c>
      <c r="AN314" s="724" t="s">
        <v>1168</v>
      </c>
      <c r="AO314" s="724" t="s">
        <v>821</v>
      </c>
      <c r="AP314" s="724" t="s">
        <v>1141</v>
      </c>
      <c r="AQ314" s="724" t="s">
        <v>729</v>
      </c>
      <c r="AR314" s="726">
        <v>350000</v>
      </c>
      <c r="AS314" s="724" t="s">
        <v>675</v>
      </c>
      <c r="AT314" s="726">
        <v>0</v>
      </c>
      <c r="AU314" s="724" t="s">
        <v>678</v>
      </c>
      <c r="AV314" s="724" t="s">
        <v>677</v>
      </c>
      <c r="AW314" s="724" t="s">
        <v>676</v>
      </c>
      <c r="AX314" s="724" t="s">
        <v>674</v>
      </c>
      <c r="AY314" s="724"/>
      <c r="AZ314" s="724"/>
      <c r="BA314" s="724" t="s">
        <v>679</v>
      </c>
      <c r="BB314" s="724"/>
      <c r="BC314" s="724"/>
      <c r="BD314" s="724"/>
      <c r="BE314" s="726"/>
      <c r="BF314" s="724" t="s">
        <v>298</v>
      </c>
      <c r="BG314" s="724" t="s">
        <v>680</v>
      </c>
      <c r="BH314" s="724" t="s">
        <v>681</v>
      </c>
      <c r="BI314" s="724"/>
    </row>
    <row r="315" spans="1:61">
      <c r="A315" s="724" t="s">
        <v>811</v>
      </c>
      <c r="B315" s="724" t="s">
        <v>760</v>
      </c>
      <c r="C315" s="724" t="s">
        <v>760</v>
      </c>
      <c r="D315" s="724" t="s">
        <v>716</v>
      </c>
      <c r="E315" s="724" t="s">
        <v>3</v>
      </c>
      <c r="F315" s="725" t="s">
        <v>71</v>
      </c>
      <c r="G315" s="725" t="s">
        <v>719</v>
      </c>
      <c r="H315" s="726">
        <v>5676000</v>
      </c>
      <c r="I315" s="726">
        <v>5676000</v>
      </c>
      <c r="J315" s="726">
        <v>0</v>
      </c>
      <c r="K315" s="726">
        <v>0</v>
      </c>
      <c r="L315" s="726">
        <v>5160000</v>
      </c>
      <c r="M315" s="726">
        <v>0</v>
      </c>
      <c r="N315" s="726">
        <v>0</v>
      </c>
      <c r="O315" s="726">
        <v>516000</v>
      </c>
      <c r="P315" s="726">
        <v>0</v>
      </c>
      <c r="Q315" s="726">
        <v>0</v>
      </c>
      <c r="R315" s="726">
        <v>0</v>
      </c>
      <c r="S315" s="726">
        <v>0</v>
      </c>
      <c r="T315" s="726">
        <v>0</v>
      </c>
      <c r="U315" s="726">
        <v>0</v>
      </c>
      <c r="V315" s="726">
        <v>0</v>
      </c>
      <c r="W315" s="726">
        <v>0</v>
      </c>
      <c r="X315" s="724" t="s">
        <v>674</v>
      </c>
      <c r="Y315" s="724" t="s">
        <v>1226</v>
      </c>
      <c r="Z315" s="724" t="s">
        <v>1226</v>
      </c>
      <c r="AA315" s="724" t="s">
        <v>675</v>
      </c>
      <c r="AB315" s="724" t="s">
        <v>675</v>
      </c>
      <c r="AC315" s="724"/>
      <c r="AD315" s="724"/>
      <c r="AE315" s="724"/>
      <c r="AF315" s="724"/>
      <c r="AG315" s="725" t="s">
        <v>812</v>
      </c>
      <c r="AH315" s="724"/>
      <c r="AI315" s="725" t="s">
        <v>812</v>
      </c>
      <c r="AJ315" s="725" t="s">
        <v>813</v>
      </c>
      <c r="AK315" s="724" t="s">
        <v>677</v>
      </c>
      <c r="AL315" s="724"/>
      <c r="AM315" s="724"/>
      <c r="AN315" s="724"/>
      <c r="AO315" s="724"/>
      <c r="AP315" s="724"/>
      <c r="AQ315" s="724"/>
      <c r="AR315" s="726"/>
      <c r="AS315" s="724"/>
      <c r="AT315" s="726"/>
      <c r="AU315" s="724" t="s">
        <v>678</v>
      </c>
      <c r="AV315" s="724" t="s">
        <v>677</v>
      </c>
      <c r="AW315" s="724" t="s">
        <v>676</v>
      </c>
      <c r="AX315" s="724" t="s">
        <v>674</v>
      </c>
      <c r="AY315" s="724"/>
      <c r="AZ315" s="724"/>
      <c r="BA315" s="724" t="s">
        <v>679</v>
      </c>
      <c r="BB315" s="724"/>
      <c r="BC315" s="724"/>
      <c r="BD315" s="724"/>
      <c r="BE315" s="726"/>
      <c r="BF315" s="724" t="s">
        <v>298</v>
      </c>
      <c r="BG315" s="724" t="s">
        <v>680</v>
      </c>
      <c r="BH315" s="724" t="s">
        <v>681</v>
      </c>
      <c r="BI315" s="724"/>
    </row>
    <row r="316" spans="1:61">
      <c r="A316" s="724" t="s">
        <v>753</v>
      </c>
      <c r="B316" s="724" t="s">
        <v>753</v>
      </c>
      <c r="C316" s="724" t="s">
        <v>753</v>
      </c>
      <c r="D316" s="724" t="s">
        <v>716</v>
      </c>
      <c r="E316" s="724" t="s">
        <v>3</v>
      </c>
      <c r="F316" s="725" t="s">
        <v>71</v>
      </c>
      <c r="G316" s="725" t="s">
        <v>719</v>
      </c>
      <c r="H316" s="726">
        <v>822250</v>
      </c>
      <c r="I316" s="726">
        <v>822250</v>
      </c>
      <c r="J316" s="726">
        <v>0</v>
      </c>
      <c r="K316" s="726">
        <v>0</v>
      </c>
      <c r="L316" s="726">
        <v>747500</v>
      </c>
      <c r="M316" s="726">
        <v>0</v>
      </c>
      <c r="N316" s="726">
        <v>0</v>
      </c>
      <c r="O316" s="726">
        <v>74750</v>
      </c>
      <c r="P316" s="726">
        <v>0</v>
      </c>
      <c r="Q316" s="726">
        <v>0</v>
      </c>
      <c r="R316" s="726">
        <v>0</v>
      </c>
      <c r="S316" s="726">
        <v>0</v>
      </c>
      <c r="T316" s="726">
        <v>0</v>
      </c>
      <c r="U316" s="726">
        <v>0</v>
      </c>
      <c r="V316" s="726">
        <v>0</v>
      </c>
      <c r="W316" s="726">
        <v>0</v>
      </c>
      <c r="X316" s="724" t="s">
        <v>674</v>
      </c>
      <c r="Y316" s="724" t="s">
        <v>1226</v>
      </c>
      <c r="Z316" s="724" t="s">
        <v>1226</v>
      </c>
      <c r="AA316" s="724" t="s">
        <v>675</v>
      </c>
      <c r="AB316" s="724" t="s">
        <v>675</v>
      </c>
      <c r="AC316" s="724"/>
      <c r="AD316" s="724"/>
      <c r="AE316" s="724"/>
      <c r="AF316" s="724"/>
      <c r="AG316" s="725" t="s">
        <v>814</v>
      </c>
      <c r="AH316" s="724"/>
      <c r="AI316" s="725" t="s">
        <v>814</v>
      </c>
      <c r="AJ316" s="725" t="s">
        <v>815</v>
      </c>
      <c r="AK316" s="724" t="s">
        <v>677</v>
      </c>
      <c r="AL316" s="724"/>
      <c r="AM316" s="724"/>
      <c r="AN316" s="724"/>
      <c r="AO316" s="724"/>
      <c r="AP316" s="724"/>
      <c r="AQ316" s="724"/>
      <c r="AR316" s="726"/>
      <c r="AS316" s="724"/>
      <c r="AT316" s="726"/>
      <c r="AU316" s="724" t="s">
        <v>678</v>
      </c>
      <c r="AV316" s="724" t="s">
        <v>677</v>
      </c>
      <c r="AW316" s="724" t="s">
        <v>676</v>
      </c>
      <c r="AX316" s="724" t="s">
        <v>674</v>
      </c>
      <c r="AY316" s="724"/>
      <c r="AZ316" s="724"/>
      <c r="BA316" s="724" t="s">
        <v>679</v>
      </c>
      <c r="BB316" s="724"/>
      <c r="BC316" s="724"/>
      <c r="BD316" s="724"/>
      <c r="BE316" s="726"/>
      <c r="BF316" s="724" t="s">
        <v>298</v>
      </c>
      <c r="BG316" s="724" t="s">
        <v>680</v>
      </c>
      <c r="BH316" s="724" t="s">
        <v>681</v>
      </c>
      <c r="BI316" s="724"/>
    </row>
    <row r="317" spans="1:61">
      <c r="A317" s="724" t="s">
        <v>753</v>
      </c>
      <c r="B317" s="724" t="s">
        <v>753</v>
      </c>
      <c r="C317" s="724" t="s">
        <v>753</v>
      </c>
      <c r="D317" s="724" t="s">
        <v>716</v>
      </c>
      <c r="E317" s="724" t="s">
        <v>3</v>
      </c>
      <c r="F317" s="725" t="s">
        <v>71</v>
      </c>
      <c r="G317" s="725" t="s">
        <v>719</v>
      </c>
      <c r="H317" s="726">
        <v>1925000</v>
      </c>
      <c r="I317" s="726">
        <v>1925000</v>
      </c>
      <c r="J317" s="726">
        <v>0</v>
      </c>
      <c r="K317" s="726">
        <v>0</v>
      </c>
      <c r="L317" s="726">
        <v>1750000</v>
      </c>
      <c r="M317" s="726">
        <v>0</v>
      </c>
      <c r="N317" s="726">
        <v>0</v>
      </c>
      <c r="O317" s="726">
        <v>175000</v>
      </c>
      <c r="P317" s="726">
        <v>0</v>
      </c>
      <c r="Q317" s="726">
        <v>0</v>
      </c>
      <c r="R317" s="726">
        <v>0</v>
      </c>
      <c r="S317" s="726">
        <v>0</v>
      </c>
      <c r="T317" s="726">
        <v>0</v>
      </c>
      <c r="U317" s="726">
        <v>0</v>
      </c>
      <c r="V317" s="726">
        <v>0</v>
      </c>
      <c r="W317" s="726">
        <v>0</v>
      </c>
      <c r="X317" s="724" t="s">
        <v>674</v>
      </c>
      <c r="Y317" s="724" t="s">
        <v>1226</v>
      </c>
      <c r="Z317" s="724" t="s">
        <v>1226</v>
      </c>
      <c r="AA317" s="724" t="s">
        <v>675</v>
      </c>
      <c r="AB317" s="724" t="s">
        <v>675</v>
      </c>
      <c r="AC317" s="724"/>
      <c r="AD317" s="724"/>
      <c r="AE317" s="724"/>
      <c r="AF317" s="724"/>
      <c r="AG317" s="725" t="s">
        <v>816</v>
      </c>
      <c r="AH317" s="724"/>
      <c r="AI317" s="725" t="s">
        <v>816</v>
      </c>
      <c r="AJ317" s="725" t="s">
        <v>817</v>
      </c>
      <c r="AK317" s="724" t="s">
        <v>677</v>
      </c>
      <c r="AL317" s="724"/>
      <c r="AM317" s="724"/>
      <c r="AN317" s="724"/>
      <c r="AO317" s="724"/>
      <c r="AP317" s="724"/>
      <c r="AQ317" s="724"/>
      <c r="AR317" s="726"/>
      <c r="AS317" s="724"/>
      <c r="AT317" s="726"/>
      <c r="AU317" s="724" t="s">
        <v>678</v>
      </c>
      <c r="AV317" s="724" t="s">
        <v>677</v>
      </c>
      <c r="AW317" s="724" t="s">
        <v>676</v>
      </c>
      <c r="AX317" s="724" t="s">
        <v>674</v>
      </c>
      <c r="AY317" s="724"/>
      <c r="AZ317" s="724"/>
      <c r="BA317" s="724" t="s">
        <v>679</v>
      </c>
      <c r="BB317" s="724"/>
      <c r="BC317" s="724"/>
      <c r="BD317" s="724"/>
      <c r="BE317" s="726"/>
      <c r="BF317" s="724" t="s">
        <v>298</v>
      </c>
      <c r="BG317" s="724" t="s">
        <v>680</v>
      </c>
      <c r="BH317" s="724" t="s">
        <v>681</v>
      </c>
      <c r="BI317" s="724"/>
    </row>
    <row r="318" spans="1:61">
      <c r="A318" s="724" t="s">
        <v>753</v>
      </c>
      <c r="B318" s="724" t="s">
        <v>753</v>
      </c>
      <c r="C318" s="724" t="s">
        <v>753</v>
      </c>
      <c r="D318" s="724" t="s">
        <v>716</v>
      </c>
      <c r="E318" s="724" t="s">
        <v>3</v>
      </c>
      <c r="F318" s="725" t="s">
        <v>71</v>
      </c>
      <c r="G318" s="725" t="s">
        <v>719</v>
      </c>
      <c r="H318" s="726">
        <v>1155000</v>
      </c>
      <c r="I318" s="726">
        <v>1155000</v>
      </c>
      <c r="J318" s="726">
        <v>0</v>
      </c>
      <c r="K318" s="726">
        <v>0</v>
      </c>
      <c r="L318" s="726">
        <v>1050000</v>
      </c>
      <c r="M318" s="726">
        <v>0</v>
      </c>
      <c r="N318" s="726">
        <v>0</v>
      </c>
      <c r="O318" s="726">
        <v>105000</v>
      </c>
      <c r="P318" s="726">
        <v>0</v>
      </c>
      <c r="Q318" s="726">
        <v>0</v>
      </c>
      <c r="R318" s="726">
        <v>0</v>
      </c>
      <c r="S318" s="726">
        <v>0</v>
      </c>
      <c r="T318" s="726">
        <v>0</v>
      </c>
      <c r="U318" s="726">
        <v>0</v>
      </c>
      <c r="V318" s="726">
        <v>0</v>
      </c>
      <c r="W318" s="726">
        <v>0</v>
      </c>
      <c r="X318" s="724" t="s">
        <v>674</v>
      </c>
      <c r="Y318" s="724" t="s">
        <v>1226</v>
      </c>
      <c r="Z318" s="724" t="s">
        <v>1226</v>
      </c>
      <c r="AA318" s="724" t="s">
        <v>675</v>
      </c>
      <c r="AB318" s="724" t="s">
        <v>675</v>
      </c>
      <c r="AC318" s="724"/>
      <c r="AD318" s="724"/>
      <c r="AE318" s="724"/>
      <c r="AF318" s="724"/>
      <c r="AG318" s="725" t="s">
        <v>818</v>
      </c>
      <c r="AH318" s="724"/>
      <c r="AI318" s="725" t="s">
        <v>818</v>
      </c>
      <c r="AJ318" s="725" t="s">
        <v>819</v>
      </c>
      <c r="AK318" s="724" t="s">
        <v>677</v>
      </c>
      <c r="AL318" s="724"/>
      <c r="AM318" s="724"/>
      <c r="AN318" s="724"/>
      <c r="AO318" s="724"/>
      <c r="AP318" s="724"/>
      <c r="AQ318" s="724"/>
      <c r="AR318" s="726"/>
      <c r="AS318" s="724"/>
      <c r="AT318" s="726"/>
      <c r="AU318" s="724" t="s">
        <v>678</v>
      </c>
      <c r="AV318" s="724" t="s">
        <v>677</v>
      </c>
      <c r="AW318" s="724" t="s">
        <v>676</v>
      </c>
      <c r="AX318" s="724" t="s">
        <v>674</v>
      </c>
      <c r="AY318" s="724"/>
      <c r="AZ318" s="724"/>
      <c r="BA318" s="724" t="s">
        <v>679</v>
      </c>
      <c r="BB318" s="724"/>
      <c r="BC318" s="724"/>
      <c r="BD318" s="724"/>
      <c r="BE318" s="726"/>
      <c r="BF318" s="724" t="s">
        <v>298</v>
      </c>
      <c r="BG318" s="724" t="s">
        <v>680</v>
      </c>
      <c r="BH318" s="724" t="s">
        <v>681</v>
      </c>
      <c r="BI318" s="724"/>
    </row>
    <row r="319" spans="1:61">
      <c r="A319" s="724" t="s">
        <v>820</v>
      </c>
      <c r="B319" s="724" t="s">
        <v>821</v>
      </c>
      <c r="C319" s="724" t="s">
        <v>822</v>
      </c>
      <c r="D319" s="724" t="s">
        <v>716</v>
      </c>
      <c r="E319" s="724" t="s">
        <v>3</v>
      </c>
      <c r="F319" s="725" t="s">
        <v>83</v>
      </c>
      <c r="G319" s="725" t="s">
        <v>134</v>
      </c>
      <c r="H319" s="726">
        <v>265652200</v>
      </c>
      <c r="I319" s="726">
        <v>186772440</v>
      </c>
      <c r="J319" s="726">
        <v>0</v>
      </c>
      <c r="K319" s="726">
        <v>78879760</v>
      </c>
      <c r="L319" s="726">
        <v>169793128</v>
      </c>
      <c r="M319" s="726">
        <v>0</v>
      </c>
      <c r="N319" s="726">
        <v>71708872</v>
      </c>
      <c r="O319" s="726">
        <v>16979312</v>
      </c>
      <c r="P319" s="726">
        <v>0</v>
      </c>
      <c r="Q319" s="726">
        <v>7170888</v>
      </c>
      <c r="R319" s="726">
        <v>0</v>
      </c>
      <c r="S319" s="726">
        <v>0</v>
      </c>
      <c r="T319" s="726">
        <v>0</v>
      </c>
      <c r="U319" s="726">
        <v>0</v>
      </c>
      <c r="V319" s="726">
        <v>0</v>
      </c>
      <c r="W319" s="726">
        <v>0</v>
      </c>
      <c r="X319" s="724" t="s">
        <v>674</v>
      </c>
      <c r="Y319" s="724" t="s">
        <v>1226</v>
      </c>
      <c r="Z319" s="724" t="s">
        <v>1226</v>
      </c>
      <c r="AA319" s="724" t="s">
        <v>675</v>
      </c>
      <c r="AB319" s="724" t="s">
        <v>675</v>
      </c>
      <c r="AC319" s="724"/>
      <c r="AD319" s="724"/>
      <c r="AE319" s="724"/>
      <c r="AF319" s="724"/>
      <c r="AG319" s="725" t="s">
        <v>576</v>
      </c>
      <c r="AH319" s="724"/>
      <c r="AI319" s="725" t="s">
        <v>576</v>
      </c>
      <c r="AJ319" s="725" t="s">
        <v>823</v>
      </c>
      <c r="AK319" s="724" t="s">
        <v>677</v>
      </c>
      <c r="AL319" s="724"/>
      <c r="AM319" s="724"/>
      <c r="AN319" s="724"/>
      <c r="AO319" s="724"/>
      <c r="AP319" s="724"/>
      <c r="AQ319" s="724"/>
      <c r="AR319" s="726"/>
      <c r="AS319" s="724"/>
      <c r="AT319" s="726"/>
      <c r="AU319" s="724" t="s">
        <v>678</v>
      </c>
      <c r="AV319" s="724" t="s">
        <v>677</v>
      </c>
      <c r="AW319" s="724" t="s">
        <v>676</v>
      </c>
      <c r="AX319" s="724" t="s">
        <v>674</v>
      </c>
      <c r="AY319" s="724"/>
      <c r="AZ319" s="724"/>
      <c r="BA319" s="724" t="s">
        <v>679</v>
      </c>
      <c r="BB319" s="724"/>
      <c r="BC319" s="724"/>
      <c r="BD319" s="724"/>
      <c r="BE319" s="726"/>
      <c r="BF319" s="724" t="s">
        <v>298</v>
      </c>
      <c r="BG319" s="724" t="s">
        <v>680</v>
      </c>
      <c r="BH319" s="724" t="s">
        <v>681</v>
      </c>
      <c r="BI319" s="724"/>
    </row>
    <row r="320" spans="1:61">
      <c r="A320" s="724" t="s">
        <v>824</v>
      </c>
      <c r="B320" s="724" t="s">
        <v>824</v>
      </c>
      <c r="C320" s="724" t="s">
        <v>825</v>
      </c>
      <c r="D320" s="724" t="s">
        <v>673</v>
      </c>
      <c r="E320" s="724" t="s">
        <v>309</v>
      </c>
      <c r="F320" s="725" t="s">
        <v>309</v>
      </c>
      <c r="G320" s="725" t="s">
        <v>826</v>
      </c>
      <c r="H320" s="726">
        <v>7780000</v>
      </c>
      <c r="I320" s="726">
        <v>7780000</v>
      </c>
      <c r="J320" s="726">
        <v>0</v>
      </c>
      <c r="K320" s="726">
        <v>0</v>
      </c>
      <c r="L320" s="726">
        <v>7780000</v>
      </c>
      <c r="M320" s="726">
        <v>0</v>
      </c>
      <c r="N320" s="726">
        <v>0</v>
      </c>
      <c r="O320" s="726">
        <v>0</v>
      </c>
      <c r="P320" s="726">
        <v>0</v>
      </c>
      <c r="Q320" s="726">
        <v>0</v>
      </c>
      <c r="R320" s="726">
        <v>0</v>
      </c>
      <c r="S320" s="726">
        <v>0</v>
      </c>
      <c r="T320" s="726">
        <v>0</v>
      </c>
      <c r="U320" s="726">
        <v>0</v>
      </c>
      <c r="V320" s="726">
        <v>0</v>
      </c>
      <c r="W320" s="726">
        <v>0</v>
      </c>
      <c r="X320" s="724" t="s">
        <v>674</v>
      </c>
      <c r="Y320" s="724" t="s">
        <v>675</v>
      </c>
      <c r="Z320" s="724" t="s">
        <v>675</v>
      </c>
      <c r="AA320" s="724" t="s">
        <v>675</v>
      </c>
      <c r="AB320" s="724" t="s">
        <v>675</v>
      </c>
      <c r="AC320" s="724"/>
      <c r="AD320" s="724"/>
      <c r="AE320" s="724"/>
      <c r="AF320" s="724"/>
      <c r="AG320" s="725" t="s">
        <v>827</v>
      </c>
      <c r="AH320" s="724"/>
      <c r="AI320" s="725" t="s">
        <v>827</v>
      </c>
      <c r="AJ320" s="725" t="s">
        <v>677</v>
      </c>
      <c r="AK320" s="724" t="s">
        <v>677</v>
      </c>
      <c r="AL320" s="724"/>
      <c r="AM320" s="724"/>
      <c r="AN320" s="724"/>
      <c r="AO320" s="724"/>
      <c r="AP320" s="724"/>
      <c r="AQ320" s="724"/>
      <c r="AR320" s="726"/>
      <c r="AS320" s="724"/>
      <c r="AT320" s="726"/>
      <c r="AU320" s="724" t="s">
        <v>678</v>
      </c>
      <c r="AV320" s="724" t="s">
        <v>677</v>
      </c>
      <c r="AW320" s="724" t="s">
        <v>676</v>
      </c>
      <c r="AX320" s="724" t="s">
        <v>674</v>
      </c>
      <c r="AY320" s="724"/>
      <c r="AZ320" s="724"/>
      <c r="BA320" s="724" t="s">
        <v>679</v>
      </c>
      <c r="BB320" s="724"/>
      <c r="BC320" s="724"/>
      <c r="BD320" s="724"/>
      <c r="BE320" s="726"/>
      <c r="BF320" s="724" t="s">
        <v>298</v>
      </c>
      <c r="BG320" s="724" t="s">
        <v>680</v>
      </c>
      <c r="BH320" s="724" t="s">
        <v>681</v>
      </c>
      <c r="BI320" s="724"/>
    </row>
    <row r="321" spans="1:61">
      <c r="A321" s="724" t="s">
        <v>824</v>
      </c>
      <c r="B321" s="724" t="s">
        <v>824</v>
      </c>
      <c r="C321" s="724" t="s">
        <v>825</v>
      </c>
      <c r="D321" s="724" t="s">
        <v>673</v>
      </c>
      <c r="E321" s="724" t="s">
        <v>309</v>
      </c>
      <c r="F321" s="725" t="s">
        <v>309</v>
      </c>
      <c r="G321" s="725" t="s">
        <v>826</v>
      </c>
      <c r="H321" s="726">
        <v>62240000</v>
      </c>
      <c r="I321" s="726">
        <v>62240000</v>
      </c>
      <c r="J321" s="726">
        <v>0</v>
      </c>
      <c r="K321" s="726">
        <v>0</v>
      </c>
      <c r="L321" s="726">
        <v>62240000</v>
      </c>
      <c r="M321" s="726">
        <v>0</v>
      </c>
      <c r="N321" s="726">
        <v>0</v>
      </c>
      <c r="O321" s="726">
        <v>0</v>
      </c>
      <c r="P321" s="726">
        <v>0</v>
      </c>
      <c r="Q321" s="726">
        <v>0</v>
      </c>
      <c r="R321" s="726">
        <v>0</v>
      </c>
      <c r="S321" s="726">
        <v>0</v>
      </c>
      <c r="T321" s="726">
        <v>0</v>
      </c>
      <c r="U321" s="726">
        <v>0</v>
      </c>
      <c r="V321" s="726">
        <v>0</v>
      </c>
      <c r="W321" s="726">
        <v>0</v>
      </c>
      <c r="X321" s="724" t="s">
        <v>674</v>
      </c>
      <c r="Y321" s="724" t="s">
        <v>675</v>
      </c>
      <c r="Z321" s="724" t="s">
        <v>675</v>
      </c>
      <c r="AA321" s="724" t="s">
        <v>675</v>
      </c>
      <c r="AB321" s="724" t="s">
        <v>675</v>
      </c>
      <c r="AC321" s="724"/>
      <c r="AD321" s="724"/>
      <c r="AE321" s="724"/>
      <c r="AF321" s="724"/>
      <c r="AG321" s="725" t="s">
        <v>827</v>
      </c>
      <c r="AH321" s="724"/>
      <c r="AI321" s="725" t="s">
        <v>827</v>
      </c>
      <c r="AJ321" s="725" t="s">
        <v>677</v>
      </c>
      <c r="AK321" s="724" t="s">
        <v>677</v>
      </c>
      <c r="AL321" s="724"/>
      <c r="AM321" s="724"/>
      <c r="AN321" s="724"/>
      <c r="AO321" s="724"/>
      <c r="AP321" s="724"/>
      <c r="AQ321" s="724"/>
      <c r="AR321" s="726"/>
      <c r="AS321" s="724"/>
      <c r="AT321" s="726"/>
      <c r="AU321" s="724" t="s">
        <v>678</v>
      </c>
      <c r="AV321" s="724" t="s">
        <v>677</v>
      </c>
      <c r="AW321" s="724" t="s">
        <v>676</v>
      </c>
      <c r="AX321" s="724" t="s">
        <v>674</v>
      </c>
      <c r="AY321" s="724"/>
      <c r="AZ321" s="724"/>
      <c r="BA321" s="724" t="s">
        <v>679</v>
      </c>
      <c r="BB321" s="724"/>
      <c r="BC321" s="724"/>
      <c r="BD321" s="724"/>
      <c r="BE321" s="726"/>
      <c r="BF321" s="724" t="s">
        <v>298</v>
      </c>
      <c r="BG321" s="724" t="s">
        <v>680</v>
      </c>
      <c r="BH321" s="724" t="s">
        <v>681</v>
      </c>
      <c r="BI321" s="724"/>
    </row>
    <row r="322" spans="1:61">
      <c r="A322" s="724" t="s">
        <v>824</v>
      </c>
      <c r="B322" s="724" t="s">
        <v>824</v>
      </c>
      <c r="C322" s="724" t="s">
        <v>825</v>
      </c>
      <c r="D322" s="724" t="s">
        <v>673</v>
      </c>
      <c r="E322" s="724" t="s">
        <v>309</v>
      </c>
      <c r="F322" s="725" t="s">
        <v>309</v>
      </c>
      <c r="G322" s="725" t="s">
        <v>826</v>
      </c>
      <c r="H322" s="726">
        <v>85580000</v>
      </c>
      <c r="I322" s="726">
        <v>85580000</v>
      </c>
      <c r="J322" s="726">
        <v>0</v>
      </c>
      <c r="K322" s="726">
        <v>0</v>
      </c>
      <c r="L322" s="726">
        <v>85580000</v>
      </c>
      <c r="M322" s="726">
        <v>0</v>
      </c>
      <c r="N322" s="726">
        <v>0</v>
      </c>
      <c r="O322" s="726">
        <v>0</v>
      </c>
      <c r="P322" s="726">
        <v>0</v>
      </c>
      <c r="Q322" s="726">
        <v>0</v>
      </c>
      <c r="R322" s="726">
        <v>0</v>
      </c>
      <c r="S322" s="726">
        <v>0</v>
      </c>
      <c r="T322" s="726">
        <v>0</v>
      </c>
      <c r="U322" s="726">
        <v>0</v>
      </c>
      <c r="V322" s="726">
        <v>0</v>
      </c>
      <c r="W322" s="726">
        <v>0</v>
      </c>
      <c r="X322" s="724" t="s">
        <v>674</v>
      </c>
      <c r="Y322" s="724" t="s">
        <v>675</v>
      </c>
      <c r="Z322" s="724" t="s">
        <v>675</v>
      </c>
      <c r="AA322" s="724" t="s">
        <v>675</v>
      </c>
      <c r="AB322" s="724" t="s">
        <v>675</v>
      </c>
      <c r="AC322" s="724"/>
      <c r="AD322" s="724"/>
      <c r="AE322" s="724"/>
      <c r="AF322" s="724"/>
      <c r="AG322" s="725" t="s">
        <v>827</v>
      </c>
      <c r="AH322" s="724"/>
      <c r="AI322" s="725" t="s">
        <v>827</v>
      </c>
      <c r="AJ322" s="725" t="s">
        <v>677</v>
      </c>
      <c r="AK322" s="724" t="s">
        <v>677</v>
      </c>
      <c r="AL322" s="724"/>
      <c r="AM322" s="724"/>
      <c r="AN322" s="724"/>
      <c r="AO322" s="724"/>
      <c r="AP322" s="724"/>
      <c r="AQ322" s="724"/>
      <c r="AR322" s="726"/>
      <c r="AS322" s="724"/>
      <c r="AT322" s="726"/>
      <c r="AU322" s="724" t="s">
        <v>678</v>
      </c>
      <c r="AV322" s="724" t="s">
        <v>677</v>
      </c>
      <c r="AW322" s="724" t="s">
        <v>676</v>
      </c>
      <c r="AX322" s="724" t="s">
        <v>674</v>
      </c>
      <c r="AY322" s="724"/>
      <c r="AZ322" s="724"/>
      <c r="BA322" s="724" t="s">
        <v>679</v>
      </c>
      <c r="BB322" s="724"/>
      <c r="BC322" s="724"/>
      <c r="BD322" s="724"/>
      <c r="BE322" s="726"/>
      <c r="BF322" s="724" t="s">
        <v>298</v>
      </c>
      <c r="BG322" s="724" t="s">
        <v>680</v>
      </c>
      <c r="BH322" s="724" t="s">
        <v>681</v>
      </c>
      <c r="BI322" s="724"/>
    </row>
    <row r="323" spans="1:61">
      <c r="A323" s="724" t="s">
        <v>828</v>
      </c>
      <c r="B323" s="724" t="s">
        <v>682</v>
      </c>
      <c r="C323" s="724" t="s">
        <v>723</v>
      </c>
      <c r="D323" s="724" t="s">
        <v>724</v>
      </c>
      <c r="E323" s="724" t="s">
        <v>3</v>
      </c>
      <c r="F323" s="725" t="s">
        <v>83</v>
      </c>
      <c r="G323" s="725" t="s">
        <v>829</v>
      </c>
      <c r="H323" s="726">
        <v>5100</v>
      </c>
      <c r="I323" s="726">
        <v>5100</v>
      </c>
      <c r="J323" s="726">
        <v>0</v>
      </c>
      <c r="K323" s="726">
        <v>0</v>
      </c>
      <c r="L323" s="726">
        <v>4637</v>
      </c>
      <c r="M323" s="726">
        <v>0</v>
      </c>
      <c r="N323" s="726">
        <v>0</v>
      </c>
      <c r="O323" s="726">
        <v>463</v>
      </c>
      <c r="P323" s="726">
        <v>0</v>
      </c>
      <c r="Q323" s="726">
        <v>0</v>
      </c>
      <c r="R323" s="726">
        <v>0</v>
      </c>
      <c r="S323" s="726">
        <v>0</v>
      </c>
      <c r="T323" s="726">
        <v>0</v>
      </c>
      <c r="U323" s="726">
        <v>0</v>
      </c>
      <c r="V323" s="726">
        <v>0</v>
      </c>
      <c r="W323" s="726">
        <v>0</v>
      </c>
      <c r="X323" s="724" t="s">
        <v>674</v>
      </c>
      <c r="Y323" s="724" t="s">
        <v>675</v>
      </c>
      <c r="Z323" s="724" t="s">
        <v>675</v>
      </c>
      <c r="AA323" s="724" t="s">
        <v>675</v>
      </c>
      <c r="AB323" s="724" t="s">
        <v>675</v>
      </c>
      <c r="AC323" s="724"/>
      <c r="AD323" s="724"/>
      <c r="AE323" s="724"/>
      <c r="AF323" s="724"/>
      <c r="AG323" s="725" t="s">
        <v>558</v>
      </c>
      <c r="AH323" s="724"/>
      <c r="AI323" s="725" t="s">
        <v>558</v>
      </c>
      <c r="AJ323" s="725" t="s">
        <v>830</v>
      </c>
      <c r="AK323" s="724" t="s">
        <v>677</v>
      </c>
      <c r="AL323" s="724"/>
      <c r="AM323" s="724" t="s">
        <v>726</v>
      </c>
      <c r="AN323" s="724" t="s">
        <v>831</v>
      </c>
      <c r="AO323" s="724" t="s">
        <v>828</v>
      </c>
      <c r="AP323" s="724" t="s">
        <v>832</v>
      </c>
      <c r="AQ323" s="724" t="s">
        <v>729</v>
      </c>
      <c r="AR323" s="726">
        <v>5100</v>
      </c>
      <c r="AS323" s="724" t="s">
        <v>675</v>
      </c>
      <c r="AT323" s="726">
        <v>0</v>
      </c>
      <c r="AU323" s="724" t="s">
        <v>678</v>
      </c>
      <c r="AV323" s="724" t="s">
        <v>677</v>
      </c>
      <c r="AW323" s="724" t="s">
        <v>676</v>
      </c>
      <c r="AX323" s="724" t="s">
        <v>674</v>
      </c>
      <c r="AY323" s="724"/>
      <c r="AZ323" s="724"/>
      <c r="BA323" s="724" t="s">
        <v>679</v>
      </c>
      <c r="BB323" s="724"/>
      <c r="BC323" s="724"/>
      <c r="BD323" s="724"/>
      <c r="BE323" s="726"/>
      <c r="BF323" s="724" t="s">
        <v>298</v>
      </c>
      <c r="BG323" s="724" t="s">
        <v>680</v>
      </c>
      <c r="BH323" s="724" t="s">
        <v>681</v>
      </c>
      <c r="BI323" s="724"/>
    </row>
    <row r="324" spans="1:61">
      <c r="A324" s="724" t="s">
        <v>828</v>
      </c>
      <c r="B324" s="724" t="s">
        <v>821</v>
      </c>
      <c r="C324" s="724" t="s">
        <v>822</v>
      </c>
      <c r="D324" s="724" t="s">
        <v>724</v>
      </c>
      <c r="E324" s="724" t="s">
        <v>3</v>
      </c>
      <c r="F324" s="725" t="s">
        <v>83</v>
      </c>
      <c r="G324" s="725" t="s">
        <v>829</v>
      </c>
      <c r="H324" s="726">
        <v>371600</v>
      </c>
      <c r="I324" s="726">
        <v>311571</v>
      </c>
      <c r="J324" s="726">
        <v>0</v>
      </c>
      <c r="K324" s="726">
        <v>60029</v>
      </c>
      <c r="L324" s="726">
        <v>283248</v>
      </c>
      <c r="M324" s="726">
        <v>0</v>
      </c>
      <c r="N324" s="726">
        <v>54571</v>
      </c>
      <c r="O324" s="726">
        <v>28323</v>
      </c>
      <c r="P324" s="726">
        <v>0</v>
      </c>
      <c r="Q324" s="726">
        <v>5458</v>
      </c>
      <c r="R324" s="726">
        <v>0</v>
      </c>
      <c r="S324" s="726">
        <v>0</v>
      </c>
      <c r="T324" s="726">
        <v>0</v>
      </c>
      <c r="U324" s="726">
        <v>0</v>
      </c>
      <c r="V324" s="726">
        <v>0</v>
      </c>
      <c r="W324" s="726">
        <v>0</v>
      </c>
      <c r="X324" s="724" t="s">
        <v>674</v>
      </c>
      <c r="Y324" s="724" t="s">
        <v>1226</v>
      </c>
      <c r="Z324" s="724" t="s">
        <v>1226</v>
      </c>
      <c r="AA324" s="724" t="s">
        <v>675</v>
      </c>
      <c r="AB324" s="724" t="s">
        <v>675</v>
      </c>
      <c r="AC324" s="724"/>
      <c r="AD324" s="724"/>
      <c r="AE324" s="724"/>
      <c r="AF324" s="724"/>
      <c r="AG324" s="725" t="s">
        <v>575</v>
      </c>
      <c r="AH324" s="724"/>
      <c r="AI324" s="725" t="s">
        <v>575</v>
      </c>
      <c r="AJ324" s="725" t="s">
        <v>833</v>
      </c>
      <c r="AK324" s="724" t="s">
        <v>677</v>
      </c>
      <c r="AL324" s="724"/>
      <c r="AM324" s="724" t="s">
        <v>763</v>
      </c>
      <c r="AN324" s="724" t="s">
        <v>834</v>
      </c>
      <c r="AO324" s="724" t="s">
        <v>828</v>
      </c>
      <c r="AP324" s="724" t="s">
        <v>825</v>
      </c>
      <c r="AQ324" s="724" t="s">
        <v>835</v>
      </c>
      <c r="AR324" s="726">
        <v>371600</v>
      </c>
      <c r="AS324" s="724" t="s">
        <v>675</v>
      </c>
      <c r="AT324" s="726">
        <v>0</v>
      </c>
      <c r="AU324" s="724" t="s">
        <v>678</v>
      </c>
      <c r="AV324" s="724" t="s">
        <v>677</v>
      </c>
      <c r="AW324" s="724" t="s">
        <v>676</v>
      </c>
      <c r="AX324" s="724" t="s">
        <v>674</v>
      </c>
      <c r="AY324" s="724"/>
      <c r="AZ324" s="724"/>
      <c r="BA324" s="724" t="s">
        <v>679</v>
      </c>
      <c r="BB324" s="724"/>
      <c r="BC324" s="724"/>
      <c r="BD324" s="724"/>
      <c r="BE324" s="726"/>
      <c r="BF324" s="724" t="s">
        <v>298</v>
      </c>
      <c r="BG324" s="724" t="s">
        <v>680</v>
      </c>
      <c r="BH324" s="724" t="s">
        <v>681</v>
      </c>
      <c r="BI324" s="724"/>
    </row>
    <row r="325" spans="1:61">
      <c r="A325" s="724" t="s">
        <v>836</v>
      </c>
      <c r="B325" s="724" t="s">
        <v>836</v>
      </c>
      <c r="C325" s="724" t="s">
        <v>837</v>
      </c>
      <c r="D325" s="724" t="s">
        <v>673</v>
      </c>
      <c r="E325" s="724" t="s">
        <v>3</v>
      </c>
      <c r="F325" s="725" t="s">
        <v>83</v>
      </c>
      <c r="G325" s="725" t="s">
        <v>700</v>
      </c>
      <c r="H325" s="726">
        <v>1824000</v>
      </c>
      <c r="I325" s="726">
        <v>1824000</v>
      </c>
      <c r="J325" s="726">
        <v>0</v>
      </c>
      <c r="K325" s="726">
        <v>0</v>
      </c>
      <c r="L325" s="726">
        <v>1824000</v>
      </c>
      <c r="M325" s="726">
        <v>0</v>
      </c>
      <c r="N325" s="726">
        <v>0</v>
      </c>
      <c r="O325" s="726">
        <v>0</v>
      </c>
      <c r="P325" s="726">
        <v>0</v>
      </c>
      <c r="Q325" s="726">
        <v>0</v>
      </c>
      <c r="R325" s="726">
        <v>0</v>
      </c>
      <c r="S325" s="726">
        <v>0</v>
      </c>
      <c r="T325" s="726">
        <v>0</v>
      </c>
      <c r="U325" s="726">
        <v>0</v>
      </c>
      <c r="V325" s="726">
        <v>0</v>
      </c>
      <c r="W325" s="726">
        <v>0</v>
      </c>
      <c r="X325" s="724" t="s">
        <v>674</v>
      </c>
      <c r="Y325" s="724" t="s">
        <v>1226</v>
      </c>
      <c r="Z325" s="724" t="s">
        <v>1226</v>
      </c>
      <c r="AA325" s="724" t="s">
        <v>675</v>
      </c>
      <c r="AB325" s="724" t="s">
        <v>675</v>
      </c>
      <c r="AC325" s="724"/>
      <c r="AD325" s="724"/>
      <c r="AE325" s="724"/>
      <c r="AF325" s="724"/>
      <c r="AG325" s="725" t="s">
        <v>838</v>
      </c>
      <c r="AH325" s="724"/>
      <c r="AI325" s="725" t="s">
        <v>838</v>
      </c>
      <c r="AJ325" s="725" t="s">
        <v>677</v>
      </c>
      <c r="AK325" s="724" t="s">
        <v>677</v>
      </c>
      <c r="AL325" s="724"/>
      <c r="AM325" s="724"/>
      <c r="AN325" s="724"/>
      <c r="AO325" s="724"/>
      <c r="AP325" s="724"/>
      <c r="AQ325" s="724"/>
      <c r="AR325" s="726"/>
      <c r="AS325" s="724"/>
      <c r="AT325" s="726"/>
      <c r="AU325" s="724" t="s">
        <v>678</v>
      </c>
      <c r="AV325" s="724" t="s">
        <v>677</v>
      </c>
      <c r="AW325" s="724" t="s">
        <v>676</v>
      </c>
      <c r="AX325" s="724" t="s">
        <v>674</v>
      </c>
      <c r="AY325" s="724"/>
      <c r="AZ325" s="724"/>
      <c r="BA325" s="724" t="s">
        <v>679</v>
      </c>
      <c r="BB325" s="724"/>
      <c r="BC325" s="724"/>
      <c r="BD325" s="724"/>
      <c r="BE325" s="726"/>
      <c r="BF325" s="724" t="s">
        <v>298</v>
      </c>
      <c r="BG325" s="724" t="s">
        <v>680</v>
      </c>
      <c r="BH325" s="724" t="s">
        <v>681</v>
      </c>
      <c r="BI325" s="724"/>
    </row>
    <row r="326" spans="1:61">
      <c r="A326" s="724" t="s">
        <v>836</v>
      </c>
      <c r="B326" s="724" t="s">
        <v>836</v>
      </c>
      <c r="C326" s="724" t="s">
        <v>837</v>
      </c>
      <c r="D326" s="724" t="s">
        <v>673</v>
      </c>
      <c r="E326" s="724" t="s">
        <v>3</v>
      </c>
      <c r="F326" s="725" t="s">
        <v>83</v>
      </c>
      <c r="G326" s="725" t="s">
        <v>700</v>
      </c>
      <c r="H326" s="726">
        <v>176000</v>
      </c>
      <c r="I326" s="726">
        <v>176000</v>
      </c>
      <c r="J326" s="726">
        <v>0</v>
      </c>
      <c r="K326" s="726">
        <v>0</v>
      </c>
      <c r="L326" s="726">
        <v>176000</v>
      </c>
      <c r="M326" s="726">
        <v>0</v>
      </c>
      <c r="N326" s="726">
        <v>0</v>
      </c>
      <c r="O326" s="726">
        <v>0</v>
      </c>
      <c r="P326" s="726">
        <v>0</v>
      </c>
      <c r="Q326" s="726">
        <v>0</v>
      </c>
      <c r="R326" s="726">
        <v>0</v>
      </c>
      <c r="S326" s="726">
        <v>0</v>
      </c>
      <c r="T326" s="726">
        <v>0</v>
      </c>
      <c r="U326" s="726">
        <v>0</v>
      </c>
      <c r="V326" s="726">
        <v>0</v>
      </c>
      <c r="W326" s="726">
        <v>0</v>
      </c>
      <c r="X326" s="724" t="s">
        <v>674</v>
      </c>
      <c r="Y326" s="724" t="s">
        <v>1226</v>
      </c>
      <c r="Z326" s="724" t="s">
        <v>1226</v>
      </c>
      <c r="AA326" s="724" t="s">
        <v>675</v>
      </c>
      <c r="AB326" s="724" t="s">
        <v>675</v>
      </c>
      <c r="AC326" s="724"/>
      <c r="AD326" s="724"/>
      <c r="AE326" s="724"/>
      <c r="AF326" s="724"/>
      <c r="AG326" s="725" t="s">
        <v>839</v>
      </c>
      <c r="AH326" s="724"/>
      <c r="AI326" s="725" t="s">
        <v>839</v>
      </c>
      <c r="AJ326" s="725" t="s">
        <v>677</v>
      </c>
      <c r="AK326" s="724" t="s">
        <v>677</v>
      </c>
      <c r="AL326" s="724"/>
      <c r="AM326" s="724"/>
      <c r="AN326" s="724"/>
      <c r="AO326" s="724"/>
      <c r="AP326" s="724"/>
      <c r="AQ326" s="724"/>
      <c r="AR326" s="726"/>
      <c r="AS326" s="724"/>
      <c r="AT326" s="726"/>
      <c r="AU326" s="724" t="s">
        <v>678</v>
      </c>
      <c r="AV326" s="724" t="s">
        <v>677</v>
      </c>
      <c r="AW326" s="724" t="s">
        <v>676</v>
      </c>
      <c r="AX326" s="724" t="s">
        <v>674</v>
      </c>
      <c r="AY326" s="724"/>
      <c r="AZ326" s="724"/>
      <c r="BA326" s="724" t="s">
        <v>679</v>
      </c>
      <c r="BB326" s="724"/>
      <c r="BC326" s="724"/>
      <c r="BD326" s="724"/>
      <c r="BE326" s="726"/>
      <c r="BF326" s="724" t="s">
        <v>298</v>
      </c>
      <c r="BG326" s="724" t="s">
        <v>680</v>
      </c>
      <c r="BH326" s="724" t="s">
        <v>681</v>
      </c>
      <c r="BI326" s="724"/>
    </row>
    <row r="327" spans="1:61">
      <c r="A327" s="724" t="s">
        <v>840</v>
      </c>
      <c r="B327" s="724" t="s">
        <v>805</v>
      </c>
      <c r="C327" s="724" t="s">
        <v>806</v>
      </c>
      <c r="D327" s="724" t="s">
        <v>716</v>
      </c>
      <c r="E327" s="724" t="s">
        <v>3</v>
      </c>
      <c r="F327" s="725" t="s">
        <v>71</v>
      </c>
      <c r="G327" s="725" t="s">
        <v>719</v>
      </c>
      <c r="H327" s="726">
        <v>1531200</v>
      </c>
      <c r="I327" s="726">
        <v>1531200</v>
      </c>
      <c r="J327" s="726">
        <v>0</v>
      </c>
      <c r="K327" s="726">
        <v>0</v>
      </c>
      <c r="L327" s="726">
        <v>1392000</v>
      </c>
      <c r="M327" s="726">
        <v>0</v>
      </c>
      <c r="N327" s="726">
        <v>0</v>
      </c>
      <c r="O327" s="726">
        <v>139200</v>
      </c>
      <c r="P327" s="726">
        <v>0</v>
      </c>
      <c r="Q327" s="726">
        <v>0</v>
      </c>
      <c r="R327" s="726">
        <v>0</v>
      </c>
      <c r="S327" s="726">
        <v>0</v>
      </c>
      <c r="T327" s="726">
        <v>0</v>
      </c>
      <c r="U327" s="726">
        <v>0</v>
      </c>
      <c r="V327" s="726">
        <v>0</v>
      </c>
      <c r="W327" s="726">
        <v>0</v>
      </c>
      <c r="X327" s="724" t="s">
        <v>674</v>
      </c>
      <c r="Y327" s="724" t="s">
        <v>1226</v>
      </c>
      <c r="Z327" s="724" t="s">
        <v>1226</v>
      </c>
      <c r="AA327" s="724" t="s">
        <v>675</v>
      </c>
      <c r="AB327" s="724" t="s">
        <v>675</v>
      </c>
      <c r="AC327" s="724"/>
      <c r="AD327" s="724"/>
      <c r="AE327" s="724"/>
      <c r="AF327" s="724"/>
      <c r="AG327" s="725" t="s">
        <v>841</v>
      </c>
      <c r="AH327" s="724"/>
      <c r="AI327" s="725" t="s">
        <v>841</v>
      </c>
      <c r="AJ327" s="725" t="s">
        <v>842</v>
      </c>
      <c r="AK327" s="724" t="s">
        <v>677</v>
      </c>
      <c r="AL327" s="724"/>
      <c r="AM327" s="724"/>
      <c r="AN327" s="724"/>
      <c r="AO327" s="724"/>
      <c r="AP327" s="724"/>
      <c r="AQ327" s="724"/>
      <c r="AR327" s="726"/>
      <c r="AS327" s="724"/>
      <c r="AT327" s="726"/>
      <c r="AU327" s="724" t="s">
        <v>678</v>
      </c>
      <c r="AV327" s="724" t="s">
        <v>677</v>
      </c>
      <c r="AW327" s="724" t="s">
        <v>676</v>
      </c>
      <c r="AX327" s="724" t="s">
        <v>674</v>
      </c>
      <c r="AY327" s="724"/>
      <c r="AZ327" s="724"/>
      <c r="BA327" s="724" t="s">
        <v>679</v>
      </c>
      <c r="BB327" s="724"/>
      <c r="BC327" s="724"/>
      <c r="BD327" s="724"/>
      <c r="BE327" s="726"/>
      <c r="BF327" s="724" t="s">
        <v>298</v>
      </c>
      <c r="BG327" s="724" t="s">
        <v>680</v>
      </c>
      <c r="BH327" s="724" t="s">
        <v>681</v>
      </c>
      <c r="BI327" s="724"/>
    </row>
    <row r="328" spans="1:61">
      <c r="A328" s="724" t="s">
        <v>843</v>
      </c>
      <c r="B328" s="724" t="s">
        <v>843</v>
      </c>
      <c r="C328" s="724" t="s">
        <v>843</v>
      </c>
      <c r="D328" s="724" t="s">
        <v>673</v>
      </c>
      <c r="E328" s="724" t="s">
        <v>3</v>
      </c>
      <c r="F328" s="725" t="s">
        <v>83</v>
      </c>
      <c r="G328" s="725" t="s">
        <v>700</v>
      </c>
      <c r="H328" s="726">
        <v>73333</v>
      </c>
      <c r="I328" s="726">
        <v>73333</v>
      </c>
      <c r="J328" s="726">
        <v>0</v>
      </c>
      <c r="K328" s="726">
        <v>0</v>
      </c>
      <c r="L328" s="726">
        <v>73333</v>
      </c>
      <c r="M328" s="726">
        <v>0</v>
      </c>
      <c r="N328" s="726">
        <v>0</v>
      </c>
      <c r="O328" s="726">
        <v>0</v>
      </c>
      <c r="P328" s="726">
        <v>0</v>
      </c>
      <c r="Q328" s="726">
        <v>0</v>
      </c>
      <c r="R328" s="726">
        <v>0</v>
      </c>
      <c r="S328" s="726">
        <v>0</v>
      </c>
      <c r="T328" s="726">
        <v>0</v>
      </c>
      <c r="U328" s="726">
        <v>0</v>
      </c>
      <c r="V328" s="726">
        <v>0</v>
      </c>
      <c r="W328" s="726">
        <v>0</v>
      </c>
      <c r="X328" s="724" t="s">
        <v>674</v>
      </c>
      <c r="Y328" s="724" t="s">
        <v>675</v>
      </c>
      <c r="Z328" s="724" t="s">
        <v>675</v>
      </c>
      <c r="AA328" s="724" t="s">
        <v>675</v>
      </c>
      <c r="AB328" s="724" t="s">
        <v>675</v>
      </c>
      <c r="AC328" s="724"/>
      <c r="AD328" s="724"/>
      <c r="AE328" s="724"/>
      <c r="AF328" s="724"/>
      <c r="AG328" s="725" t="s">
        <v>844</v>
      </c>
      <c r="AH328" s="724"/>
      <c r="AI328" s="725" t="s">
        <v>844</v>
      </c>
      <c r="AJ328" s="725" t="s">
        <v>677</v>
      </c>
      <c r="AK328" s="724" t="s">
        <v>677</v>
      </c>
      <c r="AL328" s="724"/>
      <c r="AM328" s="724"/>
      <c r="AN328" s="724"/>
      <c r="AO328" s="724"/>
      <c r="AP328" s="724"/>
      <c r="AQ328" s="724"/>
      <c r="AR328" s="726"/>
      <c r="AS328" s="724"/>
      <c r="AT328" s="726"/>
      <c r="AU328" s="724" t="s">
        <v>678</v>
      </c>
      <c r="AV328" s="724" t="s">
        <v>677</v>
      </c>
      <c r="AW328" s="724" t="s">
        <v>676</v>
      </c>
      <c r="AX328" s="724" t="s">
        <v>674</v>
      </c>
      <c r="AY328" s="724"/>
      <c r="AZ328" s="724"/>
      <c r="BA328" s="724" t="s">
        <v>679</v>
      </c>
      <c r="BB328" s="724"/>
      <c r="BC328" s="724"/>
      <c r="BD328" s="724"/>
      <c r="BE328" s="726"/>
      <c r="BF328" s="724" t="s">
        <v>298</v>
      </c>
      <c r="BG328" s="724" t="s">
        <v>680</v>
      </c>
      <c r="BH328" s="724" t="s">
        <v>681</v>
      </c>
      <c r="BI328" s="724"/>
    </row>
    <row r="329" spans="1:61">
      <c r="A329" s="724" t="s">
        <v>843</v>
      </c>
      <c r="B329" s="724" t="s">
        <v>843</v>
      </c>
      <c r="C329" s="724" t="s">
        <v>843</v>
      </c>
      <c r="D329" s="724" t="s">
        <v>673</v>
      </c>
      <c r="E329" s="724" t="s">
        <v>3</v>
      </c>
      <c r="F329" s="725" t="s">
        <v>83</v>
      </c>
      <c r="G329" s="725" t="s">
        <v>700</v>
      </c>
      <c r="H329" s="726">
        <v>73333</v>
      </c>
      <c r="I329" s="726">
        <v>73333</v>
      </c>
      <c r="J329" s="726">
        <v>0</v>
      </c>
      <c r="K329" s="726">
        <v>0</v>
      </c>
      <c r="L329" s="726">
        <v>73333</v>
      </c>
      <c r="M329" s="726">
        <v>0</v>
      </c>
      <c r="N329" s="726">
        <v>0</v>
      </c>
      <c r="O329" s="726">
        <v>0</v>
      </c>
      <c r="P329" s="726">
        <v>0</v>
      </c>
      <c r="Q329" s="726">
        <v>0</v>
      </c>
      <c r="R329" s="726">
        <v>0</v>
      </c>
      <c r="S329" s="726">
        <v>0</v>
      </c>
      <c r="T329" s="726">
        <v>0</v>
      </c>
      <c r="U329" s="726">
        <v>0</v>
      </c>
      <c r="V329" s="726">
        <v>0</v>
      </c>
      <c r="W329" s="726">
        <v>0</v>
      </c>
      <c r="X329" s="724" t="s">
        <v>674</v>
      </c>
      <c r="Y329" s="724" t="s">
        <v>675</v>
      </c>
      <c r="Z329" s="724" t="s">
        <v>675</v>
      </c>
      <c r="AA329" s="724" t="s">
        <v>675</v>
      </c>
      <c r="AB329" s="724" t="s">
        <v>675</v>
      </c>
      <c r="AC329" s="724"/>
      <c r="AD329" s="724"/>
      <c r="AE329" s="724"/>
      <c r="AF329" s="724"/>
      <c r="AG329" s="725" t="s">
        <v>844</v>
      </c>
      <c r="AH329" s="724"/>
      <c r="AI329" s="725" t="s">
        <v>844</v>
      </c>
      <c r="AJ329" s="725" t="s">
        <v>677</v>
      </c>
      <c r="AK329" s="724" t="s">
        <v>677</v>
      </c>
      <c r="AL329" s="724"/>
      <c r="AM329" s="724"/>
      <c r="AN329" s="724"/>
      <c r="AO329" s="724"/>
      <c r="AP329" s="724"/>
      <c r="AQ329" s="724"/>
      <c r="AR329" s="726"/>
      <c r="AS329" s="724"/>
      <c r="AT329" s="726"/>
      <c r="AU329" s="724" t="s">
        <v>678</v>
      </c>
      <c r="AV329" s="724" t="s">
        <v>677</v>
      </c>
      <c r="AW329" s="724" t="s">
        <v>676</v>
      </c>
      <c r="AX329" s="724" t="s">
        <v>674</v>
      </c>
      <c r="AY329" s="724"/>
      <c r="AZ329" s="724"/>
      <c r="BA329" s="724" t="s">
        <v>679</v>
      </c>
      <c r="BB329" s="724"/>
      <c r="BC329" s="724"/>
      <c r="BD329" s="724"/>
      <c r="BE329" s="726"/>
      <c r="BF329" s="724" t="s">
        <v>298</v>
      </c>
      <c r="BG329" s="724" t="s">
        <v>680</v>
      </c>
      <c r="BH329" s="724" t="s">
        <v>681</v>
      </c>
      <c r="BI329" s="724"/>
    </row>
    <row r="330" spans="1:61">
      <c r="A330" s="724" t="s">
        <v>843</v>
      </c>
      <c r="B330" s="724" t="s">
        <v>843</v>
      </c>
      <c r="C330" s="724" t="s">
        <v>843</v>
      </c>
      <c r="D330" s="724" t="s">
        <v>673</v>
      </c>
      <c r="E330" s="724" t="s">
        <v>3</v>
      </c>
      <c r="F330" s="725" t="s">
        <v>83</v>
      </c>
      <c r="G330" s="725" t="s">
        <v>700</v>
      </c>
      <c r="H330" s="726">
        <v>73334</v>
      </c>
      <c r="I330" s="726">
        <v>73334</v>
      </c>
      <c r="J330" s="726">
        <v>0</v>
      </c>
      <c r="K330" s="726">
        <v>0</v>
      </c>
      <c r="L330" s="726">
        <v>73334</v>
      </c>
      <c r="M330" s="726">
        <v>0</v>
      </c>
      <c r="N330" s="726">
        <v>0</v>
      </c>
      <c r="O330" s="726">
        <v>0</v>
      </c>
      <c r="P330" s="726">
        <v>0</v>
      </c>
      <c r="Q330" s="726">
        <v>0</v>
      </c>
      <c r="R330" s="726">
        <v>0</v>
      </c>
      <c r="S330" s="726">
        <v>0</v>
      </c>
      <c r="T330" s="726">
        <v>0</v>
      </c>
      <c r="U330" s="726">
        <v>0</v>
      </c>
      <c r="V330" s="726">
        <v>0</v>
      </c>
      <c r="W330" s="726">
        <v>0</v>
      </c>
      <c r="X330" s="724" t="s">
        <v>674</v>
      </c>
      <c r="Y330" s="724" t="s">
        <v>675</v>
      </c>
      <c r="Z330" s="724" t="s">
        <v>675</v>
      </c>
      <c r="AA330" s="724" t="s">
        <v>675</v>
      </c>
      <c r="AB330" s="724" t="s">
        <v>675</v>
      </c>
      <c r="AC330" s="724"/>
      <c r="AD330" s="724"/>
      <c r="AE330" s="724"/>
      <c r="AF330" s="724"/>
      <c r="AG330" s="725" t="s">
        <v>844</v>
      </c>
      <c r="AH330" s="724"/>
      <c r="AI330" s="725" t="s">
        <v>844</v>
      </c>
      <c r="AJ330" s="725" t="s">
        <v>677</v>
      </c>
      <c r="AK330" s="724" t="s">
        <v>677</v>
      </c>
      <c r="AL330" s="724"/>
      <c r="AM330" s="724"/>
      <c r="AN330" s="724"/>
      <c r="AO330" s="724"/>
      <c r="AP330" s="724"/>
      <c r="AQ330" s="724"/>
      <c r="AR330" s="726"/>
      <c r="AS330" s="724"/>
      <c r="AT330" s="726"/>
      <c r="AU330" s="724" t="s">
        <v>678</v>
      </c>
      <c r="AV330" s="724" t="s">
        <v>677</v>
      </c>
      <c r="AW330" s="724" t="s">
        <v>676</v>
      </c>
      <c r="AX330" s="724" t="s">
        <v>674</v>
      </c>
      <c r="AY330" s="724"/>
      <c r="AZ330" s="724"/>
      <c r="BA330" s="724" t="s">
        <v>679</v>
      </c>
      <c r="BB330" s="724"/>
      <c r="BC330" s="724"/>
      <c r="BD330" s="724"/>
      <c r="BE330" s="726"/>
      <c r="BF330" s="724" t="s">
        <v>298</v>
      </c>
      <c r="BG330" s="724" t="s">
        <v>680</v>
      </c>
      <c r="BH330" s="724" t="s">
        <v>681</v>
      </c>
      <c r="BI330" s="724"/>
    </row>
    <row r="331" spans="1:61">
      <c r="A331" s="724" t="s">
        <v>843</v>
      </c>
      <c r="B331" s="724" t="s">
        <v>843</v>
      </c>
      <c r="C331" s="724" t="s">
        <v>843</v>
      </c>
      <c r="D331" s="724" t="s">
        <v>673</v>
      </c>
      <c r="E331" s="724" t="s">
        <v>3</v>
      </c>
      <c r="F331" s="725" t="s">
        <v>83</v>
      </c>
      <c r="G331" s="725" t="s">
        <v>700</v>
      </c>
      <c r="H331" s="726">
        <v>73333</v>
      </c>
      <c r="I331" s="726">
        <v>73333</v>
      </c>
      <c r="J331" s="726">
        <v>0</v>
      </c>
      <c r="K331" s="726">
        <v>0</v>
      </c>
      <c r="L331" s="726">
        <v>73333</v>
      </c>
      <c r="M331" s="726">
        <v>0</v>
      </c>
      <c r="N331" s="726">
        <v>0</v>
      </c>
      <c r="O331" s="726">
        <v>0</v>
      </c>
      <c r="P331" s="726">
        <v>0</v>
      </c>
      <c r="Q331" s="726">
        <v>0</v>
      </c>
      <c r="R331" s="726">
        <v>0</v>
      </c>
      <c r="S331" s="726">
        <v>0</v>
      </c>
      <c r="T331" s="726">
        <v>0</v>
      </c>
      <c r="U331" s="726">
        <v>0</v>
      </c>
      <c r="V331" s="726">
        <v>0</v>
      </c>
      <c r="W331" s="726">
        <v>0</v>
      </c>
      <c r="X331" s="724" t="s">
        <v>674</v>
      </c>
      <c r="Y331" s="724" t="s">
        <v>675</v>
      </c>
      <c r="Z331" s="724" t="s">
        <v>675</v>
      </c>
      <c r="AA331" s="724" t="s">
        <v>675</v>
      </c>
      <c r="AB331" s="724" t="s">
        <v>675</v>
      </c>
      <c r="AC331" s="724"/>
      <c r="AD331" s="724"/>
      <c r="AE331" s="724"/>
      <c r="AF331" s="724"/>
      <c r="AG331" s="725" t="s">
        <v>844</v>
      </c>
      <c r="AH331" s="724"/>
      <c r="AI331" s="725" t="s">
        <v>844</v>
      </c>
      <c r="AJ331" s="725" t="s">
        <v>677</v>
      </c>
      <c r="AK331" s="724" t="s">
        <v>677</v>
      </c>
      <c r="AL331" s="724"/>
      <c r="AM331" s="724"/>
      <c r="AN331" s="724"/>
      <c r="AO331" s="724"/>
      <c r="AP331" s="724"/>
      <c r="AQ331" s="724"/>
      <c r="AR331" s="726"/>
      <c r="AS331" s="724"/>
      <c r="AT331" s="726"/>
      <c r="AU331" s="724" t="s">
        <v>678</v>
      </c>
      <c r="AV331" s="724" t="s">
        <v>677</v>
      </c>
      <c r="AW331" s="724" t="s">
        <v>676</v>
      </c>
      <c r="AX331" s="724" t="s">
        <v>674</v>
      </c>
      <c r="AY331" s="724"/>
      <c r="AZ331" s="724"/>
      <c r="BA331" s="724" t="s">
        <v>679</v>
      </c>
      <c r="BB331" s="724"/>
      <c r="BC331" s="724"/>
      <c r="BD331" s="724"/>
      <c r="BE331" s="726"/>
      <c r="BF331" s="724" t="s">
        <v>298</v>
      </c>
      <c r="BG331" s="724" t="s">
        <v>680</v>
      </c>
      <c r="BH331" s="724" t="s">
        <v>681</v>
      </c>
      <c r="BI331" s="724"/>
    </row>
    <row r="332" spans="1:61">
      <c r="A332" s="724" t="s">
        <v>843</v>
      </c>
      <c r="B332" s="724" t="s">
        <v>843</v>
      </c>
      <c r="C332" s="724" t="s">
        <v>843</v>
      </c>
      <c r="D332" s="724" t="s">
        <v>673</v>
      </c>
      <c r="E332" s="724" t="s">
        <v>3</v>
      </c>
      <c r="F332" s="725" t="s">
        <v>83</v>
      </c>
      <c r="G332" s="725" t="s">
        <v>700</v>
      </c>
      <c r="H332" s="726">
        <v>73333</v>
      </c>
      <c r="I332" s="726">
        <v>73333</v>
      </c>
      <c r="J332" s="726">
        <v>0</v>
      </c>
      <c r="K332" s="726">
        <v>0</v>
      </c>
      <c r="L332" s="726">
        <v>73333</v>
      </c>
      <c r="M332" s="726">
        <v>0</v>
      </c>
      <c r="N332" s="726">
        <v>0</v>
      </c>
      <c r="O332" s="726">
        <v>0</v>
      </c>
      <c r="P332" s="726">
        <v>0</v>
      </c>
      <c r="Q332" s="726">
        <v>0</v>
      </c>
      <c r="R332" s="726">
        <v>0</v>
      </c>
      <c r="S332" s="726">
        <v>0</v>
      </c>
      <c r="T332" s="726">
        <v>0</v>
      </c>
      <c r="U332" s="726">
        <v>0</v>
      </c>
      <c r="V332" s="726">
        <v>0</v>
      </c>
      <c r="W332" s="726">
        <v>0</v>
      </c>
      <c r="X332" s="724" t="s">
        <v>674</v>
      </c>
      <c r="Y332" s="724" t="s">
        <v>675</v>
      </c>
      <c r="Z332" s="724" t="s">
        <v>675</v>
      </c>
      <c r="AA332" s="724" t="s">
        <v>675</v>
      </c>
      <c r="AB332" s="724" t="s">
        <v>675</v>
      </c>
      <c r="AC332" s="724"/>
      <c r="AD332" s="724"/>
      <c r="AE332" s="724"/>
      <c r="AF332" s="724"/>
      <c r="AG332" s="725" t="s">
        <v>844</v>
      </c>
      <c r="AH332" s="724"/>
      <c r="AI332" s="725" t="s">
        <v>844</v>
      </c>
      <c r="AJ332" s="725" t="s">
        <v>677</v>
      </c>
      <c r="AK332" s="724" t="s">
        <v>677</v>
      </c>
      <c r="AL332" s="724"/>
      <c r="AM332" s="724"/>
      <c r="AN332" s="724"/>
      <c r="AO332" s="724"/>
      <c r="AP332" s="724"/>
      <c r="AQ332" s="724"/>
      <c r="AR332" s="726"/>
      <c r="AS332" s="724"/>
      <c r="AT332" s="726"/>
      <c r="AU332" s="724" t="s">
        <v>678</v>
      </c>
      <c r="AV332" s="724" t="s">
        <v>677</v>
      </c>
      <c r="AW332" s="724" t="s">
        <v>676</v>
      </c>
      <c r="AX332" s="724" t="s">
        <v>674</v>
      </c>
      <c r="AY332" s="724"/>
      <c r="AZ332" s="724"/>
      <c r="BA332" s="724" t="s">
        <v>679</v>
      </c>
      <c r="BB332" s="724"/>
      <c r="BC332" s="724"/>
      <c r="BD332" s="724"/>
      <c r="BE332" s="726"/>
      <c r="BF332" s="724" t="s">
        <v>298</v>
      </c>
      <c r="BG332" s="724" t="s">
        <v>680</v>
      </c>
      <c r="BH332" s="724" t="s">
        <v>681</v>
      </c>
      <c r="BI332" s="724"/>
    </row>
    <row r="333" spans="1:61">
      <c r="A333" s="724" t="s">
        <v>843</v>
      </c>
      <c r="B333" s="724" t="s">
        <v>843</v>
      </c>
      <c r="C333" s="724" t="s">
        <v>843</v>
      </c>
      <c r="D333" s="724" t="s">
        <v>673</v>
      </c>
      <c r="E333" s="724" t="s">
        <v>3</v>
      </c>
      <c r="F333" s="725" t="s">
        <v>83</v>
      </c>
      <c r="G333" s="725" t="s">
        <v>700</v>
      </c>
      <c r="H333" s="726">
        <v>73334</v>
      </c>
      <c r="I333" s="726">
        <v>73334</v>
      </c>
      <c r="J333" s="726">
        <v>0</v>
      </c>
      <c r="K333" s="726">
        <v>0</v>
      </c>
      <c r="L333" s="726">
        <v>73334</v>
      </c>
      <c r="M333" s="726">
        <v>0</v>
      </c>
      <c r="N333" s="726">
        <v>0</v>
      </c>
      <c r="O333" s="726">
        <v>0</v>
      </c>
      <c r="P333" s="726">
        <v>0</v>
      </c>
      <c r="Q333" s="726">
        <v>0</v>
      </c>
      <c r="R333" s="726">
        <v>0</v>
      </c>
      <c r="S333" s="726">
        <v>0</v>
      </c>
      <c r="T333" s="726">
        <v>0</v>
      </c>
      <c r="U333" s="726">
        <v>0</v>
      </c>
      <c r="V333" s="726">
        <v>0</v>
      </c>
      <c r="W333" s="726">
        <v>0</v>
      </c>
      <c r="X333" s="724" t="s">
        <v>674</v>
      </c>
      <c r="Y333" s="724" t="s">
        <v>675</v>
      </c>
      <c r="Z333" s="724" t="s">
        <v>675</v>
      </c>
      <c r="AA333" s="724" t="s">
        <v>675</v>
      </c>
      <c r="AB333" s="724" t="s">
        <v>675</v>
      </c>
      <c r="AC333" s="724"/>
      <c r="AD333" s="724"/>
      <c r="AE333" s="724"/>
      <c r="AF333" s="724"/>
      <c r="AG333" s="725" t="s">
        <v>844</v>
      </c>
      <c r="AH333" s="724"/>
      <c r="AI333" s="725" t="s">
        <v>844</v>
      </c>
      <c r="AJ333" s="725" t="s">
        <v>677</v>
      </c>
      <c r="AK333" s="724" t="s">
        <v>677</v>
      </c>
      <c r="AL333" s="724"/>
      <c r="AM333" s="724"/>
      <c r="AN333" s="724"/>
      <c r="AO333" s="724"/>
      <c r="AP333" s="724"/>
      <c r="AQ333" s="724"/>
      <c r="AR333" s="726"/>
      <c r="AS333" s="724"/>
      <c r="AT333" s="726"/>
      <c r="AU333" s="724" t="s">
        <v>678</v>
      </c>
      <c r="AV333" s="724" t="s">
        <v>677</v>
      </c>
      <c r="AW333" s="724" t="s">
        <v>676</v>
      </c>
      <c r="AX333" s="724" t="s">
        <v>674</v>
      </c>
      <c r="AY333" s="724"/>
      <c r="AZ333" s="724"/>
      <c r="BA333" s="724" t="s">
        <v>679</v>
      </c>
      <c r="BB333" s="724"/>
      <c r="BC333" s="724"/>
      <c r="BD333" s="724"/>
      <c r="BE333" s="726"/>
      <c r="BF333" s="724" t="s">
        <v>298</v>
      </c>
      <c r="BG333" s="724" t="s">
        <v>680</v>
      </c>
      <c r="BH333" s="724" t="s">
        <v>681</v>
      </c>
      <c r="BI333" s="724"/>
    </row>
    <row r="334" spans="1:61">
      <c r="A334" s="724" t="s">
        <v>843</v>
      </c>
      <c r="B334" s="724" t="s">
        <v>843</v>
      </c>
      <c r="C334" s="724" t="s">
        <v>843</v>
      </c>
      <c r="D334" s="724" t="s">
        <v>673</v>
      </c>
      <c r="E334" s="724" t="s">
        <v>3</v>
      </c>
      <c r="F334" s="725" t="s">
        <v>83</v>
      </c>
      <c r="G334" s="725" t="s">
        <v>700</v>
      </c>
      <c r="H334" s="726">
        <v>73333</v>
      </c>
      <c r="I334" s="726">
        <v>73333</v>
      </c>
      <c r="J334" s="726">
        <v>0</v>
      </c>
      <c r="K334" s="726">
        <v>0</v>
      </c>
      <c r="L334" s="726">
        <v>73333</v>
      </c>
      <c r="M334" s="726">
        <v>0</v>
      </c>
      <c r="N334" s="726">
        <v>0</v>
      </c>
      <c r="O334" s="726">
        <v>0</v>
      </c>
      <c r="P334" s="726">
        <v>0</v>
      </c>
      <c r="Q334" s="726">
        <v>0</v>
      </c>
      <c r="R334" s="726">
        <v>0</v>
      </c>
      <c r="S334" s="726">
        <v>0</v>
      </c>
      <c r="T334" s="726">
        <v>0</v>
      </c>
      <c r="U334" s="726">
        <v>0</v>
      </c>
      <c r="V334" s="726">
        <v>0</v>
      </c>
      <c r="W334" s="726">
        <v>0</v>
      </c>
      <c r="X334" s="724" t="s">
        <v>674</v>
      </c>
      <c r="Y334" s="724" t="s">
        <v>675</v>
      </c>
      <c r="Z334" s="724" t="s">
        <v>675</v>
      </c>
      <c r="AA334" s="724" t="s">
        <v>675</v>
      </c>
      <c r="AB334" s="724" t="s">
        <v>675</v>
      </c>
      <c r="AC334" s="724"/>
      <c r="AD334" s="724"/>
      <c r="AE334" s="724"/>
      <c r="AF334" s="724"/>
      <c r="AG334" s="725" t="s">
        <v>844</v>
      </c>
      <c r="AH334" s="724"/>
      <c r="AI334" s="725" t="s">
        <v>844</v>
      </c>
      <c r="AJ334" s="725" t="s">
        <v>677</v>
      </c>
      <c r="AK334" s="724" t="s">
        <v>677</v>
      </c>
      <c r="AL334" s="724"/>
      <c r="AM334" s="724"/>
      <c r="AN334" s="724"/>
      <c r="AO334" s="724"/>
      <c r="AP334" s="724"/>
      <c r="AQ334" s="724"/>
      <c r="AR334" s="726"/>
      <c r="AS334" s="724"/>
      <c r="AT334" s="726"/>
      <c r="AU334" s="724" t="s">
        <v>678</v>
      </c>
      <c r="AV334" s="724" t="s">
        <v>677</v>
      </c>
      <c r="AW334" s="724" t="s">
        <v>676</v>
      </c>
      <c r="AX334" s="724" t="s">
        <v>674</v>
      </c>
      <c r="AY334" s="724"/>
      <c r="AZ334" s="724"/>
      <c r="BA334" s="724" t="s">
        <v>679</v>
      </c>
      <c r="BB334" s="724"/>
      <c r="BC334" s="724"/>
      <c r="BD334" s="724"/>
      <c r="BE334" s="726"/>
      <c r="BF334" s="724" t="s">
        <v>298</v>
      </c>
      <c r="BG334" s="724" t="s">
        <v>680</v>
      </c>
      <c r="BH334" s="724" t="s">
        <v>681</v>
      </c>
      <c r="BI334" s="724"/>
    </row>
    <row r="335" spans="1:61">
      <c r="A335" s="724" t="s">
        <v>843</v>
      </c>
      <c r="B335" s="724" t="s">
        <v>843</v>
      </c>
      <c r="C335" s="724" t="s">
        <v>843</v>
      </c>
      <c r="D335" s="724" t="s">
        <v>673</v>
      </c>
      <c r="E335" s="724" t="s">
        <v>3</v>
      </c>
      <c r="F335" s="725" t="s">
        <v>83</v>
      </c>
      <c r="G335" s="725" t="s">
        <v>700</v>
      </c>
      <c r="H335" s="726">
        <v>73334</v>
      </c>
      <c r="I335" s="726">
        <v>73334</v>
      </c>
      <c r="J335" s="726">
        <v>0</v>
      </c>
      <c r="K335" s="726">
        <v>0</v>
      </c>
      <c r="L335" s="726">
        <v>73334</v>
      </c>
      <c r="M335" s="726">
        <v>0</v>
      </c>
      <c r="N335" s="726">
        <v>0</v>
      </c>
      <c r="O335" s="726">
        <v>0</v>
      </c>
      <c r="P335" s="726">
        <v>0</v>
      </c>
      <c r="Q335" s="726">
        <v>0</v>
      </c>
      <c r="R335" s="726">
        <v>0</v>
      </c>
      <c r="S335" s="726">
        <v>0</v>
      </c>
      <c r="T335" s="726">
        <v>0</v>
      </c>
      <c r="U335" s="726">
        <v>0</v>
      </c>
      <c r="V335" s="726">
        <v>0</v>
      </c>
      <c r="W335" s="726">
        <v>0</v>
      </c>
      <c r="X335" s="724" t="s">
        <v>674</v>
      </c>
      <c r="Y335" s="724" t="s">
        <v>675</v>
      </c>
      <c r="Z335" s="724" t="s">
        <v>675</v>
      </c>
      <c r="AA335" s="724" t="s">
        <v>675</v>
      </c>
      <c r="AB335" s="724" t="s">
        <v>675</v>
      </c>
      <c r="AC335" s="724"/>
      <c r="AD335" s="724"/>
      <c r="AE335" s="724"/>
      <c r="AF335" s="724"/>
      <c r="AG335" s="725" t="s">
        <v>844</v>
      </c>
      <c r="AH335" s="724"/>
      <c r="AI335" s="725" t="s">
        <v>844</v>
      </c>
      <c r="AJ335" s="725" t="s">
        <v>677</v>
      </c>
      <c r="AK335" s="724" t="s">
        <v>677</v>
      </c>
      <c r="AL335" s="724"/>
      <c r="AM335" s="724"/>
      <c r="AN335" s="724"/>
      <c r="AO335" s="724"/>
      <c r="AP335" s="724"/>
      <c r="AQ335" s="724"/>
      <c r="AR335" s="726"/>
      <c r="AS335" s="724"/>
      <c r="AT335" s="726"/>
      <c r="AU335" s="724" t="s">
        <v>678</v>
      </c>
      <c r="AV335" s="724" t="s">
        <v>677</v>
      </c>
      <c r="AW335" s="724" t="s">
        <v>676</v>
      </c>
      <c r="AX335" s="724" t="s">
        <v>674</v>
      </c>
      <c r="AY335" s="724"/>
      <c r="AZ335" s="724"/>
      <c r="BA335" s="724" t="s">
        <v>679</v>
      </c>
      <c r="BB335" s="724"/>
      <c r="BC335" s="724"/>
      <c r="BD335" s="724"/>
      <c r="BE335" s="726"/>
      <c r="BF335" s="724" t="s">
        <v>298</v>
      </c>
      <c r="BG335" s="724" t="s">
        <v>680</v>
      </c>
      <c r="BH335" s="724" t="s">
        <v>681</v>
      </c>
      <c r="BI335" s="724"/>
    </row>
    <row r="336" spans="1:61">
      <c r="A336" s="724" t="s">
        <v>843</v>
      </c>
      <c r="B336" s="724" t="s">
        <v>843</v>
      </c>
      <c r="C336" s="724" t="s">
        <v>843</v>
      </c>
      <c r="D336" s="724" t="s">
        <v>673</v>
      </c>
      <c r="E336" s="724" t="s">
        <v>3</v>
      </c>
      <c r="F336" s="725" t="s">
        <v>83</v>
      </c>
      <c r="G336" s="725" t="s">
        <v>700</v>
      </c>
      <c r="H336" s="726">
        <v>73333</v>
      </c>
      <c r="I336" s="726">
        <v>73333</v>
      </c>
      <c r="J336" s="726">
        <v>0</v>
      </c>
      <c r="K336" s="726">
        <v>0</v>
      </c>
      <c r="L336" s="726">
        <v>73333</v>
      </c>
      <c r="M336" s="726">
        <v>0</v>
      </c>
      <c r="N336" s="726">
        <v>0</v>
      </c>
      <c r="O336" s="726">
        <v>0</v>
      </c>
      <c r="P336" s="726">
        <v>0</v>
      </c>
      <c r="Q336" s="726">
        <v>0</v>
      </c>
      <c r="R336" s="726">
        <v>0</v>
      </c>
      <c r="S336" s="726">
        <v>0</v>
      </c>
      <c r="T336" s="726">
        <v>0</v>
      </c>
      <c r="U336" s="726">
        <v>0</v>
      </c>
      <c r="V336" s="726">
        <v>0</v>
      </c>
      <c r="W336" s="726">
        <v>0</v>
      </c>
      <c r="X336" s="724" t="s">
        <v>674</v>
      </c>
      <c r="Y336" s="724" t="s">
        <v>675</v>
      </c>
      <c r="Z336" s="724" t="s">
        <v>675</v>
      </c>
      <c r="AA336" s="724" t="s">
        <v>675</v>
      </c>
      <c r="AB336" s="724" t="s">
        <v>675</v>
      </c>
      <c r="AC336" s="724"/>
      <c r="AD336" s="724"/>
      <c r="AE336" s="724"/>
      <c r="AF336" s="724"/>
      <c r="AG336" s="725" t="s">
        <v>844</v>
      </c>
      <c r="AH336" s="724"/>
      <c r="AI336" s="725" t="s">
        <v>844</v>
      </c>
      <c r="AJ336" s="725" t="s">
        <v>677</v>
      </c>
      <c r="AK336" s="724" t="s">
        <v>677</v>
      </c>
      <c r="AL336" s="724"/>
      <c r="AM336" s="724"/>
      <c r="AN336" s="724"/>
      <c r="AO336" s="724"/>
      <c r="AP336" s="724"/>
      <c r="AQ336" s="724"/>
      <c r="AR336" s="726"/>
      <c r="AS336" s="724"/>
      <c r="AT336" s="726"/>
      <c r="AU336" s="724" t="s">
        <v>678</v>
      </c>
      <c r="AV336" s="724" t="s">
        <v>677</v>
      </c>
      <c r="AW336" s="724" t="s">
        <v>676</v>
      </c>
      <c r="AX336" s="724" t="s">
        <v>674</v>
      </c>
      <c r="AY336" s="724"/>
      <c r="AZ336" s="724"/>
      <c r="BA336" s="724" t="s">
        <v>679</v>
      </c>
      <c r="BB336" s="724"/>
      <c r="BC336" s="724"/>
      <c r="BD336" s="724"/>
      <c r="BE336" s="726"/>
      <c r="BF336" s="724" t="s">
        <v>298</v>
      </c>
      <c r="BG336" s="724" t="s">
        <v>680</v>
      </c>
      <c r="BH336" s="724" t="s">
        <v>681</v>
      </c>
      <c r="BI336" s="724"/>
    </row>
    <row r="337" spans="1:61">
      <c r="A337" s="724" t="s">
        <v>843</v>
      </c>
      <c r="B337" s="724" t="s">
        <v>843</v>
      </c>
      <c r="C337" s="724" t="s">
        <v>843</v>
      </c>
      <c r="D337" s="724" t="s">
        <v>673</v>
      </c>
      <c r="E337" s="724" t="s">
        <v>3</v>
      </c>
      <c r="F337" s="725" t="s">
        <v>83</v>
      </c>
      <c r="G337" s="725" t="s">
        <v>700</v>
      </c>
      <c r="H337" s="726">
        <v>73334</v>
      </c>
      <c r="I337" s="726">
        <v>73334</v>
      </c>
      <c r="J337" s="726">
        <v>0</v>
      </c>
      <c r="K337" s="726">
        <v>0</v>
      </c>
      <c r="L337" s="726">
        <v>73334</v>
      </c>
      <c r="M337" s="726">
        <v>0</v>
      </c>
      <c r="N337" s="726">
        <v>0</v>
      </c>
      <c r="O337" s="726">
        <v>0</v>
      </c>
      <c r="P337" s="726">
        <v>0</v>
      </c>
      <c r="Q337" s="726">
        <v>0</v>
      </c>
      <c r="R337" s="726">
        <v>0</v>
      </c>
      <c r="S337" s="726">
        <v>0</v>
      </c>
      <c r="T337" s="726">
        <v>0</v>
      </c>
      <c r="U337" s="726">
        <v>0</v>
      </c>
      <c r="V337" s="726">
        <v>0</v>
      </c>
      <c r="W337" s="726">
        <v>0</v>
      </c>
      <c r="X337" s="724" t="s">
        <v>674</v>
      </c>
      <c r="Y337" s="724" t="s">
        <v>675</v>
      </c>
      <c r="Z337" s="724" t="s">
        <v>675</v>
      </c>
      <c r="AA337" s="724" t="s">
        <v>675</v>
      </c>
      <c r="AB337" s="724" t="s">
        <v>675</v>
      </c>
      <c r="AC337" s="724"/>
      <c r="AD337" s="724"/>
      <c r="AE337" s="724"/>
      <c r="AF337" s="724"/>
      <c r="AG337" s="725" t="s">
        <v>844</v>
      </c>
      <c r="AH337" s="724"/>
      <c r="AI337" s="725" t="s">
        <v>844</v>
      </c>
      <c r="AJ337" s="725" t="s">
        <v>677</v>
      </c>
      <c r="AK337" s="724" t="s">
        <v>677</v>
      </c>
      <c r="AL337" s="724"/>
      <c r="AM337" s="724"/>
      <c r="AN337" s="724"/>
      <c r="AO337" s="724"/>
      <c r="AP337" s="724"/>
      <c r="AQ337" s="724"/>
      <c r="AR337" s="726"/>
      <c r="AS337" s="724"/>
      <c r="AT337" s="726"/>
      <c r="AU337" s="724" t="s">
        <v>678</v>
      </c>
      <c r="AV337" s="724" t="s">
        <v>677</v>
      </c>
      <c r="AW337" s="724" t="s">
        <v>676</v>
      </c>
      <c r="AX337" s="724" t="s">
        <v>674</v>
      </c>
      <c r="AY337" s="724"/>
      <c r="AZ337" s="724"/>
      <c r="BA337" s="724" t="s">
        <v>679</v>
      </c>
      <c r="BB337" s="724"/>
      <c r="BC337" s="724"/>
      <c r="BD337" s="724"/>
      <c r="BE337" s="726"/>
      <c r="BF337" s="724" t="s">
        <v>298</v>
      </c>
      <c r="BG337" s="724" t="s">
        <v>680</v>
      </c>
      <c r="BH337" s="724" t="s">
        <v>681</v>
      </c>
      <c r="BI337" s="724"/>
    </row>
    <row r="338" spans="1:61">
      <c r="A338" s="724" t="s">
        <v>843</v>
      </c>
      <c r="B338" s="724" t="s">
        <v>843</v>
      </c>
      <c r="C338" s="724" t="s">
        <v>843</v>
      </c>
      <c r="D338" s="724" t="s">
        <v>673</v>
      </c>
      <c r="E338" s="724" t="s">
        <v>3</v>
      </c>
      <c r="F338" s="725" t="s">
        <v>83</v>
      </c>
      <c r="G338" s="725" t="s">
        <v>700</v>
      </c>
      <c r="H338" s="726">
        <v>73333</v>
      </c>
      <c r="I338" s="726">
        <v>73333</v>
      </c>
      <c r="J338" s="726">
        <v>0</v>
      </c>
      <c r="K338" s="726">
        <v>0</v>
      </c>
      <c r="L338" s="726">
        <v>73333</v>
      </c>
      <c r="M338" s="726">
        <v>0</v>
      </c>
      <c r="N338" s="726">
        <v>0</v>
      </c>
      <c r="O338" s="726">
        <v>0</v>
      </c>
      <c r="P338" s="726">
        <v>0</v>
      </c>
      <c r="Q338" s="726">
        <v>0</v>
      </c>
      <c r="R338" s="726">
        <v>0</v>
      </c>
      <c r="S338" s="726">
        <v>0</v>
      </c>
      <c r="T338" s="726">
        <v>0</v>
      </c>
      <c r="U338" s="726">
        <v>0</v>
      </c>
      <c r="V338" s="726">
        <v>0</v>
      </c>
      <c r="W338" s="726">
        <v>0</v>
      </c>
      <c r="X338" s="724" t="s">
        <v>674</v>
      </c>
      <c r="Y338" s="724" t="s">
        <v>675</v>
      </c>
      <c r="Z338" s="724" t="s">
        <v>675</v>
      </c>
      <c r="AA338" s="724" t="s">
        <v>675</v>
      </c>
      <c r="AB338" s="724" t="s">
        <v>675</v>
      </c>
      <c r="AC338" s="724"/>
      <c r="AD338" s="724"/>
      <c r="AE338" s="724"/>
      <c r="AF338" s="724"/>
      <c r="AG338" s="725" t="s">
        <v>844</v>
      </c>
      <c r="AH338" s="724"/>
      <c r="AI338" s="725" t="s">
        <v>844</v>
      </c>
      <c r="AJ338" s="725" t="s">
        <v>677</v>
      </c>
      <c r="AK338" s="724" t="s">
        <v>677</v>
      </c>
      <c r="AL338" s="724"/>
      <c r="AM338" s="724"/>
      <c r="AN338" s="724"/>
      <c r="AO338" s="724"/>
      <c r="AP338" s="724"/>
      <c r="AQ338" s="724"/>
      <c r="AR338" s="726"/>
      <c r="AS338" s="724"/>
      <c r="AT338" s="726"/>
      <c r="AU338" s="724" t="s">
        <v>678</v>
      </c>
      <c r="AV338" s="724" t="s">
        <v>677</v>
      </c>
      <c r="AW338" s="724" t="s">
        <v>676</v>
      </c>
      <c r="AX338" s="724" t="s">
        <v>674</v>
      </c>
      <c r="AY338" s="724"/>
      <c r="AZ338" s="724"/>
      <c r="BA338" s="724" t="s">
        <v>679</v>
      </c>
      <c r="BB338" s="724"/>
      <c r="BC338" s="724"/>
      <c r="BD338" s="724"/>
      <c r="BE338" s="726"/>
      <c r="BF338" s="724" t="s">
        <v>298</v>
      </c>
      <c r="BG338" s="724" t="s">
        <v>680</v>
      </c>
      <c r="BH338" s="724" t="s">
        <v>681</v>
      </c>
      <c r="BI338" s="724"/>
    </row>
    <row r="339" spans="1:61">
      <c r="A339" s="724" t="s">
        <v>843</v>
      </c>
      <c r="B339" s="724" t="s">
        <v>843</v>
      </c>
      <c r="C339" s="724" t="s">
        <v>843</v>
      </c>
      <c r="D339" s="724" t="s">
        <v>673</v>
      </c>
      <c r="E339" s="724" t="s">
        <v>3</v>
      </c>
      <c r="F339" s="725" t="s">
        <v>83</v>
      </c>
      <c r="G339" s="725" t="s">
        <v>700</v>
      </c>
      <c r="H339" s="726">
        <v>73333</v>
      </c>
      <c r="I339" s="726">
        <v>73333</v>
      </c>
      <c r="J339" s="726">
        <v>0</v>
      </c>
      <c r="K339" s="726">
        <v>0</v>
      </c>
      <c r="L339" s="726">
        <v>73333</v>
      </c>
      <c r="M339" s="726">
        <v>0</v>
      </c>
      <c r="N339" s="726">
        <v>0</v>
      </c>
      <c r="O339" s="726">
        <v>0</v>
      </c>
      <c r="P339" s="726">
        <v>0</v>
      </c>
      <c r="Q339" s="726">
        <v>0</v>
      </c>
      <c r="R339" s="726">
        <v>0</v>
      </c>
      <c r="S339" s="726">
        <v>0</v>
      </c>
      <c r="T339" s="726">
        <v>0</v>
      </c>
      <c r="U339" s="726">
        <v>0</v>
      </c>
      <c r="V339" s="726">
        <v>0</v>
      </c>
      <c r="W339" s="726">
        <v>0</v>
      </c>
      <c r="X339" s="724" t="s">
        <v>674</v>
      </c>
      <c r="Y339" s="724" t="s">
        <v>675</v>
      </c>
      <c r="Z339" s="724" t="s">
        <v>675</v>
      </c>
      <c r="AA339" s="724" t="s">
        <v>675</v>
      </c>
      <c r="AB339" s="724" t="s">
        <v>675</v>
      </c>
      <c r="AC339" s="724"/>
      <c r="AD339" s="724"/>
      <c r="AE339" s="724"/>
      <c r="AF339" s="724"/>
      <c r="AG339" s="725" t="s">
        <v>844</v>
      </c>
      <c r="AH339" s="724"/>
      <c r="AI339" s="725" t="s">
        <v>844</v>
      </c>
      <c r="AJ339" s="725" t="s">
        <v>677</v>
      </c>
      <c r="AK339" s="724" t="s">
        <v>677</v>
      </c>
      <c r="AL339" s="724"/>
      <c r="AM339" s="724"/>
      <c r="AN339" s="724"/>
      <c r="AO339" s="724"/>
      <c r="AP339" s="724"/>
      <c r="AQ339" s="724"/>
      <c r="AR339" s="726"/>
      <c r="AS339" s="724"/>
      <c r="AT339" s="726"/>
      <c r="AU339" s="724" t="s">
        <v>678</v>
      </c>
      <c r="AV339" s="724" t="s">
        <v>677</v>
      </c>
      <c r="AW339" s="724" t="s">
        <v>676</v>
      </c>
      <c r="AX339" s="724" t="s">
        <v>674</v>
      </c>
      <c r="AY339" s="724"/>
      <c r="AZ339" s="724"/>
      <c r="BA339" s="724" t="s">
        <v>679</v>
      </c>
      <c r="BB339" s="724"/>
      <c r="BC339" s="724"/>
      <c r="BD339" s="724"/>
      <c r="BE339" s="726"/>
      <c r="BF339" s="724" t="s">
        <v>298</v>
      </c>
      <c r="BG339" s="724" t="s">
        <v>680</v>
      </c>
      <c r="BH339" s="724" t="s">
        <v>681</v>
      </c>
      <c r="BI339" s="724"/>
    </row>
    <row r="340" spans="1:61">
      <c r="A340" s="724" t="s">
        <v>843</v>
      </c>
      <c r="B340" s="724" t="s">
        <v>843</v>
      </c>
      <c r="C340" s="724" t="s">
        <v>843</v>
      </c>
      <c r="D340" s="724" t="s">
        <v>673</v>
      </c>
      <c r="E340" s="724" t="s">
        <v>3</v>
      </c>
      <c r="F340" s="725" t="s">
        <v>83</v>
      </c>
      <c r="G340" s="725" t="s">
        <v>700</v>
      </c>
      <c r="H340" s="726">
        <v>73333</v>
      </c>
      <c r="I340" s="726">
        <v>73333</v>
      </c>
      <c r="J340" s="726">
        <v>0</v>
      </c>
      <c r="K340" s="726">
        <v>0</v>
      </c>
      <c r="L340" s="726">
        <v>73333</v>
      </c>
      <c r="M340" s="726">
        <v>0</v>
      </c>
      <c r="N340" s="726">
        <v>0</v>
      </c>
      <c r="O340" s="726">
        <v>0</v>
      </c>
      <c r="P340" s="726">
        <v>0</v>
      </c>
      <c r="Q340" s="726">
        <v>0</v>
      </c>
      <c r="R340" s="726">
        <v>0</v>
      </c>
      <c r="S340" s="726">
        <v>0</v>
      </c>
      <c r="T340" s="726">
        <v>0</v>
      </c>
      <c r="U340" s="726">
        <v>0</v>
      </c>
      <c r="V340" s="726">
        <v>0</v>
      </c>
      <c r="W340" s="726">
        <v>0</v>
      </c>
      <c r="X340" s="724" t="s">
        <v>674</v>
      </c>
      <c r="Y340" s="724" t="s">
        <v>675</v>
      </c>
      <c r="Z340" s="724" t="s">
        <v>675</v>
      </c>
      <c r="AA340" s="724" t="s">
        <v>675</v>
      </c>
      <c r="AB340" s="724" t="s">
        <v>675</v>
      </c>
      <c r="AC340" s="724"/>
      <c r="AD340" s="724"/>
      <c r="AE340" s="724"/>
      <c r="AF340" s="724"/>
      <c r="AG340" s="725" t="s">
        <v>844</v>
      </c>
      <c r="AH340" s="724"/>
      <c r="AI340" s="725" t="s">
        <v>844</v>
      </c>
      <c r="AJ340" s="725" t="s">
        <v>677</v>
      </c>
      <c r="AK340" s="724" t="s">
        <v>677</v>
      </c>
      <c r="AL340" s="724"/>
      <c r="AM340" s="724"/>
      <c r="AN340" s="724"/>
      <c r="AO340" s="724"/>
      <c r="AP340" s="724"/>
      <c r="AQ340" s="724"/>
      <c r="AR340" s="726"/>
      <c r="AS340" s="724"/>
      <c r="AT340" s="726"/>
      <c r="AU340" s="724" t="s">
        <v>678</v>
      </c>
      <c r="AV340" s="724" t="s">
        <v>677</v>
      </c>
      <c r="AW340" s="724" t="s">
        <v>676</v>
      </c>
      <c r="AX340" s="724" t="s">
        <v>674</v>
      </c>
      <c r="AY340" s="724"/>
      <c r="AZ340" s="724"/>
      <c r="BA340" s="724" t="s">
        <v>679</v>
      </c>
      <c r="BB340" s="724"/>
      <c r="BC340" s="724"/>
      <c r="BD340" s="724"/>
      <c r="BE340" s="726"/>
      <c r="BF340" s="724" t="s">
        <v>298</v>
      </c>
      <c r="BG340" s="724" t="s">
        <v>680</v>
      </c>
      <c r="BH340" s="724" t="s">
        <v>681</v>
      </c>
      <c r="BI340" s="724"/>
    </row>
    <row r="341" spans="1:61">
      <c r="A341" s="724" t="s">
        <v>843</v>
      </c>
      <c r="B341" s="724" t="s">
        <v>843</v>
      </c>
      <c r="C341" s="724" t="s">
        <v>843</v>
      </c>
      <c r="D341" s="724" t="s">
        <v>673</v>
      </c>
      <c r="E341" s="724" t="s">
        <v>3</v>
      </c>
      <c r="F341" s="725" t="s">
        <v>83</v>
      </c>
      <c r="G341" s="725" t="s">
        <v>700</v>
      </c>
      <c r="H341" s="726">
        <v>73333</v>
      </c>
      <c r="I341" s="726">
        <v>73333</v>
      </c>
      <c r="J341" s="726">
        <v>0</v>
      </c>
      <c r="K341" s="726">
        <v>0</v>
      </c>
      <c r="L341" s="726">
        <v>73333</v>
      </c>
      <c r="M341" s="726">
        <v>0</v>
      </c>
      <c r="N341" s="726">
        <v>0</v>
      </c>
      <c r="O341" s="726">
        <v>0</v>
      </c>
      <c r="P341" s="726">
        <v>0</v>
      </c>
      <c r="Q341" s="726">
        <v>0</v>
      </c>
      <c r="R341" s="726">
        <v>0</v>
      </c>
      <c r="S341" s="726">
        <v>0</v>
      </c>
      <c r="T341" s="726">
        <v>0</v>
      </c>
      <c r="U341" s="726">
        <v>0</v>
      </c>
      <c r="V341" s="726">
        <v>0</v>
      </c>
      <c r="W341" s="726">
        <v>0</v>
      </c>
      <c r="X341" s="724" t="s">
        <v>674</v>
      </c>
      <c r="Y341" s="724" t="s">
        <v>675</v>
      </c>
      <c r="Z341" s="724" t="s">
        <v>675</v>
      </c>
      <c r="AA341" s="724" t="s">
        <v>675</v>
      </c>
      <c r="AB341" s="724" t="s">
        <v>675</v>
      </c>
      <c r="AC341" s="724"/>
      <c r="AD341" s="724"/>
      <c r="AE341" s="724"/>
      <c r="AF341" s="724"/>
      <c r="AG341" s="725" t="s">
        <v>844</v>
      </c>
      <c r="AH341" s="724"/>
      <c r="AI341" s="725" t="s">
        <v>844</v>
      </c>
      <c r="AJ341" s="725" t="s">
        <v>677</v>
      </c>
      <c r="AK341" s="724" t="s">
        <v>677</v>
      </c>
      <c r="AL341" s="724"/>
      <c r="AM341" s="724"/>
      <c r="AN341" s="724"/>
      <c r="AO341" s="724"/>
      <c r="AP341" s="724"/>
      <c r="AQ341" s="724"/>
      <c r="AR341" s="726"/>
      <c r="AS341" s="724"/>
      <c r="AT341" s="726"/>
      <c r="AU341" s="724" t="s">
        <v>678</v>
      </c>
      <c r="AV341" s="724" t="s">
        <v>677</v>
      </c>
      <c r="AW341" s="724" t="s">
        <v>676</v>
      </c>
      <c r="AX341" s="724" t="s">
        <v>674</v>
      </c>
      <c r="AY341" s="724"/>
      <c r="AZ341" s="724"/>
      <c r="BA341" s="724" t="s">
        <v>679</v>
      </c>
      <c r="BB341" s="724"/>
      <c r="BC341" s="724"/>
      <c r="BD341" s="724"/>
      <c r="BE341" s="726"/>
      <c r="BF341" s="724" t="s">
        <v>298</v>
      </c>
      <c r="BG341" s="724" t="s">
        <v>680</v>
      </c>
      <c r="BH341" s="724" t="s">
        <v>681</v>
      </c>
      <c r="BI341" s="724"/>
    </row>
    <row r="342" spans="1:61">
      <c r="A342" s="724" t="s">
        <v>843</v>
      </c>
      <c r="B342" s="724" t="s">
        <v>843</v>
      </c>
      <c r="C342" s="724" t="s">
        <v>843</v>
      </c>
      <c r="D342" s="724" t="s">
        <v>673</v>
      </c>
      <c r="E342" s="724" t="s">
        <v>3</v>
      </c>
      <c r="F342" s="725" t="s">
        <v>83</v>
      </c>
      <c r="G342" s="725" t="s">
        <v>700</v>
      </c>
      <c r="H342" s="726">
        <v>73333</v>
      </c>
      <c r="I342" s="726">
        <v>73333</v>
      </c>
      <c r="J342" s="726">
        <v>0</v>
      </c>
      <c r="K342" s="726">
        <v>0</v>
      </c>
      <c r="L342" s="726">
        <v>73333</v>
      </c>
      <c r="M342" s="726">
        <v>0</v>
      </c>
      <c r="N342" s="726">
        <v>0</v>
      </c>
      <c r="O342" s="726">
        <v>0</v>
      </c>
      <c r="P342" s="726">
        <v>0</v>
      </c>
      <c r="Q342" s="726">
        <v>0</v>
      </c>
      <c r="R342" s="726">
        <v>0</v>
      </c>
      <c r="S342" s="726">
        <v>0</v>
      </c>
      <c r="T342" s="726">
        <v>0</v>
      </c>
      <c r="U342" s="726">
        <v>0</v>
      </c>
      <c r="V342" s="726">
        <v>0</v>
      </c>
      <c r="W342" s="726">
        <v>0</v>
      </c>
      <c r="X342" s="724" t="s">
        <v>674</v>
      </c>
      <c r="Y342" s="724" t="s">
        <v>675</v>
      </c>
      <c r="Z342" s="724" t="s">
        <v>675</v>
      </c>
      <c r="AA342" s="724" t="s">
        <v>675</v>
      </c>
      <c r="AB342" s="724" t="s">
        <v>675</v>
      </c>
      <c r="AC342" s="724"/>
      <c r="AD342" s="724"/>
      <c r="AE342" s="724"/>
      <c r="AF342" s="724"/>
      <c r="AG342" s="725" t="s">
        <v>844</v>
      </c>
      <c r="AH342" s="724"/>
      <c r="AI342" s="725" t="s">
        <v>844</v>
      </c>
      <c r="AJ342" s="725" t="s">
        <v>677</v>
      </c>
      <c r="AK342" s="724" t="s">
        <v>677</v>
      </c>
      <c r="AL342" s="724"/>
      <c r="AM342" s="724"/>
      <c r="AN342" s="724"/>
      <c r="AO342" s="724"/>
      <c r="AP342" s="724"/>
      <c r="AQ342" s="724"/>
      <c r="AR342" s="726"/>
      <c r="AS342" s="724"/>
      <c r="AT342" s="726"/>
      <c r="AU342" s="724" t="s">
        <v>678</v>
      </c>
      <c r="AV342" s="724" t="s">
        <v>677</v>
      </c>
      <c r="AW342" s="724" t="s">
        <v>676</v>
      </c>
      <c r="AX342" s="724" t="s">
        <v>674</v>
      </c>
      <c r="AY342" s="724"/>
      <c r="AZ342" s="724"/>
      <c r="BA342" s="724" t="s">
        <v>679</v>
      </c>
      <c r="BB342" s="724"/>
      <c r="BC342" s="724"/>
      <c r="BD342" s="724"/>
      <c r="BE342" s="726"/>
      <c r="BF342" s="724" t="s">
        <v>298</v>
      </c>
      <c r="BG342" s="724" t="s">
        <v>680</v>
      </c>
      <c r="BH342" s="724" t="s">
        <v>681</v>
      </c>
      <c r="BI342" s="724"/>
    </row>
    <row r="343" spans="1:61">
      <c r="A343" s="724" t="s">
        <v>843</v>
      </c>
      <c r="B343" s="724" t="s">
        <v>843</v>
      </c>
      <c r="C343" s="724" t="s">
        <v>843</v>
      </c>
      <c r="D343" s="724" t="s">
        <v>673</v>
      </c>
      <c r="E343" s="724" t="s">
        <v>3</v>
      </c>
      <c r="F343" s="725" t="s">
        <v>83</v>
      </c>
      <c r="G343" s="725" t="s">
        <v>700</v>
      </c>
      <c r="H343" s="726">
        <v>73333</v>
      </c>
      <c r="I343" s="726">
        <v>73333</v>
      </c>
      <c r="J343" s="726">
        <v>0</v>
      </c>
      <c r="K343" s="726">
        <v>0</v>
      </c>
      <c r="L343" s="726">
        <v>73333</v>
      </c>
      <c r="M343" s="726">
        <v>0</v>
      </c>
      <c r="N343" s="726">
        <v>0</v>
      </c>
      <c r="O343" s="726">
        <v>0</v>
      </c>
      <c r="P343" s="726">
        <v>0</v>
      </c>
      <c r="Q343" s="726">
        <v>0</v>
      </c>
      <c r="R343" s="726">
        <v>0</v>
      </c>
      <c r="S343" s="726">
        <v>0</v>
      </c>
      <c r="T343" s="726">
        <v>0</v>
      </c>
      <c r="U343" s="726">
        <v>0</v>
      </c>
      <c r="V343" s="726">
        <v>0</v>
      </c>
      <c r="W343" s="726">
        <v>0</v>
      </c>
      <c r="X343" s="724" t="s">
        <v>674</v>
      </c>
      <c r="Y343" s="724" t="s">
        <v>675</v>
      </c>
      <c r="Z343" s="724" t="s">
        <v>675</v>
      </c>
      <c r="AA343" s="724" t="s">
        <v>675</v>
      </c>
      <c r="AB343" s="724" t="s">
        <v>675</v>
      </c>
      <c r="AC343" s="724"/>
      <c r="AD343" s="724"/>
      <c r="AE343" s="724"/>
      <c r="AF343" s="724"/>
      <c r="AG343" s="725" t="s">
        <v>844</v>
      </c>
      <c r="AH343" s="724"/>
      <c r="AI343" s="725" t="s">
        <v>844</v>
      </c>
      <c r="AJ343" s="725" t="s">
        <v>677</v>
      </c>
      <c r="AK343" s="724" t="s">
        <v>677</v>
      </c>
      <c r="AL343" s="724"/>
      <c r="AM343" s="724"/>
      <c r="AN343" s="724"/>
      <c r="AO343" s="724"/>
      <c r="AP343" s="724"/>
      <c r="AQ343" s="724"/>
      <c r="AR343" s="726"/>
      <c r="AS343" s="724"/>
      <c r="AT343" s="726"/>
      <c r="AU343" s="724" t="s">
        <v>678</v>
      </c>
      <c r="AV343" s="724" t="s">
        <v>677</v>
      </c>
      <c r="AW343" s="724" t="s">
        <v>676</v>
      </c>
      <c r="AX343" s="724" t="s">
        <v>674</v>
      </c>
      <c r="AY343" s="724"/>
      <c r="AZ343" s="724"/>
      <c r="BA343" s="724" t="s">
        <v>679</v>
      </c>
      <c r="BB343" s="724"/>
      <c r="BC343" s="724"/>
      <c r="BD343" s="724"/>
      <c r="BE343" s="726"/>
      <c r="BF343" s="724" t="s">
        <v>298</v>
      </c>
      <c r="BG343" s="724" t="s">
        <v>680</v>
      </c>
      <c r="BH343" s="724" t="s">
        <v>681</v>
      </c>
      <c r="BI343" s="724"/>
    </row>
    <row r="344" spans="1:61">
      <c r="A344" s="724" t="s">
        <v>843</v>
      </c>
      <c r="B344" s="724" t="s">
        <v>843</v>
      </c>
      <c r="C344" s="724" t="s">
        <v>843</v>
      </c>
      <c r="D344" s="724" t="s">
        <v>673</v>
      </c>
      <c r="E344" s="724" t="s">
        <v>3</v>
      </c>
      <c r="F344" s="725" t="s">
        <v>83</v>
      </c>
      <c r="G344" s="725" t="s">
        <v>700</v>
      </c>
      <c r="H344" s="726">
        <v>73334</v>
      </c>
      <c r="I344" s="726">
        <v>73334</v>
      </c>
      <c r="J344" s="726">
        <v>0</v>
      </c>
      <c r="K344" s="726">
        <v>0</v>
      </c>
      <c r="L344" s="726">
        <v>73334</v>
      </c>
      <c r="M344" s="726">
        <v>0</v>
      </c>
      <c r="N344" s="726">
        <v>0</v>
      </c>
      <c r="O344" s="726">
        <v>0</v>
      </c>
      <c r="P344" s="726">
        <v>0</v>
      </c>
      <c r="Q344" s="726">
        <v>0</v>
      </c>
      <c r="R344" s="726">
        <v>0</v>
      </c>
      <c r="S344" s="726">
        <v>0</v>
      </c>
      <c r="T344" s="726">
        <v>0</v>
      </c>
      <c r="U344" s="726">
        <v>0</v>
      </c>
      <c r="V344" s="726">
        <v>0</v>
      </c>
      <c r="W344" s="726">
        <v>0</v>
      </c>
      <c r="X344" s="724" t="s">
        <v>674</v>
      </c>
      <c r="Y344" s="724" t="s">
        <v>675</v>
      </c>
      <c r="Z344" s="724" t="s">
        <v>675</v>
      </c>
      <c r="AA344" s="724" t="s">
        <v>675</v>
      </c>
      <c r="AB344" s="724" t="s">
        <v>675</v>
      </c>
      <c r="AC344" s="724"/>
      <c r="AD344" s="724"/>
      <c r="AE344" s="724"/>
      <c r="AF344" s="724"/>
      <c r="AG344" s="725" t="s">
        <v>844</v>
      </c>
      <c r="AH344" s="724"/>
      <c r="AI344" s="725" t="s">
        <v>844</v>
      </c>
      <c r="AJ344" s="725" t="s">
        <v>677</v>
      </c>
      <c r="AK344" s="724" t="s">
        <v>677</v>
      </c>
      <c r="AL344" s="724"/>
      <c r="AM344" s="724"/>
      <c r="AN344" s="724"/>
      <c r="AO344" s="724"/>
      <c r="AP344" s="724"/>
      <c r="AQ344" s="724"/>
      <c r="AR344" s="726"/>
      <c r="AS344" s="724"/>
      <c r="AT344" s="726"/>
      <c r="AU344" s="724" t="s">
        <v>678</v>
      </c>
      <c r="AV344" s="724" t="s">
        <v>677</v>
      </c>
      <c r="AW344" s="724" t="s">
        <v>676</v>
      </c>
      <c r="AX344" s="724" t="s">
        <v>674</v>
      </c>
      <c r="AY344" s="724"/>
      <c r="AZ344" s="724"/>
      <c r="BA344" s="724" t="s">
        <v>679</v>
      </c>
      <c r="BB344" s="724"/>
      <c r="BC344" s="724"/>
      <c r="BD344" s="724"/>
      <c r="BE344" s="726"/>
      <c r="BF344" s="724" t="s">
        <v>298</v>
      </c>
      <c r="BG344" s="724" t="s">
        <v>680</v>
      </c>
      <c r="BH344" s="724" t="s">
        <v>681</v>
      </c>
      <c r="BI344" s="724"/>
    </row>
    <row r="345" spans="1:61">
      <c r="A345" s="724" t="s">
        <v>843</v>
      </c>
      <c r="B345" s="724" t="s">
        <v>843</v>
      </c>
      <c r="C345" s="724" t="s">
        <v>843</v>
      </c>
      <c r="D345" s="724" t="s">
        <v>673</v>
      </c>
      <c r="E345" s="724" t="s">
        <v>3</v>
      </c>
      <c r="F345" s="725" t="s">
        <v>83</v>
      </c>
      <c r="G345" s="725" t="s">
        <v>700</v>
      </c>
      <c r="H345" s="726">
        <v>73333</v>
      </c>
      <c r="I345" s="726">
        <v>73333</v>
      </c>
      <c r="J345" s="726">
        <v>0</v>
      </c>
      <c r="K345" s="726">
        <v>0</v>
      </c>
      <c r="L345" s="726">
        <v>73333</v>
      </c>
      <c r="M345" s="726">
        <v>0</v>
      </c>
      <c r="N345" s="726">
        <v>0</v>
      </c>
      <c r="O345" s="726">
        <v>0</v>
      </c>
      <c r="P345" s="726">
        <v>0</v>
      </c>
      <c r="Q345" s="726">
        <v>0</v>
      </c>
      <c r="R345" s="726">
        <v>0</v>
      </c>
      <c r="S345" s="726">
        <v>0</v>
      </c>
      <c r="T345" s="726">
        <v>0</v>
      </c>
      <c r="U345" s="726">
        <v>0</v>
      </c>
      <c r="V345" s="726">
        <v>0</v>
      </c>
      <c r="W345" s="726">
        <v>0</v>
      </c>
      <c r="X345" s="724" t="s">
        <v>674</v>
      </c>
      <c r="Y345" s="724" t="s">
        <v>675</v>
      </c>
      <c r="Z345" s="724" t="s">
        <v>675</v>
      </c>
      <c r="AA345" s="724" t="s">
        <v>675</v>
      </c>
      <c r="AB345" s="724" t="s">
        <v>675</v>
      </c>
      <c r="AC345" s="724"/>
      <c r="AD345" s="724"/>
      <c r="AE345" s="724"/>
      <c r="AF345" s="724"/>
      <c r="AG345" s="725" t="s">
        <v>844</v>
      </c>
      <c r="AH345" s="724"/>
      <c r="AI345" s="725" t="s">
        <v>844</v>
      </c>
      <c r="AJ345" s="725" t="s">
        <v>677</v>
      </c>
      <c r="AK345" s="724" t="s">
        <v>677</v>
      </c>
      <c r="AL345" s="724"/>
      <c r="AM345" s="724"/>
      <c r="AN345" s="724"/>
      <c r="AO345" s="724"/>
      <c r="AP345" s="724"/>
      <c r="AQ345" s="724"/>
      <c r="AR345" s="726"/>
      <c r="AS345" s="724"/>
      <c r="AT345" s="726"/>
      <c r="AU345" s="724" t="s">
        <v>678</v>
      </c>
      <c r="AV345" s="724" t="s">
        <v>677</v>
      </c>
      <c r="AW345" s="724" t="s">
        <v>676</v>
      </c>
      <c r="AX345" s="724" t="s">
        <v>674</v>
      </c>
      <c r="AY345" s="724"/>
      <c r="AZ345" s="724"/>
      <c r="BA345" s="724" t="s">
        <v>679</v>
      </c>
      <c r="BB345" s="724"/>
      <c r="BC345" s="724"/>
      <c r="BD345" s="724"/>
      <c r="BE345" s="726"/>
      <c r="BF345" s="724" t="s">
        <v>298</v>
      </c>
      <c r="BG345" s="724" t="s">
        <v>680</v>
      </c>
      <c r="BH345" s="724" t="s">
        <v>681</v>
      </c>
      <c r="BI345" s="724"/>
    </row>
    <row r="346" spans="1:61">
      <c r="A346" s="724" t="s">
        <v>843</v>
      </c>
      <c r="B346" s="724" t="s">
        <v>843</v>
      </c>
      <c r="C346" s="724" t="s">
        <v>843</v>
      </c>
      <c r="D346" s="724" t="s">
        <v>673</v>
      </c>
      <c r="E346" s="724" t="s">
        <v>3</v>
      </c>
      <c r="F346" s="725" t="s">
        <v>83</v>
      </c>
      <c r="G346" s="725" t="s">
        <v>700</v>
      </c>
      <c r="H346" s="726">
        <v>73334</v>
      </c>
      <c r="I346" s="726">
        <v>73334</v>
      </c>
      <c r="J346" s="726">
        <v>0</v>
      </c>
      <c r="K346" s="726">
        <v>0</v>
      </c>
      <c r="L346" s="726">
        <v>73334</v>
      </c>
      <c r="M346" s="726">
        <v>0</v>
      </c>
      <c r="N346" s="726">
        <v>0</v>
      </c>
      <c r="O346" s="726">
        <v>0</v>
      </c>
      <c r="P346" s="726">
        <v>0</v>
      </c>
      <c r="Q346" s="726">
        <v>0</v>
      </c>
      <c r="R346" s="726">
        <v>0</v>
      </c>
      <c r="S346" s="726">
        <v>0</v>
      </c>
      <c r="T346" s="726">
        <v>0</v>
      </c>
      <c r="U346" s="726">
        <v>0</v>
      </c>
      <c r="V346" s="726">
        <v>0</v>
      </c>
      <c r="W346" s="726">
        <v>0</v>
      </c>
      <c r="X346" s="724" t="s">
        <v>674</v>
      </c>
      <c r="Y346" s="724" t="s">
        <v>675</v>
      </c>
      <c r="Z346" s="724" t="s">
        <v>675</v>
      </c>
      <c r="AA346" s="724" t="s">
        <v>675</v>
      </c>
      <c r="AB346" s="724" t="s">
        <v>675</v>
      </c>
      <c r="AC346" s="724"/>
      <c r="AD346" s="724"/>
      <c r="AE346" s="724"/>
      <c r="AF346" s="724"/>
      <c r="AG346" s="725" t="s">
        <v>844</v>
      </c>
      <c r="AH346" s="724"/>
      <c r="AI346" s="725" t="s">
        <v>844</v>
      </c>
      <c r="AJ346" s="725" t="s">
        <v>677</v>
      </c>
      <c r="AK346" s="724" t="s">
        <v>677</v>
      </c>
      <c r="AL346" s="724"/>
      <c r="AM346" s="724"/>
      <c r="AN346" s="724"/>
      <c r="AO346" s="724"/>
      <c r="AP346" s="724"/>
      <c r="AQ346" s="724"/>
      <c r="AR346" s="726"/>
      <c r="AS346" s="724"/>
      <c r="AT346" s="726"/>
      <c r="AU346" s="724" t="s">
        <v>678</v>
      </c>
      <c r="AV346" s="724" t="s">
        <v>677</v>
      </c>
      <c r="AW346" s="724" t="s">
        <v>676</v>
      </c>
      <c r="AX346" s="724" t="s">
        <v>674</v>
      </c>
      <c r="AY346" s="724"/>
      <c r="AZ346" s="724"/>
      <c r="BA346" s="724" t="s">
        <v>679</v>
      </c>
      <c r="BB346" s="724"/>
      <c r="BC346" s="724"/>
      <c r="BD346" s="724"/>
      <c r="BE346" s="726"/>
      <c r="BF346" s="724" t="s">
        <v>298</v>
      </c>
      <c r="BG346" s="724" t="s">
        <v>680</v>
      </c>
      <c r="BH346" s="724" t="s">
        <v>681</v>
      </c>
      <c r="BI346" s="724"/>
    </row>
    <row r="347" spans="1:61">
      <c r="A347" s="724" t="s">
        <v>843</v>
      </c>
      <c r="B347" s="724" t="s">
        <v>843</v>
      </c>
      <c r="C347" s="724" t="s">
        <v>843</v>
      </c>
      <c r="D347" s="724" t="s">
        <v>673</v>
      </c>
      <c r="E347" s="724" t="s">
        <v>3</v>
      </c>
      <c r="F347" s="725" t="s">
        <v>83</v>
      </c>
      <c r="G347" s="725" t="s">
        <v>700</v>
      </c>
      <c r="H347" s="726">
        <v>73333</v>
      </c>
      <c r="I347" s="726">
        <v>73333</v>
      </c>
      <c r="J347" s="726">
        <v>0</v>
      </c>
      <c r="K347" s="726">
        <v>0</v>
      </c>
      <c r="L347" s="726">
        <v>73333</v>
      </c>
      <c r="M347" s="726">
        <v>0</v>
      </c>
      <c r="N347" s="726">
        <v>0</v>
      </c>
      <c r="O347" s="726">
        <v>0</v>
      </c>
      <c r="P347" s="726">
        <v>0</v>
      </c>
      <c r="Q347" s="726">
        <v>0</v>
      </c>
      <c r="R347" s="726">
        <v>0</v>
      </c>
      <c r="S347" s="726">
        <v>0</v>
      </c>
      <c r="T347" s="726">
        <v>0</v>
      </c>
      <c r="U347" s="726">
        <v>0</v>
      </c>
      <c r="V347" s="726">
        <v>0</v>
      </c>
      <c r="W347" s="726">
        <v>0</v>
      </c>
      <c r="X347" s="724" t="s">
        <v>674</v>
      </c>
      <c r="Y347" s="724" t="s">
        <v>675</v>
      </c>
      <c r="Z347" s="724" t="s">
        <v>675</v>
      </c>
      <c r="AA347" s="724" t="s">
        <v>675</v>
      </c>
      <c r="AB347" s="724" t="s">
        <v>675</v>
      </c>
      <c r="AC347" s="724"/>
      <c r="AD347" s="724"/>
      <c r="AE347" s="724"/>
      <c r="AF347" s="724"/>
      <c r="AG347" s="725" t="s">
        <v>844</v>
      </c>
      <c r="AH347" s="724"/>
      <c r="AI347" s="725" t="s">
        <v>844</v>
      </c>
      <c r="AJ347" s="725" t="s">
        <v>677</v>
      </c>
      <c r="AK347" s="724" t="s">
        <v>677</v>
      </c>
      <c r="AL347" s="724"/>
      <c r="AM347" s="724"/>
      <c r="AN347" s="724"/>
      <c r="AO347" s="724"/>
      <c r="AP347" s="724"/>
      <c r="AQ347" s="724"/>
      <c r="AR347" s="726"/>
      <c r="AS347" s="724"/>
      <c r="AT347" s="726"/>
      <c r="AU347" s="724" t="s">
        <v>678</v>
      </c>
      <c r="AV347" s="724" t="s">
        <v>677</v>
      </c>
      <c r="AW347" s="724" t="s">
        <v>676</v>
      </c>
      <c r="AX347" s="724" t="s">
        <v>674</v>
      </c>
      <c r="AY347" s="724"/>
      <c r="AZ347" s="724"/>
      <c r="BA347" s="724" t="s">
        <v>679</v>
      </c>
      <c r="BB347" s="724"/>
      <c r="BC347" s="724"/>
      <c r="BD347" s="724"/>
      <c r="BE347" s="726"/>
      <c r="BF347" s="724" t="s">
        <v>298</v>
      </c>
      <c r="BG347" s="724" t="s">
        <v>680</v>
      </c>
      <c r="BH347" s="724" t="s">
        <v>681</v>
      </c>
      <c r="BI347" s="724"/>
    </row>
    <row r="348" spans="1:61">
      <c r="A348" s="724" t="s">
        <v>843</v>
      </c>
      <c r="B348" s="724" t="s">
        <v>843</v>
      </c>
      <c r="C348" s="724" t="s">
        <v>843</v>
      </c>
      <c r="D348" s="724" t="s">
        <v>673</v>
      </c>
      <c r="E348" s="724" t="s">
        <v>3</v>
      </c>
      <c r="F348" s="725" t="s">
        <v>83</v>
      </c>
      <c r="G348" s="725" t="s">
        <v>700</v>
      </c>
      <c r="H348" s="726">
        <v>193333</v>
      </c>
      <c r="I348" s="726">
        <v>193333</v>
      </c>
      <c r="J348" s="726">
        <v>0</v>
      </c>
      <c r="K348" s="726">
        <v>0</v>
      </c>
      <c r="L348" s="726">
        <v>193333</v>
      </c>
      <c r="M348" s="726">
        <v>0</v>
      </c>
      <c r="N348" s="726">
        <v>0</v>
      </c>
      <c r="O348" s="726">
        <v>0</v>
      </c>
      <c r="P348" s="726">
        <v>0</v>
      </c>
      <c r="Q348" s="726">
        <v>0</v>
      </c>
      <c r="R348" s="726">
        <v>0</v>
      </c>
      <c r="S348" s="726">
        <v>0</v>
      </c>
      <c r="T348" s="726">
        <v>0</v>
      </c>
      <c r="U348" s="726">
        <v>0</v>
      </c>
      <c r="V348" s="726">
        <v>0</v>
      </c>
      <c r="W348" s="726">
        <v>0</v>
      </c>
      <c r="X348" s="724" t="s">
        <v>674</v>
      </c>
      <c r="Y348" s="724" t="s">
        <v>1226</v>
      </c>
      <c r="Z348" s="724" t="s">
        <v>1226</v>
      </c>
      <c r="AA348" s="724" t="s">
        <v>675</v>
      </c>
      <c r="AB348" s="724" t="s">
        <v>675</v>
      </c>
      <c r="AC348" s="724"/>
      <c r="AD348" s="724"/>
      <c r="AE348" s="724"/>
      <c r="AF348" s="724"/>
      <c r="AG348" s="725" t="s">
        <v>844</v>
      </c>
      <c r="AH348" s="724"/>
      <c r="AI348" s="725" t="s">
        <v>844</v>
      </c>
      <c r="AJ348" s="725" t="s">
        <v>677</v>
      </c>
      <c r="AK348" s="724" t="s">
        <v>677</v>
      </c>
      <c r="AL348" s="724"/>
      <c r="AM348" s="724"/>
      <c r="AN348" s="724"/>
      <c r="AO348" s="724"/>
      <c r="AP348" s="724"/>
      <c r="AQ348" s="724"/>
      <c r="AR348" s="726"/>
      <c r="AS348" s="724"/>
      <c r="AT348" s="726"/>
      <c r="AU348" s="724" t="s">
        <v>678</v>
      </c>
      <c r="AV348" s="724" t="s">
        <v>677</v>
      </c>
      <c r="AW348" s="724" t="s">
        <v>676</v>
      </c>
      <c r="AX348" s="724" t="s">
        <v>674</v>
      </c>
      <c r="AY348" s="724"/>
      <c r="AZ348" s="724"/>
      <c r="BA348" s="724" t="s">
        <v>679</v>
      </c>
      <c r="BB348" s="724"/>
      <c r="BC348" s="724"/>
      <c r="BD348" s="724"/>
      <c r="BE348" s="726"/>
      <c r="BF348" s="724" t="s">
        <v>298</v>
      </c>
      <c r="BG348" s="724" t="s">
        <v>680</v>
      </c>
      <c r="BH348" s="724" t="s">
        <v>681</v>
      </c>
      <c r="BI348" s="724"/>
    </row>
    <row r="349" spans="1:61">
      <c r="A349" s="724" t="s">
        <v>843</v>
      </c>
      <c r="B349" s="724" t="s">
        <v>843</v>
      </c>
      <c r="C349" s="724" t="s">
        <v>843</v>
      </c>
      <c r="D349" s="724" t="s">
        <v>673</v>
      </c>
      <c r="E349" s="724" t="s">
        <v>3</v>
      </c>
      <c r="F349" s="725" t="s">
        <v>83</v>
      </c>
      <c r="G349" s="725" t="s">
        <v>700</v>
      </c>
      <c r="H349" s="726">
        <v>193333</v>
      </c>
      <c r="I349" s="726">
        <v>193333</v>
      </c>
      <c r="J349" s="726">
        <v>0</v>
      </c>
      <c r="K349" s="726">
        <v>0</v>
      </c>
      <c r="L349" s="726">
        <v>193333</v>
      </c>
      <c r="M349" s="726">
        <v>0</v>
      </c>
      <c r="N349" s="726">
        <v>0</v>
      </c>
      <c r="O349" s="726">
        <v>0</v>
      </c>
      <c r="P349" s="726">
        <v>0</v>
      </c>
      <c r="Q349" s="726">
        <v>0</v>
      </c>
      <c r="R349" s="726">
        <v>0</v>
      </c>
      <c r="S349" s="726">
        <v>0</v>
      </c>
      <c r="T349" s="726">
        <v>0</v>
      </c>
      <c r="U349" s="726">
        <v>0</v>
      </c>
      <c r="V349" s="726">
        <v>0</v>
      </c>
      <c r="W349" s="726">
        <v>0</v>
      </c>
      <c r="X349" s="724" t="s">
        <v>674</v>
      </c>
      <c r="Y349" s="724" t="s">
        <v>1226</v>
      </c>
      <c r="Z349" s="724" t="s">
        <v>1226</v>
      </c>
      <c r="AA349" s="724" t="s">
        <v>675</v>
      </c>
      <c r="AB349" s="724" t="s">
        <v>675</v>
      </c>
      <c r="AC349" s="724"/>
      <c r="AD349" s="724"/>
      <c r="AE349" s="724"/>
      <c r="AF349" s="724"/>
      <c r="AG349" s="725" t="s">
        <v>844</v>
      </c>
      <c r="AH349" s="724"/>
      <c r="AI349" s="725" t="s">
        <v>844</v>
      </c>
      <c r="AJ349" s="725" t="s">
        <v>677</v>
      </c>
      <c r="AK349" s="724" t="s">
        <v>677</v>
      </c>
      <c r="AL349" s="724"/>
      <c r="AM349" s="724"/>
      <c r="AN349" s="724"/>
      <c r="AO349" s="724"/>
      <c r="AP349" s="724"/>
      <c r="AQ349" s="724"/>
      <c r="AR349" s="726"/>
      <c r="AS349" s="724"/>
      <c r="AT349" s="726"/>
      <c r="AU349" s="724" t="s">
        <v>678</v>
      </c>
      <c r="AV349" s="724" t="s">
        <v>677</v>
      </c>
      <c r="AW349" s="724" t="s">
        <v>676</v>
      </c>
      <c r="AX349" s="724" t="s">
        <v>674</v>
      </c>
      <c r="AY349" s="724"/>
      <c r="AZ349" s="724"/>
      <c r="BA349" s="724" t="s">
        <v>679</v>
      </c>
      <c r="BB349" s="724"/>
      <c r="BC349" s="724"/>
      <c r="BD349" s="724"/>
      <c r="BE349" s="726"/>
      <c r="BF349" s="724" t="s">
        <v>298</v>
      </c>
      <c r="BG349" s="724" t="s">
        <v>680</v>
      </c>
      <c r="BH349" s="724" t="s">
        <v>681</v>
      </c>
      <c r="BI349" s="724"/>
    </row>
    <row r="350" spans="1:61">
      <c r="A350" s="724" t="s">
        <v>845</v>
      </c>
      <c r="B350" s="724" t="s">
        <v>753</v>
      </c>
      <c r="C350" s="724" t="s">
        <v>759</v>
      </c>
      <c r="D350" s="724" t="s">
        <v>716</v>
      </c>
      <c r="E350" s="724" t="s">
        <v>3</v>
      </c>
      <c r="F350" s="725" t="s">
        <v>71</v>
      </c>
      <c r="G350" s="725" t="s">
        <v>719</v>
      </c>
      <c r="H350" s="726">
        <v>2332000</v>
      </c>
      <c r="I350" s="726">
        <v>2332000</v>
      </c>
      <c r="J350" s="726">
        <v>0</v>
      </c>
      <c r="K350" s="726">
        <v>0</v>
      </c>
      <c r="L350" s="726">
        <v>2120000</v>
      </c>
      <c r="M350" s="726">
        <v>0</v>
      </c>
      <c r="N350" s="726">
        <v>0</v>
      </c>
      <c r="O350" s="726">
        <v>212000</v>
      </c>
      <c r="P350" s="726">
        <v>0</v>
      </c>
      <c r="Q350" s="726">
        <v>0</v>
      </c>
      <c r="R350" s="726">
        <v>0</v>
      </c>
      <c r="S350" s="726">
        <v>0</v>
      </c>
      <c r="T350" s="726">
        <v>0</v>
      </c>
      <c r="U350" s="726">
        <v>0</v>
      </c>
      <c r="V350" s="726">
        <v>0</v>
      </c>
      <c r="W350" s="726">
        <v>0</v>
      </c>
      <c r="X350" s="724" t="s">
        <v>674</v>
      </c>
      <c r="Y350" s="724" t="s">
        <v>1226</v>
      </c>
      <c r="Z350" s="724" t="s">
        <v>1226</v>
      </c>
      <c r="AA350" s="724" t="s">
        <v>675</v>
      </c>
      <c r="AB350" s="724" t="s">
        <v>675</v>
      </c>
      <c r="AC350" s="724"/>
      <c r="AD350" s="724"/>
      <c r="AE350" s="724"/>
      <c r="AF350" s="724"/>
      <c r="AG350" s="725" t="s">
        <v>846</v>
      </c>
      <c r="AH350" s="724"/>
      <c r="AI350" s="725" t="s">
        <v>846</v>
      </c>
      <c r="AJ350" s="725" t="s">
        <v>721</v>
      </c>
      <c r="AK350" s="724" t="s">
        <v>677</v>
      </c>
      <c r="AL350" s="724"/>
      <c r="AM350" s="724"/>
      <c r="AN350" s="724"/>
      <c r="AO350" s="724"/>
      <c r="AP350" s="724"/>
      <c r="AQ350" s="724"/>
      <c r="AR350" s="726"/>
      <c r="AS350" s="724"/>
      <c r="AT350" s="726"/>
      <c r="AU350" s="724" t="s">
        <v>678</v>
      </c>
      <c r="AV350" s="724" t="s">
        <v>677</v>
      </c>
      <c r="AW350" s="724" t="s">
        <v>676</v>
      </c>
      <c r="AX350" s="724" t="s">
        <v>674</v>
      </c>
      <c r="AY350" s="724"/>
      <c r="AZ350" s="724"/>
      <c r="BA350" s="724" t="s">
        <v>679</v>
      </c>
      <c r="BB350" s="724"/>
      <c r="BC350" s="724"/>
      <c r="BD350" s="724"/>
      <c r="BE350" s="726"/>
      <c r="BF350" s="724" t="s">
        <v>298</v>
      </c>
      <c r="BG350" s="724" t="s">
        <v>680</v>
      </c>
      <c r="BH350" s="724" t="s">
        <v>681</v>
      </c>
      <c r="BI350" s="724"/>
    </row>
    <row r="351" spans="1:61">
      <c r="A351" s="724" t="s">
        <v>845</v>
      </c>
      <c r="B351" s="724" t="s">
        <v>753</v>
      </c>
      <c r="C351" s="724" t="s">
        <v>759</v>
      </c>
      <c r="D351" s="724" t="s">
        <v>716</v>
      </c>
      <c r="E351" s="724" t="s">
        <v>3</v>
      </c>
      <c r="F351" s="725" t="s">
        <v>71</v>
      </c>
      <c r="G351" s="725" t="s">
        <v>719</v>
      </c>
      <c r="H351" s="726">
        <v>1496000</v>
      </c>
      <c r="I351" s="726">
        <v>1496000</v>
      </c>
      <c r="J351" s="726">
        <v>0</v>
      </c>
      <c r="K351" s="726">
        <v>0</v>
      </c>
      <c r="L351" s="726">
        <v>1360000</v>
      </c>
      <c r="M351" s="726">
        <v>0</v>
      </c>
      <c r="N351" s="726">
        <v>0</v>
      </c>
      <c r="O351" s="726">
        <v>136000</v>
      </c>
      <c r="P351" s="726">
        <v>0</v>
      </c>
      <c r="Q351" s="726">
        <v>0</v>
      </c>
      <c r="R351" s="726">
        <v>0</v>
      </c>
      <c r="S351" s="726">
        <v>0</v>
      </c>
      <c r="T351" s="726">
        <v>0</v>
      </c>
      <c r="U351" s="726">
        <v>0</v>
      </c>
      <c r="V351" s="726">
        <v>0</v>
      </c>
      <c r="W351" s="726">
        <v>0</v>
      </c>
      <c r="X351" s="724" t="s">
        <v>674</v>
      </c>
      <c r="Y351" s="724" t="s">
        <v>1226</v>
      </c>
      <c r="Z351" s="724" t="s">
        <v>1226</v>
      </c>
      <c r="AA351" s="724" t="s">
        <v>675</v>
      </c>
      <c r="AB351" s="724" t="s">
        <v>675</v>
      </c>
      <c r="AC351" s="724"/>
      <c r="AD351" s="724"/>
      <c r="AE351" s="724"/>
      <c r="AF351" s="724"/>
      <c r="AG351" s="725" t="s">
        <v>847</v>
      </c>
      <c r="AH351" s="724"/>
      <c r="AI351" s="725" t="s">
        <v>847</v>
      </c>
      <c r="AJ351" s="725" t="s">
        <v>721</v>
      </c>
      <c r="AK351" s="724" t="s">
        <v>677</v>
      </c>
      <c r="AL351" s="724"/>
      <c r="AM351" s="724"/>
      <c r="AN351" s="724"/>
      <c r="AO351" s="724"/>
      <c r="AP351" s="724"/>
      <c r="AQ351" s="724"/>
      <c r="AR351" s="726"/>
      <c r="AS351" s="724"/>
      <c r="AT351" s="726"/>
      <c r="AU351" s="724" t="s">
        <v>678</v>
      </c>
      <c r="AV351" s="724" t="s">
        <v>677</v>
      </c>
      <c r="AW351" s="724" t="s">
        <v>676</v>
      </c>
      <c r="AX351" s="724" t="s">
        <v>674</v>
      </c>
      <c r="AY351" s="724"/>
      <c r="AZ351" s="724"/>
      <c r="BA351" s="724" t="s">
        <v>679</v>
      </c>
      <c r="BB351" s="724"/>
      <c r="BC351" s="724"/>
      <c r="BD351" s="724"/>
      <c r="BE351" s="726"/>
      <c r="BF351" s="724" t="s">
        <v>298</v>
      </c>
      <c r="BG351" s="724" t="s">
        <v>680</v>
      </c>
      <c r="BH351" s="724" t="s">
        <v>681</v>
      </c>
      <c r="BI351" s="724"/>
    </row>
    <row r="352" spans="1:61">
      <c r="A352" s="724" t="s">
        <v>848</v>
      </c>
      <c r="B352" s="724" t="s">
        <v>848</v>
      </c>
      <c r="C352" s="724" t="s">
        <v>848</v>
      </c>
      <c r="D352" s="724" t="s">
        <v>673</v>
      </c>
      <c r="E352" s="724" t="s">
        <v>3</v>
      </c>
      <c r="F352" s="725" t="s">
        <v>7</v>
      </c>
      <c r="G352" s="725" t="s">
        <v>684</v>
      </c>
      <c r="H352" s="726">
        <v>326410</v>
      </c>
      <c r="I352" s="726">
        <v>326410</v>
      </c>
      <c r="J352" s="726">
        <v>0</v>
      </c>
      <c r="K352" s="726">
        <v>0</v>
      </c>
      <c r="L352" s="726">
        <v>326410</v>
      </c>
      <c r="M352" s="726">
        <v>0</v>
      </c>
      <c r="N352" s="726">
        <v>0</v>
      </c>
      <c r="O352" s="726">
        <v>0</v>
      </c>
      <c r="P352" s="726">
        <v>0</v>
      </c>
      <c r="Q352" s="726">
        <v>0</v>
      </c>
      <c r="R352" s="726">
        <v>0</v>
      </c>
      <c r="S352" s="726">
        <v>0</v>
      </c>
      <c r="T352" s="726">
        <v>0</v>
      </c>
      <c r="U352" s="726">
        <v>0</v>
      </c>
      <c r="V352" s="726">
        <v>0</v>
      </c>
      <c r="W352" s="726">
        <v>0</v>
      </c>
      <c r="X352" s="724" t="s">
        <v>674</v>
      </c>
      <c r="Y352" s="724" t="s">
        <v>1226</v>
      </c>
      <c r="Z352" s="724" t="s">
        <v>1226</v>
      </c>
      <c r="AA352" s="724" t="s">
        <v>675</v>
      </c>
      <c r="AB352" s="724" t="s">
        <v>675</v>
      </c>
      <c r="AC352" s="724"/>
      <c r="AD352" s="724"/>
      <c r="AE352" s="724"/>
      <c r="AF352" s="724"/>
      <c r="AG352" s="725" t="s">
        <v>849</v>
      </c>
      <c r="AH352" s="724"/>
      <c r="AI352" s="725" t="s">
        <v>849</v>
      </c>
      <c r="AJ352" s="725" t="s">
        <v>677</v>
      </c>
      <c r="AK352" s="724" t="s">
        <v>677</v>
      </c>
      <c r="AL352" s="724"/>
      <c r="AM352" s="724"/>
      <c r="AN352" s="724"/>
      <c r="AO352" s="724"/>
      <c r="AP352" s="724"/>
      <c r="AQ352" s="724"/>
      <c r="AR352" s="726"/>
      <c r="AS352" s="724"/>
      <c r="AT352" s="726"/>
      <c r="AU352" s="724" t="s">
        <v>678</v>
      </c>
      <c r="AV352" s="724" t="s">
        <v>677</v>
      </c>
      <c r="AW352" s="724" t="s">
        <v>676</v>
      </c>
      <c r="AX352" s="724" t="s">
        <v>674</v>
      </c>
      <c r="AY352" s="724"/>
      <c r="AZ352" s="724"/>
      <c r="BA352" s="724" t="s">
        <v>679</v>
      </c>
      <c r="BB352" s="724"/>
      <c r="BC352" s="724"/>
      <c r="BD352" s="724"/>
      <c r="BE352" s="726"/>
      <c r="BF352" s="724" t="s">
        <v>298</v>
      </c>
      <c r="BG352" s="724" t="s">
        <v>680</v>
      </c>
      <c r="BH352" s="724" t="s">
        <v>681</v>
      </c>
      <c r="BI352" s="724"/>
    </row>
    <row r="353" spans="1:61">
      <c r="A353" s="724" t="s">
        <v>848</v>
      </c>
      <c r="B353" s="724" t="s">
        <v>848</v>
      </c>
      <c r="C353" s="724" t="s">
        <v>848</v>
      </c>
      <c r="D353" s="724" t="s">
        <v>673</v>
      </c>
      <c r="E353" s="724" t="s">
        <v>3</v>
      </c>
      <c r="F353" s="725" t="s">
        <v>7</v>
      </c>
      <c r="G353" s="725" t="s">
        <v>684</v>
      </c>
      <c r="H353" s="726">
        <v>425360</v>
      </c>
      <c r="I353" s="726">
        <v>425360</v>
      </c>
      <c r="J353" s="726">
        <v>0</v>
      </c>
      <c r="K353" s="726">
        <v>0</v>
      </c>
      <c r="L353" s="726">
        <v>425360</v>
      </c>
      <c r="M353" s="726">
        <v>0</v>
      </c>
      <c r="N353" s="726">
        <v>0</v>
      </c>
      <c r="O353" s="726">
        <v>0</v>
      </c>
      <c r="P353" s="726">
        <v>0</v>
      </c>
      <c r="Q353" s="726">
        <v>0</v>
      </c>
      <c r="R353" s="726">
        <v>0</v>
      </c>
      <c r="S353" s="726">
        <v>0</v>
      </c>
      <c r="T353" s="726">
        <v>0</v>
      </c>
      <c r="U353" s="726">
        <v>0</v>
      </c>
      <c r="V353" s="726">
        <v>0</v>
      </c>
      <c r="W353" s="726">
        <v>0</v>
      </c>
      <c r="X353" s="724" t="s">
        <v>674</v>
      </c>
      <c r="Y353" s="724" t="s">
        <v>1226</v>
      </c>
      <c r="Z353" s="724" t="s">
        <v>1226</v>
      </c>
      <c r="AA353" s="724" t="s">
        <v>675</v>
      </c>
      <c r="AB353" s="724" t="s">
        <v>675</v>
      </c>
      <c r="AC353" s="724"/>
      <c r="AD353" s="724"/>
      <c r="AE353" s="724"/>
      <c r="AF353" s="724"/>
      <c r="AG353" s="725" t="s">
        <v>850</v>
      </c>
      <c r="AH353" s="724"/>
      <c r="AI353" s="725" t="s">
        <v>850</v>
      </c>
      <c r="AJ353" s="725" t="s">
        <v>677</v>
      </c>
      <c r="AK353" s="724" t="s">
        <v>677</v>
      </c>
      <c r="AL353" s="724"/>
      <c r="AM353" s="724"/>
      <c r="AN353" s="724"/>
      <c r="AO353" s="724"/>
      <c r="AP353" s="724"/>
      <c r="AQ353" s="724"/>
      <c r="AR353" s="726"/>
      <c r="AS353" s="724"/>
      <c r="AT353" s="726"/>
      <c r="AU353" s="724" t="s">
        <v>678</v>
      </c>
      <c r="AV353" s="724" t="s">
        <v>677</v>
      </c>
      <c r="AW353" s="724" t="s">
        <v>676</v>
      </c>
      <c r="AX353" s="724" t="s">
        <v>674</v>
      </c>
      <c r="AY353" s="724"/>
      <c r="AZ353" s="724"/>
      <c r="BA353" s="724" t="s">
        <v>679</v>
      </c>
      <c r="BB353" s="724"/>
      <c r="BC353" s="724"/>
      <c r="BD353" s="724"/>
      <c r="BE353" s="726"/>
      <c r="BF353" s="724" t="s">
        <v>298</v>
      </c>
      <c r="BG353" s="724" t="s">
        <v>680</v>
      </c>
      <c r="BH353" s="724" t="s">
        <v>681</v>
      </c>
      <c r="BI353" s="724"/>
    </row>
    <row r="354" spans="1:61">
      <c r="A354" s="724" t="s">
        <v>848</v>
      </c>
      <c r="B354" s="724" t="s">
        <v>848</v>
      </c>
      <c r="C354" s="724" t="s">
        <v>848</v>
      </c>
      <c r="D354" s="724" t="s">
        <v>673</v>
      </c>
      <c r="E354" s="724" t="s">
        <v>3</v>
      </c>
      <c r="F354" s="725" t="s">
        <v>7</v>
      </c>
      <c r="G354" s="725" t="s">
        <v>684</v>
      </c>
      <c r="H354" s="726">
        <v>200870</v>
      </c>
      <c r="I354" s="726">
        <v>200870</v>
      </c>
      <c r="J354" s="726">
        <v>0</v>
      </c>
      <c r="K354" s="726">
        <v>0</v>
      </c>
      <c r="L354" s="726">
        <v>200870</v>
      </c>
      <c r="M354" s="726">
        <v>0</v>
      </c>
      <c r="N354" s="726">
        <v>0</v>
      </c>
      <c r="O354" s="726">
        <v>0</v>
      </c>
      <c r="P354" s="726">
        <v>0</v>
      </c>
      <c r="Q354" s="726">
        <v>0</v>
      </c>
      <c r="R354" s="726">
        <v>0</v>
      </c>
      <c r="S354" s="726">
        <v>0</v>
      </c>
      <c r="T354" s="726">
        <v>0</v>
      </c>
      <c r="U354" s="726">
        <v>0</v>
      </c>
      <c r="V354" s="726">
        <v>0</v>
      </c>
      <c r="W354" s="726">
        <v>0</v>
      </c>
      <c r="X354" s="724" t="s">
        <v>674</v>
      </c>
      <c r="Y354" s="724" t="s">
        <v>1226</v>
      </c>
      <c r="Z354" s="724" t="s">
        <v>1226</v>
      </c>
      <c r="AA354" s="724" t="s">
        <v>675</v>
      </c>
      <c r="AB354" s="724" t="s">
        <v>675</v>
      </c>
      <c r="AC354" s="724"/>
      <c r="AD354" s="724"/>
      <c r="AE354" s="724"/>
      <c r="AF354" s="724"/>
      <c r="AG354" s="725" t="s">
        <v>851</v>
      </c>
      <c r="AH354" s="724"/>
      <c r="AI354" s="725" t="s">
        <v>851</v>
      </c>
      <c r="AJ354" s="725" t="s">
        <v>677</v>
      </c>
      <c r="AK354" s="724" t="s">
        <v>677</v>
      </c>
      <c r="AL354" s="724"/>
      <c r="AM354" s="724"/>
      <c r="AN354" s="724"/>
      <c r="AO354" s="724"/>
      <c r="AP354" s="724"/>
      <c r="AQ354" s="724"/>
      <c r="AR354" s="726"/>
      <c r="AS354" s="724"/>
      <c r="AT354" s="726"/>
      <c r="AU354" s="724" t="s">
        <v>678</v>
      </c>
      <c r="AV354" s="724" t="s">
        <v>677</v>
      </c>
      <c r="AW354" s="724" t="s">
        <v>676</v>
      </c>
      <c r="AX354" s="724" t="s">
        <v>674</v>
      </c>
      <c r="AY354" s="724"/>
      <c r="AZ354" s="724"/>
      <c r="BA354" s="724" t="s">
        <v>679</v>
      </c>
      <c r="BB354" s="724"/>
      <c r="BC354" s="724"/>
      <c r="BD354" s="724"/>
      <c r="BE354" s="726"/>
      <c r="BF354" s="724" t="s">
        <v>298</v>
      </c>
      <c r="BG354" s="724" t="s">
        <v>680</v>
      </c>
      <c r="BH354" s="724" t="s">
        <v>681</v>
      </c>
      <c r="BI354" s="724"/>
    </row>
    <row r="355" spans="1:61">
      <c r="A355" s="724" t="s">
        <v>848</v>
      </c>
      <c r="B355" s="724" t="s">
        <v>848</v>
      </c>
      <c r="C355" s="724" t="s">
        <v>848</v>
      </c>
      <c r="D355" s="724" t="s">
        <v>673</v>
      </c>
      <c r="E355" s="724" t="s">
        <v>3</v>
      </c>
      <c r="F355" s="725" t="s">
        <v>7</v>
      </c>
      <c r="G355" s="725" t="s">
        <v>684</v>
      </c>
      <c r="H355" s="726">
        <v>3347790</v>
      </c>
      <c r="I355" s="726">
        <v>3347790</v>
      </c>
      <c r="J355" s="726">
        <v>0</v>
      </c>
      <c r="K355" s="726">
        <v>0</v>
      </c>
      <c r="L355" s="726">
        <v>3347790</v>
      </c>
      <c r="M355" s="726">
        <v>0</v>
      </c>
      <c r="N355" s="726">
        <v>0</v>
      </c>
      <c r="O355" s="726">
        <v>0</v>
      </c>
      <c r="P355" s="726">
        <v>0</v>
      </c>
      <c r="Q355" s="726">
        <v>0</v>
      </c>
      <c r="R355" s="726">
        <v>0</v>
      </c>
      <c r="S355" s="726">
        <v>0</v>
      </c>
      <c r="T355" s="726">
        <v>0</v>
      </c>
      <c r="U355" s="726">
        <v>0</v>
      </c>
      <c r="V355" s="726">
        <v>0</v>
      </c>
      <c r="W355" s="726">
        <v>0</v>
      </c>
      <c r="X355" s="724" t="s">
        <v>674</v>
      </c>
      <c r="Y355" s="724" t="s">
        <v>1226</v>
      </c>
      <c r="Z355" s="724" t="s">
        <v>1226</v>
      </c>
      <c r="AA355" s="724" t="s">
        <v>675</v>
      </c>
      <c r="AB355" s="724" t="s">
        <v>675</v>
      </c>
      <c r="AC355" s="724"/>
      <c r="AD355" s="724"/>
      <c r="AE355" s="724"/>
      <c r="AF355" s="724"/>
      <c r="AG355" s="725" t="s">
        <v>852</v>
      </c>
      <c r="AH355" s="724"/>
      <c r="AI355" s="725" t="s">
        <v>852</v>
      </c>
      <c r="AJ355" s="725" t="s">
        <v>677</v>
      </c>
      <c r="AK355" s="724" t="s">
        <v>677</v>
      </c>
      <c r="AL355" s="724"/>
      <c r="AM355" s="724"/>
      <c r="AN355" s="724"/>
      <c r="AO355" s="724"/>
      <c r="AP355" s="724"/>
      <c r="AQ355" s="724"/>
      <c r="AR355" s="726"/>
      <c r="AS355" s="724"/>
      <c r="AT355" s="726"/>
      <c r="AU355" s="724" t="s">
        <v>678</v>
      </c>
      <c r="AV355" s="724" t="s">
        <v>677</v>
      </c>
      <c r="AW355" s="724" t="s">
        <v>676</v>
      </c>
      <c r="AX355" s="724" t="s">
        <v>674</v>
      </c>
      <c r="AY355" s="724"/>
      <c r="AZ355" s="724"/>
      <c r="BA355" s="724" t="s">
        <v>679</v>
      </c>
      <c r="BB355" s="724"/>
      <c r="BC355" s="724"/>
      <c r="BD355" s="724"/>
      <c r="BE355" s="726"/>
      <c r="BF355" s="724" t="s">
        <v>298</v>
      </c>
      <c r="BG355" s="724" t="s">
        <v>680</v>
      </c>
      <c r="BH355" s="724" t="s">
        <v>681</v>
      </c>
      <c r="BI355" s="724"/>
    </row>
    <row r="356" spans="1:61">
      <c r="A356" s="724" t="s">
        <v>848</v>
      </c>
      <c r="B356" s="724" t="s">
        <v>848</v>
      </c>
      <c r="C356" s="724" t="s">
        <v>848</v>
      </c>
      <c r="D356" s="724" t="s">
        <v>673</v>
      </c>
      <c r="E356" s="724" t="s">
        <v>3</v>
      </c>
      <c r="F356" s="725" t="s">
        <v>7</v>
      </c>
      <c r="G356" s="725" t="s">
        <v>684</v>
      </c>
      <c r="H356" s="726">
        <v>368340</v>
      </c>
      <c r="I356" s="726">
        <v>368340</v>
      </c>
      <c r="J356" s="726">
        <v>0</v>
      </c>
      <c r="K356" s="726">
        <v>0</v>
      </c>
      <c r="L356" s="726">
        <v>368340</v>
      </c>
      <c r="M356" s="726">
        <v>0</v>
      </c>
      <c r="N356" s="726">
        <v>0</v>
      </c>
      <c r="O356" s="726">
        <v>0</v>
      </c>
      <c r="P356" s="726">
        <v>0</v>
      </c>
      <c r="Q356" s="726">
        <v>0</v>
      </c>
      <c r="R356" s="726">
        <v>0</v>
      </c>
      <c r="S356" s="726">
        <v>0</v>
      </c>
      <c r="T356" s="726">
        <v>0</v>
      </c>
      <c r="U356" s="726">
        <v>0</v>
      </c>
      <c r="V356" s="726">
        <v>0</v>
      </c>
      <c r="W356" s="726">
        <v>0</v>
      </c>
      <c r="X356" s="724" t="s">
        <v>674</v>
      </c>
      <c r="Y356" s="724" t="s">
        <v>1226</v>
      </c>
      <c r="Z356" s="724" t="s">
        <v>1226</v>
      </c>
      <c r="AA356" s="724" t="s">
        <v>675</v>
      </c>
      <c r="AB356" s="724" t="s">
        <v>675</v>
      </c>
      <c r="AC356" s="724"/>
      <c r="AD356" s="724"/>
      <c r="AE356" s="724"/>
      <c r="AF356" s="724"/>
      <c r="AG356" s="725" t="s">
        <v>853</v>
      </c>
      <c r="AH356" s="724"/>
      <c r="AI356" s="725" t="s">
        <v>853</v>
      </c>
      <c r="AJ356" s="725" t="s">
        <v>677</v>
      </c>
      <c r="AK356" s="724" t="s">
        <v>677</v>
      </c>
      <c r="AL356" s="724"/>
      <c r="AM356" s="724"/>
      <c r="AN356" s="724"/>
      <c r="AO356" s="724"/>
      <c r="AP356" s="724"/>
      <c r="AQ356" s="724"/>
      <c r="AR356" s="726"/>
      <c r="AS356" s="724"/>
      <c r="AT356" s="726"/>
      <c r="AU356" s="724" t="s">
        <v>678</v>
      </c>
      <c r="AV356" s="724" t="s">
        <v>677</v>
      </c>
      <c r="AW356" s="724" t="s">
        <v>676</v>
      </c>
      <c r="AX356" s="724" t="s">
        <v>674</v>
      </c>
      <c r="AY356" s="724"/>
      <c r="AZ356" s="724"/>
      <c r="BA356" s="724" t="s">
        <v>679</v>
      </c>
      <c r="BB356" s="724"/>
      <c r="BC356" s="724"/>
      <c r="BD356" s="724"/>
      <c r="BE356" s="726"/>
      <c r="BF356" s="724" t="s">
        <v>298</v>
      </c>
      <c r="BG356" s="724" t="s">
        <v>680</v>
      </c>
      <c r="BH356" s="724" t="s">
        <v>681</v>
      </c>
      <c r="BI356" s="724"/>
    </row>
    <row r="357" spans="1:61">
      <c r="A357" s="724" t="s">
        <v>854</v>
      </c>
      <c r="B357" s="724" t="s">
        <v>843</v>
      </c>
      <c r="C357" s="724" t="s">
        <v>843</v>
      </c>
      <c r="D357" s="724" t="s">
        <v>724</v>
      </c>
      <c r="E357" s="724" t="s">
        <v>3</v>
      </c>
      <c r="F357" s="725" t="s">
        <v>83</v>
      </c>
      <c r="G357" s="725" t="s">
        <v>700</v>
      </c>
      <c r="H357" s="726">
        <v>264000</v>
      </c>
      <c r="I357" s="726">
        <v>264000</v>
      </c>
      <c r="J357" s="726">
        <v>0</v>
      </c>
      <c r="K357" s="726">
        <v>0</v>
      </c>
      <c r="L357" s="726">
        <v>240000</v>
      </c>
      <c r="M357" s="726">
        <v>0</v>
      </c>
      <c r="N357" s="726">
        <v>0</v>
      </c>
      <c r="O357" s="726">
        <v>24000</v>
      </c>
      <c r="P357" s="726">
        <v>0</v>
      </c>
      <c r="Q357" s="726">
        <v>0</v>
      </c>
      <c r="R357" s="726">
        <v>0</v>
      </c>
      <c r="S357" s="726">
        <v>0</v>
      </c>
      <c r="T357" s="726">
        <v>0</v>
      </c>
      <c r="U357" s="726">
        <v>0</v>
      </c>
      <c r="V357" s="726">
        <v>0</v>
      </c>
      <c r="W357" s="726">
        <v>0</v>
      </c>
      <c r="X357" s="724" t="s">
        <v>674</v>
      </c>
      <c r="Y357" s="724" t="s">
        <v>1226</v>
      </c>
      <c r="Z357" s="724" t="s">
        <v>1226</v>
      </c>
      <c r="AA357" s="724" t="s">
        <v>675</v>
      </c>
      <c r="AB357" s="724" t="s">
        <v>675</v>
      </c>
      <c r="AC357" s="724"/>
      <c r="AD357" s="724"/>
      <c r="AE357" s="724"/>
      <c r="AF357" s="724"/>
      <c r="AG357" s="725" t="s">
        <v>580</v>
      </c>
      <c r="AH357" s="724"/>
      <c r="AI357" s="725" t="s">
        <v>580</v>
      </c>
      <c r="AJ357" s="725" t="s">
        <v>855</v>
      </c>
      <c r="AK357" s="724" t="s">
        <v>677</v>
      </c>
      <c r="AL357" s="724"/>
      <c r="AM357" s="724" t="s">
        <v>726</v>
      </c>
      <c r="AN357" s="724" t="s">
        <v>856</v>
      </c>
      <c r="AO357" s="724" t="s">
        <v>854</v>
      </c>
      <c r="AP357" s="724" t="s">
        <v>857</v>
      </c>
      <c r="AQ357" s="724" t="s">
        <v>821</v>
      </c>
      <c r="AR357" s="726">
        <v>264000</v>
      </c>
      <c r="AS357" s="724" t="s">
        <v>675</v>
      </c>
      <c r="AT357" s="726">
        <v>0</v>
      </c>
      <c r="AU357" s="724" t="s">
        <v>678</v>
      </c>
      <c r="AV357" s="724" t="s">
        <v>677</v>
      </c>
      <c r="AW357" s="724" t="s">
        <v>676</v>
      </c>
      <c r="AX357" s="724" t="s">
        <v>674</v>
      </c>
      <c r="AY357" s="724"/>
      <c r="AZ357" s="724"/>
      <c r="BA357" s="724" t="s">
        <v>679</v>
      </c>
      <c r="BB357" s="724"/>
      <c r="BC357" s="724"/>
      <c r="BD357" s="724"/>
      <c r="BE357" s="726"/>
      <c r="BF357" s="724" t="s">
        <v>298</v>
      </c>
      <c r="BG357" s="724" t="s">
        <v>680</v>
      </c>
      <c r="BH357" s="724" t="s">
        <v>681</v>
      </c>
      <c r="BI357" s="724"/>
    </row>
    <row r="358" spans="1:61">
      <c r="A358" s="724" t="s">
        <v>854</v>
      </c>
      <c r="B358" s="724" t="s">
        <v>854</v>
      </c>
      <c r="C358" s="724" t="s">
        <v>858</v>
      </c>
      <c r="D358" s="724" t="s">
        <v>673</v>
      </c>
      <c r="E358" s="724" t="s">
        <v>3</v>
      </c>
      <c r="F358" s="725" t="s">
        <v>7</v>
      </c>
      <c r="G358" s="725" t="s">
        <v>684</v>
      </c>
      <c r="H358" s="726">
        <v>171354</v>
      </c>
      <c r="I358" s="726">
        <v>171354</v>
      </c>
      <c r="J358" s="726">
        <v>0</v>
      </c>
      <c r="K358" s="726">
        <v>0</v>
      </c>
      <c r="L358" s="726">
        <v>171354</v>
      </c>
      <c r="M358" s="726">
        <v>0</v>
      </c>
      <c r="N358" s="726">
        <v>0</v>
      </c>
      <c r="O358" s="726">
        <v>0</v>
      </c>
      <c r="P358" s="726">
        <v>0</v>
      </c>
      <c r="Q358" s="726">
        <v>0</v>
      </c>
      <c r="R358" s="726">
        <v>0</v>
      </c>
      <c r="S358" s="726">
        <v>0</v>
      </c>
      <c r="T358" s="726">
        <v>0</v>
      </c>
      <c r="U358" s="726">
        <v>0</v>
      </c>
      <c r="V358" s="726">
        <v>0</v>
      </c>
      <c r="W358" s="726">
        <v>0</v>
      </c>
      <c r="X358" s="724" t="s">
        <v>674</v>
      </c>
      <c r="Y358" s="724" t="s">
        <v>1226</v>
      </c>
      <c r="Z358" s="724" t="s">
        <v>1226</v>
      </c>
      <c r="AA358" s="724" t="s">
        <v>675</v>
      </c>
      <c r="AB358" s="724" t="s">
        <v>675</v>
      </c>
      <c r="AC358" s="724"/>
      <c r="AD358" s="724"/>
      <c r="AE358" s="724"/>
      <c r="AF358" s="724"/>
      <c r="AG358" s="725" t="s">
        <v>859</v>
      </c>
      <c r="AH358" s="724"/>
      <c r="AI358" s="725" t="s">
        <v>859</v>
      </c>
      <c r="AJ358" s="725" t="s">
        <v>677</v>
      </c>
      <c r="AK358" s="724" t="s">
        <v>677</v>
      </c>
      <c r="AL358" s="724"/>
      <c r="AM358" s="724"/>
      <c r="AN358" s="724"/>
      <c r="AO358" s="724"/>
      <c r="AP358" s="724"/>
      <c r="AQ358" s="724"/>
      <c r="AR358" s="726"/>
      <c r="AS358" s="724"/>
      <c r="AT358" s="726"/>
      <c r="AU358" s="724" t="s">
        <v>678</v>
      </c>
      <c r="AV358" s="724" t="s">
        <v>677</v>
      </c>
      <c r="AW358" s="724" t="s">
        <v>676</v>
      </c>
      <c r="AX358" s="724" t="s">
        <v>674</v>
      </c>
      <c r="AY358" s="724"/>
      <c r="AZ358" s="724"/>
      <c r="BA358" s="724" t="s">
        <v>679</v>
      </c>
      <c r="BB358" s="724"/>
      <c r="BC358" s="724"/>
      <c r="BD358" s="724"/>
      <c r="BE358" s="726"/>
      <c r="BF358" s="724" t="s">
        <v>298</v>
      </c>
      <c r="BG358" s="724" t="s">
        <v>680</v>
      </c>
      <c r="BH358" s="724" t="s">
        <v>681</v>
      </c>
      <c r="BI358" s="724"/>
    </row>
    <row r="359" spans="1:61">
      <c r="A359" s="724" t="s">
        <v>854</v>
      </c>
      <c r="B359" s="724" t="s">
        <v>854</v>
      </c>
      <c r="C359" s="724" t="s">
        <v>858</v>
      </c>
      <c r="D359" s="724" t="s">
        <v>673</v>
      </c>
      <c r="E359" s="724" t="s">
        <v>3</v>
      </c>
      <c r="F359" s="725" t="s">
        <v>7</v>
      </c>
      <c r="G359" s="725" t="s">
        <v>684</v>
      </c>
      <c r="H359" s="726">
        <v>223280</v>
      </c>
      <c r="I359" s="726">
        <v>223280</v>
      </c>
      <c r="J359" s="726">
        <v>0</v>
      </c>
      <c r="K359" s="726">
        <v>0</v>
      </c>
      <c r="L359" s="726">
        <v>223280</v>
      </c>
      <c r="M359" s="726">
        <v>0</v>
      </c>
      <c r="N359" s="726">
        <v>0</v>
      </c>
      <c r="O359" s="726">
        <v>0</v>
      </c>
      <c r="P359" s="726">
        <v>0</v>
      </c>
      <c r="Q359" s="726">
        <v>0</v>
      </c>
      <c r="R359" s="726">
        <v>0</v>
      </c>
      <c r="S359" s="726">
        <v>0</v>
      </c>
      <c r="T359" s="726">
        <v>0</v>
      </c>
      <c r="U359" s="726">
        <v>0</v>
      </c>
      <c r="V359" s="726">
        <v>0</v>
      </c>
      <c r="W359" s="726">
        <v>0</v>
      </c>
      <c r="X359" s="724" t="s">
        <v>674</v>
      </c>
      <c r="Y359" s="724" t="s">
        <v>1226</v>
      </c>
      <c r="Z359" s="724" t="s">
        <v>1226</v>
      </c>
      <c r="AA359" s="724" t="s">
        <v>675</v>
      </c>
      <c r="AB359" s="724" t="s">
        <v>675</v>
      </c>
      <c r="AC359" s="724"/>
      <c r="AD359" s="724"/>
      <c r="AE359" s="724"/>
      <c r="AF359" s="724"/>
      <c r="AG359" s="725" t="s">
        <v>860</v>
      </c>
      <c r="AH359" s="724"/>
      <c r="AI359" s="725" t="s">
        <v>860</v>
      </c>
      <c r="AJ359" s="725" t="s">
        <v>677</v>
      </c>
      <c r="AK359" s="724" t="s">
        <v>677</v>
      </c>
      <c r="AL359" s="724"/>
      <c r="AM359" s="724"/>
      <c r="AN359" s="724"/>
      <c r="AO359" s="724"/>
      <c r="AP359" s="724"/>
      <c r="AQ359" s="724"/>
      <c r="AR359" s="726"/>
      <c r="AS359" s="724"/>
      <c r="AT359" s="726"/>
      <c r="AU359" s="724" t="s">
        <v>678</v>
      </c>
      <c r="AV359" s="724" t="s">
        <v>677</v>
      </c>
      <c r="AW359" s="724" t="s">
        <v>676</v>
      </c>
      <c r="AX359" s="724" t="s">
        <v>674</v>
      </c>
      <c r="AY359" s="724"/>
      <c r="AZ359" s="724"/>
      <c r="BA359" s="724" t="s">
        <v>679</v>
      </c>
      <c r="BB359" s="724"/>
      <c r="BC359" s="724"/>
      <c r="BD359" s="724"/>
      <c r="BE359" s="726"/>
      <c r="BF359" s="724" t="s">
        <v>298</v>
      </c>
      <c r="BG359" s="724" t="s">
        <v>680</v>
      </c>
      <c r="BH359" s="724" t="s">
        <v>681</v>
      </c>
      <c r="BI359" s="724"/>
    </row>
    <row r="360" spans="1:61">
      <c r="A360" s="724" t="s">
        <v>854</v>
      </c>
      <c r="B360" s="724" t="s">
        <v>854</v>
      </c>
      <c r="C360" s="724" t="s">
        <v>858</v>
      </c>
      <c r="D360" s="724" t="s">
        <v>673</v>
      </c>
      <c r="E360" s="724" t="s">
        <v>3</v>
      </c>
      <c r="F360" s="725" t="s">
        <v>7</v>
      </c>
      <c r="G360" s="725" t="s">
        <v>684</v>
      </c>
      <c r="H360" s="726">
        <v>193340</v>
      </c>
      <c r="I360" s="726">
        <v>193340</v>
      </c>
      <c r="J360" s="726">
        <v>0</v>
      </c>
      <c r="K360" s="726">
        <v>0</v>
      </c>
      <c r="L360" s="726">
        <v>193340</v>
      </c>
      <c r="M360" s="726">
        <v>0</v>
      </c>
      <c r="N360" s="726">
        <v>0</v>
      </c>
      <c r="O360" s="726">
        <v>0</v>
      </c>
      <c r="P360" s="726">
        <v>0</v>
      </c>
      <c r="Q360" s="726">
        <v>0</v>
      </c>
      <c r="R360" s="726">
        <v>0</v>
      </c>
      <c r="S360" s="726">
        <v>0</v>
      </c>
      <c r="T360" s="726">
        <v>0</v>
      </c>
      <c r="U360" s="726">
        <v>0</v>
      </c>
      <c r="V360" s="726">
        <v>0</v>
      </c>
      <c r="W360" s="726">
        <v>0</v>
      </c>
      <c r="X360" s="724" t="s">
        <v>674</v>
      </c>
      <c r="Y360" s="724" t="s">
        <v>1226</v>
      </c>
      <c r="Z360" s="724" t="s">
        <v>1226</v>
      </c>
      <c r="AA360" s="724" t="s">
        <v>675</v>
      </c>
      <c r="AB360" s="724" t="s">
        <v>675</v>
      </c>
      <c r="AC360" s="724"/>
      <c r="AD360" s="724"/>
      <c r="AE360" s="724"/>
      <c r="AF360" s="724"/>
      <c r="AG360" s="725" t="s">
        <v>861</v>
      </c>
      <c r="AH360" s="724"/>
      <c r="AI360" s="725" t="s">
        <v>861</v>
      </c>
      <c r="AJ360" s="725" t="s">
        <v>677</v>
      </c>
      <c r="AK360" s="724" t="s">
        <v>677</v>
      </c>
      <c r="AL360" s="724"/>
      <c r="AM360" s="724"/>
      <c r="AN360" s="724"/>
      <c r="AO360" s="724"/>
      <c r="AP360" s="724"/>
      <c r="AQ360" s="724"/>
      <c r="AR360" s="726"/>
      <c r="AS360" s="724"/>
      <c r="AT360" s="726"/>
      <c r="AU360" s="724" t="s">
        <v>678</v>
      </c>
      <c r="AV360" s="724" t="s">
        <v>677</v>
      </c>
      <c r="AW360" s="724" t="s">
        <v>676</v>
      </c>
      <c r="AX360" s="724" t="s">
        <v>674</v>
      </c>
      <c r="AY360" s="724"/>
      <c r="AZ360" s="724"/>
      <c r="BA360" s="724" t="s">
        <v>679</v>
      </c>
      <c r="BB360" s="724"/>
      <c r="BC360" s="724"/>
      <c r="BD360" s="724"/>
      <c r="BE360" s="726"/>
      <c r="BF360" s="724" t="s">
        <v>298</v>
      </c>
      <c r="BG360" s="724" t="s">
        <v>680</v>
      </c>
      <c r="BH360" s="724" t="s">
        <v>681</v>
      </c>
      <c r="BI360" s="724"/>
    </row>
    <row r="361" spans="1:61">
      <c r="A361" s="724" t="s">
        <v>854</v>
      </c>
      <c r="B361" s="724" t="s">
        <v>854</v>
      </c>
      <c r="C361" s="724" t="s">
        <v>858</v>
      </c>
      <c r="D361" s="724" t="s">
        <v>673</v>
      </c>
      <c r="E361" s="724" t="s">
        <v>3</v>
      </c>
      <c r="F361" s="725" t="s">
        <v>7</v>
      </c>
      <c r="G361" s="725" t="s">
        <v>684</v>
      </c>
      <c r="H361" s="726">
        <v>23240</v>
      </c>
      <c r="I361" s="726">
        <v>23240</v>
      </c>
      <c r="J361" s="726">
        <v>0</v>
      </c>
      <c r="K361" s="726">
        <v>0</v>
      </c>
      <c r="L361" s="726">
        <v>23240</v>
      </c>
      <c r="M361" s="726">
        <v>0</v>
      </c>
      <c r="N361" s="726">
        <v>0</v>
      </c>
      <c r="O361" s="726">
        <v>0</v>
      </c>
      <c r="P361" s="726">
        <v>0</v>
      </c>
      <c r="Q361" s="726">
        <v>0</v>
      </c>
      <c r="R361" s="726">
        <v>0</v>
      </c>
      <c r="S361" s="726">
        <v>0</v>
      </c>
      <c r="T361" s="726">
        <v>0</v>
      </c>
      <c r="U361" s="726">
        <v>0</v>
      </c>
      <c r="V361" s="726">
        <v>0</v>
      </c>
      <c r="W361" s="726">
        <v>0</v>
      </c>
      <c r="X361" s="724" t="s">
        <v>674</v>
      </c>
      <c r="Y361" s="724" t="s">
        <v>675</v>
      </c>
      <c r="Z361" s="724" t="s">
        <v>675</v>
      </c>
      <c r="AA361" s="724" t="s">
        <v>675</v>
      </c>
      <c r="AB361" s="724" t="s">
        <v>675</v>
      </c>
      <c r="AC361" s="724"/>
      <c r="AD361" s="724"/>
      <c r="AE361" s="724"/>
      <c r="AF361" s="724"/>
      <c r="AG361" s="725" t="s">
        <v>862</v>
      </c>
      <c r="AH361" s="724"/>
      <c r="AI361" s="725" t="s">
        <v>862</v>
      </c>
      <c r="AJ361" s="725" t="s">
        <v>677</v>
      </c>
      <c r="AK361" s="724" t="s">
        <v>677</v>
      </c>
      <c r="AL361" s="724"/>
      <c r="AM361" s="724"/>
      <c r="AN361" s="724"/>
      <c r="AO361" s="724"/>
      <c r="AP361" s="724"/>
      <c r="AQ361" s="724"/>
      <c r="AR361" s="726"/>
      <c r="AS361" s="724"/>
      <c r="AT361" s="726"/>
      <c r="AU361" s="724" t="s">
        <v>678</v>
      </c>
      <c r="AV361" s="724" t="s">
        <v>677</v>
      </c>
      <c r="AW361" s="724" t="s">
        <v>676</v>
      </c>
      <c r="AX361" s="724" t="s">
        <v>674</v>
      </c>
      <c r="AY361" s="724"/>
      <c r="AZ361" s="724"/>
      <c r="BA361" s="724" t="s">
        <v>679</v>
      </c>
      <c r="BB361" s="724"/>
      <c r="BC361" s="724"/>
      <c r="BD361" s="724"/>
      <c r="BE361" s="726"/>
      <c r="BF361" s="724" t="s">
        <v>298</v>
      </c>
      <c r="BG361" s="724" t="s">
        <v>680</v>
      </c>
      <c r="BH361" s="724" t="s">
        <v>681</v>
      </c>
      <c r="BI361" s="724"/>
    </row>
    <row r="362" spans="1:61">
      <c r="A362" s="724" t="s">
        <v>854</v>
      </c>
      <c r="B362" s="724" t="s">
        <v>854</v>
      </c>
      <c r="C362" s="724" t="s">
        <v>858</v>
      </c>
      <c r="D362" s="724" t="s">
        <v>673</v>
      </c>
      <c r="E362" s="724" t="s">
        <v>3</v>
      </c>
      <c r="F362" s="725" t="s">
        <v>7</v>
      </c>
      <c r="G362" s="725" t="s">
        <v>684</v>
      </c>
      <c r="H362" s="726">
        <v>326417</v>
      </c>
      <c r="I362" s="726">
        <v>326417</v>
      </c>
      <c r="J362" s="726">
        <v>0</v>
      </c>
      <c r="K362" s="726">
        <v>0</v>
      </c>
      <c r="L362" s="726">
        <v>326417</v>
      </c>
      <c r="M362" s="726">
        <v>0</v>
      </c>
      <c r="N362" s="726">
        <v>0</v>
      </c>
      <c r="O362" s="726">
        <v>0</v>
      </c>
      <c r="P362" s="726">
        <v>0</v>
      </c>
      <c r="Q362" s="726">
        <v>0</v>
      </c>
      <c r="R362" s="726">
        <v>0</v>
      </c>
      <c r="S362" s="726">
        <v>0</v>
      </c>
      <c r="T362" s="726">
        <v>0</v>
      </c>
      <c r="U362" s="726">
        <v>0</v>
      </c>
      <c r="V362" s="726">
        <v>0</v>
      </c>
      <c r="W362" s="726">
        <v>0</v>
      </c>
      <c r="X362" s="724" t="s">
        <v>674</v>
      </c>
      <c r="Y362" s="724" t="s">
        <v>1226</v>
      </c>
      <c r="Z362" s="724" t="s">
        <v>1226</v>
      </c>
      <c r="AA362" s="724" t="s">
        <v>675</v>
      </c>
      <c r="AB362" s="724" t="s">
        <v>675</v>
      </c>
      <c r="AC362" s="724"/>
      <c r="AD362" s="724"/>
      <c r="AE362" s="724"/>
      <c r="AF362" s="724"/>
      <c r="AG362" s="725" t="s">
        <v>863</v>
      </c>
      <c r="AH362" s="724"/>
      <c r="AI362" s="725" t="s">
        <v>863</v>
      </c>
      <c r="AJ362" s="725" t="s">
        <v>677</v>
      </c>
      <c r="AK362" s="724" t="s">
        <v>677</v>
      </c>
      <c r="AL362" s="724"/>
      <c r="AM362" s="724"/>
      <c r="AN362" s="724"/>
      <c r="AO362" s="724"/>
      <c r="AP362" s="724"/>
      <c r="AQ362" s="724"/>
      <c r="AR362" s="726"/>
      <c r="AS362" s="724"/>
      <c r="AT362" s="726"/>
      <c r="AU362" s="724" t="s">
        <v>678</v>
      </c>
      <c r="AV362" s="724" t="s">
        <v>677</v>
      </c>
      <c r="AW362" s="724" t="s">
        <v>676</v>
      </c>
      <c r="AX362" s="724" t="s">
        <v>674</v>
      </c>
      <c r="AY362" s="724"/>
      <c r="AZ362" s="724"/>
      <c r="BA362" s="724" t="s">
        <v>679</v>
      </c>
      <c r="BB362" s="724"/>
      <c r="BC362" s="724"/>
      <c r="BD362" s="724"/>
      <c r="BE362" s="726"/>
      <c r="BF362" s="724" t="s">
        <v>298</v>
      </c>
      <c r="BG362" s="724" t="s">
        <v>680</v>
      </c>
      <c r="BH362" s="724" t="s">
        <v>681</v>
      </c>
      <c r="BI362" s="724"/>
    </row>
    <row r="363" spans="1:61">
      <c r="A363" s="724" t="s">
        <v>854</v>
      </c>
      <c r="B363" s="724" t="s">
        <v>854</v>
      </c>
      <c r="C363" s="724" t="s">
        <v>858</v>
      </c>
      <c r="D363" s="724" t="s">
        <v>673</v>
      </c>
      <c r="E363" s="724" t="s">
        <v>3</v>
      </c>
      <c r="F363" s="725" t="s">
        <v>7</v>
      </c>
      <c r="G363" s="725" t="s">
        <v>684</v>
      </c>
      <c r="H363" s="726">
        <v>425360</v>
      </c>
      <c r="I363" s="726">
        <v>425360</v>
      </c>
      <c r="J363" s="726">
        <v>0</v>
      </c>
      <c r="K363" s="726">
        <v>0</v>
      </c>
      <c r="L363" s="726">
        <v>425360</v>
      </c>
      <c r="M363" s="726">
        <v>0</v>
      </c>
      <c r="N363" s="726">
        <v>0</v>
      </c>
      <c r="O363" s="726">
        <v>0</v>
      </c>
      <c r="P363" s="726">
        <v>0</v>
      </c>
      <c r="Q363" s="726">
        <v>0</v>
      </c>
      <c r="R363" s="726">
        <v>0</v>
      </c>
      <c r="S363" s="726">
        <v>0</v>
      </c>
      <c r="T363" s="726">
        <v>0</v>
      </c>
      <c r="U363" s="726">
        <v>0</v>
      </c>
      <c r="V363" s="726">
        <v>0</v>
      </c>
      <c r="W363" s="726">
        <v>0</v>
      </c>
      <c r="X363" s="724" t="s">
        <v>674</v>
      </c>
      <c r="Y363" s="724" t="s">
        <v>1226</v>
      </c>
      <c r="Z363" s="724" t="s">
        <v>1226</v>
      </c>
      <c r="AA363" s="724" t="s">
        <v>675</v>
      </c>
      <c r="AB363" s="724" t="s">
        <v>675</v>
      </c>
      <c r="AC363" s="724"/>
      <c r="AD363" s="724"/>
      <c r="AE363" s="724"/>
      <c r="AF363" s="724"/>
      <c r="AG363" s="725" t="s">
        <v>864</v>
      </c>
      <c r="AH363" s="724"/>
      <c r="AI363" s="725" t="s">
        <v>864</v>
      </c>
      <c r="AJ363" s="725" t="s">
        <v>677</v>
      </c>
      <c r="AK363" s="724" t="s">
        <v>677</v>
      </c>
      <c r="AL363" s="724"/>
      <c r="AM363" s="724"/>
      <c r="AN363" s="724"/>
      <c r="AO363" s="724"/>
      <c r="AP363" s="724"/>
      <c r="AQ363" s="724"/>
      <c r="AR363" s="726"/>
      <c r="AS363" s="724"/>
      <c r="AT363" s="726"/>
      <c r="AU363" s="724" t="s">
        <v>678</v>
      </c>
      <c r="AV363" s="724" t="s">
        <v>677</v>
      </c>
      <c r="AW363" s="724" t="s">
        <v>676</v>
      </c>
      <c r="AX363" s="724" t="s">
        <v>674</v>
      </c>
      <c r="AY363" s="724"/>
      <c r="AZ363" s="724"/>
      <c r="BA363" s="724" t="s">
        <v>679</v>
      </c>
      <c r="BB363" s="724"/>
      <c r="BC363" s="724"/>
      <c r="BD363" s="724"/>
      <c r="BE363" s="726"/>
      <c r="BF363" s="724" t="s">
        <v>298</v>
      </c>
      <c r="BG363" s="724" t="s">
        <v>680</v>
      </c>
      <c r="BH363" s="724" t="s">
        <v>681</v>
      </c>
      <c r="BI363" s="724"/>
    </row>
    <row r="364" spans="1:61">
      <c r="A364" s="724" t="s">
        <v>854</v>
      </c>
      <c r="B364" s="724" t="s">
        <v>854</v>
      </c>
      <c r="C364" s="724" t="s">
        <v>858</v>
      </c>
      <c r="D364" s="724" t="s">
        <v>673</v>
      </c>
      <c r="E364" s="724" t="s">
        <v>3</v>
      </c>
      <c r="F364" s="725" t="s">
        <v>7</v>
      </c>
      <c r="G364" s="725" t="s">
        <v>684</v>
      </c>
      <c r="H364" s="726">
        <v>368340</v>
      </c>
      <c r="I364" s="726">
        <v>368340</v>
      </c>
      <c r="J364" s="726">
        <v>0</v>
      </c>
      <c r="K364" s="726">
        <v>0</v>
      </c>
      <c r="L364" s="726">
        <v>368340</v>
      </c>
      <c r="M364" s="726">
        <v>0</v>
      </c>
      <c r="N364" s="726">
        <v>0</v>
      </c>
      <c r="O364" s="726">
        <v>0</v>
      </c>
      <c r="P364" s="726">
        <v>0</v>
      </c>
      <c r="Q364" s="726">
        <v>0</v>
      </c>
      <c r="R364" s="726">
        <v>0</v>
      </c>
      <c r="S364" s="726">
        <v>0</v>
      </c>
      <c r="T364" s="726">
        <v>0</v>
      </c>
      <c r="U364" s="726">
        <v>0</v>
      </c>
      <c r="V364" s="726">
        <v>0</v>
      </c>
      <c r="W364" s="726">
        <v>0</v>
      </c>
      <c r="X364" s="724" t="s">
        <v>674</v>
      </c>
      <c r="Y364" s="724" t="s">
        <v>1226</v>
      </c>
      <c r="Z364" s="724" t="s">
        <v>1226</v>
      </c>
      <c r="AA364" s="724" t="s">
        <v>675</v>
      </c>
      <c r="AB364" s="724" t="s">
        <v>675</v>
      </c>
      <c r="AC364" s="724"/>
      <c r="AD364" s="724"/>
      <c r="AE364" s="724"/>
      <c r="AF364" s="724"/>
      <c r="AG364" s="725" t="s">
        <v>865</v>
      </c>
      <c r="AH364" s="724"/>
      <c r="AI364" s="725" t="s">
        <v>865</v>
      </c>
      <c r="AJ364" s="725" t="s">
        <v>677</v>
      </c>
      <c r="AK364" s="724" t="s">
        <v>677</v>
      </c>
      <c r="AL364" s="724"/>
      <c r="AM364" s="724"/>
      <c r="AN364" s="724"/>
      <c r="AO364" s="724"/>
      <c r="AP364" s="724"/>
      <c r="AQ364" s="724"/>
      <c r="AR364" s="726"/>
      <c r="AS364" s="724"/>
      <c r="AT364" s="726"/>
      <c r="AU364" s="724" t="s">
        <v>678</v>
      </c>
      <c r="AV364" s="724" t="s">
        <v>677</v>
      </c>
      <c r="AW364" s="724" t="s">
        <v>676</v>
      </c>
      <c r="AX364" s="724" t="s">
        <v>674</v>
      </c>
      <c r="AY364" s="724"/>
      <c r="AZ364" s="724"/>
      <c r="BA364" s="724" t="s">
        <v>679</v>
      </c>
      <c r="BB364" s="724"/>
      <c r="BC364" s="724"/>
      <c r="BD364" s="724"/>
      <c r="BE364" s="726"/>
      <c r="BF364" s="724" t="s">
        <v>298</v>
      </c>
      <c r="BG364" s="724" t="s">
        <v>680</v>
      </c>
      <c r="BH364" s="724" t="s">
        <v>681</v>
      </c>
      <c r="BI364" s="724"/>
    </row>
    <row r="365" spans="1:61">
      <c r="A365" s="724" t="s">
        <v>854</v>
      </c>
      <c r="B365" s="724" t="s">
        <v>854</v>
      </c>
      <c r="C365" s="724" t="s">
        <v>858</v>
      </c>
      <c r="D365" s="724" t="s">
        <v>673</v>
      </c>
      <c r="E365" s="724" t="s">
        <v>3</v>
      </c>
      <c r="F365" s="725" t="s">
        <v>7</v>
      </c>
      <c r="G365" s="725" t="s">
        <v>684</v>
      </c>
      <c r="H365" s="726">
        <v>3347790</v>
      </c>
      <c r="I365" s="726">
        <v>3347790</v>
      </c>
      <c r="J365" s="726">
        <v>0</v>
      </c>
      <c r="K365" s="726">
        <v>0</v>
      </c>
      <c r="L365" s="726">
        <v>3347790</v>
      </c>
      <c r="M365" s="726">
        <v>0</v>
      </c>
      <c r="N365" s="726">
        <v>0</v>
      </c>
      <c r="O365" s="726">
        <v>0</v>
      </c>
      <c r="P365" s="726">
        <v>0</v>
      </c>
      <c r="Q365" s="726">
        <v>0</v>
      </c>
      <c r="R365" s="726">
        <v>0</v>
      </c>
      <c r="S365" s="726">
        <v>0</v>
      </c>
      <c r="T365" s="726">
        <v>0</v>
      </c>
      <c r="U365" s="726">
        <v>0</v>
      </c>
      <c r="V365" s="726">
        <v>0</v>
      </c>
      <c r="W365" s="726">
        <v>0</v>
      </c>
      <c r="X365" s="724" t="s">
        <v>674</v>
      </c>
      <c r="Y365" s="724" t="s">
        <v>1226</v>
      </c>
      <c r="Z365" s="724" t="s">
        <v>1226</v>
      </c>
      <c r="AA365" s="724" t="s">
        <v>675</v>
      </c>
      <c r="AB365" s="724" t="s">
        <v>675</v>
      </c>
      <c r="AC365" s="724"/>
      <c r="AD365" s="724"/>
      <c r="AE365" s="724"/>
      <c r="AF365" s="724"/>
      <c r="AG365" s="725" t="s">
        <v>866</v>
      </c>
      <c r="AH365" s="724"/>
      <c r="AI365" s="725" t="s">
        <v>866</v>
      </c>
      <c r="AJ365" s="725" t="s">
        <v>677</v>
      </c>
      <c r="AK365" s="724" t="s">
        <v>677</v>
      </c>
      <c r="AL365" s="724"/>
      <c r="AM365" s="724"/>
      <c r="AN365" s="724"/>
      <c r="AO365" s="724"/>
      <c r="AP365" s="724"/>
      <c r="AQ365" s="724"/>
      <c r="AR365" s="726"/>
      <c r="AS365" s="724"/>
      <c r="AT365" s="726"/>
      <c r="AU365" s="724" t="s">
        <v>678</v>
      </c>
      <c r="AV365" s="724" t="s">
        <v>677</v>
      </c>
      <c r="AW365" s="724" t="s">
        <v>676</v>
      </c>
      <c r="AX365" s="724" t="s">
        <v>674</v>
      </c>
      <c r="AY365" s="724"/>
      <c r="AZ365" s="724"/>
      <c r="BA365" s="724" t="s">
        <v>679</v>
      </c>
      <c r="BB365" s="724"/>
      <c r="BC365" s="724"/>
      <c r="BD365" s="724"/>
      <c r="BE365" s="726"/>
      <c r="BF365" s="724" t="s">
        <v>298</v>
      </c>
      <c r="BG365" s="724" t="s">
        <v>680</v>
      </c>
      <c r="BH365" s="724" t="s">
        <v>681</v>
      </c>
      <c r="BI365" s="724"/>
    </row>
    <row r="366" spans="1:61">
      <c r="A366" s="724" t="s">
        <v>854</v>
      </c>
      <c r="B366" s="724" t="s">
        <v>854</v>
      </c>
      <c r="C366" s="724" t="s">
        <v>858</v>
      </c>
      <c r="D366" s="724" t="s">
        <v>673</v>
      </c>
      <c r="E366" s="724" t="s">
        <v>3</v>
      </c>
      <c r="F366" s="725" t="s">
        <v>7</v>
      </c>
      <c r="G366" s="725" t="s">
        <v>684</v>
      </c>
      <c r="H366" s="726">
        <v>200870</v>
      </c>
      <c r="I366" s="726">
        <v>200870</v>
      </c>
      <c r="J366" s="726">
        <v>0</v>
      </c>
      <c r="K366" s="726">
        <v>0</v>
      </c>
      <c r="L366" s="726">
        <v>200870</v>
      </c>
      <c r="M366" s="726">
        <v>0</v>
      </c>
      <c r="N366" s="726">
        <v>0</v>
      </c>
      <c r="O366" s="726">
        <v>0</v>
      </c>
      <c r="P366" s="726">
        <v>0</v>
      </c>
      <c r="Q366" s="726">
        <v>0</v>
      </c>
      <c r="R366" s="726">
        <v>0</v>
      </c>
      <c r="S366" s="726">
        <v>0</v>
      </c>
      <c r="T366" s="726">
        <v>0</v>
      </c>
      <c r="U366" s="726">
        <v>0</v>
      </c>
      <c r="V366" s="726">
        <v>0</v>
      </c>
      <c r="W366" s="726">
        <v>0</v>
      </c>
      <c r="X366" s="724" t="s">
        <v>674</v>
      </c>
      <c r="Y366" s="724" t="s">
        <v>1226</v>
      </c>
      <c r="Z366" s="724" t="s">
        <v>1226</v>
      </c>
      <c r="AA366" s="724" t="s">
        <v>675</v>
      </c>
      <c r="AB366" s="724" t="s">
        <v>675</v>
      </c>
      <c r="AC366" s="724"/>
      <c r="AD366" s="724"/>
      <c r="AE366" s="724"/>
      <c r="AF366" s="724"/>
      <c r="AG366" s="725" t="s">
        <v>867</v>
      </c>
      <c r="AH366" s="724"/>
      <c r="AI366" s="725" t="s">
        <v>867</v>
      </c>
      <c r="AJ366" s="725" t="s">
        <v>677</v>
      </c>
      <c r="AK366" s="724" t="s">
        <v>677</v>
      </c>
      <c r="AL366" s="724"/>
      <c r="AM366" s="724"/>
      <c r="AN366" s="724"/>
      <c r="AO366" s="724"/>
      <c r="AP366" s="724"/>
      <c r="AQ366" s="724"/>
      <c r="AR366" s="726"/>
      <c r="AS366" s="724"/>
      <c r="AT366" s="726"/>
      <c r="AU366" s="724" t="s">
        <v>678</v>
      </c>
      <c r="AV366" s="724" t="s">
        <v>677</v>
      </c>
      <c r="AW366" s="724" t="s">
        <v>676</v>
      </c>
      <c r="AX366" s="724" t="s">
        <v>674</v>
      </c>
      <c r="AY366" s="724"/>
      <c r="AZ366" s="724"/>
      <c r="BA366" s="724" t="s">
        <v>679</v>
      </c>
      <c r="BB366" s="724"/>
      <c r="BC366" s="724"/>
      <c r="BD366" s="724"/>
      <c r="BE366" s="726"/>
      <c r="BF366" s="724" t="s">
        <v>298</v>
      </c>
      <c r="BG366" s="724" t="s">
        <v>680</v>
      </c>
      <c r="BH366" s="724" t="s">
        <v>681</v>
      </c>
      <c r="BI366" s="724"/>
    </row>
    <row r="367" spans="1:61">
      <c r="A367" s="724" t="s">
        <v>854</v>
      </c>
      <c r="B367" s="724" t="s">
        <v>854</v>
      </c>
      <c r="C367" s="724" t="s">
        <v>858</v>
      </c>
      <c r="D367" s="724" t="s">
        <v>673</v>
      </c>
      <c r="E367" s="724" t="s">
        <v>3</v>
      </c>
      <c r="F367" s="725" t="s">
        <v>7</v>
      </c>
      <c r="G367" s="725" t="s">
        <v>684</v>
      </c>
      <c r="H367" s="726">
        <v>1839670</v>
      </c>
      <c r="I367" s="726">
        <v>1839670</v>
      </c>
      <c r="J367" s="726">
        <v>0</v>
      </c>
      <c r="K367" s="726">
        <v>0</v>
      </c>
      <c r="L367" s="726">
        <v>1839670</v>
      </c>
      <c r="M367" s="726">
        <v>0</v>
      </c>
      <c r="N367" s="726">
        <v>0</v>
      </c>
      <c r="O367" s="726">
        <v>0</v>
      </c>
      <c r="P367" s="726">
        <v>0</v>
      </c>
      <c r="Q367" s="726">
        <v>0</v>
      </c>
      <c r="R367" s="726">
        <v>0</v>
      </c>
      <c r="S367" s="726">
        <v>0</v>
      </c>
      <c r="T367" s="726">
        <v>0</v>
      </c>
      <c r="U367" s="726">
        <v>0</v>
      </c>
      <c r="V367" s="726">
        <v>0</v>
      </c>
      <c r="W367" s="726">
        <v>0</v>
      </c>
      <c r="X367" s="724" t="s">
        <v>674</v>
      </c>
      <c r="Y367" s="724" t="s">
        <v>1226</v>
      </c>
      <c r="Z367" s="724" t="s">
        <v>1226</v>
      </c>
      <c r="AA367" s="724" t="s">
        <v>675</v>
      </c>
      <c r="AB367" s="724" t="s">
        <v>675</v>
      </c>
      <c r="AC367" s="724"/>
      <c r="AD367" s="724"/>
      <c r="AE367" s="724"/>
      <c r="AF367" s="724"/>
      <c r="AG367" s="725" t="s">
        <v>868</v>
      </c>
      <c r="AH367" s="724"/>
      <c r="AI367" s="725" t="s">
        <v>868</v>
      </c>
      <c r="AJ367" s="725" t="s">
        <v>677</v>
      </c>
      <c r="AK367" s="724" t="s">
        <v>677</v>
      </c>
      <c r="AL367" s="724"/>
      <c r="AM367" s="724"/>
      <c r="AN367" s="724"/>
      <c r="AO367" s="724"/>
      <c r="AP367" s="724"/>
      <c r="AQ367" s="724"/>
      <c r="AR367" s="726"/>
      <c r="AS367" s="724"/>
      <c r="AT367" s="726"/>
      <c r="AU367" s="724" t="s">
        <v>678</v>
      </c>
      <c r="AV367" s="724" t="s">
        <v>677</v>
      </c>
      <c r="AW367" s="724" t="s">
        <v>676</v>
      </c>
      <c r="AX367" s="724" t="s">
        <v>674</v>
      </c>
      <c r="AY367" s="724"/>
      <c r="AZ367" s="724"/>
      <c r="BA367" s="724" t="s">
        <v>679</v>
      </c>
      <c r="BB367" s="724"/>
      <c r="BC367" s="724"/>
      <c r="BD367" s="724"/>
      <c r="BE367" s="726"/>
      <c r="BF367" s="724" t="s">
        <v>298</v>
      </c>
      <c r="BG367" s="724" t="s">
        <v>680</v>
      </c>
      <c r="BH367" s="724" t="s">
        <v>681</v>
      </c>
      <c r="BI367" s="724"/>
    </row>
    <row r="368" spans="1:61">
      <c r="A368" s="724" t="s">
        <v>858</v>
      </c>
      <c r="B368" s="724" t="s">
        <v>858</v>
      </c>
      <c r="C368" s="724" t="s">
        <v>869</v>
      </c>
      <c r="D368" s="724" t="s">
        <v>673</v>
      </c>
      <c r="E368" s="724" t="s">
        <v>3</v>
      </c>
      <c r="F368" s="725" t="s">
        <v>83</v>
      </c>
      <c r="G368" s="725" t="s">
        <v>691</v>
      </c>
      <c r="H368" s="726">
        <v>158400</v>
      </c>
      <c r="I368" s="726">
        <v>158400</v>
      </c>
      <c r="J368" s="726">
        <v>0</v>
      </c>
      <c r="K368" s="726">
        <v>0</v>
      </c>
      <c r="L368" s="726">
        <v>158400</v>
      </c>
      <c r="M368" s="726">
        <v>0</v>
      </c>
      <c r="N368" s="726">
        <v>0</v>
      </c>
      <c r="O368" s="726">
        <v>0</v>
      </c>
      <c r="P368" s="726">
        <v>0</v>
      </c>
      <c r="Q368" s="726">
        <v>0</v>
      </c>
      <c r="R368" s="726">
        <v>0</v>
      </c>
      <c r="S368" s="726">
        <v>0</v>
      </c>
      <c r="T368" s="726">
        <v>0</v>
      </c>
      <c r="U368" s="726">
        <v>0</v>
      </c>
      <c r="V368" s="726">
        <v>0</v>
      </c>
      <c r="W368" s="726">
        <v>0</v>
      </c>
      <c r="X368" s="724" t="s">
        <v>674</v>
      </c>
      <c r="Y368" s="724" t="s">
        <v>1226</v>
      </c>
      <c r="Z368" s="724" t="s">
        <v>1226</v>
      </c>
      <c r="AA368" s="724" t="s">
        <v>675</v>
      </c>
      <c r="AB368" s="724" t="s">
        <v>675</v>
      </c>
      <c r="AC368" s="724"/>
      <c r="AD368" s="724"/>
      <c r="AE368" s="724" t="s">
        <v>676</v>
      </c>
      <c r="AF368" s="724"/>
      <c r="AG368" s="725" t="s">
        <v>870</v>
      </c>
      <c r="AH368" s="724"/>
      <c r="AI368" s="725" t="s">
        <v>870</v>
      </c>
      <c r="AJ368" s="725" t="s">
        <v>677</v>
      </c>
      <c r="AK368" s="724" t="s">
        <v>677</v>
      </c>
      <c r="AL368" s="724"/>
      <c r="AM368" s="724"/>
      <c r="AN368" s="724"/>
      <c r="AO368" s="724"/>
      <c r="AP368" s="724"/>
      <c r="AQ368" s="724"/>
      <c r="AR368" s="726"/>
      <c r="AS368" s="724"/>
      <c r="AT368" s="726"/>
      <c r="AU368" s="724" t="s">
        <v>678</v>
      </c>
      <c r="AV368" s="724" t="s">
        <v>677</v>
      </c>
      <c r="AW368" s="724" t="s">
        <v>676</v>
      </c>
      <c r="AX368" s="724" t="s">
        <v>674</v>
      </c>
      <c r="AY368" s="724"/>
      <c r="AZ368" s="724"/>
      <c r="BA368" s="724" t="s">
        <v>679</v>
      </c>
      <c r="BB368" s="724"/>
      <c r="BC368" s="724"/>
      <c r="BD368" s="724"/>
      <c r="BE368" s="726"/>
      <c r="BF368" s="724" t="s">
        <v>298</v>
      </c>
      <c r="BG368" s="724" t="s">
        <v>680</v>
      </c>
      <c r="BH368" s="724" t="s">
        <v>681</v>
      </c>
      <c r="BI368" s="724"/>
    </row>
    <row r="369" spans="1:61">
      <c r="A369" s="724" t="s">
        <v>858</v>
      </c>
      <c r="B369" s="724" t="s">
        <v>858</v>
      </c>
      <c r="C369" s="724" t="s">
        <v>869</v>
      </c>
      <c r="D369" s="724" t="s">
        <v>673</v>
      </c>
      <c r="E369" s="724" t="s">
        <v>3</v>
      </c>
      <c r="F369" s="725" t="s">
        <v>83</v>
      </c>
      <c r="G369" s="725" t="s">
        <v>691</v>
      </c>
      <c r="H369" s="726">
        <v>1641600</v>
      </c>
      <c r="I369" s="726">
        <v>1641600</v>
      </c>
      <c r="J369" s="726">
        <v>0</v>
      </c>
      <c r="K369" s="726">
        <v>0</v>
      </c>
      <c r="L369" s="726">
        <v>1641600</v>
      </c>
      <c r="M369" s="726">
        <v>0</v>
      </c>
      <c r="N369" s="726">
        <v>0</v>
      </c>
      <c r="O369" s="726">
        <v>0</v>
      </c>
      <c r="P369" s="726">
        <v>0</v>
      </c>
      <c r="Q369" s="726">
        <v>0</v>
      </c>
      <c r="R369" s="726">
        <v>0</v>
      </c>
      <c r="S369" s="726">
        <v>0</v>
      </c>
      <c r="T369" s="726">
        <v>0</v>
      </c>
      <c r="U369" s="726">
        <v>0</v>
      </c>
      <c r="V369" s="726">
        <v>0</v>
      </c>
      <c r="W369" s="726">
        <v>0</v>
      </c>
      <c r="X369" s="724" t="s">
        <v>674</v>
      </c>
      <c r="Y369" s="724" t="s">
        <v>1226</v>
      </c>
      <c r="Z369" s="724" t="s">
        <v>1226</v>
      </c>
      <c r="AA369" s="724" t="s">
        <v>675</v>
      </c>
      <c r="AB369" s="724" t="s">
        <v>675</v>
      </c>
      <c r="AC369" s="724"/>
      <c r="AD369" s="724"/>
      <c r="AE369" s="724" t="s">
        <v>676</v>
      </c>
      <c r="AF369" s="724"/>
      <c r="AG369" s="725" t="s">
        <v>871</v>
      </c>
      <c r="AH369" s="724"/>
      <c r="AI369" s="725" t="s">
        <v>871</v>
      </c>
      <c r="AJ369" s="725" t="s">
        <v>677</v>
      </c>
      <c r="AK369" s="724" t="s">
        <v>677</v>
      </c>
      <c r="AL369" s="724"/>
      <c r="AM369" s="724"/>
      <c r="AN369" s="724"/>
      <c r="AO369" s="724"/>
      <c r="AP369" s="724"/>
      <c r="AQ369" s="724"/>
      <c r="AR369" s="726"/>
      <c r="AS369" s="724"/>
      <c r="AT369" s="726"/>
      <c r="AU369" s="724" t="s">
        <v>678</v>
      </c>
      <c r="AV369" s="724" t="s">
        <v>677</v>
      </c>
      <c r="AW369" s="724" t="s">
        <v>676</v>
      </c>
      <c r="AX369" s="724" t="s">
        <v>674</v>
      </c>
      <c r="AY369" s="724"/>
      <c r="AZ369" s="724"/>
      <c r="BA369" s="724" t="s">
        <v>679</v>
      </c>
      <c r="BB369" s="724"/>
      <c r="BC369" s="724"/>
      <c r="BD369" s="724"/>
      <c r="BE369" s="726"/>
      <c r="BF369" s="724" t="s">
        <v>298</v>
      </c>
      <c r="BG369" s="724" t="s">
        <v>680</v>
      </c>
      <c r="BH369" s="724" t="s">
        <v>681</v>
      </c>
      <c r="BI369" s="724"/>
    </row>
    <row r="370" spans="1:61">
      <c r="A370" s="724" t="s">
        <v>858</v>
      </c>
      <c r="B370" s="724" t="s">
        <v>858</v>
      </c>
      <c r="C370" s="724" t="s">
        <v>869</v>
      </c>
      <c r="D370" s="724" t="s">
        <v>673</v>
      </c>
      <c r="E370" s="724" t="s">
        <v>3</v>
      </c>
      <c r="F370" s="725" t="s">
        <v>83</v>
      </c>
      <c r="G370" s="725" t="s">
        <v>691</v>
      </c>
      <c r="H370" s="726">
        <v>912000</v>
      </c>
      <c r="I370" s="726">
        <v>912000</v>
      </c>
      <c r="J370" s="726">
        <v>0</v>
      </c>
      <c r="K370" s="726">
        <v>0</v>
      </c>
      <c r="L370" s="726">
        <v>912000</v>
      </c>
      <c r="M370" s="726">
        <v>0</v>
      </c>
      <c r="N370" s="726">
        <v>0</v>
      </c>
      <c r="O370" s="726">
        <v>0</v>
      </c>
      <c r="P370" s="726">
        <v>0</v>
      </c>
      <c r="Q370" s="726">
        <v>0</v>
      </c>
      <c r="R370" s="726">
        <v>0</v>
      </c>
      <c r="S370" s="726">
        <v>0</v>
      </c>
      <c r="T370" s="726">
        <v>0</v>
      </c>
      <c r="U370" s="726">
        <v>0</v>
      </c>
      <c r="V370" s="726">
        <v>0</v>
      </c>
      <c r="W370" s="726">
        <v>0</v>
      </c>
      <c r="X370" s="724" t="s">
        <v>674</v>
      </c>
      <c r="Y370" s="724" t="s">
        <v>1226</v>
      </c>
      <c r="Z370" s="724" t="s">
        <v>1226</v>
      </c>
      <c r="AA370" s="724" t="s">
        <v>675</v>
      </c>
      <c r="AB370" s="724" t="s">
        <v>675</v>
      </c>
      <c r="AC370" s="724"/>
      <c r="AD370" s="724"/>
      <c r="AE370" s="724" t="s">
        <v>676</v>
      </c>
      <c r="AF370" s="724"/>
      <c r="AG370" s="725" t="s">
        <v>872</v>
      </c>
      <c r="AH370" s="724"/>
      <c r="AI370" s="725" t="s">
        <v>872</v>
      </c>
      <c r="AJ370" s="725" t="s">
        <v>677</v>
      </c>
      <c r="AK370" s="724" t="s">
        <v>677</v>
      </c>
      <c r="AL370" s="724"/>
      <c r="AM370" s="724"/>
      <c r="AN370" s="724"/>
      <c r="AO370" s="724"/>
      <c r="AP370" s="724"/>
      <c r="AQ370" s="724"/>
      <c r="AR370" s="726"/>
      <c r="AS370" s="724"/>
      <c r="AT370" s="726"/>
      <c r="AU370" s="724" t="s">
        <v>678</v>
      </c>
      <c r="AV370" s="724" t="s">
        <v>677</v>
      </c>
      <c r="AW370" s="724" t="s">
        <v>676</v>
      </c>
      <c r="AX370" s="724" t="s">
        <v>674</v>
      </c>
      <c r="AY370" s="724"/>
      <c r="AZ370" s="724"/>
      <c r="BA370" s="724" t="s">
        <v>679</v>
      </c>
      <c r="BB370" s="724"/>
      <c r="BC370" s="724"/>
      <c r="BD370" s="724"/>
      <c r="BE370" s="726"/>
      <c r="BF370" s="724" t="s">
        <v>298</v>
      </c>
      <c r="BG370" s="724" t="s">
        <v>680</v>
      </c>
      <c r="BH370" s="724" t="s">
        <v>681</v>
      </c>
      <c r="BI370" s="724"/>
    </row>
    <row r="371" spans="1:61">
      <c r="A371" s="724" t="s">
        <v>858</v>
      </c>
      <c r="B371" s="724" t="s">
        <v>858</v>
      </c>
      <c r="C371" s="724" t="s">
        <v>869</v>
      </c>
      <c r="D371" s="724" t="s">
        <v>673</v>
      </c>
      <c r="E371" s="724" t="s">
        <v>3</v>
      </c>
      <c r="F371" s="725" t="s">
        <v>83</v>
      </c>
      <c r="G371" s="725" t="s">
        <v>691</v>
      </c>
      <c r="H371" s="726">
        <v>88000</v>
      </c>
      <c r="I371" s="726">
        <v>88000</v>
      </c>
      <c r="J371" s="726">
        <v>0</v>
      </c>
      <c r="K371" s="726">
        <v>0</v>
      </c>
      <c r="L371" s="726">
        <v>88000</v>
      </c>
      <c r="M371" s="726">
        <v>0</v>
      </c>
      <c r="N371" s="726">
        <v>0</v>
      </c>
      <c r="O371" s="726">
        <v>0</v>
      </c>
      <c r="P371" s="726">
        <v>0</v>
      </c>
      <c r="Q371" s="726">
        <v>0</v>
      </c>
      <c r="R371" s="726">
        <v>0</v>
      </c>
      <c r="S371" s="726">
        <v>0</v>
      </c>
      <c r="T371" s="726">
        <v>0</v>
      </c>
      <c r="U371" s="726">
        <v>0</v>
      </c>
      <c r="V371" s="726">
        <v>0</v>
      </c>
      <c r="W371" s="726">
        <v>0</v>
      </c>
      <c r="X371" s="724" t="s">
        <v>674</v>
      </c>
      <c r="Y371" s="724" t="s">
        <v>675</v>
      </c>
      <c r="Z371" s="724" t="s">
        <v>675</v>
      </c>
      <c r="AA371" s="724" t="s">
        <v>675</v>
      </c>
      <c r="AB371" s="724" t="s">
        <v>675</v>
      </c>
      <c r="AC371" s="724"/>
      <c r="AD371" s="724"/>
      <c r="AE371" s="724" t="s">
        <v>676</v>
      </c>
      <c r="AF371" s="724"/>
      <c r="AG371" s="725" t="s">
        <v>870</v>
      </c>
      <c r="AH371" s="724"/>
      <c r="AI371" s="725" t="s">
        <v>870</v>
      </c>
      <c r="AJ371" s="725" t="s">
        <v>677</v>
      </c>
      <c r="AK371" s="724" t="s">
        <v>677</v>
      </c>
      <c r="AL371" s="724"/>
      <c r="AM371" s="724"/>
      <c r="AN371" s="724"/>
      <c r="AO371" s="724"/>
      <c r="AP371" s="724"/>
      <c r="AQ371" s="724"/>
      <c r="AR371" s="726"/>
      <c r="AS371" s="724"/>
      <c r="AT371" s="726"/>
      <c r="AU371" s="724" t="s">
        <v>678</v>
      </c>
      <c r="AV371" s="724" t="s">
        <v>677</v>
      </c>
      <c r="AW371" s="724" t="s">
        <v>676</v>
      </c>
      <c r="AX371" s="724" t="s">
        <v>674</v>
      </c>
      <c r="AY371" s="724"/>
      <c r="AZ371" s="724"/>
      <c r="BA371" s="724" t="s">
        <v>679</v>
      </c>
      <c r="BB371" s="724"/>
      <c r="BC371" s="724"/>
      <c r="BD371" s="724"/>
      <c r="BE371" s="726"/>
      <c r="BF371" s="724" t="s">
        <v>298</v>
      </c>
      <c r="BG371" s="724" t="s">
        <v>680</v>
      </c>
      <c r="BH371" s="724" t="s">
        <v>681</v>
      </c>
      <c r="BI371" s="724"/>
    </row>
    <row r="372" spans="1:61">
      <c r="A372" s="724" t="s">
        <v>858</v>
      </c>
      <c r="B372" s="724" t="s">
        <v>858</v>
      </c>
      <c r="C372" s="724" t="s">
        <v>869</v>
      </c>
      <c r="D372" s="724" t="s">
        <v>673</v>
      </c>
      <c r="E372" s="724" t="s">
        <v>3</v>
      </c>
      <c r="F372" s="725" t="s">
        <v>83</v>
      </c>
      <c r="G372" s="725" t="s">
        <v>691</v>
      </c>
      <c r="H372" s="726">
        <v>912000</v>
      </c>
      <c r="I372" s="726">
        <v>912000</v>
      </c>
      <c r="J372" s="726">
        <v>0</v>
      </c>
      <c r="K372" s="726">
        <v>0</v>
      </c>
      <c r="L372" s="726">
        <v>912000</v>
      </c>
      <c r="M372" s="726">
        <v>0</v>
      </c>
      <c r="N372" s="726">
        <v>0</v>
      </c>
      <c r="O372" s="726">
        <v>0</v>
      </c>
      <c r="P372" s="726">
        <v>0</v>
      </c>
      <c r="Q372" s="726">
        <v>0</v>
      </c>
      <c r="R372" s="726">
        <v>0</v>
      </c>
      <c r="S372" s="726">
        <v>0</v>
      </c>
      <c r="T372" s="726">
        <v>0</v>
      </c>
      <c r="U372" s="726">
        <v>0</v>
      </c>
      <c r="V372" s="726">
        <v>0</v>
      </c>
      <c r="W372" s="726">
        <v>0</v>
      </c>
      <c r="X372" s="724" t="s">
        <v>674</v>
      </c>
      <c r="Y372" s="724" t="s">
        <v>1226</v>
      </c>
      <c r="Z372" s="724" t="s">
        <v>1226</v>
      </c>
      <c r="AA372" s="724" t="s">
        <v>675</v>
      </c>
      <c r="AB372" s="724" t="s">
        <v>675</v>
      </c>
      <c r="AC372" s="724"/>
      <c r="AD372" s="724"/>
      <c r="AE372" s="724" t="s">
        <v>676</v>
      </c>
      <c r="AF372" s="724"/>
      <c r="AG372" s="725" t="s">
        <v>872</v>
      </c>
      <c r="AH372" s="724"/>
      <c r="AI372" s="725" t="s">
        <v>872</v>
      </c>
      <c r="AJ372" s="725" t="s">
        <v>677</v>
      </c>
      <c r="AK372" s="724" t="s">
        <v>677</v>
      </c>
      <c r="AL372" s="724"/>
      <c r="AM372" s="724"/>
      <c r="AN372" s="724"/>
      <c r="AO372" s="724"/>
      <c r="AP372" s="724"/>
      <c r="AQ372" s="724"/>
      <c r="AR372" s="726"/>
      <c r="AS372" s="724"/>
      <c r="AT372" s="726"/>
      <c r="AU372" s="724" t="s">
        <v>678</v>
      </c>
      <c r="AV372" s="724" t="s">
        <v>677</v>
      </c>
      <c r="AW372" s="724" t="s">
        <v>676</v>
      </c>
      <c r="AX372" s="724" t="s">
        <v>674</v>
      </c>
      <c r="AY372" s="724"/>
      <c r="AZ372" s="724"/>
      <c r="BA372" s="724" t="s">
        <v>679</v>
      </c>
      <c r="BB372" s="724"/>
      <c r="BC372" s="724"/>
      <c r="BD372" s="724"/>
      <c r="BE372" s="726"/>
      <c r="BF372" s="724" t="s">
        <v>298</v>
      </c>
      <c r="BG372" s="724" t="s">
        <v>680</v>
      </c>
      <c r="BH372" s="724" t="s">
        <v>681</v>
      </c>
      <c r="BI372" s="724"/>
    </row>
    <row r="373" spans="1:61">
      <c r="A373" s="724" t="s">
        <v>858</v>
      </c>
      <c r="B373" s="724" t="s">
        <v>858</v>
      </c>
      <c r="C373" s="724" t="s">
        <v>869</v>
      </c>
      <c r="D373" s="724" t="s">
        <v>673</v>
      </c>
      <c r="E373" s="724" t="s">
        <v>3</v>
      </c>
      <c r="F373" s="725" t="s">
        <v>83</v>
      </c>
      <c r="G373" s="725" t="s">
        <v>691</v>
      </c>
      <c r="H373" s="726">
        <v>88000</v>
      </c>
      <c r="I373" s="726">
        <v>88000</v>
      </c>
      <c r="J373" s="726">
        <v>0</v>
      </c>
      <c r="K373" s="726">
        <v>0</v>
      </c>
      <c r="L373" s="726">
        <v>88000</v>
      </c>
      <c r="M373" s="726">
        <v>0</v>
      </c>
      <c r="N373" s="726">
        <v>0</v>
      </c>
      <c r="O373" s="726">
        <v>0</v>
      </c>
      <c r="P373" s="726">
        <v>0</v>
      </c>
      <c r="Q373" s="726">
        <v>0</v>
      </c>
      <c r="R373" s="726">
        <v>0</v>
      </c>
      <c r="S373" s="726">
        <v>0</v>
      </c>
      <c r="T373" s="726">
        <v>0</v>
      </c>
      <c r="U373" s="726">
        <v>0</v>
      </c>
      <c r="V373" s="726">
        <v>0</v>
      </c>
      <c r="W373" s="726">
        <v>0</v>
      </c>
      <c r="X373" s="724" t="s">
        <v>674</v>
      </c>
      <c r="Y373" s="724" t="s">
        <v>675</v>
      </c>
      <c r="Z373" s="724" t="s">
        <v>675</v>
      </c>
      <c r="AA373" s="724" t="s">
        <v>675</v>
      </c>
      <c r="AB373" s="724" t="s">
        <v>675</v>
      </c>
      <c r="AC373" s="724"/>
      <c r="AD373" s="724"/>
      <c r="AE373" s="724" t="s">
        <v>676</v>
      </c>
      <c r="AF373" s="724"/>
      <c r="AG373" s="725" t="s">
        <v>870</v>
      </c>
      <c r="AH373" s="724"/>
      <c r="AI373" s="725" t="s">
        <v>870</v>
      </c>
      <c r="AJ373" s="725" t="s">
        <v>677</v>
      </c>
      <c r="AK373" s="724" t="s">
        <v>677</v>
      </c>
      <c r="AL373" s="724"/>
      <c r="AM373" s="724"/>
      <c r="AN373" s="724"/>
      <c r="AO373" s="724"/>
      <c r="AP373" s="724"/>
      <c r="AQ373" s="724"/>
      <c r="AR373" s="726"/>
      <c r="AS373" s="724"/>
      <c r="AT373" s="726"/>
      <c r="AU373" s="724" t="s">
        <v>678</v>
      </c>
      <c r="AV373" s="724" t="s">
        <v>677</v>
      </c>
      <c r="AW373" s="724" t="s">
        <v>676</v>
      </c>
      <c r="AX373" s="724" t="s">
        <v>674</v>
      </c>
      <c r="AY373" s="724"/>
      <c r="AZ373" s="724"/>
      <c r="BA373" s="724" t="s">
        <v>679</v>
      </c>
      <c r="BB373" s="724"/>
      <c r="BC373" s="724"/>
      <c r="BD373" s="724"/>
      <c r="BE373" s="726"/>
      <c r="BF373" s="724" t="s">
        <v>298</v>
      </c>
      <c r="BG373" s="724" t="s">
        <v>680</v>
      </c>
      <c r="BH373" s="724" t="s">
        <v>681</v>
      </c>
      <c r="BI373" s="724"/>
    </row>
    <row r="374" spans="1:61">
      <c r="A374" s="724" t="s">
        <v>840</v>
      </c>
      <c r="B374" s="724" t="s">
        <v>805</v>
      </c>
      <c r="C374" s="724" t="s">
        <v>806</v>
      </c>
      <c r="D374" s="724" t="s">
        <v>716</v>
      </c>
      <c r="E374" s="724" t="s">
        <v>3</v>
      </c>
      <c r="F374" s="725" t="s">
        <v>71</v>
      </c>
      <c r="G374" s="725" t="s">
        <v>719</v>
      </c>
      <c r="H374" s="726">
        <v>935000</v>
      </c>
      <c r="I374" s="726">
        <v>935000</v>
      </c>
      <c r="J374" s="726">
        <v>0</v>
      </c>
      <c r="K374" s="726">
        <v>0</v>
      </c>
      <c r="L374" s="726">
        <v>850000</v>
      </c>
      <c r="M374" s="726">
        <v>0</v>
      </c>
      <c r="N374" s="726">
        <v>0</v>
      </c>
      <c r="O374" s="726">
        <v>85000</v>
      </c>
      <c r="P374" s="726">
        <v>0</v>
      </c>
      <c r="Q374" s="726">
        <v>0</v>
      </c>
      <c r="R374" s="726">
        <v>0</v>
      </c>
      <c r="S374" s="726">
        <v>0</v>
      </c>
      <c r="T374" s="726">
        <v>0</v>
      </c>
      <c r="U374" s="726">
        <v>0</v>
      </c>
      <c r="V374" s="726">
        <v>0</v>
      </c>
      <c r="W374" s="726">
        <v>0</v>
      </c>
      <c r="X374" s="724" t="s">
        <v>674</v>
      </c>
      <c r="Y374" s="724" t="s">
        <v>1226</v>
      </c>
      <c r="Z374" s="724" t="s">
        <v>1226</v>
      </c>
      <c r="AA374" s="724" t="s">
        <v>675</v>
      </c>
      <c r="AB374" s="724" t="s">
        <v>675</v>
      </c>
      <c r="AC374" s="724"/>
      <c r="AD374" s="724"/>
      <c r="AE374" s="724"/>
      <c r="AF374" s="724"/>
      <c r="AG374" s="725" t="s">
        <v>873</v>
      </c>
      <c r="AH374" s="724"/>
      <c r="AI374" s="725" t="s">
        <v>873</v>
      </c>
      <c r="AJ374" s="725" t="s">
        <v>874</v>
      </c>
      <c r="AK374" s="724" t="s">
        <v>677</v>
      </c>
      <c r="AL374" s="724"/>
      <c r="AM374" s="724"/>
      <c r="AN374" s="724"/>
      <c r="AO374" s="724"/>
      <c r="AP374" s="724"/>
      <c r="AQ374" s="724"/>
      <c r="AR374" s="726"/>
      <c r="AS374" s="724"/>
      <c r="AT374" s="726"/>
      <c r="AU374" s="724" t="s">
        <v>678</v>
      </c>
      <c r="AV374" s="724" t="s">
        <v>677</v>
      </c>
      <c r="AW374" s="724" t="s">
        <v>676</v>
      </c>
      <c r="AX374" s="724" t="s">
        <v>674</v>
      </c>
      <c r="AY374" s="724"/>
      <c r="AZ374" s="724"/>
      <c r="BA374" s="724" t="s">
        <v>679</v>
      </c>
      <c r="BB374" s="724"/>
      <c r="BC374" s="724"/>
      <c r="BD374" s="724"/>
      <c r="BE374" s="726"/>
      <c r="BF374" s="724" t="s">
        <v>298</v>
      </c>
      <c r="BG374" s="724" t="s">
        <v>680</v>
      </c>
      <c r="BH374" s="724" t="s">
        <v>681</v>
      </c>
      <c r="BI374" s="724"/>
    </row>
    <row r="375" spans="1:61">
      <c r="A375" s="724" t="s">
        <v>875</v>
      </c>
      <c r="B375" s="724" t="s">
        <v>820</v>
      </c>
      <c r="C375" s="724" t="s">
        <v>875</v>
      </c>
      <c r="D375" s="724" t="s">
        <v>716</v>
      </c>
      <c r="E375" s="724" t="s">
        <v>3</v>
      </c>
      <c r="F375" s="725" t="s">
        <v>308</v>
      </c>
      <c r="G375" s="725" t="s">
        <v>780</v>
      </c>
      <c r="H375" s="726">
        <v>8030000</v>
      </c>
      <c r="I375" s="726">
        <v>8030000</v>
      </c>
      <c r="J375" s="726">
        <v>0</v>
      </c>
      <c r="K375" s="726">
        <v>0</v>
      </c>
      <c r="L375" s="726">
        <v>7300000</v>
      </c>
      <c r="M375" s="726">
        <v>0</v>
      </c>
      <c r="N375" s="726">
        <v>0</v>
      </c>
      <c r="O375" s="726">
        <v>730000</v>
      </c>
      <c r="P375" s="726">
        <v>0</v>
      </c>
      <c r="Q375" s="726">
        <v>0</v>
      </c>
      <c r="R375" s="726">
        <v>0</v>
      </c>
      <c r="S375" s="726">
        <v>0</v>
      </c>
      <c r="T375" s="726">
        <v>0</v>
      </c>
      <c r="U375" s="726">
        <v>0</v>
      </c>
      <c r="V375" s="726">
        <v>0</v>
      </c>
      <c r="W375" s="726">
        <v>0</v>
      </c>
      <c r="X375" s="724" t="s">
        <v>674</v>
      </c>
      <c r="Y375" s="724" t="s">
        <v>1226</v>
      </c>
      <c r="Z375" s="724" t="s">
        <v>1226</v>
      </c>
      <c r="AA375" s="724" t="s">
        <v>675</v>
      </c>
      <c r="AB375" s="724" t="s">
        <v>675</v>
      </c>
      <c r="AC375" s="724"/>
      <c r="AD375" s="724" t="s">
        <v>807</v>
      </c>
      <c r="AE375" s="724"/>
      <c r="AF375" s="724"/>
      <c r="AG375" s="725" t="s">
        <v>876</v>
      </c>
      <c r="AH375" s="724"/>
      <c r="AI375" s="725" t="s">
        <v>876</v>
      </c>
      <c r="AJ375" s="725" t="s">
        <v>877</v>
      </c>
      <c r="AK375" s="724" t="s">
        <v>677</v>
      </c>
      <c r="AL375" s="724"/>
      <c r="AM375" s="724"/>
      <c r="AN375" s="724"/>
      <c r="AO375" s="724"/>
      <c r="AP375" s="724"/>
      <c r="AQ375" s="724"/>
      <c r="AR375" s="726"/>
      <c r="AS375" s="724"/>
      <c r="AT375" s="726"/>
      <c r="AU375" s="724" t="s">
        <v>678</v>
      </c>
      <c r="AV375" s="724" t="s">
        <v>677</v>
      </c>
      <c r="AW375" s="724" t="s">
        <v>676</v>
      </c>
      <c r="AX375" s="724" t="s">
        <v>674</v>
      </c>
      <c r="AY375" s="724"/>
      <c r="AZ375" s="724"/>
      <c r="BA375" s="724" t="s">
        <v>679</v>
      </c>
      <c r="BB375" s="724"/>
      <c r="BC375" s="724"/>
      <c r="BD375" s="724"/>
      <c r="BE375" s="726"/>
      <c r="BF375" s="724" t="s">
        <v>298</v>
      </c>
      <c r="BG375" s="724" t="s">
        <v>680</v>
      </c>
      <c r="BH375" s="724" t="s">
        <v>681</v>
      </c>
      <c r="BI375" s="724"/>
    </row>
    <row r="376" spans="1:61">
      <c r="A376" s="724" t="s">
        <v>878</v>
      </c>
      <c r="B376" s="724" t="s">
        <v>878</v>
      </c>
      <c r="C376" s="724" t="s">
        <v>878</v>
      </c>
      <c r="D376" s="724" t="s">
        <v>673</v>
      </c>
      <c r="E376" s="724" t="s">
        <v>3</v>
      </c>
      <c r="F376" s="725" t="s">
        <v>7</v>
      </c>
      <c r="G376" s="725" t="s">
        <v>684</v>
      </c>
      <c r="H376" s="726">
        <v>10000</v>
      </c>
      <c r="I376" s="726">
        <v>10000</v>
      </c>
      <c r="J376" s="726">
        <v>0</v>
      </c>
      <c r="K376" s="726">
        <v>0</v>
      </c>
      <c r="L376" s="726">
        <v>10000</v>
      </c>
      <c r="M376" s="726">
        <v>0</v>
      </c>
      <c r="N376" s="726">
        <v>0</v>
      </c>
      <c r="O376" s="726">
        <v>0</v>
      </c>
      <c r="P376" s="726">
        <v>0</v>
      </c>
      <c r="Q376" s="726">
        <v>0</v>
      </c>
      <c r="R376" s="726">
        <v>0</v>
      </c>
      <c r="S376" s="726">
        <v>0</v>
      </c>
      <c r="T376" s="726">
        <v>0</v>
      </c>
      <c r="U376" s="726">
        <v>0</v>
      </c>
      <c r="V376" s="726">
        <v>0</v>
      </c>
      <c r="W376" s="726">
        <v>0</v>
      </c>
      <c r="X376" s="724" t="s">
        <v>674</v>
      </c>
      <c r="Y376" s="724" t="s">
        <v>675</v>
      </c>
      <c r="Z376" s="724" t="s">
        <v>675</v>
      </c>
      <c r="AA376" s="724" t="s">
        <v>675</v>
      </c>
      <c r="AB376" s="724" t="s">
        <v>675</v>
      </c>
      <c r="AC376" s="724"/>
      <c r="AD376" s="724"/>
      <c r="AE376" s="724"/>
      <c r="AF376" s="724"/>
      <c r="AG376" s="725" t="s">
        <v>879</v>
      </c>
      <c r="AH376" s="724"/>
      <c r="AI376" s="725" t="s">
        <v>879</v>
      </c>
      <c r="AJ376" s="725" t="s">
        <v>677</v>
      </c>
      <c r="AK376" s="724" t="s">
        <v>677</v>
      </c>
      <c r="AL376" s="724"/>
      <c r="AM376" s="724"/>
      <c r="AN376" s="724"/>
      <c r="AO376" s="724"/>
      <c r="AP376" s="724"/>
      <c r="AQ376" s="724"/>
      <c r="AR376" s="726"/>
      <c r="AS376" s="724"/>
      <c r="AT376" s="726"/>
      <c r="AU376" s="724" t="s">
        <v>678</v>
      </c>
      <c r="AV376" s="724" t="s">
        <v>677</v>
      </c>
      <c r="AW376" s="724" t="s">
        <v>676</v>
      </c>
      <c r="AX376" s="724" t="s">
        <v>674</v>
      </c>
      <c r="AY376" s="724"/>
      <c r="AZ376" s="724"/>
      <c r="BA376" s="724" t="s">
        <v>679</v>
      </c>
      <c r="BB376" s="724"/>
      <c r="BC376" s="724"/>
      <c r="BD376" s="724"/>
      <c r="BE376" s="726"/>
      <c r="BF376" s="724" t="s">
        <v>298</v>
      </c>
      <c r="BG376" s="724" t="s">
        <v>680</v>
      </c>
      <c r="BH376" s="724" t="s">
        <v>681</v>
      </c>
      <c r="BI376" s="724"/>
    </row>
    <row r="377" spans="1:61">
      <c r="A377" s="724" t="s">
        <v>878</v>
      </c>
      <c r="B377" s="724" t="s">
        <v>878</v>
      </c>
      <c r="C377" s="724" t="s">
        <v>878</v>
      </c>
      <c r="D377" s="724" t="s">
        <v>673</v>
      </c>
      <c r="E377" s="724" t="s">
        <v>3</v>
      </c>
      <c r="F377" s="725" t="s">
        <v>7</v>
      </c>
      <c r="G377" s="725" t="s">
        <v>684</v>
      </c>
      <c r="H377" s="726">
        <v>425360</v>
      </c>
      <c r="I377" s="726">
        <v>425360</v>
      </c>
      <c r="J377" s="726">
        <v>0</v>
      </c>
      <c r="K377" s="726">
        <v>0</v>
      </c>
      <c r="L377" s="726">
        <v>425360</v>
      </c>
      <c r="M377" s="726">
        <v>0</v>
      </c>
      <c r="N377" s="726">
        <v>0</v>
      </c>
      <c r="O377" s="726">
        <v>0</v>
      </c>
      <c r="P377" s="726">
        <v>0</v>
      </c>
      <c r="Q377" s="726">
        <v>0</v>
      </c>
      <c r="R377" s="726">
        <v>0</v>
      </c>
      <c r="S377" s="726">
        <v>0</v>
      </c>
      <c r="T377" s="726">
        <v>0</v>
      </c>
      <c r="U377" s="726">
        <v>0</v>
      </c>
      <c r="V377" s="726">
        <v>0</v>
      </c>
      <c r="W377" s="726">
        <v>0</v>
      </c>
      <c r="X377" s="724" t="s">
        <v>674</v>
      </c>
      <c r="Y377" s="724" t="s">
        <v>1226</v>
      </c>
      <c r="Z377" s="724" t="s">
        <v>1226</v>
      </c>
      <c r="AA377" s="724" t="s">
        <v>675</v>
      </c>
      <c r="AB377" s="724" t="s">
        <v>675</v>
      </c>
      <c r="AC377" s="724"/>
      <c r="AD377" s="724"/>
      <c r="AE377" s="724"/>
      <c r="AF377" s="724"/>
      <c r="AG377" s="725" t="s">
        <v>880</v>
      </c>
      <c r="AH377" s="724"/>
      <c r="AI377" s="725" t="s">
        <v>880</v>
      </c>
      <c r="AJ377" s="725" t="s">
        <v>677</v>
      </c>
      <c r="AK377" s="724" t="s">
        <v>677</v>
      </c>
      <c r="AL377" s="724"/>
      <c r="AM377" s="724"/>
      <c r="AN377" s="724"/>
      <c r="AO377" s="724"/>
      <c r="AP377" s="724"/>
      <c r="AQ377" s="724"/>
      <c r="AR377" s="726"/>
      <c r="AS377" s="724"/>
      <c r="AT377" s="726"/>
      <c r="AU377" s="724" t="s">
        <v>678</v>
      </c>
      <c r="AV377" s="724" t="s">
        <v>677</v>
      </c>
      <c r="AW377" s="724" t="s">
        <v>676</v>
      </c>
      <c r="AX377" s="724" t="s">
        <v>674</v>
      </c>
      <c r="AY377" s="724"/>
      <c r="AZ377" s="724"/>
      <c r="BA377" s="724" t="s">
        <v>679</v>
      </c>
      <c r="BB377" s="724"/>
      <c r="BC377" s="724"/>
      <c r="BD377" s="724"/>
      <c r="BE377" s="726"/>
      <c r="BF377" s="724" t="s">
        <v>298</v>
      </c>
      <c r="BG377" s="724" t="s">
        <v>680</v>
      </c>
      <c r="BH377" s="724" t="s">
        <v>681</v>
      </c>
      <c r="BI377" s="724"/>
    </row>
    <row r="378" spans="1:61">
      <c r="A378" s="724" t="s">
        <v>878</v>
      </c>
      <c r="B378" s="724" t="s">
        <v>878</v>
      </c>
      <c r="C378" s="724" t="s">
        <v>878</v>
      </c>
      <c r="D378" s="724" t="s">
        <v>673</v>
      </c>
      <c r="E378" s="724" t="s">
        <v>3</v>
      </c>
      <c r="F378" s="725" t="s">
        <v>7</v>
      </c>
      <c r="G378" s="725" t="s">
        <v>684</v>
      </c>
      <c r="H378" s="726">
        <v>368340</v>
      </c>
      <c r="I378" s="726">
        <v>368340</v>
      </c>
      <c r="J378" s="726">
        <v>0</v>
      </c>
      <c r="K378" s="726">
        <v>0</v>
      </c>
      <c r="L378" s="726">
        <v>368340</v>
      </c>
      <c r="M378" s="726">
        <v>0</v>
      </c>
      <c r="N378" s="726">
        <v>0</v>
      </c>
      <c r="O378" s="726">
        <v>0</v>
      </c>
      <c r="P378" s="726">
        <v>0</v>
      </c>
      <c r="Q378" s="726">
        <v>0</v>
      </c>
      <c r="R378" s="726">
        <v>0</v>
      </c>
      <c r="S378" s="726">
        <v>0</v>
      </c>
      <c r="T378" s="726">
        <v>0</v>
      </c>
      <c r="U378" s="726">
        <v>0</v>
      </c>
      <c r="V378" s="726">
        <v>0</v>
      </c>
      <c r="W378" s="726">
        <v>0</v>
      </c>
      <c r="X378" s="724" t="s">
        <v>674</v>
      </c>
      <c r="Y378" s="724" t="s">
        <v>1226</v>
      </c>
      <c r="Z378" s="724" t="s">
        <v>1226</v>
      </c>
      <c r="AA378" s="724" t="s">
        <v>675</v>
      </c>
      <c r="AB378" s="724" t="s">
        <v>675</v>
      </c>
      <c r="AC378" s="724"/>
      <c r="AD378" s="724"/>
      <c r="AE378" s="724"/>
      <c r="AF378" s="724"/>
      <c r="AG378" s="725" t="s">
        <v>881</v>
      </c>
      <c r="AH378" s="724"/>
      <c r="AI378" s="725" t="s">
        <v>881</v>
      </c>
      <c r="AJ378" s="725" t="s">
        <v>677</v>
      </c>
      <c r="AK378" s="724" t="s">
        <v>677</v>
      </c>
      <c r="AL378" s="724"/>
      <c r="AM378" s="724"/>
      <c r="AN378" s="724"/>
      <c r="AO378" s="724"/>
      <c r="AP378" s="724"/>
      <c r="AQ378" s="724"/>
      <c r="AR378" s="726"/>
      <c r="AS378" s="724"/>
      <c r="AT378" s="726"/>
      <c r="AU378" s="724" t="s">
        <v>678</v>
      </c>
      <c r="AV378" s="724" t="s">
        <v>677</v>
      </c>
      <c r="AW378" s="724" t="s">
        <v>676</v>
      </c>
      <c r="AX378" s="724" t="s">
        <v>674</v>
      </c>
      <c r="AY378" s="724"/>
      <c r="AZ378" s="724"/>
      <c r="BA378" s="724" t="s">
        <v>679</v>
      </c>
      <c r="BB378" s="724"/>
      <c r="BC378" s="724"/>
      <c r="BD378" s="724"/>
      <c r="BE378" s="726"/>
      <c r="BF378" s="724" t="s">
        <v>298</v>
      </c>
      <c r="BG378" s="724" t="s">
        <v>680</v>
      </c>
      <c r="BH378" s="724" t="s">
        <v>681</v>
      </c>
      <c r="BI378" s="724"/>
    </row>
    <row r="379" spans="1:61">
      <c r="A379" s="724" t="s">
        <v>878</v>
      </c>
      <c r="B379" s="724" t="s">
        <v>878</v>
      </c>
      <c r="C379" s="724" t="s">
        <v>878</v>
      </c>
      <c r="D379" s="724" t="s">
        <v>673</v>
      </c>
      <c r="E379" s="724" t="s">
        <v>3</v>
      </c>
      <c r="F379" s="725" t="s">
        <v>7</v>
      </c>
      <c r="G379" s="725" t="s">
        <v>684</v>
      </c>
      <c r="H379" s="726">
        <v>3347790</v>
      </c>
      <c r="I379" s="726">
        <v>3347790</v>
      </c>
      <c r="J379" s="726">
        <v>0</v>
      </c>
      <c r="K379" s="726">
        <v>0</v>
      </c>
      <c r="L379" s="726">
        <v>3347790</v>
      </c>
      <c r="M379" s="726">
        <v>0</v>
      </c>
      <c r="N379" s="726">
        <v>0</v>
      </c>
      <c r="O379" s="726">
        <v>0</v>
      </c>
      <c r="P379" s="726">
        <v>0</v>
      </c>
      <c r="Q379" s="726">
        <v>0</v>
      </c>
      <c r="R379" s="726">
        <v>0</v>
      </c>
      <c r="S379" s="726">
        <v>0</v>
      </c>
      <c r="T379" s="726">
        <v>0</v>
      </c>
      <c r="U379" s="726">
        <v>0</v>
      </c>
      <c r="V379" s="726">
        <v>0</v>
      </c>
      <c r="W379" s="726">
        <v>0</v>
      </c>
      <c r="X379" s="724" t="s">
        <v>674</v>
      </c>
      <c r="Y379" s="724" t="s">
        <v>1226</v>
      </c>
      <c r="Z379" s="724" t="s">
        <v>1226</v>
      </c>
      <c r="AA379" s="724" t="s">
        <v>675</v>
      </c>
      <c r="AB379" s="724" t="s">
        <v>675</v>
      </c>
      <c r="AC379" s="724"/>
      <c r="AD379" s="724"/>
      <c r="AE379" s="724"/>
      <c r="AF379" s="724"/>
      <c r="AG379" s="725" t="s">
        <v>882</v>
      </c>
      <c r="AH379" s="724"/>
      <c r="AI379" s="725" t="s">
        <v>882</v>
      </c>
      <c r="AJ379" s="725" t="s">
        <v>677</v>
      </c>
      <c r="AK379" s="724" t="s">
        <v>677</v>
      </c>
      <c r="AL379" s="724"/>
      <c r="AM379" s="724"/>
      <c r="AN379" s="724"/>
      <c r="AO379" s="724"/>
      <c r="AP379" s="724"/>
      <c r="AQ379" s="724"/>
      <c r="AR379" s="726"/>
      <c r="AS379" s="724"/>
      <c r="AT379" s="726"/>
      <c r="AU379" s="724" t="s">
        <v>678</v>
      </c>
      <c r="AV379" s="724" t="s">
        <v>677</v>
      </c>
      <c r="AW379" s="724" t="s">
        <v>676</v>
      </c>
      <c r="AX379" s="724" t="s">
        <v>674</v>
      </c>
      <c r="AY379" s="724"/>
      <c r="AZ379" s="724"/>
      <c r="BA379" s="724" t="s">
        <v>679</v>
      </c>
      <c r="BB379" s="724"/>
      <c r="BC379" s="724"/>
      <c r="BD379" s="724"/>
      <c r="BE379" s="726"/>
      <c r="BF379" s="724" t="s">
        <v>298</v>
      </c>
      <c r="BG379" s="724" t="s">
        <v>680</v>
      </c>
      <c r="BH379" s="724" t="s">
        <v>681</v>
      </c>
      <c r="BI379" s="724"/>
    </row>
    <row r="380" spans="1:61">
      <c r="A380" s="724" t="s">
        <v>878</v>
      </c>
      <c r="B380" s="724" t="s">
        <v>878</v>
      </c>
      <c r="C380" s="724" t="s">
        <v>878</v>
      </c>
      <c r="D380" s="724" t="s">
        <v>673</v>
      </c>
      <c r="E380" s="724" t="s">
        <v>3</v>
      </c>
      <c r="F380" s="725" t="s">
        <v>7</v>
      </c>
      <c r="G380" s="725" t="s">
        <v>684</v>
      </c>
      <c r="H380" s="726">
        <v>316417</v>
      </c>
      <c r="I380" s="726">
        <v>316417</v>
      </c>
      <c r="J380" s="726">
        <v>0</v>
      </c>
      <c r="K380" s="726">
        <v>0</v>
      </c>
      <c r="L380" s="726">
        <v>316417</v>
      </c>
      <c r="M380" s="726">
        <v>0</v>
      </c>
      <c r="N380" s="726">
        <v>0</v>
      </c>
      <c r="O380" s="726">
        <v>0</v>
      </c>
      <c r="P380" s="726">
        <v>0</v>
      </c>
      <c r="Q380" s="726">
        <v>0</v>
      </c>
      <c r="R380" s="726">
        <v>0</v>
      </c>
      <c r="S380" s="726">
        <v>0</v>
      </c>
      <c r="T380" s="726">
        <v>0</v>
      </c>
      <c r="U380" s="726">
        <v>0</v>
      </c>
      <c r="V380" s="726">
        <v>0</v>
      </c>
      <c r="W380" s="726">
        <v>0</v>
      </c>
      <c r="X380" s="724" t="s">
        <v>674</v>
      </c>
      <c r="Y380" s="724" t="s">
        <v>1226</v>
      </c>
      <c r="Z380" s="724" t="s">
        <v>1226</v>
      </c>
      <c r="AA380" s="724" t="s">
        <v>675</v>
      </c>
      <c r="AB380" s="724" t="s">
        <v>675</v>
      </c>
      <c r="AC380" s="724"/>
      <c r="AD380" s="724"/>
      <c r="AE380" s="724"/>
      <c r="AF380" s="724"/>
      <c r="AG380" s="725" t="s">
        <v>883</v>
      </c>
      <c r="AH380" s="724"/>
      <c r="AI380" s="725" t="s">
        <v>883</v>
      </c>
      <c r="AJ380" s="725" t="s">
        <v>677</v>
      </c>
      <c r="AK380" s="724" t="s">
        <v>677</v>
      </c>
      <c r="AL380" s="724"/>
      <c r="AM380" s="724"/>
      <c r="AN380" s="724"/>
      <c r="AO380" s="724"/>
      <c r="AP380" s="724"/>
      <c r="AQ380" s="724"/>
      <c r="AR380" s="726"/>
      <c r="AS380" s="724"/>
      <c r="AT380" s="726"/>
      <c r="AU380" s="724" t="s">
        <v>678</v>
      </c>
      <c r="AV380" s="724" t="s">
        <v>677</v>
      </c>
      <c r="AW380" s="724" t="s">
        <v>676</v>
      </c>
      <c r="AX380" s="724" t="s">
        <v>674</v>
      </c>
      <c r="AY380" s="724"/>
      <c r="AZ380" s="724"/>
      <c r="BA380" s="724" t="s">
        <v>679</v>
      </c>
      <c r="BB380" s="724"/>
      <c r="BC380" s="724"/>
      <c r="BD380" s="724"/>
      <c r="BE380" s="726"/>
      <c r="BF380" s="724" t="s">
        <v>298</v>
      </c>
      <c r="BG380" s="724" t="s">
        <v>680</v>
      </c>
      <c r="BH380" s="724" t="s">
        <v>681</v>
      </c>
      <c r="BI380" s="724"/>
    </row>
    <row r="381" spans="1:61">
      <c r="A381" s="724" t="s">
        <v>878</v>
      </c>
      <c r="B381" s="724" t="s">
        <v>878</v>
      </c>
      <c r="C381" s="724" t="s">
        <v>878</v>
      </c>
      <c r="D381" s="724" t="s">
        <v>673</v>
      </c>
      <c r="E381" s="724" t="s">
        <v>3</v>
      </c>
      <c r="F381" s="725" t="s">
        <v>7</v>
      </c>
      <c r="G381" s="725" t="s">
        <v>684</v>
      </c>
      <c r="H381" s="726">
        <v>200870</v>
      </c>
      <c r="I381" s="726">
        <v>200870</v>
      </c>
      <c r="J381" s="726">
        <v>0</v>
      </c>
      <c r="K381" s="726">
        <v>0</v>
      </c>
      <c r="L381" s="726">
        <v>200870</v>
      </c>
      <c r="M381" s="726">
        <v>0</v>
      </c>
      <c r="N381" s="726">
        <v>0</v>
      </c>
      <c r="O381" s="726">
        <v>0</v>
      </c>
      <c r="P381" s="726">
        <v>0</v>
      </c>
      <c r="Q381" s="726">
        <v>0</v>
      </c>
      <c r="R381" s="726">
        <v>0</v>
      </c>
      <c r="S381" s="726">
        <v>0</v>
      </c>
      <c r="T381" s="726">
        <v>0</v>
      </c>
      <c r="U381" s="726">
        <v>0</v>
      </c>
      <c r="V381" s="726">
        <v>0</v>
      </c>
      <c r="W381" s="726">
        <v>0</v>
      </c>
      <c r="X381" s="724" t="s">
        <v>674</v>
      </c>
      <c r="Y381" s="724" t="s">
        <v>1226</v>
      </c>
      <c r="Z381" s="724" t="s">
        <v>1226</v>
      </c>
      <c r="AA381" s="724" t="s">
        <v>675</v>
      </c>
      <c r="AB381" s="724" t="s">
        <v>675</v>
      </c>
      <c r="AC381" s="724"/>
      <c r="AD381" s="724"/>
      <c r="AE381" s="724"/>
      <c r="AF381" s="724"/>
      <c r="AG381" s="725" t="s">
        <v>884</v>
      </c>
      <c r="AH381" s="724"/>
      <c r="AI381" s="725" t="s">
        <v>884</v>
      </c>
      <c r="AJ381" s="725" t="s">
        <v>677</v>
      </c>
      <c r="AK381" s="724" t="s">
        <v>677</v>
      </c>
      <c r="AL381" s="724"/>
      <c r="AM381" s="724"/>
      <c r="AN381" s="724"/>
      <c r="AO381" s="724"/>
      <c r="AP381" s="724"/>
      <c r="AQ381" s="724"/>
      <c r="AR381" s="726"/>
      <c r="AS381" s="724"/>
      <c r="AT381" s="726"/>
      <c r="AU381" s="724" t="s">
        <v>678</v>
      </c>
      <c r="AV381" s="724" t="s">
        <v>677</v>
      </c>
      <c r="AW381" s="724" t="s">
        <v>676</v>
      </c>
      <c r="AX381" s="724" t="s">
        <v>674</v>
      </c>
      <c r="AY381" s="724"/>
      <c r="AZ381" s="724"/>
      <c r="BA381" s="724" t="s">
        <v>679</v>
      </c>
      <c r="BB381" s="724"/>
      <c r="BC381" s="724"/>
      <c r="BD381" s="724"/>
      <c r="BE381" s="726"/>
      <c r="BF381" s="724" t="s">
        <v>298</v>
      </c>
      <c r="BG381" s="724" t="s">
        <v>680</v>
      </c>
      <c r="BH381" s="724" t="s">
        <v>681</v>
      </c>
      <c r="BI381" s="724"/>
    </row>
    <row r="382" spans="1:61">
      <c r="A382" s="724" t="s">
        <v>885</v>
      </c>
      <c r="B382" s="724" t="s">
        <v>886</v>
      </c>
      <c r="C382" s="724" t="s">
        <v>682</v>
      </c>
      <c r="D382" s="724" t="s">
        <v>716</v>
      </c>
      <c r="E382" s="724" t="s">
        <v>3</v>
      </c>
      <c r="F382" s="725" t="s">
        <v>71</v>
      </c>
      <c r="G382" s="725" t="s">
        <v>719</v>
      </c>
      <c r="H382" s="726">
        <v>1873300</v>
      </c>
      <c r="I382" s="726">
        <v>1873300</v>
      </c>
      <c r="J382" s="726">
        <v>0</v>
      </c>
      <c r="K382" s="726">
        <v>0</v>
      </c>
      <c r="L382" s="726">
        <v>1703000</v>
      </c>
      <c r="M382" s="726">
        <v>0</v>
      </c>
      <c r="N382" s="726">
        <v>0</v>
      </c>
      <c r="O382" s="726">
        <v>170300</v>
      </c>
      <c r="P382" s="726">
        <v>0</v>
      </c>
      <c r="Q382" s="726">
        <v>0</v>
      </c>
      <c r="R382" s="726">
        <v>0</v>
      </c>
      <c r="S382" s="726">
        <v>0</v>
      </c>
      <c r="T382" s="726">
        <v>0</v>
      </c>
      <c r="U382" s="726">
        <v>0</v>
      </c>
      <c r="V382" s="726">
        <v>0</v>
      </c>
      <c r="W382" s="726">
        <v>0</v>
      </c>
      <c r="X382" s="724" t="s">
        <v>674</v>
      </c>
      <c r="Y382" s="724" t="s">
        <v>1226</v>
      </c>
      <c r="Z382" s="724" t="s">
        <v>1226</v>
      </c>
      <c r="AA382" s="724" t="s">
        <v>675</v>
      </c>
      <c r="AB382" s="724" t="s">
        <v>675</v>
      </c>
      <c r="AC382" s="724"/>
      <c r="AD382" s="724"/>
      <c r="AE382" s="724"/>
      <c r="AF382" s="724"/>
      <c r="AG382" s="725" t="s">
        <v>887</v>
      </c>
      <c r="AH382" s="724"/>
      <c r="AI382" s="725" t="s">
        <v>887</v>
      </c>
      <c r="AJ382" s="725" t="s">
        <v>888</v>
      </c>
      <c r="AK382" s="724" t="s">
        <v>677</v>
      </c>
      <c r="AL382" s="724"/>
      <c r="AM382" s="724"/>
      <c r="AN382" s="724"/>
      <c r="AO382" s="724"/>
      <c r="AP382" s="724"/>
      <c r="AQ382" s="724"/>
      <c r="AR382" s="726"/>
      <c r="AS382" s="724"/>
      <c r="AT382" s="726"/>
      <c r="AU382" s="724" t="s">
        <v>678</v>
      </c>
      <c r="AV382" s="724" t="s">
        <v>677</v>
      </c>
      <c r="AW382" s="724" t="s">
        <v>676</v>
      </c>
      <c r="AX382" s="724" t="s">
        <v>674</v>
      </c>
      <c r="AY382" s="724"/>
      <c r="AZ382" s="724"/>
      <c r="BA382" s="724" t="s">
        <v>679</v>
      </c>
      <c r="BB382" s="724"/>
      <c r="BC382" s="724"/>
      <c r="BD382" s="724"/>
      <c r="BE382" s="726"/>
      <c r="BF382" s="724" t="s">
        <v>298</v>
      </c>
      <c r="BG382" s="724" t="s">
        <v>680</v>
      </c>
      <c r="BH382" s="724" t="s">
        <v>681</v>
      </c>
      <c r="BI382" s="724"/>
    </row>
    <row r="383" spans="1:61">
      <c r="A383" s="724" t="s">
        <v>889</v>
      </c>
      <c r="B383" s="724" t="s">
        <v>728</v>
      </c>
      <c r="C383" s="724" t="s">
        <v>722</v>
      </c>
      <c r="D383" s="724" t="s">
        <v>724</v>
      </c>
      <c r="E383" s="724" t="s">
        <v>3</v>
      </c>
      <c r="F383" s="725" t="s">
        <v>83</v>
      </c>
      <c r="G383" s="725" t="s">
        <v>700</v>
      </c>
      <c r="H383" s="726">
        <v>1526000</v>
      </c>
      <c r="I383" s="726">
        <v>1526000</v>
      </c>
      <c r="J383" s="726">
        <v>0</v>
      </c>
      <c r="K383" s="726">
        <v>0</v>
      </c>
      <c r="L383" s="726">
        <v>1387273</v>
      </c>
      <c r="M383" s="726">
        <v>0</v>
      </c>
      <c r="N383" s="726">
        <v>0</v>
      </c>
      <c r="O383" s="726">
        <v>138727</v>
      </c>
      <c r="P383" s="726">
        <v>0</v>
      </c>
      <c r="Q383" s="726">
        <v>0</v>
      </c>
      <c r="R383" s="726">
        <v>0</v>
      </c>
      <c r="S383" s="726">
        <v>0</v>
      </c>
      <c r="T383" s="726">
        <v>0</v>
      </c>
      <c r="U383" s="726">
        <v>0</v>
      </c>
      <c r="V383" s="726">
        <v>0</v>
      </c>
      <c r="W383" s="726">
        <v>0</v>
      </c>
      <c r="X383" s="724" t="s">
        <v>674</v>
      </c>
      <c r="Y383" s="724" t="s">
        <v>1226</v>
      </c>
      <c r="Z383" s="724" t="s">
        <v>1226</v>
      </c>
      <c r="AA383" s="724" t="s">
        <v>675</v>
      </c>
      <c r="AB383" s="724" t="s">
        <v>675</v>
      </c>
      <c r="AC383" s="724"/>
      <c r="AD383" s="724"/>
      <c r="AE383" s="724"/>
      <c r="AF383" s="724"/>
      <c r="AG383" s="725" t="s">
        <v>761</v>
      </c>
      <c r="AH383" s="724"/>
      <c r="AI383" s="725" t="s">
        <v>761</v>
      </c>
      <c r="AJ383" s="725" t="s">
        <v>890</v>
      </c>
      <c r="AK383" s="724" t="s">
        <v>677</v>
      </c>
      <c r="AL383" s="724"/>
      <c r="AM383" s="724" t="s">
        <v>726</v>
      </c>
      <c r="AN383" s="724" t="s">
        <v>891</v>
      </c>
      <c r="AO383" s="724" t="s">
        <v>889</v>
      </c>
      <c r="AP383" s="724" t="s">
        <v>892</v>
      </c>
      <c r="AQ383" s="724" t="s">
        <v>757</v>
      </c>
      <c r="AR383" s="726">
        <v>1526000</v>
      </c>
      <c r="AS383" s="724" t="s">
        <v>675</v>
      </c>
      <c r="AT383" s="726">
        <v>0</v>
      </c>
      <c r="AU383" s="724" t="s">
        <v>678</v>
      </c>
      <c r="AV383" s="724" t="s">
        <v>677</v>
      </c>
      <c r="AW383" s="724" t="s">
        <v>676</v>
      </c>
      <c r="AX383" s="724" t="s">
        <v>674</v>
      </c>
      <c r="AY383" s="724"/>
      <c r="AZ383" s="724"/>
      <c r="BA383" s="724" t="s">
        <v>679</v>
      </c>
      <c r="BB383" s="724"/>
      <c r="BC383" s="724"/>
      <c r="BD383" s="724"/>
      <c r="BE383" s="726"/>
      <c r="BF383" s="724" t="s">
        <v>298</v>
      </c>
      <c r="BG383" s="724" t="s">
        <v>680</v>
      </c>
      <c r="BH383" s="724" t="s">
        <v>681</v>
      </c>
      <c r="BI383" s="724"/>
    </row>
    <row r="384" spans="1:61">
      <c r="A384" s="724" t="s">
        <v>893</v>
      </c>
      <c r="B384" s="724" t="s">
        <v>894</v>
      </c>
      <c r="C384" s="724" t="s">
        <v>893</v>
      </c>
      <c r="D384" s="724" t="s">
        <v>716</v>
      </c>
      <c r="E384" s="724" t="s">
        <v>3</v>
      </c>
      <c r="F384" s="725" t="s">
        <v>83</v>
      </c>
      <c r="G384" s="725" t="s">
        <v>700</v>
      </c>
      <c r="H384" s="726">
        <v>592500</v>
      </c>
      <c r="I384" s="726">
        <v>592500</v>
      </c>
      <c r="J384" s="726">
        <v>0</v>
      </c>
      <c r="K384" s="726">
        <v>0</v>
      </c>
      <c r="L384" s="726">
        <v>592500</v>
      </c>
      <c r="M384" s="726">
        <v>0</v>
      </c>
      <c r="N384" s="726">
        <v>0</v>
      </c>
      <c r="O384" s="726">
        <v>0</v>
      </c>
      <c r="P384" s="726">
        <v>0</v>
      </c>
      <c r="Q384" s="726">
        <v>0</v>
      </c>
      <c r="R384" s="726">
        <v>0</v>
      </c>
      <c r="S384" s="726">
        <v>0</v>
      </c>
      <c r="T384" s="726">
        <v>0</v>
      </c>
      <c r="U384" s="726">
        <v>0</v>
      </c>
      <c r="V384" s="726">
        <v>0</v>
      </c>
      <c r="W384" s="726">
        <v>0</v>
      </c>
      <c r="X384" s="724" t="s">
        <v>674</v>
      </c>
      <c r="Y384" s="724" t="s">
        <v>1226</v>
      </c>
      <c r="Z384" s="724" t="s">
        <v>1226</v>
      </c>
      <c r="AA384" s="724" t="s">
        <v>675</v>
      </c>
      <c r="AB384" s="724" t="s">
        <v>675</v>
      </c>
      <c r="AC384" s="724"/>
      <c r="AD384" s="724"/>
      <c r="AE384" s="724"/>
      <c r="AF384" s="724"/>
      <c r="AG384" s="725" t="s">
        <v>583</v>
      </c>
      <c r="AH384" s="724"/>
      <c r="AI384" s="725" t="s">
        <v>583</v>
      </c>
      <c r="AJ384" s="725" t="s">
        <v>895</v>
      </c>
      <c r="AK384" s="724" t="s">
        <v>677</v>
      </c>
      <c r="AL384" s="724"/>
      <c r="AM384" s="724"/>
      <c r="AN384" s="724"/>
      <c r="AO384" s="724"/>
      <c r="AP384" s="724"/>
      <c r="AQ384" s="724"/>
      <c r="AR384" s="726"/>
      <c r="AS384" s="724"/>
      <c r="AT384" s="726"/>
      <c r="AU384" s="724" t="s">
        <v>678</v>
      </c>
      <c r="AV384" s="724" t="s">
        <v>677</v>
      </c>
      <c r="AW384" s="724" t="s">
        <v>676</v>
      </c>
      <c r="AX384" s="724" t="s">
        <v>674</v>
      </c>
      <c r="AY384" s="724"/>
      <c r="AZ384" s="724"/>
      <c r="BA384" s="724" t="s">
        <v>679</v>
      </c>
      <c r="BB384" s="724"/>
      <c r="BC384" s="724"/>
      <c r="BD384" s="724"/>
      <c r="BE384" s="726"/>
      <c r="BF384" s="724" t="s">
        <v>298</v>
      </c>
      <c r="BG384" s="724" t="s">
        <v>680</v>
      </c>
      <c r="BH384" s="724" t="s">
        <v>681</v>
      </c>
      <c r="BI384" s="724"/>
    </row>
    <row r="385" spans="1:61">
      <c r="A385" s="724" t="s">
        <v>896</v>
      </c>
      <c r="B385" s="724" t="s">
        <v>728</v>
      </c>
      <c r="C385" s="724" t="s">
        <v>722</v>
      </c>
      <c r="D385" s="724" t="s">
        <v>724</v>
      </c>
      <c r="E385" s="724" t="s">
        <v>3</v>
      </c>
      <c r="F385" s="725" t="s">
        <v>83</v>
      </c>
      <c r="G385" s="725" t="s">
        <v>700</v>
      </c>
      <c r="H385" s="726">
        <v>500000</v>
      </c>
      <c r="I385" s="726">
        <v>500000</v>
      </c>
      <c r="J385" s="726">
        <v>0</v>
      </c>
      <c r="K385" s="726">
        <v>0</v>
      </c>
      <c r="L385" s="726">
        <v>454546</v>
      </c>
      <c r="M385" s="726">
        <v>0</v>
      </c>
      <c r="N385" s="726">
        <v>0</v>
      </c>
      <c r="O385" s="726">
        <v>45454</v>
      </c>
      <c r="P385" s="726">
        <v>0</v>
      </c>
      <c r="Q385" s="726">
        <v>0</v>
      </c>
      <c r="R385" s="726">
        <v>0</v>
      </c>
      <c r="S385" s="726">
        <v>0</v>
      </c>
      <c r="T385" s="726">
        <v>0</v>
      </c>
      <c r="U385" s="726">
        <v>0</v>
      </c>
      <c r="V385" s="726">
        <v>0</v>
      </c>
      <c r="W385" s="726">
        <v>0</v>
      </c>
      <c r="X385" s="724" t="s">
        <v>674</v>
      </c>
      <c r="Y385" s="724" t="s">
        <v>1226</v>
      </c>
      <c r="Z385" s="724" t="s">
        <v>1226</v>
      </c>
      <c r="AA385" s="724" t="s">
        <v>675</v>
      </c>
      <c r="AB385" s="724" t="s">
        <v>675</v>
      </c>
      <c r="AC385" s="724"/>
      <c r="AD385" s="724"/>
      <c r="AE385" s="724"/>
      <c r="AF385" s="724"/>
      <c r="AG385" s="725" t="s">
        <v>567</v>
      </c>
      <c r="AH385" s="724"/>
      <c r="AI385" s="725" t="s">
        <v>567</v>
      </c>
      <c r="AJ385" s="725" t="s">
        <v>890</v>
      </c>
      <c r="AK385" s="724" t="s">
        <v>677</v>
      </c>
      <c r="AL385" s="724"/>
      <c r="AM385" s="724" t="s">
        <v>726</v>
      </c>
      <c r="AN385" s="724" t="s">
        <v>897</v>
      </c>
      <c r="AO385" s="724" t="s">
        <v>896</v>
      </c>
      <c r="AP385" s="724" t="s">
        <v>898</v>
      </c>
      <c r="AQ385" s="724" t="s">
        <v>757</v>
      </c>
      <c r="AR385" s="726">
        <v>500000</v>
      </c>
      <c r="AS385" s="724" t="s">
        <v>675</v>
      </c>
      <c r="AT385" s="726">
        <v>0</v>
      </c>
      <c r="AU385" s="724" t="s">
        <v>678</v>
      </c>
      <c r="AV385" s="724" t="s">
        <v>677</v>
      </c>
      <c r="AW385" s="724" t="s">
        <v>676</v>
      </c>
      <c r="AX385" s="724" t="s">
        <v>674</v>
      </c>
      <c r="AY385" s="724"/>
      <c r="AZ385" s="724"/>
      <c r="BA385" s="724" t="s">
        <v>679</v>
      </c>
      <c r="BB385" s="724"/>
      <c r="BC385" s="724"/>
      <c r="BD385" s="724"/>
      <c r="BE385" s="726"/>
      <c r="BF385" s="724" t="s">
        <v>298</v>
      </c>
      <c r="BG385" s="724" t="s">
        <v>680</v>
      </c>
      <c r="BH385" s="724" t="s">
        <v>681</v>
      </c>
      <c r="BI385" s="724"/>
    </row>
    <row r="386" spans="1:61">
      <c r="A386" s="724" t="s">
        <v>898</v>
      </c>
      <c r="B386" s="724" t="s">
        <v>898</v>
      </c>
      <c r="C386" s="724" t="s">
        <v>896</v>
      </c>
      <c r="D386" s="724" t="s">
        <v>673</v>
      </c>
      <c r="E386" s="724" t="s">
        <v>3</v>
      </c>
      <c r="F386" s="725" t="s">
        <v>7</v>
      </c>
      <c r="G386" s="725" t="s">
        <v>684</v>
      </c>
      <c r="H386" s="726">
        <v>23240</v>
      </c>
      <c r="I386" s="726">
        <v>23240</v>
      </c>
      <c r="J386" s="726">
        <v>0</v>
      </c>
      <c r="K386" s="726">
        <v>0</v>
      </c>
      <c r="L386" s="726">
        <v>23240</v>
      </c>
      <c r="M386" s="726">
        <v>0</v>
      </c>
      <c r="N386" s="726">
        <v>0</v>
      </c>
      <c r="O386" s="726">
        <v>0</v>
      </c>
      <c r="P386" s="726">
        <v>0</v>
      </c>
      <c r="Q386" s="726">
        <v>0</v>
      </c>
      <c r="R386" s="726">
        <v>0</v>
      </c>
      <c r="S386" s="726">
        <v>0</v>
      </c>
      <c r="T386" s="726">
        <v>0</v>
      </c>
      <c r="U386" s="726">
        <v>0</v>
      </c>
      <c r="V386" s="726">
        <v>0</v>
      </c>
      <c r="W386" s="726">
        <v>0</v>
      </c>
      <c r="X386" s="724" t="s">
        <v>674</v>
      </c>
      <c r="Y386" s="724" t="s">
        <v>675</v>
      </c>
      <c r="Z386" s="724" t="s">
        <v>675</v>
      </c>
      <c r="AA386" s="724" t="s">
        <v>675</v>
      </c>
      <c r="AB386" s="724" t="s">
        <v>675</v>
      </c>
      <c r="AC386" s="724"/>
      <c r="AD386" s="724"/>
      <c r="AE386" s="724"/>
      <c r="AF386" s="724"/>
      <c r="AG386" s="725" t="s">
        <v>899</v>
      </c>
      <c r="AH386" s="724"/>
      <c r="AI386" s="725" t="s">
        <v>899</v>
      </c>
      <c r="AJ386" s="725" t="s">
        <v>677</v>
      </c>
      <c r="AK386" s="724" t="s">
        <v>677</v>
      </c>
      <c r="AL386" s="724"/>
      <c r="AM386" s="724"/>
      <c r="AN386" s="724"/>
      <c r="AO386" s="724"/>
      <c r="AP386" s="724"/>
      <c r="AQ386" s="724"/>
      <c r="AR386" s="726"/>
      <c r="AS386" s="724"/>
      <c r="AT386" s="726"/>
      <c r="AU386" s="724" t="s">
        <v>678</v>
      </c>
      <c r="AV386" s="724" t="s">
        <v>677</v>
      </c>
      <c r="AW386" s="724" t="s">
        <v>676</v>
      </c>
      <c r="AX386" s="724" t="s">
        <v>674</v>
      </c>
      <c r="AY386" s="724"/>
      <c r="AZ386" s="724"/>
      <c r="BA386" s="724" t="s">
        <v>679</v>
      </c>
      <c r="BB386" s="724"/>
      <c r="BC386" s="724"/>
      <c r="BD386" s="724"/>
      <c r="BE386" s="726"/>
      <c r="BF386" s="724" t="s">
        <v>298</v>
      </c>
      <c r="BG386" s="724" t="s">
        <v>680</v>
      </c>
      <c r="BH386" s="724" t="s">
        <v>681</v>
      </c>
      <c r="BI386" s="724"/>
    </row>
    <row r="387" spans="1:61">
      <c r="A387" s="724" t="s">
        <v>898</v>
      </c>
      <c r="B387" s="724" t="s">
        <v>898</v>
      </c>
      <c r="C387" s="724" t="s">
        <v>896</v>
      </c>
      <c r="D387" s="724" t="s">
        <v>673</v>
      </c>
      <c r="E387" s="724" t="s">
        <v>3</v>
      </c>
      <c r="F387" s="725" t="s">
        <v>83</v>
      </c>
      <c r="G387" s="725" t="s">
        <v>691</v>
      </c>
      <c r="H387" s="726">
        <v>1368000</v>
      </c>
      <c r="I387" s="726">
        <v>1368000</v>
      </c>
      <c r="J387" s="726">
        <v>0</v>
      </c>
      <c r="K387" s="726">
        <v>0</v>
      </c>
      <c r="L387" s="726">
        <v>1368000</v>
      </c>
      <c r="M387" s="726">
        <v>0</v>
      </c>
      <c r="N387" s="726">
        <v>0</v>
      </c>
      <c r="O387" s="726">
        <v>0</v>
      </c>
      <c r="P387" s="726">
        <v>0</v>
      </c>
      <c r="Q387" s="726">
        <v>0</v>
      </c>
      <c r="R387" s="726">
        <v>0</v>
      </c>
      <c r="S387" s="726">
        <v>0</v>
      </c>
      <c r="T387" s="726">
        <v>0</v>
      </c>
      <c r="U387" s="726">
        <v>0</v>
      </c>
      <c r="V387" s="726">
        <v>0</v>
      </c>
      <c r="W387" s="726">
        <v>0</v>
      </c>
      <c r="X387" s="724" t="s">
        <v>674</v>
      </c>
      <c r="Y387" s="724" t="s">
        <v>1226</v>
      </c>
      <c r="Z387" s="724" t="s">
        <v>1226</v>
      </c>
      <c r="AA387" s="724" t="s">
        <v>675</v>
      </c>
      <c r="AB387" s="724" t="s">
        <v>675</v>
      </c>
      <c r="AC387" s="724"/>
      <c r="AD387" s="724"/>
      <c r="AE387" s="724" t="s">
        <v>694</v>
      </c>
      <c r="AF387" s="724"/>
      <c r="AG387" s="725" t="s">
        <v>900</v>
      </c>
      <c r="AH387" s="724"/>
      <c r="AI387" s="725" t="s">
        <v>900</v>
      </c>
      <c r="AJ387" s="725" t="s">
        <v>677</v>
      </c>
      <c r="AK387" s="724" t="s">
        <v>677</v>
      </c>
      <c r="AL387" s="724"/>
      <c r="AM387" s="724"/>
      <c r="AN387" s="724"/>
      <c r="AO387" s="724"/>
      <c r="AP387" s="724"/>
      <c r="AQ387" s="724"/>
      <c r="AR387" s="726"/>
      <c r="AS387" s="724"/>
      <c r="AT387" s="726"/>
      <c r="AU387" s="724" t="s">
        <v>678</v>
      </c>
      <c r="AV387" s="724" t="s">
        <v>677</v>
      </c>
      <c r="AW387" s="724" t="s">
        <v>676</v>
      </c>
      <c r="AX387" s="724" t="s">
        <v>674</v>
      </c>
      <c r="AY387" s="724"/>
      <c r="AZ387" s="724"/>
      <c r="BA387" s="724" t="s">
        <v>679</v>
      </c>
      <c r="BB387" s="724"/>
      <c r="BC387" s="724"/>
      <c r="BD387" s="724"/>
      <c r="BE387" s="726"/>
      <c r="BF387" s="724" t="s">
        <v>298</v>
      </c>
      <c r="BG387" s="724" t="s">
        <v>680</v>
      </c>
      <c r="BH387" s="724" t="s">
        <v>681</v>
      </c>
      <c r="BI387" s="724"/>
    </row>
    <row r="388" spans="1:61">
      <c r="A388" s="724" t="s">
        <v>898</v>
      </c>
      <c r="B388" s="724" t="s">
        <v>898</v>
      </c>
      <c r="C388" s="724" t="s">
        <v>896</v>
      </c>
      <c r="D388" s="724" t="s">
        <v>673</v>
      </c>
      <c r="E388" s="724" t="s">
        <v>3</v>
      </c>
      <c r="F388" s="725" t="s">
        <v>7</v>
      </c>
      <c r="G388" s="725" t="s">
        <v>684</v>
      </c>
      <c r="H388" s="726">
        <v>171354</v>
      </c>
      <c r="I388" s="726">
        <v>171354</v>
      </c>
      <c r="J388" s="726">
        <v>0</v>
      </c>
      <c r="K388" s="726">
        <v>0</v>
      </c>
      <c r="L388" s="726">
        <v>171354</v>
      </c>
      <c r="M388" s="726">
        <v>0</v>
      </c>
      <c r="N388" s="726">
        <v>0</v>
      </c>
      <c r="O388" s="726">
        <v>0</v>
      </c>
      <c r="P388" s="726">
        <v>0</v>
      </c>
      <c r="Q388" s="726">
        <v>0</v>
      </c>
      <c r="R388" s="726">
        <v>0</v>
      </c>
      <c r="S388" s="726">
        <v>0</v>
      </c>
      <c r="T388" s="726">
        <v>0</v>
      </c>
      <c r="U388" s="726">
        <v>0</v>
      </c>
      <c r="V388" s="726">
        <v>0</v>
      </c>
      <c r="W388" s="726">
        <v>0</v>
      </c>
      <c r="X388" s="724" t="s">
        <v>674</v>
      </c>
      <c r="Y388" s="724" t="s">
        <v>1226</v>
      </c>
      <c r="Z388" s="724" t="s">
        <v>1226</v>
      </c>
      <c r="AA388" s="724" t="s">
        <v>675</v>
      </c>
      <c r="AB388" s="724" t="s">
        <v>675</v>
      </c>
      <c r="AC388" s="724"/>
      <c r="AD388" s="724"/>
      <c r="AE388" s="724"/>
      <c r="AF388" s="724"/>
      <c r="AG388" s="725" t="s">
        <v>901</v>
      </c>
      <c r="AH388" s="724"/>
      <c r="AI388" s="725" t="s">
        <v>901</v>
      </c>
      <c r="AJ388" s="725" t="s">
        <v>677</v>
      </c>
      <c r="AK388" s="724" t="s">
        <v>677</v>
      </c>
      <c r="AL388" s="724"/>
      <c r="AM388" s="724"/>
      <c r="AN388" s="724"/>
      <c r="AO388" s="724"/>
      <c r="AP388" s="724"/>
      <c r="AQ388" s="724"/>
      <c r="AR388" s="726"/>
      <c r="AS388" s="724"/>
      <c r="AT388" s="726"/>
      <c r="AU388" s="724" t="s">
        <v>678</v>
      </c>
      <c r="AV388" s="724" t="s">
        <v>677</v>
      </c>
      <c r="AW388" s="724" t="s">
        <v>676</v>
      </c>
      <c r="AX388" s="724" t="s">
        <v>674</v>
      </c>
      <c r="AY388" s="724"/>
      <c r="AZ388" s="724"/>
      <c r="BA388" s="724" t="s">
        <v>679</v>
      </c>
      <c r="BB388" s="724"/>
      <c r="BC388" s="724"/>
      <c r="BD388" s="724"/>
      <c r="BE388" s="726"/>
      <c r="BF388" s="724" t="s">
        <v>298</v>
      </c>
      <c r="BG388" s="724" t="s">
        <v>680</v>
      </c>
      <c r="BH388" s="724" t="s">
        <v>681</v>
      </c>
      <c r="BI388" s="724"/>
    </row>
    <row r="389" spans="1:61">
      <c r="A389" s="724" t="s">
        <v>898</v>
      </c>
      <c r="B389" s="724" t="s">
        <v>898</v>
      </c>
      <c r="C389" s="724" t="s">
        <v>896</v>
      </c>
      <c r="D389" s="724" t="s">
        <v>673</v>
      </c>
      <c r="E389" s="724" t="s">
        <v>3</v>
      </c>
      <c r="F389" s="725" t="s">
        <v>7</v>
      </c>
      <c r="G389" s="725" t="s">
        <v>684</v>
      </c>
      <c r="H389" s="726">
        <v>223280</v>
      </c>
      <c r="I389" s="726">
        <v>223280</v>
      </c>
      <c r="J389" s="726">
        <v>0</v>
      </c>
      <c r="K389" s="726">
        <v>0</v>
      </c>
      <c r="L389" s="726">
        <v>223280</v>
      </c>
      <c r="M389" s="726">
        <v>0</v>
      </c>
      <c r="N389" s="726">
        <v>0</v>
      </c>
      <c r="O389" s="726">
        <v>0</v>
      </c>
      <c r="P389" s="726">
        <v>0</v>
      </c>
      <c r="Q389" s="726">
        <v>0</v>
      </c>
      <c r="R389" s="726">
        <v>0</v>
      </c>
      <c r="S389" s="726">
        <v>0</v>
      </c>
      <c r="T389" s="726">
        <v>0</v>
      </c>
      <c r="U389" s="726">
        <v>0</v>
      </c>
      <c r="V389" s="726">
        <v>0</v>
      </c>
      <c r="W389" s="726">
        <v>0</v>
      </c>
      <c r="X389" s="724" t="s">
        <v>674</v>
      </c>
      <c r="Y389" s="724" t="s">
        <v>1226</v>
      </c>
      <c r="Z389" s="724" t="s">
        <v>1226</v>
      </c>
      <c r="AA389" s="724" t="s">
        <v>675</v>
      </c>
      <c r="AB389" s="724" t="s">
        <v>675</v>
      </c>
      <c r="AC389" s="724"/>
      <c r="AD389" s="724"/>
      <c r="AE389" s="724"/>
      <c r="AF389" s="724"/>
      <c r="AG389" s="725" t="s">
        <v>902</v>
      </c>
      <c r="AH389" s="724"/>
      <c r="AI389" s="725" t="s">
        <v>902</v>
      </c>
      <c r="AJ389" s="725" t="s">
        <v>677</v>
      </c>
      <c r="AK389" s="724" t="s">
        <v>677</v>
      </c>
      <c r="AL389" s="724"/>
      <c r="AM389" s="724"/>
      <c r="AN389" s="724"/>
      <c r="AO389" s="724"/>
      <c r="AP389" s="724"/>
      <c r="AQ389" s="724"/>
      <c r="AR389" s="726"/>
      <c r="AS389" s="724"/>
      <c r="AT389" s="726"/>
      <c r="AU389" s="724" t="s">
        <v>678</v>
      </c>
      <c r="AV389" s="724" t="s">
        <v>677</v>
      </c>
      <c r="AW389" s="724" t="s">
        <v>676</v>
      </c>
      <c r="AX389" s="724" t="s">
        <v>674</v>
      </c>
      <c r="AY389" s="724"/>
      <c r="AZ389" s="724"/>
      <c r="BA389" s="724" t="s">
        <v>679</v>
      </c>
      <c r="BB389" s="724"/>
      <c r="BC389" s="724"/>
      <c r="BD389" s="724"/>
      <c r="BE389" s="726"/>
      <c r="BF389" s="724" t="s">
        <v>298</v>
      </c>
      <c r="BG389" s="724" t="s">
        <v>680</v>
      </c>
      <c r="BH389" s="724" t="s">
        <v>681</v>
      </c>
      <c r="BI389" s="724"/>
    </row>
    <row r="390" spans="1:61">
      <c r="A390" s="724" t="s">
        <v>898</v>
      </c>
      <c r="B390" s="724" t="s">
        <v>898</v>
      </c>
      <c r="C390" s="724" t="s">
        <v>896</v>
      </c>
      <c r="D390" s="724" t="s">
        <v>673</v>
      </c>
      <c r="E390" s="724" t="s">
        <v>3</v>
      </c>
      <c r="F390" s="725" t="s">
        <v>7</v>
      </c>
      <c r="G390" s="725" t="s">
        <v>684</v>
      </c>
      <c r="H390" s="726">
        <v>1839670</v>
      </c>
      <c r="I390" s="726">
        <v>1839670</v>
      </c>
      <c r="J390" s="726">
        <v>0</v>
      </c>
      <c r="K390" s="726">
        <v>0</v>
      </c>
      <c r="L390" s="726">
        <v>1839670</v>
      </c>
      <c r="M390" s="726">
        <v>0</v>
      </c>
      <c r="N390" s="726">
        <v>0</v>
      </c>
      <c r="O390" s="726">
        <v>0</v>
      </c>
      <c r="P390" s="726">
        <v>0</v>
      </c>
      <c r="Q390" s="726">
        <v>0</v>
      </c>
      <c r="R390" s="726">
        <v>0</v>
      </c>
      <c r="S390" s="726">
        <v>0</v>
      </c>
      <c r="T390" s="726">
        <v>0</v>
      </c>
      <c r="U390" s="726">
        <v>0</v>
      </c>
      <c r="V390" s="726">
        <v>0</v>
      </c>
      <c r="W390" s="726">
        <v>0</v>
      </c>
      <c r="X390" s="724" t="s">
        <v>674</v>
      </c>
      <c r="Y390" s="724" t="s">
        <v>1226</v>
      </c>
      <c r="Z390" s="724" t="s">
        <v>1226</v>
      </c>
      <c r="AA390" s="724" t="s">
        <v>675</v>
      </c>
      <c r="AB390" s="724" t="s">
        <v>675</v>
      </c>
      <c r="AC390" s="724"/>
      <c r="AD390" s="724"/>
      <c r="AE390" s="724"/>
      <c r="AF390" s="724"/>
      <c r="AG390" s="725" t="s">
        <v>903</v>
      </c>
      <c r="AH390" s="724"/>
      <c r="AI390" s="725" t="s">
        <v>903</v>
      </c>
      <c r="AJ390" s="725" t="s">
        <v>677</v>
      </c>
      <c r="AK390" s="724" t="s">
        <v>677</v>
      </c>
      <c r="AL390" s="724"/>
      <c r="AM390" s="724"/>
      <c r="AN390" s="724"/>
      <c r="AO390" s="724"/>
      <c r="AP390" s="724"/>
      <c r="AQ390" s="724"/>
      <c r="AR390" s="726"/>
      <c r="AS390" s="724"/>
      <c r="AT390" s="726"/>
      <c r="AU390" s="724" t="s">
        <v>678</v>
      </c>
      <c r="AV390" s="724" t="s">
        <v>677</v>
      </c>
      <c r="AW390" s="724" t="s">
        <v>676</v>
      </c>
      <c r="AX390" s="724" t="s">
        <v>674</v>
      </c>
      <c r="AY390" s="724"/>
      <c r="AZ390" s="724"/>
      <c r="BA390" s="724" t="s">
        <v>679</v>
      </c>
      <c r="BB390" s="724"/>
      <c r="BC390" s="724"/>
      <c r="BD390" s="724"/>
      <c r="BE390" s="726"/>
      <c r="BF390" s="724" t="s">
        <v>298</v>
      </c>
      <c r="BG390" s="724" t="s">
        <v>680</v>
      </c>
      <c r="BH390" s="724" t="s">
        <v>681</v>
      </c>
      <c r="BI390" s="724"/>
    </row>
    <row r="391" spans="1:61">
      <c r="A391" s="724" t="s">
        <v>898</v>
      </c>
      <c r="B391" s="724" t="s">
        <v>898</v>
      </c>
      <c r="C391" s="724" t="s">
        <v>896</v>
      </c>
      <c r="D391" s="724" t="s">
        <v>673</v>
      </c>
      <c r="E391" s="724" t="s">
        <v>3</v>
      </c>
      <c r="F391" s="725" t="s">
        <v>7</v>
      </c>
      <c r="G391" s="725" t="s">
        <v>684</v>
      </c>
      <c r="H391" s="726">
        <v>193340</v>
      </c>
      <c r="I391" s="726">
        <v>193340</v>
      </c>
      <c r="J391" s="726">
        <v>0</v>
      </c>
      <c r="K391" s="726">
        <v>0</v>
      </c>
      <c r="L391" s="726">
        <v>193340</v>
      </c>
      <c r="M391" s="726">
        <v>0</v>
      </c>
      <c r="N391" s="726">
        <v>0</v>
      </c>
      <c r="O391" s="726">
        <v>0</v>
      </c>
      <c r="P391" s="726">
        <v>0</v>
      </c>
      <c r="Q391" s="726">
        <v>0</v>
      </c>
      <c r="R391" s="726">
        <v>0</v>
      </c>
      <c r="S391" s="726">
        <v>0</v>
      </c>
      <c r="T391" s="726">
        <v>0</v>
      </c>
      <c r="U391" s="726">
        <v>0</v>
      </c>
      <c r="V391" s="726">
        <v>0</v>
      </c>
      <c r="W391" s="726">
        <v>0</v>
      </c>
      <c r="X391" s="724" t="s">
        <v>674</v>
      </c>
      <c r="Y391" s="724" t="s">
        <v>1226</v>
      </c>
      <c r="Z391" s="724" t="s">
        <v>1226</v>
      </c>
      <c r="AA391" s="724" t="s">
        <v>675</v>
      </c>
      <c r="AB391" s="724" t="s">
        <v>675</v>
      </c>
      <c r="AC391" s="724"/>
      <c r="AD391" s="724"/>
      <c r="AE391" s="724"/>
      <c r="AF391" s="724"/>
      <c r="AG391" s="725" t="s">
        <v>904</v>
      </c>
      <c r="AH391" s="724"/>
      <c r="AI391" s="725" t="s">
        <v>904</v>
      </c>
      <c r="AJ391" s="725" t="s">
        <v>677</v>
      </c>
      <c r="AK391" s="724" t="s">
        <v>677</v>
      </c>
      <c r="AL391" s="724"/>
      <c r="AM391" s="724"/>
      <c r="AN391" s="724"/>
      <c r="AO391" s="724"/>
      <c r="AP391" s="724"/>
      <c r="AQ391" s="724"/>
      <c r="AR391" s="726"/>
      <c r="AS391" s="724"/>
      <c r="AT391" s="726"/>
      <c r="AU391" s="724" t="s">
        <v>678</v>
      </c>
      <c r="AV391" s="724" t="s">
        <v>677</v>
      </c>
      <c r="AW391" s="724" t="s">
        <v>676</v>
      </c>
      <c r="AX391" s="724" t="s">
        <v>674</v>
      </c>
      <c r="AY391" s="724"/>
      <c r="AZ391" s="724"/>
      <c r="BA391" s="724" t="s">
        <v>679</v>
      </c>
      <c r="BB391" s="724"/>
      <c r="BC391" s="724"/>
      <c r="BD391" s="724"/>
      <c r="BE391" s="726"/>
      <c r="BF391" s="724" t="s">
        <v>298</v>
      </c>
      <c r="BG391" s="724" t="s">
        <v>680</v>
      </c>
      <c r="BH391" s="724" t="s">
        <v>681</v>
      </c>
      <c r="BI391" s="724"/>
    </row>
    <row r="392" spans="1:61">
      <c r="A392" s="724" t="s">
        <v>898</v>
      </c>
      <c r="B392" s="724" t="s">
        <v>898</v>
      </c>
      <c r="C392" s="724" t="s">
        <v>896</v>
      </c>
      <c r="D392" s="724" t="s">
        <v>673</v>
      </c>
      <c r="E392" s="724" t="s">
        <v>3</v>
      </c>
      <c r="F392" s="725" t="s">
        <v>83</v>
      </c>
      <c r="G392" s="725" t="s">
        <v>691</v>
      </c>
      <c r="H392" s="726">
        <v>105600</v>
      </c>
      <c r="I392" s="726">
        <v>105600</v>
      </c>
      <c r="J392" s="726">
        <v>0</v>
      </c>
      <c r="K392" s="726">
        <v>0</v>
      </c>
      <c r="L392" s="726">
        <v>105600</v>
      </c>
      <c r="M392" s="726">
        <v>0</v>
      </c>
      <c r="N392" s="726">
        <v>0</v>
      </c>
      <c r="O392" s="726">
        <v>0</v>
      </c>
      <c r="P392" s="726">
        <v>0</v>
      </c>
      <c r="Q392" s="726">
        <v>0</v>
      </c>
      <c r="R392" s="726">
        <v>0</v>
      </c>
      <c r="S392" s="726">
        <v>0</v>
      </c>
      <c r="T392" s="726">
        <v>0</v>
      </c>
      <c r="U392" s="726">
        <v>0</v>
      </c>
      <c r="V392" s="726">
        <v>0</v>
      </c>
      <c r="W392" s="726">
        <v>0</v>
      </c>
      <c r="X392" s="724" t="s">
        <v>674</v>
      </c>
      <c r="Y392" s="724" t="s">
        <v>1226</v>
      </c>
      <c r="Z392" s="724" t="s">
        <v>1226</v>
      </c>
      <c r="AA392" s="724" t="s">
        <v>675</v>
      </c>
      <c r="AB392" s="724" t="s">
        <v>675</v>
      </c>
      <c r="AC392" s="724"/>
      <c r="AD392" s="724"/>
      <c r="AE392" s="724" t="s">
        <v>694</v>
      </c>
      <c r="AF392" s="724"/>
      <c r="AG392" s="725" t="s">
        <v>905</v>
      </c>
      <c r="AH392" s="724"/>
      <c r="AI392" s="725" t="s">
        <v>905</v>
      </c>
      <c r="AJ392" s="725" t="s">
        <v>677</v>
      </c>
      <c r="AK392" s="724" t="s">
        <v>677</v>
      </c>
      <c r="AL392" s="724"/>
      <c r="AM392" s="724"/>
      <c r="AN392" s="724"/>
      <c r="AO392" s="724"/>
      <c r="AP392" s="724"/>
      <c r="AQ392" s="724"/>
      <c r="AR392" s="726"/>
      <c r="AS392" s="724"/>
      <c r="AT392" s="726"/>
      <c r="AU392" s="724" t="s">
        <v>678</v>
      </c>
      <c r="AV392" s="724" t="s">
        <v>677</v>
      </c>
      <c r="AW392" s="724" t="s">
        <v>676</v>
      </c>
      <c r="AX392" s="724" t="s">
        <v>674</v>
      </c>
      <c r="AY392" s="724"/>
      <c r="AZ392" s="724"/>
      <c r="BA392" s="724" t="s">
        <v>679</v>
      </c>
      <c r="BB392" s="724"/>
      <c r="BC392" s="724"/>
      <c r="BD392" s="724"/>
      <c r="BE392" s="726"/>
      <c r="BF392" s="724" t="s">
        <v>298</v>
      </c>
      <c r="BG392" s="724" t="s">
        <v>680</v>
      </c>
      <c r="BH392" s="724" t="s">
        <v>681</v>
      </c>
      <c r="BI392" s="724"/>
    </row>
    <row r="393" spans="1:61">
      <c r="A393" s="724" t="s">
        <v>898</v>
      </c>
      <c r="B393" s="724" t="s">
        <v>898</v>
      </c>
      <c r="C393" s="724" t="s">
        <v>896</v>
      </c>
      <c r="D393" s="724" t="s">
        <v>673</v>
      </c>
      <c r="E393" s="724" t="s">
        <v>3</v>
      </c>
      <c r="F393" s="725" t="s">
        <v>83</v>
      </c>
      <c r="G393" s="725" t="s">
        <v>691</v>
      </c>
      <c r="H393" s="726">
        <v>1094400</v>
      </c>
      <c r="I393" s="726">
        <v>1094400</v>
      </c>
      <c r="J393" s="726">
        <v>0</v>
      </c>
      <c r="K393" s="726">
        <v>0</v>
      </c>
      <c r="L393" s="726">
        <v>1094400</v>
      </c>
      <c r="M393" s="726">
        <v>0</v>
      </c>
      <c r="N393" s="726">
        <v>0</v>
      </c>
      <c r="O393" s="726">
        <v>0</v>
      </c>
      <c r="P393" s="726">
        <v>0</v>
      </c>
      <c r="Q393" s="726">
        <v>0</v>
      </c>
      <c r="R393" s="726">
        <v>0</v>
      </c>
      <c r="S393" s="726">
        <v>0</v>
      </c>
      <c r="T393" s="726">
        <v>0</v>
      </c>
      <c r="U393" s="726">
        <v>0</v>
      </c>
      <c r="V393" s="726">
        <v>0</v>
      </c>
      <c r="W393" s="726">
        <v>0</v>
      </c>
      <c r="X393" s="724" t="s">
        <v>674</v>
      </c>
      <c r="Y393" s="724" t="s">
        <v>1226</v>
      </c>
      <c r="Z393" s="724" t="s">
        <v>1226</v>
      </c>
      <c r="AA393" s="724" t="s">
        <v>675</v>
      </c>
      <c r="AB393" s="724" t="s">
        <v>675</v>
      </c>
      <c r="AC393" s="724"/>
      <c r="AD393" s="724"/>
      <c r="AE393" s="724" t="s">
        <v>694</v>
      </c>
      <c r="AF393" s="724"/>
      <c r="AG393" s="725" t="s">
        <v>900</v>
      </c>
      <c r="AH393" s="724"/>
      <c r="AI393" s="725" t="s">
        <v>900</v>
      </c>
      <c r="AJ393" s="725" t="s">
        <v>677</v>
      </c>
      <c r="AK393" s="724" t="s">
        <v>677</v>
      </c>
      <c r="AL393" s="724"/>
      <c r="AM393" s="724"/>
      <c r="AN393" s="724"/>
      <c r="AO393" s="724"/>
      <c r="AP393" s="724"/>
      <c r="AQ393" s="724"/>
      <c r="AR393" s="726"/>
      <c r="AS393" s="724"/>
      <c r="AT393" s="726"/>
      <c r="AU393" s="724" t="s">
        <v>678</v>
      </c>
      <c r="AV393" s="724" t="s">
        <v>677</v>
      </c>
      <c r="AW393" s="724" t="s">
        <v>676</v>
      </c>
      <c r="AX393" s="724" t="s">
        <v>674</v>
      </c>
      <c r="AY393" s="724"/>
      <c r="AZ393" s="724"/>
      <c r="BA393" s="724" t="s">
        <v>679</v>
      </c>
      <c r="BB393" s="724"/>
      <c r="BC393" s="724"/>
      <c r="BD393" s="724"/>
      <c r="BE393" s="726"/>
      <c r="BF393" s="724" t="s">
        <v>298</v>
      </c>
      <c r="BG393" s="724" t="s">
        <v>680</v>
      </c>
      <c r="BH393" s="724" t="s">
        <v>681</v>
      </c>
      <c r="BI393" s="724"/>
    </row>
    <row r="394" spans="1:61">
      <c r="A394" s="724" t="s">
        <v>898</v>
      </c>
      <c r="B394" s="724" t="s">
        <v>898</v>
      </c>
      <c r="C394" s="724" t="s">
        <v>896</v>
      </c>
      <c r="D394" s="724" t="s">
        <v>673</v>
      </c>
      <c r="E394" s="724" t="s">
        <v>3</v>
      </c>
      <c r="F394" s="725" t="s">
        <v>83</v>
      </c>
      <c r="G394" s="725" t="s">
        <v>691</v>
      </c>
      <c r="H394" s="726">
        <v>132000</v>
      </c>
      <c r="I394" s="726">
        <v>132000</v>
      </c>
      <c r="J394" s="726">
        <v>0</v>
      </c>
      <c r="K394" s="726">
        <v>0</v>
      </c>
      <c r="L394" s="726">
        <v>132000</v>
      </c>
      <c r="M394" s="726">
        <v>0</v>
      </c>
      <c r="N394" s="726">
        <v>0</v>
      </c>
      <c r="O394" s="726">
        <v>0</v>
      </c>
      <c r="P394" s="726">
        <v>0</v>
      </c>
      <c r="Q394" s="726">
        <v>0</v>
      </c>
      <c r="R394" s="726">
        <v>0</v>
      </c>
      <c r="S394" s="726">
        <v>0</v>
      </c>
      <c r="T394" s="726">
        <v>0</v>
      </c>
      <c r="U394" s="726">
        <v>0</v>
      </c>
      <c r="V394" s="726">
        <v>0</v>
      </c>
      <c r="W394" s="726">
        <v>0</v>
      </c>
      <c r="X394" s="724" t="s">
        <v>674</v>
      </c>
      <c r="Y394" s="724" t="s">
        <v>1226</v>
      </c>
      <c r="Z394" s="724" t="s">
        <v>1226</v>
      </c>
      <c r="AA394" s="724" t="s">
        <v>675</v>
      </c>
      <c r="AB394" s="724" t="s">
        <v>675</v>
      </c>
      <c r="AC394" s="724"/>
      <c r="AD394" s="724"/>
      <c r="AE394" s="724" t="s">
        <v>694</v>
      </c>
      <c r="AF394" s="724"/>
      <c r="AG394" s="725" t="s">
        <v>905</v>
      </c>
      <c r="AH394" s="724"/>
      <c r="AI394" s="725" t="s">
        <v>905</v>
      </c>
      <c r="AJ394" s="725" t="s">
        <v>677</v>
      </c>
      <c r="AK394" s="724" t="s">
        <v>677</v>
      </c>
      <c r="AL394" s="724"/>
      <c r="AM394" s="724"/>
      <c r="AN394" s="724"/>
      <c r="AO394" s="724"/>
      <c r="AP394" s="724"/>
      <c r="AQ394" s="724"/>
      <c r="AR394" s="726"/>
      <c r="AS394" s="724"/>
      <c r="AT394" s="726"/>
      <c r="AU394" s="724" t="s">
        <v>678</v>
      </c>
      <c r="AV394" s="724" t="s">
        <v>677</v>
      </c>
      <c r="AW394" s="724" t="s">
        <v>676</v>
      </c>
      <c r="AX394" s="724" t="s">
        <v>674</v>
      </c>
      <c r="AY394" s="724"/>
      <c r="AZ394" s="724"/>
      <c r="BA394" s="724" t="s">
        <v>679</v>
      </c>
      <c r="BB394" s="724"/>
      <c r="BC394" s="724"/>
      <c r="BD394" s="724"/>
      <c r="BE394" s="726"/>
      <c r="BF394" s="724" t="s">
        <v>298</v>
      </c>
      <c r="BG394" s="724" t="s">
        <v>680</v>
      </c>
      <c r="BH394" s="724" t="s">
        <v>681</v>
      </c>
      <c r="BI394" s="724"/>
    </row>
    <row r="395" spans="1:61">
      <c r="A395" s="724" t="s">
        <v>898</v>
      </c>
      <c r="B395" s="724" t="s">
        <v>898</v>
      </c>
      <c r="C395" s="724" t="s">
        <v>896</v>
      </c>
      <c r="D395" s="724" t="s">
        <v>673</v>
      </c>
      <c r="E395" s="724" t="s">
        <v>3</v>
      </c>
      <c r="F395" s="725" t="s">
        <v>83</v>
      </c>
      <c r="G395" s="725" t="s">
        <v>691</v>
      </c>
      <c r="H395" s="726">
        <v>18480</v>
      </c>
      <c r="I395" s="726">
        <v>18480</v>
      </c>
      <c r="J395" s="726">
        <v>0</v>
      </c>
      <c r="K395" s="726">
        <v>0</v>
      </c>
      <c r="L395" s="726">
        <v>18480</v>
      </c>
      <c r="M395" s="726">
        <v>0</v>
      </c>
      <c r="N395" s="726">
        <v>0</v>
      </c>
      <c r="O395" s="726">
        <v>0</v>
      </c>
      <c r="P395" s="726">
        <v>0</v>
      </c>
      <c r="Q395" s="726">
        <v>0</v>
      </c>
      <c r="R395" s="726">
        <v>0</v>
      </c>
      <c r="S395" s="726">
        <v>0</v>
      </c>
      <c r="T395" s="726">
        <v>0</v>
      </c>
      <c r="U395" s="726">
        <v>0</v>
      </c>
      <c r="V395" s="726">
        <v>0</v>
      </c>
      <c r="W395" s="726">
        <v>0</v>
      </c>
      <c r="X395" s="724" t="s">
        <v>674</v>
      </c>
      <c r="Y395" s="724" t="s">
        <v>675</v>
      </c>
      <c r="Z395" s="724" t="s">
        <v>675</v>
      </c>
      <c r="AA395" s="724" t="s">
        <v>675</v>
      </c>
      <c r="AB395" s="724" t="s">
        <v>675</v>
      </c>
      <c r="AC395" s="724"/>
      <c r="AD395" s="724"/>
      <c r="AE395" s="724" t="s">
        <v>694</v>
      </c>
      <c r="AF395" s="724"/>
      <c r="AG395" s="725" t="s">
        <v>906</v>
      </c>
      <c r="AH395" s="724"/>
      <c r="AI395" s="725" t="s">
        <v>906</v>
      </c>
      <c r="AJ395" s="725" t="s">
        <v>677</v>
      </c>
      <c r="AK395" s="724" t="s">
        <v>677</v>
      </c>
      <c r="AL395" s="724"/>
      <c r="AM395" s="724"/>
      <c r="AN395" s="724"/>
      <c r="AO395" s="724"/>
      <c r="AP395" s="724"/>
      <c r="AQ395" s="724"/>
      <c r="AR395" s="726"/>
      <c r="AS395" s="724"/>
      <c r="AT395" s="726"/>
      <c r="AU395" s="724" t="s">
        <v>678</v>
      </c>
      <c r="AV395" s="724" t="s">
        <v>677</v>
      </c>
      <c r="AW395" s="724" t="s">
        <v>676</v>
      </c>
      <c r="AX395" s="724" t="s">
        <v>674</v>
      </c>
      <c r="AY395" s="724"/>
      <c r="AZ395" s="724"/>
      <c r="BA395" s="724" t="s">
        <v>679</v>
      </c>
      <c r="BB395" s="724"/>
      <c r="BC395" s="724"/>
      <c r="BD395" s="724"/>
      <c r="BE395" s="726"/>
      <c r="BF395" s="724" t="s">
        <v>298</v>
      </c>
      <c r="BG395" s="724" t="s">
        <v>680</v>
      </c>
      <c r="BH395" s="724" t="s">
        <v>681</v>
      </c>
      <c r="BI395" s="724"/>
    </row>
    <row r="396" spans="1:61">
      <c r="A396" s="724" t="s">
        <v>898</v>
      </c>
      <c r="B396" s="724" t="s">
        <v>898</v>
      </c>
      <c r="C396" s="724" t="s">
        <v>896</v>
      </c>
      <c r="D396" s="724" t="s">
        <v>673</v>
      </c>
      <c r="E396" s="724" t="s">
        <v>3</v>
      </c>
      <c r="F396" s="725" t="s">
        <v>83</v>
      </c>
      <c r="G396" s="725" t="s">
        <v>691</v>
      </c>
      <c r="H396" s="726">
        <v>191520</v>
      </c>
      <c r="I396" s="726">
        <v>191520</v>
      </c>
      <c r="J396" s="726">
        <v>0</v>
      </c>
      <c r="K396" s="726">
        <v>0</v>
      </c>
      <c r="L396" s="726">
        <v>191520</v>
      </c>
      <c r="M396" s="726">
        <v>0</v>
      </c>
      <c r="N396" s="726">
        <v>0</v>
      </c>
      <c r="O396" s="726">
        <v>0</v>
      </c>
      <c r="P396" s="726">
        <v>0</v>
      </c>
      <c r="Q396" s="726">
        <v>0</v>
      </c>
      <c r="R396" s="726">
        <v>0</v>
      </c>
      <c r="S396" s="726">
        <v>0</v>
      </c>
      <c r="T396" s="726">
        <v>0</v>
      </c>
      <c r="U396" s="726">
        <v>0</v>
      </c>
      <c r="V396" s="726">
        <v>0</v>
      </c>
      <c r="W396" s="726">
        <v>0</v>
      </c>
      <c r="X396" s="724" t="s">
        <v>674</v>
      </c>
      <c r="Y396" s="724" t="s">
        <v>1226</v>
      </c>
      <c r="Z396" s="724" t="s">
        <v>1226</v>
      </c>
      <c r="AA396" s="724" t="s">
        <v>675</v>
      </c>
      <c r="AB396" s="724" t="s">
        <v>675</v>
      </c>
      <c r="AC396" s="724"/>
      <c r="AD396" s="724"/>
      <c r="AE396" s="724" t="s">
        <v>694</v>
      </c>
      <c r="AF396" s="724"/>
      <c r="AG396" s="725" t="s">
        <v>907</v>
      </c>
      <c r="AH396" s="724"/>
      <c r="AI396" s="725" t="s">
        <v>907</v>
      </c>
      <c r="AJ396" s="725" t="s">
        <v>677</v>
      </c>
      <c r="AK396" s="724" t="s">
        <v>677</v>
      </c>
      <c r="AL396" s="724"/>
      <c r="AM396" s="724"/>
      <c r="AN396" s="724"/>
      <c r="AO396" s="724"/>
      <c r="AP396" s="724"/>
      <c r="AQ396" s="724"/>
      <c r="AR396" s="726"/>
      <c r="AS396" s="724"/>
      <c r="AT396" s="726"/>
      <c r="AU396" s="724" t="s">
        <v>678</v>
      </c>
      <c r="AV396" s="724" t="s">
        <v>677</v>
      </c>
      <c r="AW396" s="724" t="s">
        <v>676</v>
      </c>
      <c r="AX396" s="724" t="s">
        <v>784</v>
      </c>
      <c r="AY396" s="724" t="s">
        <v>785</v>
      </c>
      <c r="AZ396" s="724" t="s">
        <v>908</v>
      </c>
      <c r="BA396" s="724" t="s">
        <v>679</v>
      </c>
      <c r="BB396" s="724"/>
      <c r="BC396" s="724"/>
      <c r="BD396" s="724"/>
      <c r="BE396" s="726"/>
      <c r="BF396" s="724" t="s">
        <v>298</v>
      </c>
      <c r="BG396" s="724" t="s">
        <v>680</v>
      </c>
      <c r="BH396" s="724" t="s">
        <v>681</v>
      </c>
      <c r="BI396" s="724"/>
    </row>
    <row r="397" spans="1:61">
      <c r="A397" s="724" t="s">
        <v>898</v>
      </c>
      <c r="B397" s="724" t="s">
        <v>898</v>
      </c>
      <c r="C397" s="724" t="s">
        <v>896</v>
      </c>
      <c r="D397" s="724" t="s">
        <v>673</v>
      </c>
      <c r="E397" s="724" t="s">
        <v>3</v>
      </c>
      <c r="F397" s="725" t="s">
        <v>83</v>
      </c>
      <c r="G397" s="725" t="s">
        <v>691</v>
      </c>
      <c r="H397" s="726">
        <v>17600</v>
      </c>
      <c r="I397" s="726">
        <v>17600</v>
      </c>
      <c r="J397" s="726">
        <v>0</v>
      </c>
      <c r="K397" s="726">
        <v>0</v>
      </c>
      <c r="L397" s="726">
        <v>17600</v>
      </c>
      <c r="M397" s="726">
        <v>0</v>
      </c>
      <c r="N397" s="726">
        <v>0</v>
      </c>
      <c r="O397" s="726">
        <v>0</v>
      </c>
      <c r="P397" s="726">
        <v>0</v>
      </c>
      <c r="Q397" s="726">
        <v>0</v>
      </c>
      <c r="R397" s="726">
        <v>0</v>
      </c>
      <c r="S397" s="726">
        <v>0</v>
      </c>
      <c r="T397" s="726">
        <v>0</v>
      </c>
      <c r="U397" s="726">
        <v>0</v>
      </c>
      <c r="V397" s="726">
        <v>0</v>
      </c>
      <c r="W397" s="726">
        <v>0</v>
      </c>
      <c r="X397" s="724" t="s">
        <v>674</v>
      </c>
      <c r="Y397" s="724" t="s">
        <v>675</v>
      </c>
      <c r="Z397" s="724" t="s">
        <v>675</v>
      </c>
      <c r="AA397" s="724" t="s">
        <v>675</v>
      </c>
      <c r="AB397" s="724" t="s">
        <v>675</v>
      </c>
      <c r="AC397" s="724"/>
      <c r="AD397" s="724"/>
      <c r="AE397" s="724" t="s">
        <v>694</v>
      </c>
      <c r="AF397" s="724"/>
      <c r="AG397" s="725" t="s">
        <v>906</v>
      </c>
      <c r="AH397" s="724"/>
      <c r="AI397" s="725" t="s">
        <v>906</v>
      </c>
      <c r="AJ397" s="725" t="s">
        <v>677</v>
      </c>
      <c r="AK397" s="724" t="s">
        <v>677</v>
      </c>
      <c r="AL397" s="724"/>
      <c r="AM397" s="724"/>
      <c r="AN397" s="724"/>
      <c r="AO397" s="724"/>
      <c r="AP397" s="724"/>
      <c r="AQ397" s="724"/>
      <c r="AR397" s="726"/>
      <c r="AS397" s="724"/>
      <c r="AT397" s="726"/>
      <c r="AU397" s="724" t="s">
        <v>678</v>
      </c>
      <c r="AV397" s="724" t="s">
        <v>677</v>
      </c>
      <c r="AW397" s="724" t="s">
        <v>676</v>
      </c>
      <c r="AX397" s="724" t="s">
        <v>674</v>
      </c>
      <c r="AY397" s="724"/>
      <c r="AZ397" s="724"/>
      <c r="BA397" s="724" t="s">
        <v>679</v>
      </c>
      <c r="BB397" s="724"/>
      <c r="BC397" s="724"/>
      <c r="BD397" s="724"/>
      <c r="BE397" s="726"/>
      <c r="BF397" s="724" t="s">
        <v>298</v>
      </c>
      <c r="BG397" s="724" t="s">
        <v>680</v>
      </c>
      <c r="BH397" s="724" t="s">
        <v>681</v>
      </c>
      <c r="BI397" s="724"/>
    </row>
    <row r="398" spans="1:61">
      <c r="A398" s="724" t="s">
        <v>898</v>
      </c>
      <c r="B398" s="724" t="s">
        <v>898</v>
      </c>
      <c r="C398" s="724" t="s">
        <v>896</v>
      </c>
      <c r="D398" s="724" t="s">
        <v>673</v>
      </c>
      <c r="E398" s="724" t="s">
        <v>3</v>
      </c>
      <c r="F398" s="725" t="s">
        <v>83</v>
      </c>
      <c r="G398" s="725" t="s">
        <v>691</v>
      </c>
      <c r="H398" s="726">
        <v>182400</v>
      </c>
      <c r="I398" s="726">
        <v>182400</v>
      </c>
      <c r="J398" s="726">
        <v>0</v>
      </c>
      <c r="K398" s="726">
        <v>0</v>
      </c>
      <c r="L398" s="726">
        <v>182400</v>
      </c>
      <c r="M398" s="726">
        <v>0</v>
      </c>
      <c r="N398" s="726">
        <v>0</v>
      </c>
      <c r="O398" s="726">
        <v>0</v>
      </c>
      <c r="P398" s="726">
        <v>0</v>
      </c>
      <c r="Q398" s="726">
        <v>0</v>
      </c>
      <c r="R398" s="726">
        <v>0</v>
      </c>
      <c r="S398" s="726">
        <v>0</v>
      </c>
      <c r="T398" s="726">
        <v>0</v>
      </c>
      <c r="U398" s="726">
        <v>0</v>
      </c>
      <c r="V398" s="726">
        <v>0</v>
      </c>
      <c r="W398" s="726">
        <v>0</v>
      </c>
      <c r="X398" s="724" t="s">
        <v>674</v>
      </c>
      <c r="Y398" s="724" t="s">
        <v>1226</v>
      </c>
      <c r="Z398" s="724" t="s">
        <v>1226</v>
      </c>
      <c r="AA398" s="724" t="s">
        <v>675</v>
      </c>
      <c r="AB398" s="724" t="s">
        <v>675</v>
      </c>
      <c r="AC398" s="724"/>
      <c r="AD398" s="724"/>
      <c r="AE398" s="724" t="s">
        <v>694</v>
      </c>
      <c r="AF398" s="724"/>
      <c r="AG398" s="725" t="s">
        <v>907</v>
      </c>
      <c r="AH398" s="724"/>
      <c r="AI398" s="725" t="s">
        <v>907</v>
      </c>
      <c r="AJ398" s="725" t="s">
        <v>677</v>
      </c>
      <c r="AK398" s="724" t="s">
        <v>677</v>
      </c>
      <c r="AL398" s="724"/>
      <c r="AM398" s="724"/>
      <c r="AN398" s="724"/>
      <c r="AO398" s="724"/>
      <c r="AP398" s="724"/>
      <c r="AQ398" s="724"/>
      <c r="AR398" s="726"/>
      <c r="AS398" s="724"/>
      <c r="AT398" s="726"/>
      <c r="AU398" s="724" t="s">
        <v>678</v>
      </c>
      <c r="AV398" s="724" t="s">
        <v>677</v>
      </c>
      <c r="AW398" s="724" t="s">
        <v>676</v>
      </c>
      <c r="AX398" s="724" t="s">
        <v>784</v>
      </c>
      <c r="AY398" s="724" t="s">
        <v>785</v>
      </c>
      <c r="AZ398" s="724" t="s">
        <v>908</v>
      </c>
      <c r="BA398" s="724" t="s">
        <v>679</v>
      </c>
      <c r="BB398" s="724"/>
      <c r="BC398" s="724"/>
      <c r="BD398" s="724"/>
      <c r="BE398" s="726"/>
      <c r="BF398" s="724" t="s">
        <v>298</v>
      </c>
      <c r="BG398" s="724" t="s">
        <v>680</v>
      </c>
      <c r="BH398" s="724" t="s">
        <v>681</v>
      </c>
      <c r="BI398" s="724"/>
    </row>
    <row r="399" spans="1:61">
      <c r="A399" s="724" t="s">
        <v>898</v>
      </c>
      <c r="B399" s="724" t="s">
        <v>898</v>
      </c>
      <c r="C399" s="724" t="s">
        <v>896</v>
      </c>
      <c r="D399" s="724" t="s">
        <v>673</v>
      </c>
      <c r="E399" s="724" t="s">
        <v>3</v>
      </c>
      <c r="F399" s="725" t="s">
        <v>83</v>
      </c>
      <c r="G399" s="725" t="s">
        <v>691</v>
      </c>
      <c r="H399" s="726">
        <v>90000</v>
      </c>
      <c r="I399" s="726">
        <v>90000</v>
      </c>
      <c r="J399" s="726">
        <v>0</v>
      </c>
      <c r="K399" s="726">
        <v>0</v>
      </c>
      <c r="L399" s="726">
        <v>90000</v>
      </c>
      <c r="M399" s="726">
        <v>0</v>
      </c>
      <c r="N399" s="726">
        <v>0</v>
      </c>
      <c r="O399" s="726">
        <v>0</v>
      </c>
      <c r="P399" s="726">
        <v>0</v>
      </c>
      <c r="Q399" s="726">
        <v>0</v>
      </c>
      <c r="R399" s="726">
        <v>0</v>
      </c>
      <c r="S399" s="726">
        <v>0</v>
      </c>
      <c r="T399" s="726">
        <v>0</v>
      </c>
      <c r="U399" s="726">
        <v>0</v>
      </c>
      <c r="V399" s="726">
        <v>0</v>
      </c>
      <c r="W399" s="726">
        <v>0</v>
      </c>
      <c r="X399" s="724" t="s">
        <v>674</v>
      </c>
      <c r="Y399" s="724" t="s">
        <v>675</v>
      </c>
      <c r="Z399" s="724" t="s">
        <v>675</v>
      </c>
      <c r="AA399" s="724" t="s">
        <v>675</v>
      </c>
      <c r="AB399" s="724" t="s">
        <v>675</v>
      </c>
      <c r="AC399" s="724"/>
      <c r="AD399" s="724"/>
      <c r="AE399" s="724" t="s">
        <v>694</v>
      </c>
      <c r="AF399" s="724"/>
      <c r="AG399" s="725" t="s">
        <v>907</v>
      </c>
      <c r="AH399" s="724"/>
      <c r="AI399" s="725" t="s">
        <v>907</v>
      </c>
      <c r="AJ399" s="725" t="s">
        <v>677</v>
      </c>
      <c r="AK399" s="724" t="s">
        <v>677</v>
      </c>
      <c r="AL399" s="724"/>
      <c r="AM399" s="724"/>
      <c r="AN399" s="724"/>
      <c r="AO399" s="724"/>
      <c r="AP399" s="724"/>
      <c r="AQ399" s="724"/>
      <c r="AR399" s="726"/>
      <c r="AS399" s="724"/>
      <c r="AT399" s="726"/>
      <c r="AU399" s="724" t="s">
        <v>678</v>
      </c>
      <c r="AV399" s="724" t="s">
        <v>677</v>
      </c>
      <c r="AW399" s="724" t="s">
        <v>676</v>
      </c>
      <c r="AX399" s="724" t="s">
        <v>784</v>
      </c>
      <c r="AY399" s="724" t="s">
        <v>785</v>
      </c>
      <c r="AZ399" s="724" t="s">
        <v>908</v>
      </c>
      <c r="BA399" s="724" t="s">
        <v>679</v>
      </c>
      <c r="BB399" s="724"/>
      <c r="BC399" s="724"/>
      <c r="BD399" s="724"/>
      <c r="BE399" s="726"/>
      <c r="BF399" s="724" t="s">
        <v>298</v>
      </c>
      <c r="BG399" s="724" t="s">
        <v>680</v>
      </c>
      <c r="BH399" s="724" t="s">
        <v>681</v>
      </c>
      <c r="BI399" s="724"/>
    </row>
    <row r="400" spans="1:61">
      <c r="A400" s="724" t="s">
        <v>896</v>
      </c>
      <c r="B400" s="724" t="s">
        <v>896</v>
      </c>
      <c r="C400" s="724" t="s">
        <v>909</v>
      </c>
      <c r="D400" s="724" t="s">
        <v>673</v>
      </c>
      <c r="E400" s="724" t="s">
        <v>3</v>
      </c>
      <c r="F400" s="725" t="s">
        <v>83</v>
      </c>
      <c r="G400" s="725" t="s">
        <v>691</v>
      </c>
      <c r="H400" s="726">
        <v>110880</v>
      </c>
      <c r="I400" s="726">
        <v>110880</v>
      </c>
      <c r="J400" s="726">
        <v>0</v>
      </c>
      <c r="K400" s="726">
        <v>0</v>
      </c>
      <c r="L400" s="726">
        <v>110880</v>
      </c>
      <c r="M400" s="726">
        <v>0</v>
      </c>
      <c r="N400" s="726">
        <v>0</v>
      </c>
      <c r="O400" s="726">
        <v>0</v>
      </c>
      <c r="P400" s="726">
        <v>0</v>
      </c>
      <c r="Q400" s="726">
        <v>0</v>
      </c>
      <c r="R400" s="726">
        <v>0</v>
      </c>
      <c r="S400" s="726">
        <v>0</v>
      </c>
      <c r="T400" s="726">
        <v>0</v>
      </c>
      <c r="U400" s="726">
        <v>0</v>
      </c>
      <c r="V400" s="726">
        <v>0</v>
      </c>
      <c r="W400" s="726">
        <v>0</v>
      </c>
      <c r="X400" s="724" t="s">
        <v>674</v>
      </c>
      <c r="Y400" s="724" t="s">
        <v>1226</v>
      </c>
      <c r="Z400" s="724" t="s">
        <v>1226</v>
      </c>
      <c r="AA400" s="724" t="s">
        <v>675</v>
      </c>
      <c r="AB400" s="724" t="s">
        <v>675</v>
      </c>
      <c r="AC400" s="724"/>
      <c r="AD400" s="724"/>
      <c r="AE400" s="724" t="s">
        <v>694</v>
      </c>
      <c r="AF400" s="724"/>
      <c r="AG400" s="725" t="s">
        <v>910</v>
      </c>
      <c r="AH400" s="724"/>
      <c r="AI400" s="725" t="s">
        <v>910</v>
      </c>
      <c r="AJ400" s="725" t="s">
        <v>677</v>
      </c>
      <c r="AK400" s="724" t="s">
        <v>677</v>
      </c>
      <c r="AL400" s="724"/>
      <c r="AM400" s="724"/>
      <c r="AN400" s="724"/>
      <c r="AO400" s="724"/>
      <c r="AP400" s="724"/>
      <c r="AQ400" s="724"/>
      <c r="AR400" s="726"/>
      <c r="AS400" s="724"/>
      <c r="AT400" s="726"/>
      <c r="AU400" s="724" t="s">
        <v>678</v>
      </c>
      <c r="AV400" s="724" t="s">
        <v>677</v>
      </c>
      <c r="AW400" s="724" t="s">
        <v>676</v>
      </c>
      <c r="AX400" s="724" t="s">
        <v>674</v>
      </c>
      <c r="AY400" s="724"/>
      <c r="AZ400" s="724"/>
      <c r="BA400" s="724" t="s">
        <v>679</v>
      </c>
      <c r="BB400" s="724"/>
      <c r="BC400" s="724"/>
      <c r="BD400" s="724"/>
      <c r="BE400" s="726"/>
      <c r="BF400" s="724" t="s">
        <v>298</v>
      </c>
      <c r="BG400" s="724" t="s">
        <v>680</v>
      </c>
      <c r="BH400" s="724" t="s">
        <v>681</v>
      </c>
      <c r="BI400" s="724"/>
    </row>
    <row r="401" spans="1:61">
      <c r="A401" s="724" t="s">
        <v>896</v>
      </c>
      <c r="B401" s="724" t="s">
        <v>896</v>
      </c>
      <c r="C401" s="724" t="s">
        <v>909</v>
      </c>
      <c r="D401" s="724" t="s">
        <v>673</v>
      </c>
      <c r="E401" s="724" t="s">
        <v>3</v>
      </c>
      <c r="F401" s="725" t="s">
        <v>83</v>
      </c>
      <c r="G401" s="725" t="s">
        <v>691</v>
      </c>
      <c r="H401" s="726">
        <v>17600</v>
      </c>
      <c r="I401" s="726">
        <v>17600</v>
      </c>
      <c r="J401" s="726">
        <v>0</v>
      </c>
      <c r="K401" s="726">
        <v>0</v>
      </c>
      <c r="L401" s="726">
        <v>17600</v>
      </c>
      <c r="M401" s="726">
        <v>0</v>
      </c>
      <c r="N401" s="726">
        <v>0</v>
      </c>
      <c r="O401" s="726">
        <v>0</v>
      </c>
      <c r="P401" s="726">
        <v>0</v>
      </c>
      <c r="Q401" s="726">
        <v>0</v>
      </c>
      <c r="R401" s="726">
        <v>0</v>
      </c>
      <c r="S401" s="726">
        <v>0</v>
      </c>
      <c r="T401" s="726">
        <v>0</v>
      </c>
      <c r="U401" s="726">
        <v>0</v>
      </c>
      <c r="V401" s="726">
        <v>0</v>
      </c>
      <c r="W401" s="726">
        <v>0</v>
      </c>
      <c r="X401" s="724" t="s">
        <v>674</v>
      </c>
      <c r="Y401" s="724" t="s">
        <v>675</v>
      </c>
      <c r="Z401" s="724" t="s">
        <v>675</v>
      </c>
      <c r="AA401" s="724" t="s">
        <v>675</v>
      </c>
      <c r="AB401" s="724" t="s">
        <v>675</v>
      </c>
      <c r="AC401" s="724"/>
      <c r="AD401" s="724"/>
      <c r="AE401" s="724" t="s">
        <v>694</v>
      </c>
      <c r="AF401" s="724"/>
      <c r="AG401" s="725" t="s">
        <v>906</v>
      </c>
      <c r="AH401" s="724"/>
      <c r="AI401" s="725" t="s">
        <v>906</v>
      </c>
      <c r="AJ401" s="725" t="s">
        <v>677</v>
      </c>
      <c r="AK401" s="724" t="s">
        <v>677</v>
      </c>
      <c r="AL401" s="724"/>
      <c r="AM401" s="724"/>
      <c r="AN401" s="724"/>
      <c r="AO401" s="724"/>
      <c r="AP401" s="724"/>
      <c r="AQ401" s="724"/>
      <c r="AR401" s="726"/>
      <c r="AS401" s="724"/>
      <c r="AT401" s="726"/>
      <c r="AU401" s="724" t="s">
        <v>678</v>
      </c>
      <c r="AV401" s="724" t="s">
        <v>677</v>
      </c>
      <c r="AW401" s="724" t="s">
        <v>676</v>
      </c>
      <c r="AX401" s="724" t="s">
        <v>674</v>
      </c>
      <c r="AY401" s="724"/>
      <c r="AZ401" s="724"/>
      <c r="BA401" s="724" t="s">
        <v>679</v>
      </c>
      <c r="BB401" s="724"/>
      <c r="BC401" s="724"/>
      <c r="BD401" s="724"/>
      <c r="BE401" s="726"/>
      <c r="BF401" s="724" t="s">
        <v>298</v>
      </c>
      <c r="BG401" s="724" t="s">
        <v>680</v>
      </c>
      <c r="BH401" s="724" t="s">
        <v>681</v>
      </c>
      <c r="BI401" s="724"/>
    </row>
    <row r="402" spans="1:61">
      <c r="A402" s="724" t="s">
        <v>896</v>
      </c>
      <c r="B402" s="724" t="s">
        <v>896</v>
      </c>
      <c r="C402" s="724" t="s">
        <v>909</v>
      </c>
      <c r="D402" s="724" t="s">
        <v>673</v>
      </c>
      <c r="E402" s="724" t="s">
        <v>3</v>
      </c>
      <c r="F402" s="725" t="s">
        <v>83</v>
      </c>
      <c r="G402" s="725" t="s">
        <v>691</v>
      </c>
      <c r="H402" s="726">
        <v>182400</v>
      </c>
      <c r="I402" s="726">
        <v>182400</v>
      </c>
      <c r="J402" s="726">
        <v>0</v>
      </c>
      <c r="K402" s="726">
        <v>0</v>
      </c>
      <c r="L402" s="726">
        <v>182400</v>
      </c>
      <c r="M402" s="726">
        <v>0</v>
      </c>
      <c r="N402" s="726">
        <v>0</v>
      </c>
      <c r="O402" s="726">
        <v>0</v>
      </c>
      <c r="P402" s="726">
        <v>0</v>
      </c>
      <c r="Q402" s="726">
        <v>0</v>
      </c>
      <c r="R402" s="726">
        <v>0</v>
      </c>
      <c r="S402" s="726">
        <v>0</v>
      </c>
      <c r="T402" s="726">
        <v>0</v>
      </c>
      <c r="U402" s="726">
        <v>0</v>
      </c>
      <c r="V402" s="726">
        <v>0</v>
      </c>
      <c r="W402" s="726">
        <v>0</v>
      </c>
      <c r="X402" s="724" t="s">
        <v>674</v>
      </c>
      <c r="Y402" s="724" t="s">
        <v>1226</v>
      </c>
      <c r="Z402" s="724" t="s">
        <v>1226</v>
      </c>
      <c r="AA402" s="724" t="s">
        <v>675</v>
      </c>
      <c r="AB402" s="724" t="s">
        <v>675</v>
      </c>
      <c r="AC402" s="724"/>
      <c r="AD402" s="724"/>
      <c r="AE402" s="724" t="s">
        <v>694</v>
      </c>
      <c r="AF402" s="724"/>
      <c r="AG402" s="725" t="s">
        <v>907</v>
      </c>
      <c r="AH402" s="724"/>
      <c r="AI402" s="725" t="s">
        <v>907</v>
      </c>
      <c r="AJ402" s="725" t="s">
        <v>677</v>
      </c>
      <c r="AK402" s="724" t="s">
        <v>677</v>
      </c>
      <c r="AL402" s="724"/>
      <c r="AM402" s="724"/>
      <c r="AN402" s="724"/>
      <c r="AO402" s="724"/>
      <c r="AP402" s="724"/>
      <c r="AQ402" s="724"/>
      <c r="AR402" s="726"/>
      <c r="AS402" s="724"/>
      <c r="AT402" s="726"/>
      <c r="AU402" s="724" t="s">
        <v>678</v>
      </c>
      <c r="AV402" s="724" t="s">
        <v>677</v>
      </c>
      <c r="AW402" s="724" t="s">
        <v>676</v>
      </c>
      <c r="AX402" s="724" t="s">
        <v>784</v>
      </c>
      <c r="AY402" s="724" t="s">
        <v>785</v>
      </c>
      <c r="AZ402" s="724" t="s">
        <v>908</v>
      </c>
      <c r="BA402" s="724" t="s">
        <v>679</v>
      </c>
      <c r="BB402" s="724"/>
      <c r="BC402" s="724"/>
      <c r="BD402" s="724"/>
      <c r="BE402" s="726"/>
      <c r="BF402" s="724" t="s">
        <v>298</v>
      </c>
      <c r="BG402" s="724" t="s">
        <v>680</v>
      </c>
      <c r="BH402" s="724" t="s">
        <v>681</v>
      </c>
      <c r="BI402" s="724"/>
    </row>
    <row r="403" spans="1:61">
      <c r="A403" s="724" t="s">
        <v>896</v>
      </c>
      <c r="B403" s="724" t="s">
        <v>896</v>
      </c>
      <c r="C403" s="724" t="s">
        <v>909</v>
      </c>
      <c r="D403" s="724" t="s">
        <v>673</v>
      </c>
      <c r="E403" s="724" t="s">
        <v>3</v>
      </c>
      <c r="F403" s="725" t="s">
        <v>83</v>
      </c>
      <c r="G403" s="725" t="s">
        <v>691</v>
      </c>
      <c r="H403" s="726">
        <v>90000</v>
      </c>
      <c r="I403" s="726">
        <v>90000</v>
      </c>
      <c r="J403" s="726">
        <v>0</v>
      </c>
      <c r="K403" s="726">
        <v>0</v>
      </c>
      <c r="L403" s="726">
        <v>90000</v>
      </c>
      <c r="M403" s="726">
        <v>0</v>
      </c>
      <c r="N403" s="726">
        <v>0</v>
      </c>
      <c r="O403" s="726">
        <v>0</v>
      </c>
      <c r="P403" s="726">
        <v>0</v>
      </c>
      <c r="Q403" s="726">
        <v>0</v>
      </c>
      <c r="R403" s="726">
        <v>0</v>
      </c>
      <c r="S403" s="726">
        <v>0</v>
      </c>
      <c r="T403" s="726">
        <v>0</v>
      </c>
      <c r="U403" s="726">
        <v>0</v>
      </c>
      <c r="V403" s="726">
        <v>0</v>
      </c>
      <c r="W403" s="726">
        <v>0</v>
      </c>
      <c r="X403" s="724" t="s">
        <v>674</v>
      </c>
      <c r="Y403" s="724" t="s">
        <v>675</v>
      </c>
      <c r="Z403" s="724" t="s">
        <v>675</v>
      </c>
      <c r="AA403" s="724" t="s">
        <v>675</v>
      </c>
      <c r="AB403" s="724" t="s">
        <v>675</v>
      </c>
      <c r="AC403" s="724"/>
      <c r="AD403" s="724"/>
      <c r="AE403" s="724" t="s">
        <v>694</v>
      </c>
      <c r="AF403" s="724"/>
      <c r="AG403" s="725" t="s">
        <v>907</v>
      </c>
      <c r="AH403" s="724"/>
      <c r="AI403" s="725" t="s">
        <v>907</v>
      </c>
      <c r="AJ403" s="725" t="s">
        <v>677</v>
      </c>
      <c r="AK403" s="724" t="s">
        <v>677</v>
      </c>
      <c r="AL403" s="724"/>
      <c r="AM403" s="724"/>
      <c r="AN403" s="724"/>
      <c r="AO403" s="724"/>
      <c r="AP403" s="724"/>
      <c r="AQ403" s="724"/>
      <c r="AR403" s="726"/>
      <c r="AS403" s="724"/>
      <c r="AT403" s="726"/>
      <c r="AU403" s="724" t="s">
        <v>678</v>
      </c>
      <c r="AV403" s="724" t="s">
        <v>677</v>
      </c>
      <c r="AW403" s="724" t="s">
        <v>676</v>
      </c>
      <c r="AX403" s="724" t="s">
        <v>784</v>
      </c>
      <c r="AY403" s="724" t="s">
        <v>785</v>
      </c>
      <c r="AZ403" s="724" t="s">
        <v>908</v>
      </c>
      <c r="BA403" s="724" t="s">
        <v>679</v>
      </c>
      <c r="BB403" s="724"/>
      <c r="BC403" s="724"/>
      <c r="BD403" s="724"/>
      <c r="BE403" s="726"/>
      <c r="BF403" s="724" t="s">
        <v>298</v>
      </c>
      <c r="BG403" s="724" t="s">
        <v>680</v>
      </c>
      <c r="BH403" s="724" t="s">
        <v>681</v>
      </c>
      <c r="BI403" s="724"/>
    </row>
    <row r="404" spans="1:61">
      <c r="A404" s="724" t="s">
        <v>896</v>
      </c>
      <c r="B404" s="724" t="s">
        <v>896</v>
      </c>
      <c r="C404" s="724" t="s">
        <v>909</v>
      </c>
      <c r="D404" s="724" t="s">
        <v>673</v>
      </c>
      <c r="E404" s="724" t="s">
        <v>3</v>
      </c>
      <c r="F404" s="725" t="s">
        <v>83</v>
      </c>
      <c r="G404" s="725" t="s">
        <v>691</v>
      </c>
      <c r="H404" s="726">
        <v>47520</v>
      </c>
      <c r="I404" s="726">
        <v>47520</v>
      </c>
      <c r="J404" s="726">
        <v>0</v>
      </c>
      <c r="K404" s="726">
        <v>0</v>
      </c>
      <c r="L404" s="726">
        <v>47520</v>
      </c>
      <c r="M404" s="726">
        <v>0</v>
      </c>
      <c r="N404" s="726">
        <v>0</v>
      </c>
      <c r="O404" s="726">
        <v>0</v>
      </c>
      <c r="P404" s="726">
        <v>0</v>
      </c>
      <c r="Q404" s="726">
        <v>0</v>
      </c>
      <c r="R404" s="726">
        <v>0</v>
      </c>
      <c r="S404" s="726">
        <v>0</v>
      </c>
      <c r="T404" s="726">
        <v>0</v>
      </c>
      <c r="U404" s="726">
        <v>0</v>
      </c>
      <c r="V404" s="726">
        <v>0</v>
      </c>
      <c r="W404" s="726">
        <v>0</v>
      </c>
      <c r="X404" s="724" t="s">
        <v>674</v>
      </c>
      <c r="Y404" s="724" t="s">
        <v>675</v>
      </c>
      <c r="Z404" s="724" t="s">
        <v>675</v>
      </c>
      <c r="AA404" s="724" t="s">
        <v>675</v>
      </c>
      <c r="AB404" s="724" t="s">
        <v>675</v>
      </c>
      <c r="AC404" s="724"/>
      <c r="AD404" s="724"/>
      <c r="AE404" s="724" t="s">
        <v>694</v>
      </c>
      <c r="AF404" s="724"/>
      <c r="AG404" s="725" t="s">
        <v>910</v>
      </c>
      <c r="AH404" s="724"/>
      <c r="AI404" s="725" t="s">
        <v>910</v>
      </c>
      <c r="AJ404" s="725" t="s">
        <v>677</v>
      </c>
      <c r="AK404" s="724" t="s">
        <v>677</v>
      </c>
      <c r="AL404" s="724"/>
      <c r="AM404" s="724"/>
      <c r="AN404" s="724"/>
      <c r="AO404" s="724"/>
      <c r="AP404" s="724"/>
      <c r="AQ404" s="724"/>
      <c r="AR404" s="726"/>
      <c r="AS404" s="724"/>
      <c r="AT404" s="726"/>
      <c r="AU404" s="724" t="s">
        <v>678</v>
      </c>
      <c r="AV404" s="724" t="s">
        <v>677</v>
      </c>
      <c r="AW404" s="724" t="s">
        <v>676</v>
      </c>
      <c r="AX404" s="724" t="s">
        <v>674</v>
      </c>
      <c r="AY404" s="724"/>
      <c r="AZ404" s="724"/>
      <c r="BA404" s="724" t="s">
        <v>679</v>
      </c>
      <c r="BB404" s="724"/>
      <c r="BC404" s="724"/>
      <c r="BD404" s="724"/>
      <c r="BE404" s="726"/>
      <c r="BF404" s="724" t="s">
        <v>298</v>
      </c>
      <c r="BG404" s="724" t="s">
        <v>680</v>
      </c>
      <c r="BH404" s="724" t="s">
        <v>681</v>
      </c>
      <c r="BI404" s="724"/>
    </row>
    <row r="405" spans="1:61">
      <c r="A405" s="724" t="s">
        <v>896</v>
      </c>
      <c r="B405" s="724" t="s">
        <v>896</v>
      </c>
      <c r="C405" s="724" t="s">
        <v>909</v>
      </c>
      <c r="D405" s="724" t="s">
        <v>673</v>
      </c>
      <c r="E405" s="724" t="s">
        <v>3</v>
      </c>
      <c r="F405" s="725" t="s">
        <v>83</v>
      </c>
      <c r="G405" s="725" t="s">
        <v>691</v>
      </c>
      <c r="H405" s="726">
        <v>47520</v>
      </c>
      <c r="I405" s="726">
        <v>47520</v>
      </c>
      <c r="J405" s="726">
        <v>0</v>
      </c>
      <c r="K405" s="726">
        <v>0</v>
      </c>
      <c r="L405" s="726">
        <v>47520</v>
      </c>
      <c r="M405" s="726">
        <v>0</v>
      </c>
      <c r="N405" s="726">
        <v>0</v>
      </c>
      <c r="O405" s="726">
        <v>0</v>
      </c>
      <c r="P405" s="726">
        <v>0</v>
      </c>
      <c r="Q405" s="726">
        <v>0</v>
      </c>
      <c r="R405" s="726">
        <v>0</v>
      </c>
      <c r="S405" s="726">
        <v>0</v>
      </c>
      <c r="T405" s="726">
        <v>0</v>
      </c>
      <c r="U405" s="726">
        <v>0</v>
      </c>
      <c r="V405" s="726">
        <v>0</v>
      </c>
      <c r="W405" s="726">
        <v>0</v>
      </c>
      <c r="X405" s="724" t="s">
        <v>674</v>
      </c>
      <c r="Y405" s="724" t="s">
        <v>675</v>
      </c>
      <c r="Z405" s="724" t="s">
        <v>675</v>
      </c>
      <c r="AA405" s="724" t="s">
        <v>675</v>
      </c>
      <c r="AB405" s="724" t="s">
        <v>675</v>
      </c>
      <c r="AC405" s="724"/>
      <c r="AD405" s="724"/>
      <c r="AE405" s="724" t="s">
        <v>694</v>
      </c>
      <c r="AF405" s="724"/>
      <c r="AG405" s="725" t="s">
        <v>910</v>
      </c>
      <c r="AH405" s="724"/>
      <c r="AI405" s="725" t="s">
        <v>910</v>
      </c>
      <c r="AJ405" s="725" t="s">
        <v>677</v>
      </c>
      <c r="AK405" s="724" t="s">
        <v>677</v>
      </c>
      <c r="AL405" s="724"/>
      <c r="AM405" s="724"/>
      <c r="AN405" s="724"/>
      <c r="AO405" s="724"/>
      <c r="AP405" s="724"/>
      <c r="AQ405" s="724"/>
      <c r="AR405" s="726"/>
      <c r="AS405" s="724"/>
      <c r="AT405" s="726"/>
      <c r="AU405" s="724" t="s">
        <v>678</v>
      </c>
      <c r="AV405" s="724" t="s">
        <v>677</v>
      </c>
      <c r="AW405" s="724" t="s">
        <v>676</v>
      </c>
      <c r="AX405" s="724" t="s">
        <v>674</v>
      </c>
      <c r="AY405" s="724"/>
      <c r="AZ405" s="724"/>
      <c r="BA405" s="724" t="s">
        <v>679</v>
      </c>
      <c r="BB405" s="724"/>
      <c r="BC405" s="724"/>
      <c r="BD405" s="724"/>
      <c r="BE405" s="726"/>
      <c r="BF405" s="724" t="s">
        <v>298</v>
      </c>
      <c r="BG405" s="724" t="s">
        <v>680</v>
      </c>
      <c r="BH405" s="724" t="s">
        <v>681</v>
      </c>
      <c r="BI405" s="724"/>
    </row>
    <row r="406" spans="1:61">
      <c r="A406" s="724" t="s">
        <v>896</v>
      </c>
      <c r="B406" s="724" t="s">
        <v>896</v>
      </c>
      <c r="C406" s="724" t="s">
        <v>909</v>
      </c>
      <c r="D406" s="724" t="s">
        <v>673</v>
      </c>
      <c r="E406" s="724" t="s">
        <v>3</v>
      </c>
      <c r="F406" s="725" t="s">
        <v>83</v>
      </c>
      <c r="G406" s="725" t="s">
        <v>691</v>
      </c>
      <c r="H406" s="726">
        <v>1149120</v>
      </c>
      <c r="I406" s="726">
        <v>1149120</v>
      </c>
      <c r="J406" s="726">
        <v>0</v>
      </c>
      <c r="K406" s="726">
        <v>0</v>
      </c>
      <c r="L406" s="726">
        <v>1149120</v>
      </c>
      <c r="M406" s="726">
        <v>0</v>
      </c>
      <c r="N406" s="726">
        <v>0</v>
      </c>
      <c r="O406" s="726">
        <v>0</v>
      </c>
      <c r="P406" s="726">
        <v>0</v>
      </c>
      <c r="Q406" s="726">
        <v>0</v>
      </c>
      <c r="R406" s="726">
        <v>0</v>
      </c>
      <c r="S406" s="726">
        <v>0</v>
      </c>
      <c r="T406" s="726">
        <v>0</v>
      </c>
      <c r="U406" s="726">
        <v>0</v>
      </c>
      <c r="V406" s="726">
        <v>0</v>
      </c>
      <c r="W406" s="726">
        <v>0</v>
      </c>
      <c r="X406" s="724" t="s">
        <v>674</v>
      </c>
      <c r="Y406" s="724" t="s">
        <v>1226</v>
      </c>
      <c r="Z406" s="724" t="s">
        <v>1226</v>
      </c>
      <c r="AA406" s="724" t="s">
        <v>675</v>
      </c>
      <c r="AB406" s="724" t="s">
        <v>675</v>
      </c>
      <c r="AC406" s="724"/>
      <c r="AD406" s="724"/>
      <c r="AE406" s="724" t="s">
        <v>694</v>
      </c>
      <c r="AF406" s="724"/>
      <c r="AG406" s="725" t="s">
        <v>911</v>
      </c>
      <c r="AH406" s="724"/>
      <c r="AI406" s="725" t="s">
        <v>911</v>
      </c>
      <c r="AJ406" s="725" t="s">
        <v>677</v>
      </c>
      <c r="AK406" s="724" t="s">
        <v>677</v>
      </c>
      <c r="AL406" s="724"/>
      <c r="AM406" s="724"/>
      <c r="AN406" s="724"/>
      <c r="AO406" s="724"/>
      <c r="AP406" s="724"/>
      <c r="AQ406" s="724"/>
      <c r="AR406" s="726"/>
      <c r="AS406" s="724"/>
      <c r="AT406" s="726"/>
      <c r="AU406" s="724" t="s">
        <v>678</v>
      </c>
      <c r="AV406" s="724" t="s">
        <v>677</v>
      </c>
      <c r="AW406" s="724" t="s">
        <v>676</v>
      </c>
      <c r="AX406" s="724" t="s">
        <v>674</v>
      </c>
      <c r="AY406" s="724"/>
      <c r="AZ406" s="724"/>
      <c r="BA406" s="724" t="s">
        <v>679</v>
      </c>
      <c r="BB406" s="724"/>
      <c r="BC406" s="724"/>
      <c r="BD406" s="724"/>
      <c r="BE406" s="726"/>
      <c r="BF406" s="724" t="s">
        <v>298</v>
      </c>
      <c r="BG406" s="724" t="s">
        <v>680</v>
      </c>
      <c r="BH406" s="724" t="s">
        <v>681</v>
      </c>
      <c r="BI406" s="724"/>
    </row>
    <row r="407" spans="1:61">
      <c r="A407" s="724" t="s">
        <v>896</v>
      </c>
      <c r="B407" s="724" t="s">
        <v>896</v>
      </c>
      <c r="C407" s="724" t="s">
        <v>909</v>
      </c>
      <c r="D407" s="724" t="s">
        <v>673</v>
      </c>
      <c r="E407" s="724" t="s">
        <v>3</v>
      </c>
      <c r="F407" s="725" t="s">
        <v>83</v>
      </c>
      <c r="G407" s="725" t="s">
        <v>691</v>
      </c>
      <c r="H407" s="726">
        <v>110880</v>
      </c>
      <c r="I407" s="726">
        <v>110880</v>
      </c>
      <c r="J407" s="726">
        <v>0</v>
      </c>
      <c r="K407" s="726">
        <v>0</v>
      </c>
      <c r="L407" s="726">
        <v>110880</v>
      </c>
      <c r="M407" s="726">
        <v>0</v>
      </c>
      <c r="N407" s="726">
        <v>0</v>
      </c>
      <c r="O407" s="726">
        <v>0</v>
      </c>
      <c r="P407" s="726">
        <v>0</v>
      </c>
      <c r="Q407" s="726">
        <v>0</v>
      </c>
      <c r="R407" s="726">
        <v>0</v>
      </c>
      <c r="S407" s="726">
        <v>0</v>
      </c>
      <c r="T407" s="726">
        <v>0</v>
      </c>
      <c r="U407" s="726">
        <v>0</v>
      </c>
      <c r="V407" s="726">
        <v>0</v>
      </c>
      <c r="W407" s="726">
        <v>0</v>
      </c>
      <c r="X407" s="724" t="s">
        <v>674</v>
      </c>
      <c r="Y407" s="724" t="s">
        <v>1226</v>
      </c>
      <c r="Z407" s="724" t="s">
        <v>1226</v>
      </c>
      <c r="AA407" s="724" t="s">
        <v>675</v>
      </c>
      <c r="AB407" s="724" t="s">
        <v>675</v>
      </c>
      <c r="AC407" s="724"/>
      <c r="AD407" s="724"/>
      <c r="AE407" s="724" t="s">
        <v>694</v>
      </c>
      <c r="AF407" s="724"/>
      <c r="AG407" s="725" t="s">
        <v>910</v>
      </c>
      <c r="AH407" s="724"/>
      <c r="AI407" s="725" t="s">
        <v>910</v>
      </c>
      <c r="AJ407" s="725" t="s">
        <v>677</v>
      </c>
      <c r="AK407" s="724" t="s">
        <v>677</v>
      </c>
      <c r="AL407" s="724"/>
      <c r="AM407" s="724"/>
      <c r="AN407" s="724"/>
      <c r="AO407" s="724"/>
      <c r="AP407" s="724"/>
      <c r="AQ407" s="724"/>
      <c r="AR407" s="726"/>
      <c r="AS407" s="724"/>
      <c r="AT407" s="726"/>
      <c r="AU407" s="724" t="s">
        <v>678</v>
      </c>
      <c r="AV407" s="724" t="s">
        <v>677</v>
      </c>
      <c r="AW407" s="724" t="s">
        <v>676</v>
      </c>
      <c r="AX407" s="724" t="s">
        <v>674</v>
      </c>
      <c r="AY407" s="724"/>
      <c r="AZ407" s="724"/>
      <c r="BA407" s="724" t="s">
        <v>679</v>
      </c>
      <c r="BB407" s="724"/>
      <c r="BC407" s="724"/>
      <c r="BD407" s="724"/>
      <c r="BE407" s="726"/>
      <c r="BF407" s="724" t="s">
        <v>298</v>
      </c>
      <c r="BG407" s="724" t="s">
        <v>680</v>
      </c>
      <c r="BH407" s="724" t="s">
        <v>681</v>
      </c>
      <c r="BI407" s="724"/>
    </row>
    <row r="408" spans="1:61">
      <c r="A408" s="724" t="s">
        <v>896</v>
      </c>
      <c r="B408" s="724" t="s">
        <v>896</v>
      </c>
      <c r="C408" s="724" t="s">
        <v>909</v>
      </c>
      <c r="D408" s="724" t="s">
        <v>673</v>
      </c>
      <c r="E408" s="724" t="s">
        <v>3</v>
      </c>
      <c r="F408" s="725" t="s">
        <v>83</v>
      </c>
      <c r="G408" s="725" t="s">
        <v>691</v>
      </c>
      <c r="H408" s="726">
        <v>1149120</v>
      </c>
      <c r="I408" s="726">
        <v>1149120</v>
      </c>
      <c r="J408" s="726">
        <v>0</v>
      </c>
      <c r="K408" s="726">
        <v>0</v>
      </c>
      <c r="L408" s="726">
        <v>1149120</v>
      </c>
      <c r="M408" s="726">
        <v>0</v>
      </c>
      <c r="N408" s="726">
        <v>0</v>
      </c>
      <c r="O408" s="726">
        <v>0</v>
      </c>
      <c r="P408" s="726">
        <v>0</v>
      </c>
      <c r="Q408" s="726">
        <v>0</v>
      </c>
      <c r="R408" s="726">
        <v>0</v>
      </c>
      <c r="S408" s="726">
        <v>0</v>
      </c>
      <c r="T408" s="726">
        <v>0</v>
      </c>
      <c r="U408" s="726">
        <v>0</v>
      </c>
      <c r="V408" s="726">
        <v>0</v>
      </c>
      <c r="W408" s="726">
        <v>0</v>
      </c>
      <c r="X408" s="724" t="s">
        <v>674</v>
      </c>
      <c r="Y408" s="724" t="s">
        <v>1226</v>
      </c>
      <c r="Z408" s="724" t="s">
        <v>1226</v>
      </c>
      <c r="AA408" s="724" t="s">
        <v>675</v>
      </c>
      <c r="AB408" s="724" t="s">
        <v>675</v>
      </c>
      <c r="AC408" s="724"/>
      <c r="AD408" s="724"/>
      <c r="AE408" s="724" t="s">
        <v>694</v>
      </c>
      <c r="AF408" s="724"/>
      <c r="AG408" s="725" t="s">
        <v>911</v>
      </c>
      <c r="AH408" s="724"/>
      <c r="AI408" s="725" t="s">
        <v>911</v>
      </c>
      <c r="AJ408" s="725" t="s">
        <v>677</v>
      </c>
      <c r="AK408" s="724" t="s">
        <v>677</v>
      </c>
      <c r="AL408" s="724"/>
      <c r="AM408" s="724"/>
      <c r="AN408" s="724"/>
      <c r="AO408" s="724"/>
      <c r="AP408" s="724"/>
      <c r="AQ408" s="724"/>
      <c r="AR408" s="726"/>
      <c r="AS408" s="724"/>
      <c r="AT408" s="726"/>
      <c r="AU408" s="724" t="s">
        <v>678</v>
      </c>
      <c r="AV408" s="724" t="s">
        <v>677</v>
      </c>
      <c r="AW408" s="724" t="s">
        <v>676</v>
      </c>
      <c r="AX408" s="724" t="s">
        <v>674</v>
      </c>
      <c r="AY408" s="724"/>
      <c r="AZ408" s="724"/>
      <c r="BA408" s="724" t="s">
        <v>679</v>
      </c>
      <c r="BB408" s="724"/>
      <c r="BC408" s="724"/>
      <c r="BD408" s="724"/>
      <c r="BE408" s="726"/>
      <c r="BF408" s="724" t="s">
        <v>298</v>
      </c>
      <c r="BG408" s="724" t="s">
        <v>680</v>
      </c>
      <c r="BH408" s="724" t="s">
        <v>681</v>
      </c>
      <c r="BI408" s="724"/>
    </row>
    <row r="409" spans="1:61">
      <c r="A409" s="724" t="s">
        <v>896</v>
      </c>
      <c r="B409" s="724" t="s">
        <v>896</v>
      </c>
      <c r="C409" s="724" t="s">
        <v>909</v>
      </c>
      <c r="D409" s="724" t="s">
        <v>673</v>
      </c>
      <c r="E409" s="724" t="s">
        <v>3</v>
      </c>
      <c r="F409" s="725" t="s">
        <v>83</v>
      </c>
      <c r="G409" s="725" t="s">
        <v>691</v>
      </c>
      <c r="H409" s="726">
        <v>191520</v>
      </c>
      <c r="I409" s="726">
        <v>191520</v>
      </c>
      <c r="J409" s="726">
        <v>0</v>
      </c>
      <c r="K409" s="726">
        <v>0</v>
      </c>
      <c r="L409" s="726">
        <v>191520</v>
      </c>
      <c r="M409" s="726">
        <v>0</v>
      </c>
      <c r="N409" s="726">
        <v>0</v>
      </c>
      <c r="O409" s="726">
        <v>0</v>
      </c>
      <c r="P409" s="726">
        <v>0</v>
      </c>
      <c r="Q409" s="726">
        <v>0</v>
      </c>
      <c r="R409" s="726">
        <v>0</v>
      </c>
      <c r="S409" s="726">
        <v>0</v>
      </c>
      <c r="T409" s="726">
        <v>0</v>
      </c>
      <c r="U409" s="726">
        <v>0</v>
      </c>
      <c r="V409" s="726">
        <v>0</v>
      </c>
      <c r="W409" s="726">
        <v>0</v>
      </c>
      <c r="X409" s="724" t="s">
        <v>674</v>
      </c>
      <c r="Y409" s="724" t="s">
        <v>1226</v>
      </c>
      <c r="Z409" s="724" t="s">
        <v>1226</v>
      </c>
      <c r="AA409" s="724" t="s">
        <v>675</v>
      </c>
      <c r="AB409" s="724" t="s">
        <v>675</v>
      </c>
      <c r="AC409" s="724"/>
      <c r="AD409" s="724"/>
      <c r="AE409" s="724" t="s">
        <v>694</v>
      </c>
      <c r="AF409" s="724"/>
      <c r="AG409" s="725" t="s">
        <v>907</v>
      </c>
      <c r="AH409" s="724"/>
      <c r="AI409" s="725" t="s">
        <v>907</v>
      </c>
      <c r="AJ409" s="725" t="s">
        <v>677</v>
      </c>
      <c r="AK409" s="724" t="s">
        <v>677</v>
      </c>
      <c r="AL409" s="724"/>
      <c r="AM409" s="724"/>
      <c r="AN409" s="724"/>
      <c r="AO409" s="724"/>
      <c r="AP409" s="724"/>
      <c r="AQ409" s="724"/>
      <c r="AR409" s="726"/>
      <c r="AS409" s="724"/>
      <c r="AT409" s="726"/>
      <c r="AU409" s="724" t="s">
        <v>678</v>
      </c>
      <c r="AV409" s="724" t="s">
        <v>677</v>
      </c>
      <c r="AW409" s="724" t="s">
        <v>676</v>
      </c>
      <c r="AX409" s="724" t="s">
        <v>784</v>
      </c>
      <c r="AY409" s="724" t="s">
        <v>785</v>
      </c>
      <c r="AZ409" s="724" t="s">
        <v>908</v>
      </c>
      <c r="BA409" s="724" t="s">
        <v>679</v>
      </c>
      <c r="BB409" s="724"/>
      <c r="BC409" s="724"/>
      <c r="BD409" s="724"/>
      <c r="BE409" s="726"/>
      <c r="BF409" s="724" t="s">
        <v>298</v>
      </c>
      <c r="BG409" s="724" t="s">
        <v>680</v>
      </c>
      <c r="BH409" s="724" t="s">
        <v>681</v>
      </c>
      <c r="BI409" s="724"/>
    </row>
    <row r="410" spans="1:61">
      <c r="A410" s="724" t="s">
        <v>896</v>
      </c>
      <c r="B410" s="724" t="s">
        <v>896</v>
      </c>
      <c r="C410" s="724" t="s">
        <v>909</v>
      </c>
      <c r="D410" s="724" t="s">
        <v>673</v>
      </c>
      <c r="E410" s="724" t="s">
        <v>3</v>
      </c>
      <c r="F410" s="725" t="s">
        <v>83</v>
      </c>
      <c r="G410" s="725" t="s">
        <v>691</v>
      </c>
      <c r="H410" s="726">
        <v>18480</v>
      </c>
      <c r="I410" s="726">
        <v>18480</v>
      </c>
      <c r="J410" s="726">
        <v>0</v>
      </c>
      <c r="K410" s="726">
        <v>0</v>
      </c>
      <c r="L410" s="726">
        <v>18480</v>
      </c>
      <c r="M410" s="726">
        <v>0</v>
      </c>
      <c r="N410" s="726">
        <v>0</v>
      </c>
      <c r="O410" s="726">
        <v>0</v>
      </c>
      <c r="P410" s="726">
        <v>0</v>
      </c>
      <c r="Q410" s="726">
        <v>0</v>
      </c>
      <c r="R410" s="726">
        <v>0</v>
      </c>
      <c r="S410" s="726">
        <v>0</v>
      </c>
      <c r="T410" s="726">
        <v>0</v>
      </c>
      <c r="U410" s="726">
        <v>0</v>
      </c>
      <c r="V410" s="726">
        <v>0</v>
      </c>
      <c r="W410" s="726">
        <v>0</v>
      </c>
      <c r="X410" s="724" t="s">
        <v>674</v>
      </c>
      <c r="Y410" s="724" t="s">
        <v>675</v>
      </c>
      <c r="Z410" s="724" t="s">
        <v>675</v>
      </c>
      <c r="AA410" s="724" t="s">
        <v>675</v>
      </c>
      <c r="AB410" s="724" t="s">
        <v>675</v>
      </c>
      <c r="AC410" s="724"/>
      <c r="AD410" s="724"/>
      <c r="AE410" s="724" t="s">
        <v>694</v>
      </c>
      <c r="AF410" s="724"/>
      <c r="AG410" s="725" t="s">
        <v>906</v>
      </c>
      <c r="AH410" s="724"/>
      <c r="AI410" s="725" t="s">
        <v>906</v>
      </c>
      <c r="AJ410" s="725" t="s">
        <v>677</v>
      </c>
      <c r="AK410" s="724" t="s">
        <v>677</v>
      </c>
      <c r="AL410" s="724"/>
      <c r="AM410" s="724"/>
      <c r="AN410" s="724"/>
      <c r="AO410" s="724"/>
      <c r="AP410" s="724"/>
      <c r="AQ410" s="724"/>
      <c r="AR410" s="726"/>
      <c r="AS410" s="724"/>
      <c r="AT410" s="726"/>
      <c r="AU410" s="724" t="s">
        <v>678</v>
      </c>
      <c r="AV410" s="724" t="s">
        <v>677</v>
      </c>
      <c r="AW410" s="724" t="s">
        <v>676</v>
      </c>
      <c r="AX410" s="724" t="s">
        <v>674</v>
      </c>
      <c r="AY410" s="724"/>
      <c r="AZ410" s="724"/>
      <c r="BA410" s="724" t="s">
        <v>679</v>
      </c>
      <c r="BB410" s="724"/>
      <c r="BC410" s="724"/>
      <c r="BD410" s="724"/>
      <c r="BE410" s="726"/>
      <c r="BF410" s="724" t="s">
        <v>298</v>
      </c>
      <c r="BG410" s="724" t="s">
        <v>680</v>
      </c>
      <c r="BH410" s="724" t="s">
        <v>681</v>
      </c>
      <c r="BI410" s="724"/>
    </row>
    <row r="411" spans="1:61">
      <c r="A411" s="724" t="s">
        <v>896</v>
      </c>
      <c r="B411" s="724" t="s">
        <v>896</v>
      </c>
      <c r="C411" s="724" t="s">
        <v>909</v>
      </c>
      <c r="D411" s="724" t="s">
        <v>673</v>
      </c>
      <c r="E411" s="724" t="s">
        <v>3</v>
      </c>
      <c r="F411" s="725" t="s">
        <v>83</v>
      </c>
      <c r="G411" s="725" t="s">
        <v>691</v>
      </c>
      <c r="H411" s="726">
        <v>492480</v>
      </c>
      <c r="I411" s="726">
        <v>492480</v>
      </c>
      <c r="J411" s="726">
        <v>0</v>
      </c>
      <c r="K411" s="726">
        <v>0</v>
      </c>
      <c r="L411" s="726">
        <v>492480</v>
      </c>
      <c r="M411" s="726">
        <v>0</v>
      </c>
      <c r="N411" s="726">
        <v>0</v>
      </c>
      <c r="O411" s="726">
        <v>0</v>
      </c>
      <c r="P411" s="726">
        <v>0</v>
      </c>
      <c r="Q411" s="726">
        <v>0</v>
      </c>
      <c r="R411" s="726">
        <v>0</v>
      </c>
      <c r="S411" s="726">
        <v>0</v>
      </c>
      <c r="T411" s="726">
        <v>0</v>
      </c>
      <c r="U411" s="726">
        <v>0</v>
      </c>
      <c r="V411" s="726">
        <v>0</v>
      </c>
      <c r="W411" s="726">
        <v>0</v>
      </c>
      <c r="X411" s="724" t="s">
        <v>674</v>
      </c>
      <c r="Y411" s="724" t="s">
        <v>1226</v>
      </c>
      <c r="Z411" s="724" t="s">
        <v>1226</v>
      </c>
      <c r="AA411" s="724" t="s">
        <v>675</v>
      </c>
      <c r="AB411" s="724" t="s">
        <v>675</v>
      </c>
      <c r="AC411" s="724"/>
      <c r="AD411" s="724"/>
      <c r="AE411" s="724" t="s">
        <v>694</v>
      </c>
      <c r="AF411" s="724"/>
      <c r="AG411" s="725" t="s">
        <v>911</v>
      </c>
      <c r="AH411" s="724"/>
      <c r="AI411" s="725" t="s">
        <v>911</v>
      </c>
      <c r="AJ411" s="725" t="s">
        <v>677</v>
      </c>
      <c r="AK411" s="724" t="s">
        <v>677</v>
      </c>
      <c r="AL411" s="724"/>
      <c r="AM411" s="724"/>
      <c r="AN411" s="724"/>
      <c r="AO411" s="724"/>
      <c r="AP411" s="724"/>
      <c r="AQ411" s="724"/>
      <c r="AR411" s="726"/>
      <c r="AS411" s="724"/>
      <c r="AT411" s="726"/>
      <c r="AU411" s="724" t="s">
        <v>678</v>
      </c>
      <c r="AV411" s="724" t="s">
        <v>677</v>
      </c>
      <c r="AW411" s="724" t="s">
        <v>676</v>
      </c>
      <c r="AX411" s="724" t="s">
        <v>674</v>
      </c>
      <c r="AY411" s="724"/>
      <c r="AZ411" s="724"/>
      <c r="BA411" s="724" t="s">
        <v>679</v>
      </c>
      <c r="BB411" s="724"/>
      <c r="BC411" s="724"/>
      <c r="BD411" s="724"/>
      <c r="BE411" s="726"/>
      <c r="BF411" s="724" t="s">
        <v>298</v>
      </c>
      <c r="BG411" s="724" t="s">
        <v>680</v>
      </c>
      <c r="BH411" s="724" t="s">
        <v>681</v>
      </c>
      <c r="BI411" s="724"/>
    </row>
    <row r="412" spans="1:61">
      <c r="A412" s="724" t="s">
        <v>896</v>
      </c>
      <c r="B412" s="724" t="s">
        <v>896</v>
      </c>
      <c r="C412" s="724" t="s">
        <v>909</v>
      </c>
      <c r="D412" s="724" t="s">
        <v>673</v>
      </c>
      <c r="E412" s="724" t="s">
        <v>3</v>
      </c>
      <c r="F412" s="725" t="s">
        <v>83</v>
      </c>
      <c r="G412" s="725" t="s">
        <v>691</v>
      </c>
      <c r="H412" s="726">
        <v>492480</v>
      </c>
      <c r="I412" s="726">
        <v>492480</v>
      </c>
      <c r="J412" s="726">
        <v>0</v>
      </c>
      <c r="K412" s="726">
        <v>0</v>
      </c>
      <c r="L412" s="726">
        <v>492480</v>
      </c>
      <c r="M412" s="726">
        <v>0</v>
      </c>
      <c r="N412" s="726">
        <v>0</v>
      </c>
      <c r="O412" s="726">
        <v>0</v>
      </c>
      <c r="P412" s="726">
        <v>0</v>
      </c>
      <c r="Q412" s="726">
        <v>0</v>
      </c>
      <c r="R412" s="726">
        <v>0</v>
      </c>
      <c r="S412" s="726">
        <v>0</v>
      </c>
      <c r="T412" s="726">
        <v>0</v>
      </c>
      <c r="U412" s="726">
        <v>0</v>
      </c>
      <c r="V412" s="726">
        <v>0</v>
      </c>
      <c r="W412" s="726">
        <v>0</v>
      </c>
      <c r="X412" s="724" t="s">
        <v>674</v>
      </c>
      <c r="Y412" s="724" t="s">
        <v>1226</v>
      </c>
      <c r="Z412" s="724" t="s">
        <v>1226</v>
      </c>
      <c r="AA412" s="724" t="s">
        <v>675</v>
      </c>
      <c r="AB412" s="724" t="s">
        <v>675</v>
      </c>
      <c r="AC412" s="724"/>
      <c r="AD412" s="724"/>
      <c r="AE412" s="724" t="s">
        <v>694</v>
      </c>
      <c r="AF412" s="724"/>
      <c r="AG412" s="725" t="s">
        <v>911</v>
      </c>
      <c r="AH412" s="724"/>
      <c r="AI412" s="725" t="s">
        <v>911</v>
      </c>
      <c r="AJ412" s="725" t="s">
        <v>677</v>
      </c>
      <c r="AK412" s="724" t="s">
        <v>677</v>
      </c>
      <c r="AL412" s="724"/>
      <c r="AM412" s="724"/>
      <c r="AN412" s="724"/>
      <c r="AO412" s="724"/>
      <c r="AP412" s="724"/>
      <c r="AQ412" s="724"/>
      <c r="AR412" s="726"/>
      <c r="AS412" s="724"/>
      <c r="AT412" s="726"/>
      <c r="AU412" s="724" t="s">
        <v>678</v>
      </c>
      <c r="AV412" s="724" t="s">
        <v>677</v>
      </c>
      <c r="AW412" s="724" t="s">
        <v>676</v>
      </c>
      <c r="AX412" s="724" t="s">
        <v>674</v>
      </c>
      <c r="AY412" s="724"/>
      <c r="AZ412" s="724"/>
      <c r="BA412" s="724" t="s">
        <v>679</v>
      </c>
      <c r="BB412" s="724"/>
      <c r="BC412" s="724"/>
      <c r="BD412" s="724"/>
      <c r="BE412" s="726"/>
      <c r="BF412" s="724" t="s">
        <v>298</v>
      </c>
      <c r="BG412" s="724" t="s">
        <v>680</v>
      </c>
      <c r="BH412" s="724" t="s">
        <v>681</v>
      </c>
      <c r="BI412" s="724"/>
    </row>
    <row r="413" spans="1:61">
      <c r="A413" s="724" t="s">
        <v>909</v>
      </c>
      <c r="B413" s="724" t="s">
        <v>909</v>
      </c>
      <c r="C413" s="724" t="s">
        <v>909</v>
      </c>
      <c r="D413" s="724" t="s">
        <v>673</v>
      </c>
      <c r="E413" s="724" t="s">
        <v>3</v>
      </c>
      <c r="F413" s="725" t="s">
        <v>83</v>
      </c>
      <c r="G413" s="725" t="s">
        <v>700</v>
      </c>
      <c r="H413" s="726">
        <v>880000</v>
      </c>
      <c r="I413" s="726">
        <v>880000</v>
      </c>
      <c r="J413" s="726">
        <v>0</v>
      </c>
      <c r="K413" s="726">
        <v>0</v>
      </c>
      <c r="L413" s="726">
        <v>880000</v>
      </c>
      <c r="M413" s="726">
        <v>0</v>
      </c>
      <c r="N413" s="726">
        <v>0</v>
      </c>
      <c r="O413" s="726">
        <v>0</v>
      </c>
      <c r="P413" s="726">
        <v>0</v>
      </c>
      <c r="Q413" s="726">
        <v>0</v>
      </c>
      <c r="R413" s="726">
        <v>0</v>
      </c>
      <c r="S413" s="726">
        <v>0</v>
      </c>
      <c r="T413" s="726">
        <v>0</v>
      </c>
      <c r="U413" s="726">
        <v>0</v>
      </c>
      <c r="V413" s="726">
        <v>0</v>
      </c>
      <c r="W413" s="726">
        <v>0</v>
      </c>
      <c r="X413" s="724" t="s">
        <v>674</v>
      </c>
      <c r="Y413" s="724" t="s">
        <v>1226</v>
      </c>
      <c r="Z413" s="724" t="s">
        <v>1226</v>
      </c>
      <c r="AA413" s="724" t="s">
        <v>675</v>
      </c>
      <c r="AB413" s="724" t="s">
        <v>675</v>
      </c>
      <c r="AC413" s="724"/>
      <c r="AD413" s="724"/>
      <c r="AE413" s="724"/>
      <c r="AF413" s="724"/>
      <c r="AG413" s="725" t="s">
        <v>912</v>
      </c>
      <c r="AH413" s="724"/>
      <c r="AI413" s="725" t="s">
        <v>912</v>
      </c>
      <c r="AJ413" s="725" t="s">
        <v>677</v>
      </c>
      <c r="AK413" s="724" t="s">
        <v>677</v>
      </c>
      <c r="AL413" s="724"/>
      <c r="AM413" s="724"/>
      <c r="AN413" s="724"/>
      <c r="AO413" s="724"/>
      <c r="AP413" s="724"/>
      <c r="AQ413" s="724"/>
      <c r="AR413" s="726"/>
      <c r="AS413" s="724"/>
      <c r="AT413" s="726"/>
      <c r="AU413" s="724" t="s">
        <v>678</v>
      </c>
      <c r="AV413" s="724" t="s">
        <v>677</v>
      </c>
      <c r="AW413" s="724" t="s">
        <v>676</v>
      </c>
      <c r="AX413" s="724" t="s">
        <v>674</v>
      </c>
      <c r="AY413" s="724"/>
      <c r="AZ413" s="724"/>
      <c r="BA413" s="724" t="s">
        <v>679</v>
      </c>
      <c r="BB413" s="724"/>
      <c r="BC413" s="724"/>
      <c r="BD413" s="724"/>
      <c r="BE413" s="726"/>
      <c r="BF413" s="724" t="s">
        <v>298</v>
      </c>
      <c r="BG413" s="724" t="s">
        <v>680</v>
      </c>
      <c r="BH413" s="724" t="s">
        <v>681</v>
      </c>
      <c r="BI413" s="724"/>
    </row>
    <row r="414" spans="1:61">
      <c r="A414" s="724" t="s">
        <v>909</v>
      </c>
      <c r="B414" s="724" t="s">
        <v>909</v>
      </c>
      <c r="C414" s="724" t="s">
        <v>909</v>
      </c>
      <c r="D414" s="724" t="s">
        <v>673</v>
      </c>
      <c r="E414" s="724" t="s">
        <v>3</v>
      </c>
      <c r="F414" s="725" t="s">
        <v>83</v>
      </c>
      <c r="G414" s="725" t="s">
        <v>700</v>
      </c>
      <c r="H414" s="726">
        <v>4560000</v>
      </c>
      <c r="I414" s="726">
        <v>4560000</v>
      </c>
      <c r="J414" s="726">
        <v>0</v>
      </c>
      <c r="K414" s="726">
        <v>0</v>
      </c>
      <c r="L414" s="726">
        <v>4560000</v>
      </c>
      <c r="M414" s="726">
        <v>0</v>
      </c>
      <c r="N414" s="726">
        <v>0</v>
      </c>
      <c r="O414" s="726">
        <v>0</v>
      </c>
      <c r="P414" s="726">
        <v>0</v>
      </c>
      <c r="Q414" s="726">
        <v>0</v>
      </c>
      <c r="R414" s="726">
        <v>0</v>
      </c>
      <c r="S414" s="726">
        <v>0</v>
      </c>
      <c r="T414" s="726">
        <v>0</v>
      </c>
      <c r="U414" s="726">
        <v>0</v>
      </c>
      <c r="V414" s="726">
        <v>0</v>
      </c>
      <c r="W414" s="726">
        <v>0</v>
      </c>
      <c r="X414" s="724" t="s">
        <v>674</v>
      </c>
      <c r="Y414" s="724" t="s">
        <v>1226</v>
      </c>
      <c r="Z414" s="724" t="s">
        <v>1226</v>
      </c>
      <c r="AA414" s="724" t="s">
        <v>675</v>
      </c>
      <c r="AB414" s="724" t="s">
        <v>675</v>
      </c>
      <c r="AC414" s="724"/>
      <c r="AD414" s="724"/>
      <c r="AE414" s="724"/>
      <c r="AF414" s="724"/>
      <c r="AG414" s="725" t="s">
        <v>913</v>
      </c>
      <c r="AH414" s="724"/>
      <c r="AI414" s="725" t="s">
        <v>913</v>
      </c>
      <c r="AJ414" s="725" t="s">
        <v>677</v>
      </c>
      <c r="AK414" s="724" t="s">
        <v>677</v>
      </c>
      <c r="AL414" s="724"/>
      <c r="AM414" s="724"/>
      <c r="AN414" s="724"/>
      <c r="AO414" s="724"/>
      <c r="AP414" s="724"/>
      <c r="AQ414" s="724"/>
      <c r="AR414" s="726"/>
      <c r="AS414" s="724"/>
      <c r="AT414" s="726"/>
      <c r="AU414" s="724" t="s">
        <v>678</v>
      </c>
      <c r="AV414" s="724" t="s">
        <v>677</v>
      </c>
      <c r="AW414" s="724" t="s">
        <v>676</v>
      </c>
      <c r="AX414" s="724" t="s">
        <v>674</v>
      </c>
      <c r="AY414" s="724"/>
      <c r="AZ414" s="724"/>
      <c r="BA414" s="724" t="s">
        <v>679</v>
      </c>
      <c r="BB414" s="724"/>
      <c r="BC414" s="724"/>
      <c r="BD414" s="724"/>
      <c r="BE414" s="726"/>
      <c r="BF414" s="724" t="s">
        <v>298</v>
      </c>
      <c r="BG414" s="724" t="s">
        <v>680</v>
      </c>
      <c r="BH414" s="724" t="s">
        <v>681</v>
      </c>
      <c r="BI414" s="724"/>
    </row>
    <row r="415" spans="1:61">
      <c r="A415" s="724" t="s">
        <v>909</v>
      </c>
      <c r="B415" s="724" t="s">
        <v>909</v>
      </c>
      <c r="C415" s="724" t="s">
        <v>909</v>
      </c>
      <c r="D415" s="724" t="s">
        <v>673</v>
      </c>
      <c r="E415" s="724" t="s">
        <v>3</v>
      </c>
      <c r="F415" s="725" t="s">
        <v>83</v>
      </c>
      <c r="G415" s="725" t="s">
        <v>700</v>
      </c>
      <c r="H415" s="726">
        <v>440000</v>
      </c>
      <c r="I415" s="726">
        <v>440000</v>
      </c>
      <c r="J415" s="726">
        <v>0</v>
      </c>
      <c r="K415" s="726">
        <v>0</v>
      </c>
      <c r="L415" s="726">
        <v>440000</v>
      </c>
      <c r="M415" s="726">
        <v>0</v>
      </c>
      <c r="N415" s="726">
        <v>0</v>
      </c>
      <c r="O415" s="726">
        <v>0</v>
      </c>
      <c r="P415" s="726">
        <v>0</v>
      </c>
      <c r="Q415" s="726">
        <v>0</v>
      </c>
      <c r="R415" s="726">
        <v>0</v>
      </c>
      <c r="S415" s="726">
        <v>0</v>
      </c>
      <c r="T415" s="726">
        <v>0</v>
      </c>
      <c r="U415" s="726">
        <v>0</v>
      </c>
      <c r="V415" s="726">
        <v>0</v>
      </c>
      <c r="W415" s="726">
        <v>0</v>
      </c>
      <c r="X415" s="724" t="s">
        <v>674</v>
      </c>
      <c r="Y415" s="724" t="s">
        <v>1226</v>
      </c>
      <c r="Z415" s="724" t="s">
        <v>1226</v>
      </c>
      <c r="AA415" s="724" t="s">
        <v>675</v>
      </c>
      <c r="AB415" s="724" t="s">
        <v>675</v>
      </c>
      <c r="AC415" s="724"/>
      <c r="AD415" s="724"/>
      <c r="AE415" s="724"/>
      <c r="AF415" s="724"/>
      <c r="AG415" s="725" t="s">
        <v>912</v>
      </c>
      <c r="AH415" s="724"/>
      <c r="AI415" s="725" t="s">
        <v>912</v>
      </c>
      <c r="AJ415" s="725" t="s">
        <v>677</v>
      </c>
      <c r="AK415" s="724" t="s">
        <v>677</v>
      </c>
      <c r="AL415" s="724"/>
      <c r="AM415" s="724"/>
      <c r="AN415" s="724"/>
      <c r="AO415" s="724"/>
      <c r="AP415" s="724"/>
      <c r="AQ415" s="724"/>
      <c r="AR415" s="726"/>
      <c r="AS415" s="724"/>
      <c r="AT415" s="726"/>
      <c r="AU415" s="724" t="s">
        <v>678</v>
      </c>
      <c r="AV415" s="724" t="s">
        <v>677</v>
      </c>
      <c r="AW415" s="724" t="s">
        <v>676</v>
      </c>
      <c r="AX415" s="724" t="s">
        <v>674</v>
      </c>
      <c r="AY415" s="724"/>
      <c r="AZ415" s="724"/>
      <c r="BA415" s="724" t="s">
        <v>679</v>
      </c>
      <c r="BB415" s="724"/>
      <c r="BC415" s="724"/>
      <c r="BD415" s="724"/>
      <c r="BE415" s="726"/>
      <c r="BF415" s="724" t="s">
        <v>298</v>
      </c>
      <c r="BG415" s="724" t="s">
        <v>680</v>
      </c>
      <c r="BH415" s="724" t="s">
        <v>681</v>
      </c>
      <c r="BI415" s="724"/>
    </row>
    <row r="416" spans="1:61">
      <c r="A416" s="724" t="s">
        <v>909</v>
      </c>
      <c r="B416" s="724" t="s">
        <v>909</v>
      </c>
      <c r="C416" s="724" t="s">
        <v>909</v>
      </c>
      <c r="D416" s="724" t="s">
        <v>673</v>
      </c>
      <c r="E416" s="724" t="s">
        <v>3</v>
      </c>
      <c r="F416" s="725" t="s">
        <v>83</v>
      </c>
      <c r="G416" s="725" t="s">
        <v>700</v>
      </c>
      <c r="H416" s="726">
        <v>440000</v>
      </c>
      <c r="I416" s="726">
        <v>440000</v>
      </c>
      <c r="J416" s="726">
        <v>0</v>
      </c>
      <c r="K416" s="726">
        <v>0</v>
      </c>
      <c r="L416" s="726">
        <v>440000</v>
      </c>
      <c r="M416" s="726">
        <v>0</v>
      </c>
      <c r="N416" s="726">
        <v>0</v>
      </c>
      <c r="O416" s="726">
        <v>0</v>
      </c>
      <c r="P416" s="726">
        <v>0</v>
      </c>
      <c r="Q416" s="726">
        <v>0</v>
      </c>
      <c r="R416" s="726">
        <v>0</v>
      </c>
      <c r="S416" s="726">
        <v>0</v>
      </c>
      <c r="T416" s="726">
        <v>0</v>
      </c>
      <c r="U416" s="726">
        <v>0</v>
      </c>
      <c r="V416" s="726">
        <v>0</v>
      </c>
      <c r="W416" s="726">
        <v>0</v>
      </c>
      <c r="X416" s="724" t="s">
        <v>674</v>
      </c>
      <c r="Y416" s="724" t="s">
        <v>1226</v>
      </c>
      <c r="Z416" s="724" t="s">
        <v>1226</v>
      </c>
      <c r="AA416" s="724" t="s">
        <v>675</v>
      </c>
      <c r="AB416" s="724" t="s">
        <v>675</v>
      </c>
      <c r="AC416" s="724"/>
      <c r="AD416" s="724"/>
      <c r="AE416" s="724"/>
      <c r="AF416" s="724"/>
      <c r="AG416" s="725" t="s">
        <v>912</v>
      </c>
      <c r="AH416" s="724"/>
      <c r="AI416" s="725" t="s">
        <v>912</v>
      </c>
      <c r="AJ416" s="725" t="s">
        <v>677</v>
      </c>
      <c r="AK416" s="724" t="s">
        <v>677</v>
      </c>
      <c r="AL416" s="724"/>
      <c r="AM416" s="724"/>
      <c r="AN416" s="724"/>
      <c r="AO416" s="724"/>
      <c r="AP416" s="724"/>
      <c r="AQ416" s="724"/>
      <c r="AR416" s="726"/>
      <c r="AS416" s="724"/>
      <c r="AT416" s="726"/>
      <c r="AU416" s="724" t="s">
        <v>678</v>
      </c>
      <c r="AV416" s="724" t="s">
        <v>677</v>
      </c>
      <c r="AW416" s="724" t="s">
        <v>676</v>
      </c>
      <c r="AX416" s="724" t="s">
        <v>674</v>
      </c>
      <c r="AY416" s="724"/>
      <c r="AZ416" s="724"/>
      <c r="BA416" s="724" t="s">
        <v>679</v>
      </c>
      <c r="BB416" s="724"/>
      <c r="BC416" s="724"/>
      <c r="BD416" s="724"/>
      <c r="BE416" s="726"/>
      <c r="BF416" s="724" t="s">
        <v>298</v>
      </c>
      <c r="BG416" s="724" t="s">
        <v>680</v>
      </c>
      <c r="BH416" s="724" t="s">
        <v>681</v>
      </c>
      <c r="BI416" s="724"/>
    </row>
    <row r="417" spans="1:61">
      <c r="A417" s="724" t="s">
        <v>909</v>
      </c>
      <c r="B417" s="724" t="s">
        <v>909</v>
      </c>
      <c r="C417" s="724" t="s">
        <v>909</v>
      </c>
      <c r="D417" s="724" t="s">
        <v>673</v>
      </c>
      <c r="E417" s="724" t="s">
        <v>3</v>
      </c>
      <c r="F417" s="725" t="s">
        <v>83</v>
      </c>
      <c r="G417" s="725" t="s">
        <v>700</v>
      </c>
      <c r="H417" s="726">
        <v>4560000</v>
      </c>
      <c r="I417" s="726">
        <v>4560000</v>
      </c>
      <c r="J417" s="726">
        <v>0</v>
      </c>
      <c r="K417" s="726">
        <v>0</v>
      </c>
      <c r="L417" s="726">
        <v>4560000</v>
      </c>
      <c r="M417" s="726">
        <v>0</v>
      </c>
      <c r="N417" s="726">
        <v>0</v>
      </c>
      <c r="O417" s="726">
        <v>0</v>
      </c>
      <c r="P417" s="726">
        <v>0</v>
      </c>
      <c r="Q417" s="726">
        <v>0</v>
      </c>
      <c r="R417" s="726">
        <v>0</v>
      </c>
      <c r="S417" s="726">
        <v>0</v>
      </c>
      <c r="T417" s="726">
        <v>0</v>
      </c>
      <c r="U417" s="726">
        <v>0</v>
      </c>
      <c r="V417" s="726">
        <v>0</v>
      </c>
      <c r="W417" s="726">
        <v>0</v>
      </c>
      <c r="X417" s="724" t="s">
        <v>674</v>
      </c>
      <c r="Y417" s="724" t="s">
        <v>1226</v>
      </c>
      <c r="Z417" s="724" t="s">
        <v>1226</v>
      </c>
      <c r="AA417" s="724" t="s">
        <v>675</v>
      </c>
      <c r="AB417" s="724" t="s">
        <v>675</v>
      </c>
      <c r="AC417" s="724"/>
      <c r="AD417" s="724"/>
      <c r="AE417" s="724"/>
      <c r="AF417" s="724"/>
      <c r="AG417" s="725" t="s">
        <v>913</v>
      </c>
      <c r="AH417" s="724"/>
      <c r="AI417" s="725" t="s">
        <v>913</v>
      </c>
      <c r="AJ417" s="725" t="s">
        <v>677</v>
      </c>
      <c r="AK417" s="724" t="s">
        <v>677</v>
      </c>
      <c r="AL417" s="724"/>
      <c r="AM417" s="724"/>
      <c r="AN417" s="724"/>
      <c r="AO417" s="724"/>
      <c r="AP417" s="724"/>
      <c r="AQ417" s="724"/>
      <c r="AR417" s="726"/>
      <c r="AS417" s="724"/>
      <c r="AT417" s="726"/>
      <c r="AU417" s="724" t="s">
        <v>678</v>
      </c>
      <c r="AV417" s="724" t="s">
        <v>677</v>
      </c>
      <c r="AW417" s="724" t="s">
        <v>676</v>
      </c>
      <c r="AX417" s="724" t="s">
        <v>674</v>
      </c>
      <c r="AY417" s="724"/>
      <c r="AZ417" s="724"/>
      <c r="BA417" s="724" t="s">
        <v>679</v>
      </c>
      <c r="BB417" s="724"/>
      <c r="BC417" s="724"/>
      <c r="BD417" s="724"/>
      <c r="BE417" s="726"/>
      <c r="BF417" s="724" t="s">
        <v>298</v>
      </c>
      <c r="BG417" s="724" t="s">
        <v>680</v>
      </c>
      <c r="BH417" s="724" t="s">
        <v>681</v>
      </c>
      <c r="BI417" s="724"/>
    </row>
    <row r="418" spans="1:61">
      <c r="A418" s="724" t="s">
        <v>909</v>
      </c>
      <c r="B418" s="724" t="s">
        <v>909</v>
      </c>
      <c r="C418" s="724" t="s">
        <v>909</v>
      </c>
      <c r="D418" s="724" t="s">
        <v>673</v>
      </c>
      <c r="E418" s="724" t="s">
        <v>3</v>
      </c>
      <c r="F418" s="725" t="s">
        <v>83</v>
      </c>
      <c r="G418" s="725" t="s">
        <v>700</v>
      </c>
      <c r="H418" s="726">
        <v>9120000</v>
      </c>
      <c r="I418" s="726">
        <v>9120000</v>
      </c>
      <c r="J418" s="726">
        <v>0</v>
      </c>
      <c r="K418" s="726">
        <v>0</v>
      </c>
      <c r="L418" s="726">
        <v>9120000</v>
      </c>
      <c r="M418" s="726">
        <v>0</v>
      </c>
      <c r="N418" s="726">
        <v>0</v>
      </c>
      <c r="O418" s="726">
        <v>0</v>
      </c>
      <c r="P418" s="726">
        <v>0</v>
      </c>
      <c r="Q418" s="726">
        <v>0</v>
      </c>
      <c r="R418" s="726">
        <v>0</v>
      </c>
      <c r="S418" s="726">
        <v>0</v>
      </c>
      <c r="T418" s="726">
        <v>0</v>
      </c>
      <c r="U418" s="726">
        <v>0</v>
      </c>
      <c r="V418" s="726">
        <v>0</v>
      </c>
      <c r="W418" s="726">
        <v>0</v>
      </c>
      <c r="X418" s="724" t="s">
        <v>674</v>
      </c>
      <c r="Y418" s="724" t="s">
        <v>1226</v>
      </c>
      <c r="Z418" s="724" t="s">
        <v>1226</v>
      </c>
      <c r="AA418" s="724" t="s">
        <v>675</v>
      </c>
      <c r="AB418" s="724" t="s">
        <v>675</v>
      </c>
      <c r="AC418" s="724"/>
      <c r="AD418" s="724"/>
      <c r="AE418" s="724"/>
      <c r="AF418" s="724"/>
      <c r="AG418" s="725" t="s">
        <v>913</v>
      </c>
      <c r="AH418" s="724"/>
      <c r="AI418" s="725" t="s">
        <v>913</v>
      </c>
      <c r="AJ418" s="725" t="s">
        <v>677</v>
      </c>
      <c r="AK418" s="724" t="s">
        <v>677</v>
      </c>
      <c r="AL418" s="724"/>
      <c r="AM418" s="724"/>
      <c r="AN418" s="724"/>
      <c r="AO418" s="724"/>
      <c r="AP418" s="724"/>
      <c r="AQ418" s="724"/>
      <c r="AR418" s="726"/>
      <c r="AS418" s="724"/>
      <c r="AT418" s="726"/>
      <c r="AU418" s="724" t="s">
        <v>678</v>
      </c>
      <c r="AV418" s="724" t="s">
        <v>677</v>
      </c>
      <c r="AW418" s="724" t="s">
        <v>676</v>
      </c>
      <c r="AX418" s="724" t="s">
        <v>674</v>
      </c>
      <c r="AY418" s="724"/>
      <c r="AZ418" s="724"/>
      <c r="BA418" s="724" t="s">
        <v>679</v>
      </c>
      <c r="BB418" s="724"/>
      <c r="BC418" s="724"/>
      <c r="BD418" s="724"/>
      <c r="BE418" s="726"/>
      <c r="BF418" s="724" t="s">
        <v>298</v>
      </c>
      <c r="BG418" s="724" t="s">
        <v>680</v>
      </c>
      <c r="BH418" s="724" t="s">
        <v>681</v>
      </c>
      <c r="BI418" s="724"/>
    </row>
    <row r="419" spans="1:61">
      <c r="A419" s="724" t="s">
        <v>909</v>
      </c>
      <c r="B419" s="724" t="s">
        <v>909</v>
      </c>
      <c r="C419" s="724" t="s">
        <v>914</v>
      </c>
      <c r="D419" s="724" t="s">
        <v>673</v>
      </c>
      <c r="E419" s="724" t="s">
        <v>3</v>
      </c>
      <c r="F419" s="725" t="s">
        <v>83</v>
      </c>
      <c r="G419" s="725" t="s">
        <v>700</v>
      </c>
      <c r="H419" s="726">
        <v>4560000</v>
      </c>
      <c r="I419" s="726">
        <v>4560000</v>
      </c>
      <c r="J419" s="726">
        <v>0</v>
      </c>
      <c r="K419" s="726">
        <v>0</v>
      </c>
      <c r="L419" s="726">
        <v>4560000</v>
      </c>
      <c r="M419" s="726">
        <v>0</v>
      </c>
      <c r="N419" s="726">
        <v>0</v>
      </c>
      <c r="O419" s="726">
        <v>0</v>
      </c>
      <c r="P419" s="726">
        <v>0</v>
      </c>
      <c r="Q419" s="726">
        <v>0</v>
      </c>
      <c r="R419" s="726">
        <v>0</v>
      </c>
      <c r="S419" s="726">
        <v>0</v>
      </c>
      <c r="T419" s="726">
        <v>0</v>
      </c>
      <c r="U419" s="726">
        <v>0</v>
      </c>
      <c r="V419" s="726">
        <v>0</v>
      </c>
      <c r="W419" s="726">
        <v>0</v>
      </c>
      <c r="X419" s="724" t="s">
        <v>674</v>
      </c>
      <c r="Y419" s="724" t="s">
        <v>1226</v>
      </c>
      <c r="Z419" s="724" t="s">
        <v>1226</v>
      </c>
      <c r="AA419" s="724" t="s">
        <v>675</v>
      </c>
      <c r="AB419" s="724" t="s">
        <v>675</v>
      </c>
      <c r="AC419" s="724"/>
      <c r="AD419" s="724"/>
      <c r="AE419" s="724"/>
      <c r="AF419" s="724"/>
      <c r="AG419" s="725" t="s">
        <v>913</v>
      </c>
      <c r="AH419" s="724"/>
      <c r="AI419" s="725" t="s">
        <v>913</v>
      </c>
      <c r="AJ419" s="725" t="s">
        <v>677</v>
      </c>
      <c r="AK419" s="724" t="s">
        <v>677</v>
      </c>
      <c r="AL419" s="724"/>
      <c r="AM419" s="724"/>
      <c r="AN419" s="724"/>
      <c r="AO419" s="724"/>
      <c r="AP419" s="724"/>
      <c r="AQ419" s="724"/>
      <c r="AR419" s="726"/>
      <c r="AS419" s="724"/>
      <c r="AT419" s="726"/>
      <c r="AU419" s="724" t="s">
        <v>678</v>
      </c>
      <c r="AV419" s="724" t="s">
        <v>677</v>
      </c>
      <c r="AW419" s="724" t="s">
        <v>676</v>
      </c>
      <c r="AX419" s="724" t="s">
        <v>674</v>
      </c>
      <c r="AY419" s="724"/>
      <c r="AZ419" s="724"/>
      <c r="BA419" s="724" t="s">
        <v>679</v>
      </c>
      <c r="BB419" s="724"/>
      <c r="BC419" s="724"/>
      <c r="BD419" s="724"/>
      <c r="BE419" s="726"/>
      <c r="BF419" s="724" t="s">
        <v>298</v>
      </c>
      <c r="BG419" s="724" t="s">
        <v>680</v>
      </c>
      <c r="BH419" s="724" t="s">
        <v>681</v>
      </c>
      <c r="BI419" s="724"/>
    </row>
    <row r="420" spans="1:61">
      <c r="A420" s="724" t="s">
        <v>909</v>
      </c>
      <c r="B420" s="724" t="s">
        <v>909</v>
      </c>
      <c r="C420" s="724" t="s">
        <v>914</v>
      </c>
      <c r="D420" s="724" t="s">
        <v>673</v>
      </c>
      <c r="E420" s="724" t="s">
        <v>3</v>
      </c>
      <c r="F420" s="725" t="s">
        <v>83</v>
      </c>
      <c r="G420" s="725" t="s">
        <v>700</v>
      </c>
      <c r="H420" s="726">
        <v>440000</v>
      </c>
      <c r="I420" s="726">
        <v>440000</v>
      </c>
      <c r="J420" s="726">
        <v>0</v>
      </c>
      <c r="K420" s="726">
        <v>0</v>
      </c>
      <c r="L420" s="726">
        <v>440000</v>
      </c>
      <c r="M420" s="726">
        <v>0</v>
      </c>
      <c r="N420" s="726">
        <v>0</v>
      </c>
      <c r="O420" s="726">
        <v>0</v>
      </c>
      <c r="P420" s="726">
        <v>0</v>
      </c>
      <c r="Q420" s="726">
        <v>0</v>
      </c>
      <c r="R420" s="726">
        <v>0</v>
      </c>
      <c r="S420" s="726">
        <v>0</v>
      </c>
      <c r="T420" s="726">
        <v>0</v>
      </c>
      <c r="U420" s="726">
        <v>0</v>
      </c>
      <c r="V420" s="726">
        <v>0</v>
      </c>
      <c r="W420" s="726">
        <v>0</v>
      </c>
      <c r="X420" s="724" t="s">
        <v>674</v>
      </c>
      <c r="Y420" s="724" t="s">
        <v>1226</v>
      </c>
      <c r="Z420" s="724" t="s">
        <v>1226</v>
      </c>
      <c r="AA420" s="724" t="s">
        <v>675</v>
      </c>
      <c r="AB420" s="724" t="s">
        <v>675</v>
      </c>
      <c r="AC420" s="724"/>
      <c r="AD420" s="724"/>
      <c r="AE420" s="724"/>
      <c r="AF420" s="724"/>
      <c r="AG420" s="725" t="s">
        <v>912</v>
      </c>
      <c r="AH420" s="724"/>
      <c r="AI420" s="725" t="s">
        <v>912</v>
      </c>
      <c r="AJ420" s="725" t="s">
        <v>677</v>
      </c>
      <c r="AK420" s="724" t="s">
        <v>677</v>
      </c>
      <c r="AL420" s="724"/>
      <c r="AM420" s="724"/>
      <c r="AN420" s="724"/>
      <c r="AO420" s="724"/>
      <c r="AP420" s="724"/>
      <c r="AQ420" s="724"/>
      <c r="AR420" s="726"/>
      <c r="AS420" s="724"/>
      <c r="AT420" s="726"/>
      <c r="AU420" s="724" t="s">
        <v>678</v>
      </c>
      <c r="AV420" s="724" t="s">
        <v>677</v>
      </c>
      <c r="AW420" s="724" t="s">
        <v>676</v>
      </c>
      <c r="AX420" s="724" t="s">
        <v>674</v>
      </c>
      <c r="AY420" s="724"/>
      <c r="AZ420" s="724"/>
      <c r="BA420" s="724" t="s">
        <v>679</v>
      </c>
      <c r="BB420" s="724"/>
      <c r="BC420" s="724"/>
      <c r="BD420" s="724"/>
      <c r="BE420" s="726"/>
      <c r="BF420" s="724" t="s">
        <v>298</v>
      </c>
      <c r="BG420" s="724" t="s">
        <v>680</v>
      </c>
      <c r="BH420" s="724" t="s">
        <v>681</v>
      </c>
      <c r="BI420" s="724"/>
    </row>
    <row r="421" spans="1:61">
      <c r="A421" s="724" t="s">
        <v>909</v>
      </c>
      <c r="B421" s="724" t="s">
        <v>909</v>
      </c>
      <c r="C421" s="724" t="s">
        <v>914</v>
      </c>
      <c r="D421" s="724" t="s">
        <v>673</v>
      </c>
      <c r="E421" s="724" t="s">
        <v>3</v>
      </c>
      <c r="F421" s="725" t="s">
        <v>83</v>
      </c>
      <c r="G421" s="725" t="s">
        <v>700</v>
      </c>
      <c r="H421" s="726">
        <v>880000</v>
      </c>
      <c r="I421" s="726">
        <v>880000</v>
      </c>
      <c r="J421" s="726">
        <v>0</v>
      </c>
      <c r="K421" s="726">
        <v>0</v>
      </c>
      <c r="L421" s="726">
        <v>880000</v>
      </c>
      <c r="M421" s="726">
        <v>0</v>
      </c>
      <c r="N421" s="726">
        <v>0</v>
      </c>
      <c r="O421" s="726">
        <v>0</v>
      </c>
      <c r="P421" s="726">
        <v>0</v>
      </c>
      <c r="Q421" s="726">
        <v>0</v>
      </c>
      <c r="R421" s="726">
        <v>0</v>
      </c>
      <c r="S421" s="726">
        <v>0</v>
      </c>
      <c r="T421" s="726">
        <v>0</v>
      </c>
      <c r="U421" s="726">
        <v>0</v>
      </c>
      <c r="V421" s="726">
        <v>0</v>
      </c>
      <c r="W421" s="726">
        <v>0</v>
      </c>
      <c r="X421" s="724" t="s">
        <v>674</v>
      </c>
      <c r="Y421" s="724" t="s">
        <v>1226</v>
      </c>
      <c r="Z421" s="724" t="s">
        <v>1226</v>
      </c>
      <c r="AA421" s="724" t="s">
        <v>675</v>
      </c>
      <c r="AB421" s="724" t="s">
        <v>675</v>
      </c>
      <c r="AC421" s="724"/>
      <c r="AD421" s="724"/>
      <c r="AE421" s="724"/>
      <c r="AF421" s="724"/>
      <c r="AG421" s="725" t="s">
        <v>912</v>
      </c>
      <c r="AH421" s="724"/>
      <c r="AI421" s="725" t="s">
        <v>912</v>
      </c>
      <c r="AJ421" s="725" t="s">
        <v>677</v>
      </c>
      <c r="AK421" s="724" t="s">
        <v>677</v>
      </c>
      <c r="AL421" s="724"/>
      <c r="AM421" s="724"/>
      <c r="AN421" s="724"/>
      <c r="AO421" s="724"/>
      <c r="AP421" s="724"/>
      <c r="AQ421" s="724"/>
      <c r="AR421" s="726"/>
      <c r="AS421" s="724"/>
      <c r="AT421" s="726"/>
      <c r="AU421" s="724" t="s">
        <v>678</v>
      </c>
      <c r="AV421" s="724" t="s">
        <v>677</v>
      </c>
      <c r="AW421" s="724" t="s">
        <v>676</v>
      </c>
      <c r="AX421" s="724" t="s">
        <v>674</v>
      </c>
      <c r="AY421" s="724"/>
      <c r="AZ421" s="724"/>
      <c r="BA421" s="724" t="s">
        <v>679</v>
      </c>
      <c r="BB421" s="724"/>
      <c r="BC421" s="724"/>
      <c r="BD421" s="724"/>
      <c r="BE421" s="726"/>
      <c r="BF421" s="724" t="s">
        <v>298</v>
      </c>
      <c r="BG421" s="724" t="s">
        <v>680</v>
      </c>
      <c r="BH421" s="724" t="s">
        <v>681</v>
      </c>
      <c r="BI421" s="724"/>
    </row>
    <row r="422" spans="1:61">
      <c r="A422" s="724" t="s">
        <v>909</v>
      </c>
      <c r="B422" s="724" t="s">
        <v>909</v>
      </c>
      <c r="C422" s="724" t="s">
        <v>914</v>
      </c>
      <c r="D422" s="724" t="s">
        <v>673</v>
      </c>
      <c r="E422" s="724" t="s">
        <v>3</v>
      </c>
      <c r="F422" s="725" t="s">
        <v>83</v>
      </c>
      <c r="G422" s="725" t="s">
        <v>700</v>
      </c>
      <c r="H422" s="726">
        <v>9120000</v>
      </c>
      <c r="I422" s="726">
        <v>9120000</v>
      </c>
      <c r="J422" s="726">
        <v>0</v>
      </c>
      <c r="K422" s="726">
        <v>0</v>
      </c>
      <c r="L422" s="726">
        <v>9120000</v>
      </c>
      <c r="M422" s="726">
        <v>0</v>
      </c>
      <c r="N422" s="726">
        <v>0</v>
      </c>
      <c r="O422" s="726">
        <v>0</v>
      </c>
      <c r="P422" s="726">
        <v>0</v>
      </c>
      <c r="Q422" s="726">
        <v>0</v>
      </c>
      <c r="R422" s="726">
        <v>0</v>
      </c>
      <c r="S422" s="726">
        <v>0</v>
      </c>
      <c r="T422" s="726">
        <v>0</v>
      </c>
      <c r="U422" s="726">
        <v>0</v>
      </c>
      <c r="V422" s="726">
        <v>0</v>
      </c>
      <c r="W422" s="726">
        <v>0</v>
      </c>
      <c r="X422" s="724" t="s">
        <v>674</v>
      </c>
      <c r="Y422" s="724" t="s">
        <v>1226</v>
      </c>
      <c r="Z422" s="724" t="s">
        <v>1226</v>
      </c>
      <c r="AA422" s="724" t="s">
        <v>675</v>
      </c>
      <c r="AB422" s="724" t="s">
        <v>675</v>
      </c>
      <c r="AC422" s="724"/>
      <c r="AD422" s="724"/>
      <c r="AE422" s="724"/>
      <c r="AF422" s="724"/>
      <c r="AG422" s="725" t="s">
        <v>913</v>
      </c>
      <c r="AH422" s="724"/>
      <c r="AI422" s="725" t="s">
        <v>913</v>
      </c>
      <c r="AJ422" s="725" t="s">
        <v>677</v>
      </c>
      <c r="AK422" s="724" t="s">
        <v>677</v>
      </c>
      <c r="AL422" s="724"/>
      <c r="AM422" s="724"/>
      <c r="AN422" s="724"/>
      <c r="AO422" s="724"/>
      <c r="AP422" s="724"/>
      <c r="AQ422" s="724"/>
      <c r="AR422" s="726"/>
      <c r="AS422" s="724"/>
      <c r="AT422" s="726"/>
      <c r="AU422" s="724" t="s">
        <v>678</v>
      </c>
      <c r="AV422" s="724" t="s">
        <v>677</v>
      </c>
      <c r="AW422" s="724" t="s">
        <v>676</v>
      </c>
      <c r="AX422" s="724" t="s">
        <v>674</v>
      </c>
      <c r="AY422" s="724"/>
      <c r="AZ422" s="724"/>
      <c r="BA422" s="724" t="s">
        <v>679</v>
      </c>
      <c r="BB422" s="724"/>
      <c r="BC422" s="724"/>
      <c r="BD422" s="724"/>
      <c r="BE422" s="726"/>
      <c r="BF422" s="724" t="s">
        <v>298</v>
      </c>
      <c r="BG422" s="724" t="s">
        <v>680</v>
      </c>
      <c r="BH422" s="724" t="s">
        <v>681</v>
      </c>
      <c r="BI422" s="724"/>
    </row>
    <row r="423" spans="1:61">
      <c r="A423" s="724" t="s">
        <v>909</v>
      </c>
      <c r="B423" s="724" t="s">
        <v>909</v>
      </c>
      <c r="C423" s="724" t="s">
        <v>914</v>
      </c>
      <c r="D423" s="724" t="s">
        <v>673</v>
      </c>
      <c r="E423" s="724" t="s">
        <v>3</v>
      </c>
      <c r="F423" s="725" t="s">
        <v>83</v>
      </c>
      <c r="G423" s="725" t="s">
        <v>700</v>
      </c>
      <c r="H423" s="726">
        <v>9120000</v>
      </c>
      <c r="I423" s="726">
        <v>9120000</v>
      </c>
      <c r="J423" s="726">
        <v>0</v>
      </c>
      <c r="K423" s="726">
        <v>0</v>
      </c>
      <c r="L423" s="726">
        <v>9120000</v>
      </c>
      <c r="M423" s="726">
        <v>0</v>
      </c>
      <c r="N423" s="726">
        <v>0</v>
      </c>
      <c r="O423" s="726">
        <v>0</v>
      </c>
      <c r="P423" s="726">
        <v>0</v>
      </c>
      <c r="Q423" s="726">
        <v>0</v>
      </c>
      <c r="R423" s="726">
        <v>0</v>
      </c>
      <c r="S423" s="726">
        <v>0</v>
      </c>
      <c r="T423" s="726">
        <v>0</v>
      </c>
      <c r="U423" s="726">
        <v>0</v>
      </c>
      <c r="V423" s="726">
        <v>0</v>
      </c>
      <c r="W423" s="726">
        <v>0</v>
      </c>
      <c r="X423" s="724" t="s">
        <v>674</v>
      </c>
      <c r="Y423" s="724" t="s">
        <v>1226</v>
      </c>
      <c r="Z423" s="724" t="s">
        <v>1226</v>
      </c>
      <c r="AA423" s="724" t="s">
        <v>675</v>
      </c>
      <c r="AB423" s="724" t="s">
        <v>675</v>
      </c>
      <c r="AC423" s="724"/>
      <c r="AD423" s="724"/>
      <c r="AE423" s="724"/>
      <c r="AF423" s="724"/>
      <c r="AG423" s="725" t="s">
        <v>913</v>
      </c>
      <c r="AH423" s="724"/>
      <c r="AI423" s="725" t="s">
        <v>913</v>
      </c>
      <c r="AJ423" s="725" t="s">
        <v>677</v>
      </c>
      <c r="AK423" s="724" t="s">
        <v>677</v>
      </c>
      <c r="AL423" s="724"/>
      <c r="AM423" s="724"/>
      <c r="AN423" s="724"/>
      <c r="AO423" s="724"/>
      <c r="AP423" s="724"/>
      <c r="AQ423" s="724"/>
      <c r="AR423" s="726"/>
      <c r="AS423" s="724"/>
      <c r="AT423" s="726"/>
      <c r="AU423" s="724" t="s">
        <v>678</v>
      </c>
      <c r="AV423" s="724" t="s">
        <v>677</v>
      </c>
      <c r="AW423" s="724" t="s">
        <v>676</v>
      </c>
      <c r="AX423" s="724" t="s">
        <v>674</v>
      </c>
      <c r="AY423" s="724"/>
      <c r="AZ423" s="724"/>
      <c r="BA423" s="724" t="s">
        <v>679</v>
      </c>
      <c r="BB423" s="724"/>
      <c r="BC423" s="724"/>
      <c r="BD423" s="724"/>
      <c r="BE423" s="726"/>
      <c r="BF423" s="724" t="s">
        <v>298</v>
      </c>
      <c r="BG423" s="724" t="s">
        <v>680</v>
      </c>
      <c r="BH423" s="724" t="s">
        <v>681</v>
      </c>
      <c r="BI423" s="724"/>
    </row>
    <row r="424" spans="1:61">
      <c r="A424" s="724" t="s">
        <v>909</v>
      </c>
      <c r="B424" s="724" t="s">
        <v>909</v>
      </c>
      <c r="C424" s="724" t="s">
        <v>914</v>
      </c>
      <c r="D424" s="724" t="s">
        <v>673</v>
      </c>
      <c r="E424" s="724" t="s">
        <v>3</v>
      </c>
      <c r="F424" s="725" t="s">
        <v>83</v>
      </c>
      <c r="G424" s="725" t="s">
        <v>700</v>
      </c>
      <c r="H424" s="726">
        <v>880000</v>
      </c>
      <c r="I424" s="726">
        <v>880000</v>
      </c>
      <c r="J424" s="726">
        <v>0</v>
      </c>
      <c r="K424" s="726">
        <v>0</v>
      </c>
      <c r="L424" s="726">
        <v>880000</v>
      </c>
      <c r="M424" s="726">
        <v>0</v>
      </c>
      <c r="N424" s="726">
        <v>0</v>
      </c>
      <c r="O424" s="726">
        <v>0</v>
      </c>
      <c r="P424" s="726">
        <v>0</v>
      </c>
      <c r="Q424" s="726">
        <v>0</v>
      </c>
      <c r="R424" s="726">
        <v>0</v>
      </c>
      <c r="S424" s="726">
        <v>0</v>
      </c>
      <c r="T424" s="726">
        <v>0</v>
      </c>
      <c r="U424" s="726">
        <v>0</v>
      </c>
      <c r="V424" s="726">
        <v>0</v>
      </c>
      <c r="W424" s="726">
        <v>0</v>
      </c>
      <c r="X424" s="724" t="s">
        <v>674</v>
      </c>
      <c r="Y424" s="724" t="s">
        <v>1226</v>
      </c>
      <c r="Z424" s="724" t="s">
        <v>1226</v>
      </c>
      <c r="AA424" s="724" t="s">
        <v>675</v>
      </c>
      <c r="AB424" s="724" t="s">
        <v>675</v>
      </c>
      <c r="AC424" s="724"/>
      <c r="AD424" s="724"/>
      <c r="AE424" s="724"/>
      <c r="AF424" s="724"/>
      <c r="AG424" s="725" t="s">
        <v>912</v>
      </c>
      <c r="AH424" s="724"/>
      <c r="AI424" s="725" t="s">
        <v>912</v>
      </c>
      <c r="AJ424" s="725" t="s">
        <v>677</v>
      </c>
      <c r="AK424" s="724" t="s">
        <v>677</v>
      </c>
      <c r="AL424" s="724"/>
      <c r="AM424" s="724"/>
      <c r="AN424" s="724"/>
      <c r="AO424" s="724"/>
      <c r="AP424" s="724"/>
      <c r="AQ424" s="724"/>
      <c r="AR424" s="726"/>
      <c r="AS424" s="724"/>
      <c r="AT424" s="726"/>
      <c r="AU424" s="724" t="s">
        <v>678</v>
      </c>
      <c r="AV424" s="724" t="s">
        <v>677</v>
      </c>
      <c r="AW424" s="724" t="s">
        <v>676</v>
      </c>
      <c r="AX424" s="724" t="s">
        <v>674</v>
      </c>
      <c r="AY424" s="724"/>
      <c r="AZ424" s="724"/>
      <c r="BA424" s="724" t="s">
        <v>679</v>
      </c>
      <c r="BB424" s="724"/>
      <c r="BC424" s="724"/>
      <c r="BD424" s="724"/>
      <c r="BE424" s="726"/>
      <c r="BF424" s="724" t="s">
        <v>298</v>
      </c>
      <c r="BG424" s="724" t="s">
        <v>680</v>
      </c>
      <c r="BH424" s="724" t="s">
        <v>681</v>
      </c>
      <c r="BI424" s="724"/>
    </row>
    <row r="425" spans="1:61">
      <c r="A425" s="724" t="s">
        <v>909</v>
      </c>
      <c r="B425" s="724" t="s">
        <v>909</v>
      </c>
      <c r="C425" s="724" t="s">
        <v>914</v>
      </c>
      <c r="D425" s="724" t="s">
        <v>673</v>
      </c>
      <c r="E425" s="724" t="s">
        <v>3</v>
      </c>
      <c r="F425" s="725" t="s">
        <v>83</v>
      </c>
      <c r="G425" s="725" t="s">
        <v>700</v>
      </c>
      <c r="H425" s="726">
        <v>9120000</v>
      </c>
      <c r="I425" s="726">
        <v>9120000</v>
      </c>
      <c r="J425" s="726">
        <v>0</v>
      </c>
      <c r="K425" s="726">
        <v>0</v>
      </c>
      <c r="L425" s="726">
        <v>9120000</v>
      </c>
      <c r="M425" s="726">
        <v>0</v>
      </c>
      <c r="N425" s="726">
        <v>0</v>
      </c>
      <c r="O425" s="726">
        <v>0</v>
      </c>
      <c r="P425" s="726">
        <v>0</v>
      </c>
      <c r="Q425" s="726">
        <v>0</v>
      </c>
      <c r="R425" s="726">
        <v>0</v>
      </c>
      <c r="S425" s="726">
        <v>0</v>
      </c>
      <c r="T425" s="726">
        <v>0</v>
      </c>
      <c r="U425" s="726">
        <v>0</v>
      </c>
      <c r="V425" s="726">
        <v>0</v>
      </c>
      <c r="W425" s="726">
        <v>0</v>
      </c>
      <c r="X425" s="724" t="s">
        <v>674</v>
      </c>
      <c r="Y425" s="724" t="s">
        <v>1226</v>
      </c>
      <c r="Z425" s="724" t="s">
        <v>1226</v>
      </c>
      <c r="AA425" s="724" t="s">
        <v>675</v>
      </c>
      <c r="AB425" s="724" t="s">
        <v>675</v>
      </c>
      <c r="AC425" s="724"/>
      <c r="AD425" s="724"/>
      <c r="AE425" s="724"/>
      <c r="AF425" s="724"/>
      <c r="AG425" s="725" t="s">
        <v>913</v>
      </c>
      <c r="AH425" s="724"/>
      <c r="AI425" s="725" t="s">
        <v>913</v>
      </c>
      <c r="AJ425" s="725" t="s">
        <v>677</v>
      </c>
      <c r="AK425" s="724" t="s">
        <v>677</v>
      </c>
      <c r="AL425" s="724"/>
      <c r="AM425" s="724"/>
      <c r="AN425" s="724"/>
      <c r="AO425" s="724"/>
      <c r="AP425" s="724"/>
      <c r="AQ425" s="724"/>
      <c r="AR425" s="726"/>
      <c r="AS425" s="724"/>
      <c r="AT425" s="726"/>
      <c r="AU425" s="724" t="s">
        <v>678</v>
      </c>
      <c r="AV425" s="724" t="s">
        <v>677</v>
      </c>
      <c r="AW425" s="724" t="s">
        <v>676</v>
      </c>
      <c r="AX425" s="724" t="s">
        <v>674</v>
      </c>
      <c r="AY425" s="724"/>
      <c r="AZ425" s="724"/>
      <c r="BA425" s="724" t="s">
        <v>679</v>
      </c>
      <c r="BB425" s="724"/>
      <c r="BC425" s="724"/>
      <c r="BD425" s="724"/>
      <c r="BE425" s="726"/>
      <c r="BF425" s="724" t="s">
        <v>298</v>
      </c>
      <c r="BG425" s="724" t="s">
        <v>680</v>
      </c>
      <c r="BH425" s="724" t="s">
        <v>681</v>
      </c>
      <c r="BI425" s="724"/>
    </row>
    <row r="426" spans="1:61">
      <c r="A426" s="724" t="s">
        <v>909</v>
      </c>
      <c r="B426" s="724" t="s">
        <v>909</v>
      </c>
      <c r="C426" s="724" t="s">
        <v>914</v>
      </c>
      <c r="D426" s="724" t="s">
        <v>673</v>
      </c>
      <c r="E426" s="724" t="s">
        <v>3</v>
      </c>
      <c r="F426" s="725" t="s">
        <v>83</v>
      </c>
      <c r="G426" s="725" t="s">
        <v>700</v>
      </c>
      <c r="H426" s="726">
        <v>880000</v>
      </c>
      <c r="I426" s="726">
        <v>880000</v>
      </c>
      <c r="J426" s="726">
        <v>0</v>
      </c>
      <c r="K426" s="726">
        <v>0</v>
      </c>
      <c r="L426" s="726">
        <v>880000</v>
      </c>
      <c r="M426" s="726">
        <v>0</v>
      </c>
      <c r="N426" s="726">
        <v>0</v>
      </c>
      <c r="O426" s="726">
        <v>0</v>
      </c>
      <c r="P426" s="726">
        <v>0</v>
      </c>
      <c r="Q426" s="726">
        <v>0</v>
      </c>
      <c r="R426" s="726">
        <v>0</v>
      </c>
      <c r="S426" s="726">
        <v>0</v>
      </c>
      <c r="T426" s="726">
        <v>0</v>
      </c>
      <c r="U426" s="726">
        <v>0</v>
      </c>
      <c r="V426" s="726">
        <v>0</v>
      </c>
      <c r="W426" s="726">
        <v>0</v>
      </c>
      <c r="X426" s="724" t="s">
        <v>674</v>
      </c>
      <c r="Y426" s="724" t="s">
        <v>1226</v>
      </c>
      <c r="Z426" s="724" t="s">
        <v>1226</v>
      </c>
      <c r="AA426" s="724" t="s">
        <v>675</v>
      </c>
      <c r="AB426" s="724" t="s">
        <v>675</v>
      </c>
      <c r="AC426" s="724"/>
      <c r="AD426" s="724"/>
      <c r="AE426" s="724"/>
      <c r="AF426" s="724"/>
      <c r="AG426" s="725" t="s">
        <v>912</v>
      </c>
      <c r="AH426" s="724"/>
      <c r="AI426" s="725" t="s">
        <v>912</v>
      </c>
      <c r="AJ426" s="725" t="s">
        <v>677</v>
      </c>
      <c r="AK426" s="724" t="s">
        <v>677</v>
      </c>
      <c r="AL426" s="724"/>
      <c r="AM426" s="724"/>
      <c r="AN426" s="724"/>
      <c r="AO426" s="724"/>
      <c r="AP426" s="724"/>
      <c r="AQ426" s="724"/>
      <c r="AR426" s="726"/>
      <c r="AS426" s="724"/>
      <c r="AT426" s="726"/>
      <c r="AU426" s="724" t="s">
        <v>678</v>
      </c>
      <c r="AV426" s="724" t="s">
        <v>677</v>
      </c>
      <c r="AW426" s="724" t="s">
        <v>676</v>
      </c>
      <c r="AX426" s="724" t="s">
        <v>674</v>
      </c>
      <c r="AY426" s="724"/>
      <c r="AZ426" s="724"/>
      <c r="BA426" s="724" t="s">
        <v>679</v>
      </c>
      <c r="BB426" s="724"/>
      <c r="BC426" s="724"/>
      <c r="BD426" s="724"/>
      <c r="BE426" s="726"/>
      <c r="BF426" s="724" t="s">
        <v>298</v>
      </c>
      <c r="BG426" s="724" t="s">
        <v>680</v>
      </c>
      <c r="BH426" s="724" t="s">
        <v>681</v>
      </c>
      <c r="BI426" s="724"/>
    </row>
    <row r="427" spans="1:61">
      <c r="A427" s="724" t="s">
        <v>909</v>
      </c>
      <c r="B427" s="724" t="s">
        <v>909</v>
      </c>
      <c r="C427" s="724" t="s">
        <v>914</v>
      </c>
      <c r="D427" s="724" t="s">
        <v>673</v>
      </c>
      <c r="E427" s="724" t="s">
        <v>3</v>
      </c>
      <c r="F427" s="725" t="s">
        <v>83</v>
      </c>
      <c r="G427" s="725" t="s">
        <v>700</v>
      </c>
      <c r="H427" s="726">
        <v>9120000</v>
      </c>
      <c r="I427" s="726">
        <v>9120000</v>
      </c>
      <c r="J427" s="726">
        <v>0</v>
      </c>
      <c r="K427" s="726">
        <v>0</v>
      </c>
      <c r="L427" s="726">
        <v>9120000</v>
      </c>
      <c r="M427" s="726">
        <v>0</v>
      </c>
      <c r="N427" s="726">
        <v>0</v>
      </c>
      <c r="O427" s="726">
        <v>0</v>
      </c>
      <c r="P427" s="726">
        <v>0</v>
      </c>
      <c r="Q427" s="726">
        <v>0</v>
      </c>
      <c r="R427" s="726">
        <v>0</v>
      </c>
      <c r="S427" s="726">
        <v>0</v>
      </c>
      <c r="T427" s="726">
        <v>0</v>
      </c>
      <c r="U427" s="726">
        <v>0</v>
      </c>
      <c r="V427" s="726">
        <v>0</v>
      </c>
      <c r="W427" s="726">
        <v>0</v>
      </c>
      <c r="X427" s="724" t="s">
        <v>674</v>
      </c>
      <c r="Y427" s="724" t="s">
        <v>1226</v>
      </c>
      <c r="Z427" s="724" t="s">
        <v>1226</v>
      </c>
      <c r="AA427" s="724" t="s">
        <v>675</v>
      </c>
      <c r="AB427" s="724" t="s">
        <v>675</v>
      </c>
      <c r="AC427" s="724"/>
      <c r="AD427" s="724"/>
      <c r="AE427" s="724"/>
      <c r="AF427" s="724"/>
      <c r="AG427" s="725" t="s">
        <v>913</v>
      </c>
      <c r="AH427" s="724"/>
      <c r="AI427" s="725" t="s">
        <v>913</v>
      </c>
      <c r="AJ427" s="725" t="s">
        <v>677</v>
      </c>
      <c r="AK427" s="724" t="s">
        <v>677</v>
      </c>
      <c r="AL427" s="724"/>
      <c r="AM427" s="724"/>
      <c r="AN427" s="724"/>
      <c r="AO427" s="724"/>
      <c r="AP427" s="724"/>
      <c r="AQ427" s="724"/>
      <c r="AR427" s="726"/>
      <c r="AS427" s="724"/>
      <c r="AT427" s="726"/>
      <c r="AU427" s="724" t="s">
        <v>678</v>
      </c>
      <c r="AV427" s="724" t="s">
        <v>677</v>
      </c>
      <c r="AW427" s="724" t="s">
        <v>676</v>
      </c>
      <c r="AX427" s="724" t="s">
        <v>674</v>
      </c>
      <c r="AY427" s="724"/>
      <c r="AZ427" s="724"/>
      <c r="BA427" s="724" t="s">
        <v>679</v>
      </c>
      <c r="BB427" s="724"/>
      <c r="BC427" s="724"/>
      <c r="BD427" s="724"/>
      <c r="BE427" s="726"/>
      <c r="BF427" s="724" t="s">
        <v>298</v>
      </c>
      <c r="BG427" s="724" t="s">
        <v>680</v>
      </c>
      <c r="BH427" s="724" t="s">
        <v>681</v>
      </c>
      <c r="BI427" s="724"/>
    </row>
    <row r="428" spans="1:61">
      <c r="A428" s="724" t="s">
        <v>909</v>
      </c>
      <c r="B428" s="724" t="s">
        <v>909</v>
      </c>
      <c r="C428" s="724" t="s">
        <v>914</v>
      </c>
      <c r="D428" s="724" t="s">
        <v>673</v>
      </c>
      <c r="E428" s="724" t="s">
        <v>3</v>
      </c>
      <c r="F428" s="725" t="s">
        <v>83</v>
      </c>
      <c r="G428" s="725" t="s">
        <v>700</v>
      </c>
      <c r="H428" s="726">
        <v>880000</v>
      </c>
      <c r="I428" s="726">
        <v>880000</v>
      </c>
      <c r="J428" s="726">
        <v>0</v>
      </c>
      <c r="K428" s="726">
        <v>0</v>
      </c>
      <c r="L428" s="726">
        <v>880000</v>
      </c>
      <c r="M428" s="726">
        <v>0</v>
      </c>
      <c r="N428" s="726">
        <v>0</v>
      </c>
      <c r="O428" s="726">
        <v>0</v>
      </c>
      <c r="P428" s="726">
        <v>0</v>
      </c>
      <c r="Q428" s="726">
        <v>0</v>
      </c>
      <c r="R428" s="726">
        <v>0</v>
      </c>
      <c r="S428" s="726">
        <v>0</v>
      </c>
      <c r="T428" s="726">
        <v>0</v>
      </c>
      <c r="U428" s="726">
        <v>0</v>
      </c>
      <c r="V428" s="726">
        <v>0</v>
      </c>
      <c r="W428" s="726">
        <v>0</v>
      </c>
      <c r="X428" s="724" t="s">
        <v>674</v>
      </c>
      <c r="Y428" s="724" t="s">
        <v>1226</v>
      </c>
      <c r="Z428" s="724" t="s">
        <v>1226</v>
      </c>
      <c r="AA428" s="724" t="s">
        <v>675</v>
      </c>
      <c r="AB428" s="724" t="s">
        <v>675</v>
      </c>
      <c r="AC428" s="724"/>
      <c r="AD428" s="724"/>
      <c r="AE428" s="724"/>
      <c r="AF428" s="724"/>
      <c r="AG428" s="725" t="s">
        <v>912</v>
      </c>
      <c r="AH428" s="724"/>
      <c r="AI428" s="725" t="s">
        <v>912</v>
      </c>
      <c r="AJ428" s="725" t="s">
        <v>677</v>
      </c>
      <c r="AK428" s="724" t="s">
        <v>677</v>
      </c>
      <c r="AL428" s="724"/>
      <c r="AM428" s="724"/>
      <c r="AN428" s="724"/>
      <c r="AO428" s="724"/>
      <c r="AP428" s="724"/>
      <c r="AQ428" s="724"/>
      <c r="AR428" s="726"/>
      <c r="AS428" s="724"/>
      <c r="AT428" s="726"/>
      <c r="AU428" s="724" t="s">
        <v>678</v>
      </c>
      <c r="AV428" s="724" t="s">
        <v>677</v>
      </c>
      <c r="AW428" s="724" t="s">
        <v>676</v>
      </c>
      <c r="AX428" s="724" t="s">
        <v>674</v>
      </c>
      <c r="AY428" s="724"/>
      <c r="AZ428" s="724"/>
      <c r="BA428" s="724" t="s">
        <v>679</v>
      </c>
      <c r="BB428" s="724"/>
      <c r="BC428" s="724"/>
      <c r="BD428" s="724"/>
      <c r="BE428" s="726"/>
      <c r="BF428" s="724" t="s">
        <v>298</v>
      </c>
      <c r="BG428" s="724" t="s">
        <v>680</v>
      </c>
      <c r="BH428" s="724" t="s">
        <v>681</v>
      </c>
      <c r="BI428" s="724"/>
    </row>
    <row r="429" spans="1:61">
      <c r="A429" s="724" t="s">
        <v>909</v>
      </c>
      <c r="B429" s="724" t="s">
        <v>909</v>
      </c>
      <c r="C429" s="724" t="s">
        <v>914</v>
      </c>
      <c r="D429" s="724" t="s">
        <v>673</v>
      </c>
      <c r="E429" s="724" t="s">
        <v>3</v>
      </c>
      <c r="F429" s="725" t="s">
        <v>83</v>
      </c>
      <c r="G429" s="725" t="s">
        <v>700</v>
      </c>
      <c r="H429" s="726">
        <v>440000</v>
      </c>
      <c r="I429" s="726">
        <v>440000</v>
      </c>
      <c r="J429" s="726">
        <v>0</v>
      </c>
      <c r="K429" s="726">
        <v>0</v>
      </c>
      <c r="L429" s="726">
        <v>440000</v>
      </c>
      <c r="M429" s="726">
        <v>0</v>
      </c>
      <c r="N429" s="726">
        <v>0</v>
      </c>
      <c r="O429" s="726">
        <v>0</v>
      </c>
      <c r="P429" s="726">
        <v>0</v>
      </c>
      <c r="Q429" s="726">
        <v>0</v>
      </c>
      <c r="R429" s="726">
        <v>0</v>
      </c>
      <c r="S429" s="726">
        <v>0</v>
      </c>
      <c r="T429" s="726">
        <v>0</v>
      </c>
      <c r="U429" s="726">
        <v>0</v>
      </c>
      <c r="V429" s="726">
        <v>0</v>
      </c>
      <c r="W429" s="726">
        <v>0</v>
      </c>
      <c r="X429" s="724" t="s">
        <v>674</v>
      </c>
      <c r="Y429" s="724" t="s">
        <v>1226</v>
      </c>
      <c r="Z429" s="724" t="s">
        <v>1226</v>
      </c>
      <c r="AA429" s="724" t="s">
        <v>675</v>
      </c>
      <c r="AB429" s="724" t="s">
        <v>675</v>
      </c>
      <c r="AC429" s="724"/>
      <c r="AD429" s="724"/>
      <c r="AE429" s="724"/>
      <c r="AF429" s="724"/>
      <c r="AG429" s="725" t="s">
        <v>912</v>
      </c>
      <c r="AH429" s="724"/>
      <c r="AI429" s="725" t="s">
        <v>912</v>
      </c>
      <c r="AJ429" s="725" t="s">
        <v>677</v>
      </c>
      <c r="AK429" s="724" t="s">
        <v>677</v>
      </c>
      <c r="AL429" s="724"/>
      <c r="AM429" s="724"/>
      <c r="AN429" s="724"/>
      <c r="AO429" s="724"/>
      <c r="AP429" s="724"/>
      <c r="AQ429" s="724"/>
      <c r="AR429" s="726"/>
      <c r="AS429" s="724"/>
      <c r="AT429" s="726"/>
      <c r="AU429" s="724" t="s">
        <v>678</v>
      </c>
      <c r="AV429" s="724" t="s">
        <v>677</v>
      </c>
      <c r="AW429" s="724" t="s">
        <v>676</v>
      </c>
      <c r="AX429" s="724" t="s">
        <v>674</v>
      </c>
      <c r="AY429" s="724"/>
      <c r="AZ429" s="724"/>
      <c r="BA429" s="724" t="s">
        <v>679</v>
      </c>
      <c r="BB429" s="724"/>
      <c r="BC429" s="724"/>
      <c r="BD429" s="724"/>
      <c r="BE429" s="726"/>
      <c r="BF429" s="724" t="s">
        <v>298</v>
      </c>
      <c r="BG429" s="724" t="s">
        <v>680</v>
      </c>
      <c r="BH429" s="724" t="s">
        <v>681</v>
      </c>
      <c r="BI429" s="724"/>
    </row>
    <row r="430" spans="1:61">
      <c r="A430" s="724" t="s">
        <v>909</v>
      </c>
      <c r="B430" s="724" t="s">
        <v>909</v>
      </c>
      <c r="C430" s="724" t="s">
        <v>914</v>
      </c>
      <c r="D430" s="724" t="s">
        <v>673</v>
      </c>
      <c r="E430" s="724" t="s">
        <v>3</v>
      </c>
      <c r="F430" s="725" t="s">
        <v>83</v>
      </c>
      <c r="G430" s="725" t="s">
        <v>700</v>
      </c>
      <c r="H430" s="726">
        <v>9120000</v>
      </c>
      <c r="I430" s="726">
        <v>9120000</v>
      </c>
      <c r="J430" s="726">
        <v>0</v>
      </c>
      <c r="K430" s="726">
        <v>0</v>
      </c>
      <c r="L430" s="726">
        <v>9120000</v>
      </c>
      <c r="M430" s="726">
        <v>0</v>
      </c>
      <c r="N430" s="726">
        <v>0</v>
      </c>
      <c r="O430" s="726">
        <v>0</v>
      </c>
      <c r="P430" s="726">
        <v>0</v>
      </c>
      <c r="Q430" s="726">
        <v>0</v>
      </c>
      <c r="R430" s="726">
        <v>0</v>
      </c>
      <c r="S430" s="726">
        <v>0</v>
      </c>
      <c r="T430" s="726">
        <v>0</v>
      </c>
      <c r="U430" s="726">
        <v>0</v>
      </c>
      <c r="V430" s="726">
        <v>0</v>
      </c>
      <c r="W430" s="726">
        <v>0</v>
      </c>
      <c r="X430" s="724" t="s">
        <v>674</v>
      </c>
      <c r="Y430" s="724" t="s">
        <v>1226</v>
      </c>
      <c r="Z430" s="724" t="s">
        <v>1226</v>
      </c>
      <c r="AA430" s="724" t="s">
        <v>675</v>
      </c>
      <c r="AB430" s="724" t="s">
        <v>675</v>
      </c>
      <c r="AC430" s="724"/>
      <c r="AD430" s="724"/>
      <c r="AE430" s="724"/>
      <c r="AF430" s="724"/>
      <c r="AG430" s="725" t="s">
        <v>913</v>
      </c>
      <c r="AH430" s="724"/>
      <c r="AI430" s="725" t="s">
        <v>913</v>
      </c>
      <c r="AJ430" s="725" t="s">
        <v>677</v>
      </c>
      <c r="AK430" s="724" t="s">
        <v>677</v>
      </c>
      <c r="AL430" s="724"/>
      <c r="AM430" s="724"/>
      <c r="AN430" s="724"/>
      <c r="AO430" s="724"/>
      <c r="AP430" s="724"/>
      <c r="AQ430" s="724"/>
      <c r="AR430" s="726"/>
      <c r="AS430" s="724"/>
      <c r="AT430" s="726"/>
      <c r="AU430" s="724" t="s">
        <v>678</v>
      </c>
      <c r="AV430" s="724" t="s">
        <v>677</v>
      </c>
      <c r="AW430" s="724" t="s">
        <v>676</v>
      </c>
      <c r="AX430" s="724" t="s">
        <v>674</v>
      </c>
      <c r="AY430" s="724"/>
      <c r="AZ430" s="724"/>
      <c r="BA430" s="724" t="s">
        <v>679</v>
      </c>
      <c r="BB430" s="724"/>
      <c r="BC430" s="724"/>
      <c r="BD430" s="724"/>
      <c r="BE430" s="726"/>
      <c r="BF430" s="724" t="s">
        <v>298</v>
      </c>
      <c r="BG430" s="724" t="s">
        <v>680</v>
      </c>
      <c r="BH430" s="724" t="s">
        <v>681</v>
      </c>
      <c r="BI430" s="724"/>
    </row>
    <row r="431" spans="1:61">
      <c r="A431" s="724" t="s">
        <v>909</v>
      </c>
      <c r="B431" s="724" t="s">
        <v>909</v>
      </c>
      <c r="C431" s="724" t="s">
        <v>914</v>
      </c>
      <c r="D431" s="724" t="s">
        <v>673</v>
      </c>
      <c r="E431" s="724" t="s">
        <v>3</v>
      </c>
      <c r="F431" s="725" t="s">
        <v>83</v>
      </c>
      <c r="G431" s="725" t="s">
        <v>700</v>
      </c>
      <c r="H431" s="726">
        <v>880000</v>
      </c>
      <c r="I431" s="726">
        <v>880000</v>
      </c>
      <c r="J431" s="726">
        <v>0</v>
      </c>
      <c r="K431" s="726">
        <v>0</v>
      </c>
      <c r="L431" s="726">
        <v>880000</v>
      </c>
      <c r="M431" s="726">
        <v>0</v>
      </c>
      <c r="N431" s="726">
        <v>0</v>
      </c>
      <c r="O431" s="726">
        <v>0</v>
      </c>
      <c r="P431" s="726">
        <v>0</v>
      </c>
      <c r="Q431" s="726">
        <v>0</v>
      </c>
      <c r="R431" s="726">
        <v>0</v>
      </c>
      <c r="S431" s="726">
        <v>0</v>
      </c>
      <c r="T431" s="726">
        <v>0</v>
      </c>
      <c r="U431" s="726">
        <v>0</v>
      </c>
      <c r="V431" s="726">
        <v>0</v>
      </c>
      <c r="W431" s="726">
        <v>0</v>
      </c>
      <c r="X431" s="724" t="s">
        <v>674</v>
      </c>
      <c r="Y431" s="724" t="s">
        <v>1226</v>
      </c>
      <c r="Z431" s="724" t="s">
        <v>1226</v>
      </c>
      <c r="AA431" s="724" t="s">
        <v>675</v>
      </c>
      <c r="AB431" s="724" t="s">
        <v>675</v>
      </c>
      <c r="AC431" s="724"/>
      <c r="AD431" s="724"/>
      <c r="AE431" s="724"/>
      <c r="AF431" s="724"/>
      <c r="AG431" s="725" t="s">
        <v>912</v>
      </c>
      <c r="AH431" s="724"/>
      <c r="AI431" s="725" t="s">
        <v>912</v>
      </c>
      <c r="AJ431" s="725" t="s">
        <v>677</v>
      </c>
      <c r="AK431" s="724" t="s">
        <v>677</v>
      </c>
      <c r="AL431" s="724"/>
      <c r="AM431" s="724"/>
      <c r="AN431" s="724"/>
      <c r="AO431" s="724"/>
      <c r="AP431" s="724"/>
      <c r="AQ431" s="724"/>
      <c r="AR431" s="726"/>
      <c r="AS431" s="724"/>
      <c r="AT431" s="726"/>
      <c r="AU431" s="724" t="s">
        <v>678</v>
      </c>
      <c r="AV431" s="724" t="s">
        <v>677</v>
      </c>
      <c r="AW431" s="724" t="s">
        <v>676</v>
      </c>
      <c r="AX431" s="724" t="s">
        <v>674</v>
      </c>
      <c r="AY431" s="724"/>
      <c r="AZ431" s="724"/>
      <c r="BA431" s="724" t="s">
        <v>679</v>
      </c>
      <c r="BB431" s="724"/>
      <c r="BC431" s="724"/>
      <c r="BD431" s="724"/>
      <c r="BE431" s="726"/>
      <c r="BF431" s="724" t="s">
        <v>298</v>
      </c>
      <c r="BG431" s="724" t="s">
        <v>680</v>
      </c>
      <c r="BH431" s="724" t="s">
        <v>681</v>
      </c>
      <c r="BI431" s="724"/>
    </row>
    <row r="432" spans="1:61">
      <c r="A432" s="724" t="s">
        <v>909</v>
      </c>
      <c r="B432" s="724" t="s">
        <v>909</v>
      </c>
      <c r="C432" s="724" t="s">
        <v>914</v>
      </c>
      <c r="D432" s="724" t="s">
        <v>673</v>
      </c>
      <c r="E432" s="724" t="s">
        <v>3</v>
      </c>
      <c r="F432" s="725" t="s">
        <v>83</v>
      </c>
      <c r="G432" s="725" t="s">
        <v>700</v>
      </c>
      <c r="H432" s="726">
        <v>880000</v>
      </c>
      <c r="I432" s="726">
        <v>880000</v>
      </c>
      <c r="J432" s="726">
        <v>0</v>
      </c>
      <c r="K432" s="726">
        <v>0</v>
      </c>
      <c r="L432" s="726">
        <v>880000</v>
      </c>
      <c r="M432" s="726">
        <v>0</v>
      </c>
      <c r="N432" s="726">
        <v>0</v>
      </c>
      <c r="O432" s="726">
        <v>0</v>
      </c>
      <c r="P432" s="726">
        <v>0</v>
      </c>
      <c r="Q432" s="726">
        <v>0</v>
      </c>
      <c r="R432" s="726">
        <v>0</v>
      </c>
      <c r="S432" s="726">
        <v>0</v>
      </c>
      <c r="T432" s="726">
        <v>0</v>
      </c>
      <c r="U432" s="726">
        <v>0</v>
      </c>
      <c r="V432" s="726">
        <v>0</v>
      </c>
      <c r="W432" s="726">
        <v>0</v>
      </c>
      <c r="X432" s="724" t="s">
        <v>674</v>
      </c>
      <c r="Y432" s="724" t="s">
        <v>1226</v>
      </c>
      <c r="Z432" s="724" t="s">
        <v>1226</v>
      </c>
      <c r="AA432" s="724" t="s">
        <v>675</v>
      </c>
      <c r="AB432" s="724" t="s">
        <v>675</v>
      </c>
      <c r="AC432" s="724"/>
      <c r="AD432" s="724"/>
      <c r="AE432" s="724"/>
      <c r="AF432" s="724"/>
      <c r="AG432" s="725" t="s">
        <v>912</v>
      </c>
      <c r="AH432" s="724"/>
      <c r="AI432" s="725" t="s">
        <v>912</v>
      </c>
      <c r="AJ432" s="725" t="s">
        <v>677</v>
      </c>
      <c r="AK432" s="724" t="s">
        <v>677</v>
      </c>
      <c r="AL432" s="724"/>
      <c r="AM432" s="724"/>
      <c r="AN432" s="724"/>
      <c r="AO432" s="724"/>
      <c r="AP432" s="724"/>
      <c r="AQ432" s="724"/>
      <c r="AR432" s="726"/>
      <c r="AS432" s="724"/>
      <c r="AT432" s="726"/>
      <c r="AU432" s="724" t="s">
        <v>678</v>
      </c>
      <c r="AV432" s="724" t="s">
        <v>677</v>
      </c>
      <c r="AW432" s="724" t="s">
        <v>676</v>
      </c>
      <c r="AX432" s="724" t="s">
        <v>674</v>
      </c>
      <c r="AY432" s="724"/>
      <c r="AZ432" s="724"/>
      <c r="BA432" s="724" t="s">
        <v>679</v>
      </c>
      <c r="BB432" s="724"/>
      <c r="BC432" s="724"/>
      <c r="BD432" s="724"/>
      <c r="BE432" s="726"/>
      <c r="BF432" s="724" t="s">
        <v>298</v>
      </c>
      <c r="BG432" s="724" t="s">
        <v>680</v>
      </c>
      <c r="BH432" s="724" t="s">
        <v>681</v>
      </c>
      <c r="BI432" s="724"/>
    </row>
    <row r="433" spans="1:61">
      <c r="A433" s="724" t="s">
        <v>909</v>
      </c>
      <c r="B433" s="724" t="s">
        <v>909</v>
      </c>
      <c r="C433" s="724" t="s">
        <v>914</v>
      </c>
      <c r="D433" s="724" t="s">
        <v>673</v>
      </c>
      <c r="E433" s="724" t="s">
        <v>3</v>
      </c>
      <c r="F433" s="725" t="s">
        <v>83</v>
      </c>
      <c r="G433" s="725" t="s">
        <v>700</v>
      </c>
      <c r="H433" s="726">
        <v>9120000</v>
      </c>
      <c r="I433" s="726">
        <v>9120000</v>
      </c>
      <c r="J433" s="726">
        <v>0</v>
      </c>
      <c r="K433" s="726">
        <v>0</v>
      </c>
      <c r="L433" s="726">
        <v>9120000</v>
      </c>
      <c r="M433" s="726">
        <v>0</v>
      </c>
      <c r="N433" s="726">
        <v>0</v>
      </c>
      <c r="O433" s="726">
        <v>0</v>
      </c>
      <c r="P433" s="726">
        <v>0</v>
      </c>
      <c r="Q433" s="726">
        <v>0</v>
      </c>
      <c r="R433" s="726">
        <v>0</v>
      </c>
      <c r="S433" s="726">
        <v>0</v>
      </c>
      <c r="T433" s="726">
        <v>0</v>
      </c>
      <c r="U433" s="726">
        <v>0</v>
      </c>
      <c r="V433" s="726">
        <v>0</v>
      </c>
      <c r="W433" s="726">
        <v>0</v>
      </c>
      <c r="X433" s="724" t="s">
        <v>674</v>
      </c>
      <c r="Y433" s="724" t="s">
        <v>1226</v>
      </c>
      <c r="Z433" s="724" t="s">
        <v>1226</v>
      </c>
      <c r="AA433" s="724" t="s">
        <v>675</v>
      </c>
      <c r="AB433" s="724" t="s">
        <v>675</v>
      </c>
      <c r="AC433" s="724"/>
      <c r="AD433" s="724"/>
      <c r="AE433" s="724"/>
      <c r="AF433" s="724"/>
      <c r="AG433" s="725" t="s">
        <v>913</v>
      </c>
      <c r="AH433" s="724"/>
      <c r="AI433" s="725" t="s">
        <v>913</v>
      </c>
      <c r="AJ433" s="725" t="s">
        <v>677</v>
      </c>
      <c r="AK433" s="724" t="s">
        <v>677</v>
      </c>
      <c r="AL433" s="724"/>
      <c r="AM433" s="724"/>
      <c r="AN433" s="724"/>
      <c r="AO433" s="724"/>
      <c r="AP433" s="724"/>
      <c r="AQ433" s="724"/>
      <c r="AR433" s="726"/>
      <c r="AS433" s="724"/>
      <c r="AT433" s="726"/>
      <c r="AU433" s="724" t="s">
        <v>678</v>
      </c>
      <c r="AV433" s="724" t="s">
        <v>677</v>
      </c>
      <c r="AW433" s="724" t="s">
        <v>676</v>
      </c>
      <c r="AX433" s="724" t="s">
        <v>674</v>
      </c>
      <c r="AY433" s="724"/>
      <c r="AZ433" s="724"/>
      <c r="BA433" s="724" t="s">
        <v>679</v>
      </c>
      <c r="BB433" s="724"/>
      <c r="BC433" s="724"/>
      <c r="BD433" s="724"/>
      <c r="BE433" s="726"/>
      <c r="BF433" s="724" t="s">
        <v>298</v>
      </c>
      <c r="BG433" s="724" t="s">
        <v>680</v>
      </c>
      <c r="BH433" s="724" t="s">
        <v>681</v>
      </c>
      <c r="BI433" s="724"/>
    </row>
    <row r="434" spans="1:61">
      <c r="A434" s="724" t="s">
        <v>909</v>
      </c>
      <c r="B434" s="724" t="s">
        <v>909</v>
      </c>
      <c r="C434" s="724" t="s">
        <v>914</v>
      </c>
      <c r="D434" s="724" t="s">
        <v>673</v>
      </c>
      <c r="E434" s="724" t="s">
        <v>3</v>
      </c>
      <c r="F434" s="725" t="s">
        <v>83</v>
      </c>
      <c r="G434" s="725" t="s">
        <v>700</v>
      </c>
      <c r="H434" s="726">
        <v>9120000</v>
      </c>
      <c r="I434" s="726">
        <v>9120000</v>
      </c>
      <c r="J434" s="726">
        <v>0</v>
      </c>
      <c r="K434" s="726">
        <v>0</v>
      </c>
      <c r="L434" s="726">
        <v>9120000</v>
      </c>
      <c r="M434" s="726">
        <v>0</v>
      </c>
      <c r="N434" s="726">
        <v>0</v>
      </c>
      <c r="O434" s="726">
        <v>0</v>
      </c>
      <c r="P434" s="726">
        <v>0</v>
      </c>
      <c r="Q434" s="726">
        <v>0</v>
      </c>
      <c r="R434" s="726">
        <v>0</v>
      </c>
      <c r="S434" s="726">
        <v>0</v>
      </c>
      <c r="T434" s="726">
        <v>0</v>
      </c>
      <c r="U434" s="726">
        <v>0</v>
      </c>
      <c r="V434" s="726">
        <v>0</v>
      </c>
      <c r="W434" s="726">
        <v>0</v>
      </c>
      <c r="X434" s="724" t="s">
        <v>674</v>
      </c>
      <c r="Y434" s="724" t="s">
        <v>1226</v>
      </c>
      <c r="Z434" s="724" t="s">
        <v>1226</v>
      </c>
      <c r="AA434" s="724" t="s">
        <v>675</v>
      </c>
      <c r="AB434" s="724" t="s">
        <v>675</v>
      </c>
      <c r="AC434" s="724"/>
      <c r="AD434" s="724"/>
      <c r="AE434" s="724"/>
      <c r="AF434" s="724"/>
      <c r="AG434" s="725" t="s">
        <v>913</v>
      </c>
      <c r="AH434" s="724"/>
      <c r="AI434" s="725" t="s">
        <v>913</v>
      </c>
      <c r="AJ434" s="725" t="s">
        <v>677</v>
      </c>
      <c r="AK434" s="724" t="s">
        <v>677</v>
      </c>
      <c r="AL434" s="724"/>
      <c r="AM434" s="724"/>
      <c r="AN434" s="724"/>
      <c r="AO434" s="724"/>
      <c r="AP434" s="724"/>
      <c r="AQ434" s="724"/>
      <c r="AR434" s="726"/>
      <c r="AS434" s="724"/>
      <c r="AT434" s="726"/>
      <c r="AU434" s="724" t="s">
        <v>678</v>
      </c>
      <c r="AV434" s="724" t="s">
        <v>677</v>
      </c>
      <c r="AW434" s="724" t="s">
        <v>676</v>
      </c>
      <c r="AX434" s="724" t="s">
        <v>674</v>
      </c>
      <c r="AY434" s="724"/>
      <c r="AZ434" s="724"/>
      <c r="BA434" s="724" t="s">
        <v>679</v>
      </c>
      <c r="BB434" s="724"/>
      <c r="BC434" s="724"/>
      <c r="BD434" s="724"/>
      <c r="BE434" s="726"/>
      <c r="BF434" s="724" t="s">
        <v>298</v>
      </c>
      <c r="BG434" s="724" t="s">
        <v>680</v>
      </c>
      <c r="BH434" s="724" t="s">
        <v>681</v>
      </c>
      <c r="BI434" s="724"/>
    </row>
    <row r="435" spans="1:61">
      <c r="A435" s="724" t="s">
        <v>909</v>
      </c>
      <c r="B435" s="724" t="s">
        <v>909</v>
      </c>
      <c r="C435" s="724" t="s">
        <v>914</v>
      </c>
      <c r="D435" s="724" t="s">
        <v>673</v>
      </c>
      <c r="E435" s="724" t="s">
        <v>3</v>
      </c>
      <c r="F435" s="725" t="s">
        <v>83</v>
      </c>
      <c r="G435" s="725" t="s">
        <v>700</v>
      </c>
      <c r="H435" s="726">
        <v>880000</v>
      </c>
      <c r="I435" s="726">
        <v>880000</v>
      </c>
      <c r="J435" s="726">
        <v>0</v>
      </c>
      <c r="K435" s="726">
        <v>0</v>
      </c>
      <c r="L435" s="726">
        <v>880000</v>
      </c>
      <c r="M435" s="726">
        <v>0</v>
      </c>
      <c r="N435" s="726">
        <v>0</v>
      </c>
      <c r="O435" s="726">
        <v>0</v>
      </c>
      <c r="P435" s="726">
        <v>0</v>
      </c>
      <c r="Q435" s="726">
        <v>0</v>
      </c>
      <c r="R435" s="726">
        <v>0</v>
      </c>
      <c r="S435" s="726">
        <v>0</v>
      </c>
      <c r="T435" s="726">
        <v>0</v>
      </c>
      <c r="U435" s="726">
        <v>0</v>
      </c>
      <c r="V435" s="726">
        <v>0</v>
      </c>
      <c r="W435" s="726">
        <v>0</v>
      </c>
      <c r="X435" s="724" t="s">
        <v>674</v>
      </c>
      <c r="Y435" s="724" t="s">
        <v>1226</v>
      </c>
      <c r="Z435" s="724" t="s">
        <v>1226</v>
      </c>
      <c r="AA435" s="724" t="s">
        <v>675</v>
      </c>
      <c r="AB435" s="724" t="s">
        <v>675</v>
      </c>
      <c r="AC435" s="724"/>
      <c r="AD435" s="724"/>
      <c r="AE435" s="724"/>
      <c r="AF435" s="724"/>
      <c r="AG435" s="725" t="s">
        <v>912</v>
      </c>
      <c r="AH435" s="724"/>
      <c r="AI435" s="725" t="s">
        <v>912</v>
      </c>
      <c r="AJ435" s="725" t="s">
        <v>677</v>
      </c>
      <c r="AK435" s="724" t="s">
        <v>677</v>
      </c>
      <c r="AL435" s="724"/>
      <c r="AM435" s="724"/>
      <c r="AN435" s="724"/>
      <c r="AO435" s="724"/>
      <c r="AP435" s="724"/>
      <c r="AQ435" s="724"/>
      <c r="AR435" s="726"/>
      <c r="AS435" s="724"/>
      <c r="AT435" s="726"/>
      <c r="AU435" s="724" t="s">
        <v>678</v>
      </c>
      <c r="AV435" s="724" t="s">
        <v>677</v>
      </c>
      <c r="AW435" s="724" t="s">
        <v>676</v>
      </c>
      <c r="AX435" s="724" t="s">
        <v>674</v>
      </c>
      <c r="AY435" s="724"/>
      <c r="AZ435" s="724"/>
      <c r="BA435" s="724" t="s">
        <v>679</v>
      </c>
      <c r="BB435" s="724"/>
      <c r="BC435" s="724"/>
      <c r="BD435" s="724"/>
      <c r="BE435" s="726"/>
      <c r="BF435" s="724" t="s">
        <v>298</v>
      </c>
      <c r="BG435" s="724" t="s">
        <v>680</v>
      </c>
      <c r="BH435" s="724" t="s">
        <v>681</v>
      </c>
      <c r="BI435" s="724"/>
    </row>
    <row r="436" spans="1:61">
      <c r="A436" s="724" t="s">
        <v>909</v>
      </c>
      <c r="B436" s="724" t="s">
        <v>909</v>
      </c>
      <c r="C436" s="724" t="s">
        <v>914</v>
      </c>
      <c r="D436" s="724" t="s">
        <v>673</v>
      </c>
      <c r="E436" s="724" t="s">
        <v>3</v>
      </c>
      <c r="F436" s="725" t="s">
        <v>83</v>
      </c>
      <c r="G436" s="725" t="s">
        <v>700</v>
      </c>
      <c r="H436" s="726">
        <v>880000</v>
      </c>
      <c r="I436" s="726">
        <v>880000</v>
      </c>
      <c r="J436" s="726">
        <v>0</v>
      </c>
      <c r="K436" s="726">
        <v>0</v>
      </c>
      <c r="L436" s="726">
        <v>880000</v>
      </c>
      <c r="M436" s="726">
        <v>0</v>
      </c>
      <c r="N436" s="726">
        <v>0</v>
      </c>
      <c r="O436" s="726">
        <v>0</v>
      </c>
      <c r="P436" s="726">
        <v>0</v>
      </c>
      <c r="Q436" s="726">
        <v>0</v>
      </c>
      <c r="R436" s="726">
        <v>0</v>
      </c>
      <c r="S436" s="726">
        <v>0</v>
      </c>
      <c r="T436" s="726">
        <v>0</v>
      </c>
      <c r="U436" s="726">
        <v>0</v>
      </c>
      <c r="V436" s="726">
        <v>0</v>
      </c>
      <c r="W436" s="726">
        <v>0</v>
      </c>
      <c r="X436" s="724" t="s">
        <v>674</v>
      </c>
      <c r="Y436" s="724" t="s">
        <v>1226</v>
      </c>
      <c r="Z436" s="724" t="s">
        <v>1226</v>
      </c>
      <c r="AA436" s="724" t="s">
        <v>675</v>
      </c>
      <c r="AB436" s="724" t="s">
        <v>675</v>
      </c>
      <c r="AC436" s="724"/>
      <c r="AD436" s="724"/>
      <c r="AE436" s="724"/>
      <c r="AF436" s="724"/>
      <c r="AG436" s="725" t="s">
        <v>912</v>
      </c>
      <c r="AH436" s="724"/>
      <c r="AI436" s="725" t="s">
        <v>912</v>
      </c>
      <c r="AJ436" s="725" t="s">
        <v>677</v>
      </c>
      <c r="AK436" s="724" t="s">
        <v>677</v>
      </c>
      <c r="AL436" s="724"/>
      <c r="AM436" s="724"/>
      <c r="AN436" s="724"/>
      <c r="AO436" s="724"/>
      <c r="AP436" s="724"/>
      <c r="AQ436" s="724"/>
      <c r="AR436" s="726"/>
      <c r="AS436" s="724"/>
      <c r="AT436" s="726"/>
      <c r="AU436" s="724" t="s">
        <v>678</v>
      </c>
      <c r="AV436" s="724" t="s">
        <v>677</v>
      </c>
      <c r="AW436" s="724" t="s">
        <v>676</v>
      </c>
      <c r="AX436" s="724" t="s">
        <v>674</v>
      </c>
      <c r="AY436" s="724"/>
      <c r="AZ436" s="724"/>
      <c r="BA436" s="724" t="s">
        <v>679</v>
      </c>
      <c r="BB436" s="724"/>
      <c r="BC436" s="724"/>
      <c r="BD436" s="724"/>
      <c r="BE436" s="726"/>
      <c r="BF436" s="724" t="s">
        <v>298</v>
      </c>
      <c r="BG436" s="724" t="s">
        <v>680</v>
      </c>
      <c r="BH436" s="724" t="s">
        <v>681</v>
      </c>
      <c r="BI436" s="724"/>
    </row>
    <row r="437" spans="1:61">
      <c r="A437" s="724" t="s">
        <v>909</v>
      </c>
      <c r="B437" s="724" t="s">
        <v>909</v>
      </c>
      <c r="C437" s="724" t="s">
        <v>914</v>
      </c>
      <c r="D437" s="724" t="s">
        <v>673</v>
      </c>
      <c r="E437" s="724" t="s">
        <v>3</v>
      </c>
      <c r="F437" s="725" t="s">
        <v>83</v>
      </c>
      <c r="G437" s="725" t="s">
        <v>700</v>
      </c>
      <c r="H437" s="726">
        <v>9120000</v>
      </c>
      <c r="I437" s="726">
        <v>9120000</v>
      </c>
      <c r="J437" s="726">
        <v>0</v>
      </c>
      <c r="K437" s="726">
        <v>0</v>
      </c>
      <c r="L437" s="726">
        <v>9120000</v>
      </c>
      <c r="M437" s="726">
        <v>0</v>
      </c>
      <c r="N437" s="726">
        <v>0</v>
      </c>
      <c r="O437" s="726">
        <v>0</v>
      </c>
      <c r="P437" s="726">
        <v>0</v>
      </c>
      <c r="Q437" s="726">
        <v>0</v>
      </c>
      <c r="R437" s="726">
        <v>0</v>
      </c>
      <c r="S437" s="726">
        <v>0</v>
      </c>
      <c r="T437" s="726">
        <v>0</v>
      </c>
      <c r="U437" s="726">
        <v>0</v>
      </c>
      <c r="V437" s="726">
        <v>0</v>
      </c>
      <c r="W437" s="726">
        <v>0</v>
      </c>
      <c r="X437" s="724" t="s">
        <v>674</v>
      </c>
      <c r="Y437" s="724" t="s">
        <v>1226</v>
      </c>
      <c r="Z437" s="724" t="s">
        <v>1226</v>
      </c>
      <c r="AA437" s="724" t="s">
        <v>675</v>
      </c>
      <c r="AB437" s="724" t="s">
        <v>675</v>
      </c>
      <c r="AC437" s="724"/>
      <c r="AD437" s="724"/>
      <c r="AE437" s="724"/>
      <c r="AF437" s="724"/>
      <c r="AG437" s="725" t="s">
        <v>913</v>
      </c>
      <c r="AH437" s="724"/>
      <c r="AI437" s="725" t="s">
        <v>913</v>
      </c>
      <c r="AJ437" s="725" t="s">
        <v>677</v>
      </c>
      <c r="AK437" s="724" t="s">
        <v>677</v>
      </c>
      <c r="AL437" s="724"/>
      <c r="AM437" s="724"/>
      <c r="AN437" s="724"/>
      <c r="AO437" s="724"/>
      <c r="AP437" s="724"/>
      <c r="AQ437" s="724"/>
      <c r="AR437" s="726"/>
      <c r="AS437" s="724"/>
      <c r="AT437" s="726"/>
      <c r="AU437" s="724" t="s">
        <v>678</v>
      </c>
      <c r="AV437" s="724" t="s">
        <v>677</v>
      </c>
      <c r="AW437" s="724" t="s">
        <v>676</v>
      </c>
      <c r="AX437" s="724" t="s">
        <v>674</v>
      </c>
      <c r="AY437" s="724"/>
      <c r="AZ437" s="724"/>
      <c r="BA437" s="724" t="s">
        <v>679</v>
      </c>
      <c r="BB437" s="724"/>
      <c r="BC437" s="724"/>
      <c r="BD437" s="724"/>
      <c r="BE437" s="726"/>
      <c r="BF437" s="724" t="s">
        <v>298</v>
      </c>
      <c r="BG437" s="724" t="s">
        <v>680</v>
      </c>
      <c r="BH437" s="724" t="s">
        <v>681</v>
      </c>
      <c r="BI437" s="724"/>
    </row>
    <row r="438" spans="1:61">
      <c r="A438" s="724" t="s">
        <v>909</v>
      </c>
      <c r="B438" s="724" t="s">
        <v>909</v>
      </c>
      <c r="C438" s="724" t="s">
        <v>914</v>
      </c>
      <c r="D438" s="724" t="s">
        <v>673</v>
      </c>
      <c r="E438" s="724" t="s">
        <v>3</v>
      </c>
      <c r="F438" s="725" t="s">
        <v>83</v>
      </c>
      <c r="G438" s="725" t="s">
        <v>700</v>
      </c>
      <c r="H438" s="726">
        <v>4560000</v>
      </c>
      <c r="I438" s="726">
        <v>4560000</v>
      </c>
      <c r="J438" s="726">
        <v>0</v>
      </c>
      <c r="K438" s="726">
        <v>0</v>
      </c>
      <c r="L438" s="726">
        <v>4560000</v>
      </c>
      <c r="M438" s="726">
        <v>0</v>
      </c>
      <c r="N438" s="726">
        <v>0</v>
      </c>
      <c r="O438" s="726">
        <v>0</v>
      </c>
      <c r="P438" s="726">
        <v>0</v>
      </c>
      <c r="Q438" s="726">
        <v>0</v>
      </c>
      <c r="R438" s="726">
        <v>0</v>
      </c>
      <c r="S438" s="726">
        <v>0</v>
      </c>
      <c r="T438" s="726">
        <v>0</v>
      </c>
      <c r="U438" s="726">
        <v>0</v>
      </c>
      <c r="V438" s="726">
        <v>0</v>
      </c>
      <c r="W438" s="726">
        <v>0</v>
      </c>
      <c r="X438" s="724" t="s">
        <v>674</v>
      </c>
      <c r="Y438" s="724" t="s">
        <v>1226</v>
      </c>
      <c r="Z438" s="724" t="s">
        <v>1226</v>
      </c>
      <c r="AA438" s="724" t="s">
        <v>675</v>
      </c>
      <c r="AB438" s="724" t="s">
        <v>675</v>
      </c>
      <c r="AC438" s="724"/>
      <c r="AD438" s="724"/>
      <c r="AE438" s="724"/>
      <c r="AF438" s="724"/>
      <c r="AG438" s="725" t="s">
        <v>913</v>
      </c>
      <c r="AH438" s="724"/>
      <c r="AI438" s="725" t="s">
        <v>913</v>
      </c>
      <c r="AJ438" s="725" t="s">
        <v>677</v>
      </c>
      <c r="AK438" s="724" t="s">
        <v>677</v>
      </c>
      <c r="AL438" s="724"/>
      <c r="AM438" s="724"/>
      <c r="AN438" s="724"/>
      <c r="AO438" s="724"/>
      <c r="AP438" s="724"/>
      <c r="AQ438" s="724"/>
      <c r="AR438" s="726"/>
      <c r="AS438" s="724"/>
      <c r="AT438" s="726"/>
      <c r="AU438" s="724" t="s">
        <v>678</v>
      </c>
      <c r="AV438" s="724" t="s">
        <v>677</v>
      </c>
      <c r="AW438" s="724" t="s">
        <v>676</v>
      </c>
      <c r="AX438" s="724" t="s">
        <v>674</v>
      </c>
      <c r="AY438" s="724"/>
      <c r="AZ438" s="724"/>
      <c r="BA438" s="724" t="s">
        <v>679</v>
      </c>
      <c r="BB438" s="724"/>
      <c r="BC438" s="724"/>
      <c r="BD438" s="724"/>
      <c r="BE438" s="726"/>
      <c r="BF438" s="724" t="s">
        <v>298</v>
      </c>
      <c r="BG438" s="724" t="s">
        <v>680</v>
      </c>
      <c r="BH438" s="724" t="s">
        <v>681</v>
      </c>
      <c r="BI438" s="724"/>
    </row>
    <row r="439" spans="1:61">
      <c r="A439" s="724" t="s">
        <v>914</v>
      </c>
      <c r="B439" s="724" t="s">
        <v>914</v>
      </c>
      <c r="C439" s="724" t="s">
        <v>914</v>
      </c>
      <c r="D439" s="724" t="s">
        <v>673</v>
      </c>
      <c r="E439" s="724" t="s">
        <v>3</v>
      </c>
      <c r="F439" s="725" t="s">
        <v>83</v>
      </c>
      <c r="G439" s="725" t="s">
        <v>700</v>
      </c>
      <c r="H439" s="726">
        <v>1320000</v>
      </c>
      <c r="I439" s="726">
        <v>1320000</v>
      </c>
      <c r="J439" s="726">
        <v>0</v>
      </c>
      <c r="K439" s="726">
        <v>0</v>
      </c>
      <c r="L439" s="726">
        <v>1320000</v>
      </c>
      <c r="M439" s="726">
        <v>0</v>
      </c>
      <c r="N439" s="726">
        <v>0</v>
      </c>
      <c r="O439" s="726">
        <v>0</v>
      </c>
      <c r="P439" s="726">
        <v>0</v>
      </c>
      <c r="Q439" s="726">
        <v>0</v>
      </c>
      <c r="R439" s="726">
        <v>0</v>
      </c>
      <c r="S439" s="726">
        <v>0</v>
      </c>
      <c r="T439" s="726">
        <v>0</v>
      </c>
      <c r="U439" s="726">
        <v>0</v>
      </c>
      <c r="V439" s="726">
        <v>0</v>
      </c>
      <c r="W439" s="726">
        <v>0</v>
      </c>
      <c r="X439" s="724" t="s">
        <v>674</v>
      </c>
      <c r="Y439" s="724" t="s">
        <v>1226</v>
      </c>
      <c r="Z439" s="724" t="s">
        <v>1226</v>
      </c>
      <c r="AA439" s="724" t="s">
        <v>675</v>
      </c>
      <c r="AB439" s="724" t="s">
        <v>675</v>
      </c>
      <c r="AC439" s="724"/>
      <c r="AD439" s="724"/>
      <c r="AE439" s="724"/>
      <c r="AF439" s="724"/>
      <c r="AG439" s="725" t="s">
        <v>912</v>
      </c>
      <c r="AH439" s="724"/>
      <c r="AI439" s="725" t="s">
        <v>912</v>
      </c>
      <c r="AJ439" s="725" t="s">
        <v>677</v>
      </c>
      <c r="AK439" s="724" t="s">
        <v>677</v>
      </c>
      <c r="AL439" s="724"/>
      <c r="AM439" s="724"/>
      <c r="AN439" s="724"/>
      <c r="AO439" s="724"/>
      <c r="AP439" s="724"/>
      <c r="AQ439" s="724"/>
      <c r="AR439" s="726"/>
      <c r="AS439" s="724"/>
      <c r="AT439" s="726"/>
      <c r="AU439" s="724" t="s">
        <v>678</v>
      </c>
      <c r="AV439" s="724" t="s">
        <v>677</v>
      </c>
      <c r="AW439" s="724" t="s">
        <v>676</v>
      </c>
      <c r="AX439" s="724" t="s">
        <v>674</v>
      </c>
      <c r="AY439" s="724"/>
      <c r="AZ439" s="724"/>
      <c r="BA439" s="724" t="s">
        <v>679</v>
      </c>
      <c r="BB439" s="724"/>
      <c r="BC439" s="724"/>
      <c r="BD439" s="724"/>
      <c r="BE439" s="726"/>
      <c r="BF439" s="724" t="s">
        <v>298</v>
      </c>
      <c r="BG439" s="724" t="s">
        <v>680</v>
      </c>
      <c r="BH439" s="724" t="s">
        <v>681</v>
      </c>
      <c r="BI439" s="724"/>
    </row>
    <row r="440" spans="1:61">
      <c r="A440" s="724" t="s">
        <v>914</v>
      </c>
      <c r="B440" s="724" t="s">
        <v>914</v>
      </c>
      <c r="C440" s="724" t="s">
        <v>914</v>
      </c>
      <c r="D440" s="724" t="s">
        <v>673</v>
      </c>
      <c r="E440" s="724" t="s">
        <v>3</v>
      </c>
      <c r="F440" s="725" t="s">
        <v>83</v>
      </c>
      <c r="G440" s="725" t="s">
        <v>700</v>
      </c>
      <c r="H440" s="726">
        <v>9120000</v>
      </c>
      <c r="I440" s="726">
        <v>9120000</v>
      </c>
      <c r="J440" s="726">
        <v>0</v>
      </c>
      <c r="K440" s="726">
        <v>0</v>
      </c>
      <c r="L440" s="726">
        <v>9120000</v>
      </c>
      <c r="M440" s="726">
        <v>0</v>
      </c>
      <c r="N440" s="726">
        <v>0</v>
      </c>
      <c r="O440" s="726">
        <v>0</v>
      </c>
      <c r="P440" s="726">
        <v>0</v>
      </c>
      <c r="Q440" s="726">
        <v>0</v>
      </c>
      <c r="R440" s="726">
        <v>0</v>
      </c>
      <c r="S440" s="726">
        <v>0</v>
      </c>
      <c r="T440" s="726">
        <v>0</v>
      </c>
      <c r="U440" s="726">
        <v>0</v>
      </c>
      <c r="V440" s="726">
        <v>0</v>
      </c>
      <c r="W440" s="726">
        <v>0</v>
      </c>
      <c r="X440" s="724" t="s">
        <v>674</v>
      </c>
      <c r="Y440" s="724" t="s">
        <v>1226</v>
      </c>
      <c r="Z440" s="724" t="s">
        <v>1226</v>
      </c>
      <c r="AA440" s="724" t="s">
        <v>675</v>
      </c>
      <c r="AB440" s="724" t="s">
        <v>675</v>
      </c>
      <c r="AC440" s="724"/>
      <c r="AD440" s="724"/>
      <c r="AE440" s="724"/>
      <c r="AF440" s="724"/>
      <c r="AG440" s="725" t="s">
        <v>913</v>
      </c>
      <c r="AH440" s="724"/>
      <c r="AI440" s="725" t="s">
        <v>913</v>
      </c>
      <c r="AJ440" s="725" t="s">
        <v>677</v>
      </c>
      <c r="AK440" s="724" t="s">
        <v>677</v>
      </c>
      <c r="AL440" s="724"/>
      <c r="AM440" s="724"/>
      <c r="AN440" s="724"/>
      <c r="AO440" s="724"/>
      <c r="AP440" s="724"/>
      <c r="AQ440" s="724"/>
      <c r="AR440" s="726"/>
      <c r="AS440" s="724"/>
      <c r="AT440" s="726"/>
      <c r="AU440" s="724" t="s">
        <v>678</v>
      </c>
      <c r="AV440" s="724" t="s">
        <v>677</v>
      </c>
      <c r="AW440" s="724" t="s">
        <v>676</v>
      </c>
      <c r="AX440" s="724" t="s">
        <v>674</v>
      </c>
      <c r="AY440" s="724"/>
      <c r="AZ440" s="724"/>
      <c r="BA440" s="724" t="s">
        <v>679</v>
      </c>
      <c r="BB440" s="724"/>
      <c r="BC440" s="724"/>
      <c r="BD440" s="724"/>
      <c r="BE440" s="726"/>
      <c r="BF440" s="724" t="s">
        <v>298</v>
      </c>
      <c r="BG440" s="724" t="s">
        <v>680</v>
      </c>
      <c r="BH440" s="724" t="s">
        <v>681</v>
      </c>
      <c r="BI440" s="724"/>
    </row>
    <row r="441" spans="1:61">
      <c r="A441" s="724" t="s">
        <v>914</v>
      </c>
      <c r="B441" s="724" t="s">
        <v>914</v>
      </c>
      <c r="C441" s="724" t="s">
        <v>914</v>
      </c>
      <c r="D441" s="724" t="s">
        <v>673</v>
      </c>
      <c r="E441" s="724" t="s">
        <v>3</v>
      </c>
      <c r="F441" s="725" t="s">
        <v>83</v>
      </c>
      <c r="G441" s="725" t="s">
        <v>700</v>
      </c>
      <c r="H441" s="726">
        <v>880000</v>
      </c>
      <c r="I441" s="726">
        <v>880000</v>
      </c>
      <c r="J441" s="726">
        <v>0</v>
      </c>
      <c r="K441" s="726">
        <v>0</v>
      </c>
      <c r="L441" s="726">
        <v>880000</v>
      </c>
      <c r="M441" s="726">
        <v>0</v>
      </c>
      <c r="N441" s="726">
        <v>0</v>
      </c>
      <c r="O441" s="726">
        <v>0</v>
      </c>
      <c r="P441" s="726">
        <v>0</v>
      </c>
      <c r="Q441" s="726">
        <v>0</v>
      </c>
      <c r="R441" s="726">
        <v>0</v>
      </c>
      <c r="S441" s="726">
        <v>0</v>
      </c>
      <c r="T441" s="726">
        <v>0</v>
      </c>
      <c r="U441" s="726">
        <v>0</v>
      </c>
      <c r="V441" s="726">
        <v>0</v>
      </c>
      <c r="W441" s="726">
        <v>0</v>
      </c>
      <c r="X441" s="724" t="s">
        <v>674</v>
      </c>
      <c r="Y441" s="724" t="s">
        <v>1226</v>
      </c>
      <c r="Z441" s="724" t="s">
        <v>1226</v>
      </c>
      <c r="AA441" s="724" t="s">
        <v>675</v>
      </c>
      <c r="AB441" s="724" t="s">
        <v>675</v>
      </c>
      <c r="AC441" s="724"/>
      <c r="AD441" s="724"/>
      <c r="AE441" s="724"/>
      <c r="AF441" s="724"/>
      <c r="AG441" s="725" t="s">
        <v>912</v>
      </c>
      <c r="AH441" s="724"/>
      <c r="AI441" s="725" t="s">
        <v>912</v>
      </c>
      <c r="AJ441" s="725" t="s">
        <v>677</v>
      </c>
      <c r="AK441" s="724" t="s">
        <v>677</v>
      </c>
      <c r="AL441" s="724"/>
      <c r="AM441" s="724"/>
      <c r="AN441" s="724"/>
      <c r="AO441" s="724"/>
      <c r="AP441" s="724"/>
      <c r="AQ441" s="724"/>
      <c r="AR441" s="726"/>
      <c r="AS441" s="724"/>
      <c r="AT441" s="726"/>
      <c r="AU441" s="724" t="s">
        <v>678</v>
      </c>
      <c r="AV441" s="724" t="s">
        <v>677</v>
      </c>
      <c r="AW441" s="724" t="s">
        <v>676</v>
      </c>
      <c r="AX441" s="724" t="s">
        <v>674</v>
      </c>
      <c r="AY441" s="724"/>
      <c r="AZ441" s="724"/>
      <c r="BA441" s="724" t="s">
        <v>679</v>
      </c>
      <c r="BB441" s="724"/>
      <c r="BC441" s="724"/>
      <c r="BD441" s="724"/>
      <c r="BE441" s="726"/>
      <c r="BF441" s="724" t="s">
        <v>298</v>
      </c>
      <c r="BG441" s="724" t="s">
        <v>680</v>
      </c>
      <c r="BH441" s="724" t="s">
        <v>681</v>
      </c>
      <c r="BI441" s="724"/>
    </row>
    <row r="442" spans="1:61">
      <c r="A442" s="724" t="s">
        <v>914</v>
      </c>
      <c r="B442" s="724" t="s">
        <v>914</v>
      </c>
      <c r="C442" s="724" t="s">
        <v>914</v>
      </c>
      <c r="D442" s="724" t="s">
        <v>673</v>
      </c>
      <c r="E442" s="724" t="s">
        <v>3</v>
      </c>
      <c r="F442" s="725" t="s">
        <v>83</v>
      </c>
      <c r="G442" s="725" t="s">
        <v>700</v>
      </c>
      <c r="H442" s="726">
        <v>9120000</v>
      </c>
      <c r="I442" s="726">
        <v>9120000</v>
      </c>
      <c r="J442" s="726">
        <v>0</v>
      </c>
      <c r="K442" s="726">
        <v>0</v>
      </c>
      <c r="L442" s="726">
        <v>9120000</v>
      </c>
      <c r="M442" s="726">
        <v>0</v>
      </c>
      <c r="N442" s="726">
        <v>0</v>
      </c>
      <c r="O442" s="726">
        <v>0</v>
      </c>
      <c r="P442" s="726">
        <v>0</v>
      </c>
      <c r="Q442" s="726">
        <v>0</v>
      </c>
      <c r="R442" s="726">
        <v>0</v>
      </c>
      <c r="S442" s="726">
        <v>0</v>
      </c>
      <c r="T442" s="726">
        <v>0</v>
      </c>
      <c r="U442" s="726">
        <v>0</v>
      </c>
      <c r="V442" s="726">
        <v>0</v>
      </c>
      <c r="W442" s="726">
        <v>0</v>
      </c>
      <c r="X442" s="724" t="s">
        <v>674</v>
      </c>
      <c r="Y442" s="724" t="s">
        <v>1226</v>
      </c>
      <c r="Z442" s="724" t="s">
        <v>1226</v>
      </c>
      <c r="AA442" s="724" t="s">
        <v>675</v>
      </c>
      <c r="AB442" s="724" t="s">
        <v>675</v>
      </c>
      <c r="AC442" s="724"/>
      <c r="AD442" s="724"/>
      <c r="AE442" s="724"/>
      <c r="AF442" s="724"/>
      <c r="AG442" s="725" t="s">
        <v>913</v>
      </c>
      <c r="AH442" s="724"/>
      <c r="AI442" s="725" t="s">
        <v>913</v>
      </c>
      <c r="AJ442" s="725" t="s">
        <v>677</v>
      </c>
      <c r="AK442" s="724" t="s">
        <v>677</v>
      </c>
      <c r="AL442" s="724"/>
      <c r="AM442" s="724"/>
      <c r="AN442" s="724"/>
      <c r="AO442" s="724"/>
      <c r="AP442" s="724"/>
      <c r="AQ442" s="724"/>
      <c r="AR442" s="726"/>
      <c r="AS442" s="724"/>
      <c r="AT442" s="726"/>
      <c r="AU442" s="724" t="s">
        <v>678</v>
      </c>
      <c r="AV442" s="724" t="s">
        <v>677</v>
      </c>
      <c r="AW442" s="724" t="s">
        <v>676</v>
      </c>
      <c r="AX442" s="724" t="s">
        <v>674</v>
      </c>
      <c r="AY442" s="724"/>
      <c r="AZ442" s="724"/>
      <c r="BA442" s="724" t="s">
        <v>679</v>
      </c>
      <c r="BB442" s="724"/>
      <c r="BC442" s="724"/>
      <c r="BD442" s="724"/>
      <c r="BE442" s="726"/>
      <c r="BF442" s="724" t="s">
        <v>298</v>
      </c>
      <c r="BG442" s="724" t="s">
        <v>680</v>
      </c>
      <c r="BH442" s="724" t="s">
        <v>681</v>
      </c>
      <c r="BI442" s="724"/>
    </row>
    <row r="443" spans="1:61">
      <c r="A443" s="724" t="s">
        <v>914</v>
      </c>
      <c r="B443" s="724" t="s">
        <v>914</v>
      </c>
      <c r="C443" s="724" t="s">
        <v>914</v>
      </c>
      <c r="D443" s="724" t="s">
        <v>673</v>
      </c>
      <c r="E443" s="724" t="s">
        <v>3</v>
      </c>
      <c r="F443" s="725" t="s">
        <v>83</v>
      </c>
      <c r="G443" s="725" t="s">
        <v>700</v>
      </c>
      <c r="H443" s="726">
        <v>13680000</v>
      </c>
      <c r="I443" s="726">
        <v>13680000</v>
      </c>
      <c r="J443" s="726">
        <v>0</v>
      </c>
      <c r="K443" s="726">
        <v>0</v>
      </c>
      <c r="L443" s="726">
        <v>13680000</v>
      </c>
      <c r="M443" s="726">
        <v>0</v>
      </c>
      <c r="N443" s="726">
        <v>0</v>
      </c>
      <c r="O443" s="726">
        <v>0</v>
      </c>
      <c r="P443" s="726">
        <v>0</v>
      </c>
      <c r="Q443" s="726">
        <v>0</v>
      </c>
      <c r="R443" s="726">
        <v>0</v>
      </c>
      <c r="S443" s="726">
        <v>0</v>
      </c>
      <c r="T443" s="726">
        <v>0</v>
      </c>
      <c r="U443" s="726">
        <v>0</v>
      </c>
      <c r="V443" s="726">
        <v>0</v>
      </c>
      <c r="W443" s="726">
        <v>0</v>
      </c>
      <c r="X443" s="724" t="s">
        <v>674</v>
      </c>
      <c r="Y443" s="724" t="s">
        <v>1226</v>
      </c>
      <c r="Z443" s="724" t="s">
        <v>1226</v>
      </c>
      <c r="AA443" s="724" t="s">
        <v>675</v>
      </c>
      <c r="AB443" s="724" t="s">
        <v>675</v>
      </c>
      <c r="AC443" s="724"/>
      <c r="AD443" s="724"/>
      <c r="AE443" s="724"/>
      <c r="AF443" s="724"/>
      <c r="AG443" s="725" t="s">
        <v>913</v>
      </c>
      <c r="AH443" s="724"/>
      <c r="AI443" s="725" t="s">
        <v>913</v>
      </c>
      <c r="AJ443" s="725" t="s">
        <v>677</v>
      </c>
      <c r="AK443" s="724" t="s">
        <v>677</v>
      </c>
      <c r="AL443" s="724"/>
      <c r="AM443" s="724"/>
      <c r="AN443" s="724"/>
      <c r="AO443" s="724"/>
      <c r="AP443" s="724"/>
      <c r="AQ443" s="724"/>
      <c r="AR443" s="726"/>
      <c r="AS443" s="724"/>
      <c r="AT443" s="726"/>
      <c r="AU443" s="724" t="s">
        <v>678</v>
      </c>
      <c r="AV443" s="724" t="s">
        <v>677</v>
      </c>
      <c r="AW443" s="724" t="s">
        <v>676</v>
      </c>
      <c r="AX443" s="724" t="s">
        <v>674</v>
      </c>
      <c r="AY443" s="724"/>
      <c r="AZ443" s="724"/>
      <c r="BA443" s="724" t="s">
        <v>679</v>
      </c>
      <c r="BB443" s="724"/>
      <c r="BC443" s="724"/>
      <c r="BD443" s="724"/>
      <c r="BE443" s="726"/>
      <c r="BF443" s="724" t="s">
        <v>298</v>
      </c>
      <c r="BG443" s="724" t="s">
        <v>680</v>
      </c>
      <c r="BH443" s="724" t="s">
        <v>681</v>
      </c>
      <c r="BI443" s="724"/>
    </row>
    <row r="444" spans="1:61">
      <c r="A444" s="724" t="s">
        <v>914</v>
      </c>
      <c r="B444" s="724" t="s">
        <v>914</v>
      </c>
      <c r="C444" s="724" t="s">
        <v>914</v>
      </c>
      <c r="D444" s="724" t="s">
        <v>673</v>
      </c>
      <c r="E444" s="724" t="s">
        <v>3</v>
      </c>
      <c r="F444" s="725" t="s">
        <v>83</v>
      </c>
      <c r="G444" s="725" t="s">
        <v>700</v>
      </c>
      <c r="H444" s="726">
        <v>880000</v>
      </c>
      <c r="I444" s="726">
        <v>880000</v>
      </c>
      <c r="J444" s="726">
        <v>0</v>
      </c>
      <c r="K444" s="726">
        <v>0</v>
      </c>
      <c r="L444" s="726">
        <v>880000</v>
      </c>
      <c r="M444" s="726">
        <v>0</v>
      </c>
      <c r="N444" s="726">
        <v>0</v>
      </c>
      <c r="O444" s="726">
        <v>0</v>
      </c>
      <c r="P444" s="726">
        <v>0</v>
      </c>
      <c r="Q444" s="726">
        <v>0</v>
      </c>
      <c r="R444" s="726">
        <v>0</v>
      </c>
      <c r="S444" s="726">
        <v>0</v>
      </c>
      <c r="T444" s="726">
        <v>0</v>
      </c>
      <c r="U444" s="726">
        <v>0</v>
      </c>
      <c r="V444" s="726">
        <v>0</v>
      </c>
      <c r="W444" s="726">
        <v>0</v>
      </c>
      <c r="X444" s="724" t="s">
        <v>674</v>
      </c>
      <c r="Y444" s="724" t="s">
        <v>1226</v>
      </c>
      <c r="Z444" s="724" t="s">
        <v>1226</v>
      </c>
      <c r="AA444" s="724" t="s">
        <v>675</v>
      </c>
      <c r="AB444" s="724" t="s">
        <v>675</v>
      </c>
      <c r="AC444" s="724"/>
      <c r="AD444" s="724"/>
      <c r="AE444" s="724"/>
      <c r="AF444" s="724"/>
      <c r="AG444" s="725" t="s">
        <v>912</v>
      </c>
      <c r="AH444" s="724"/>
      <c r="AI444" s="725" t="s">
        <v>912</v>
      </c>
      <c r="AJ444" s="725" t="s">
        <v>677</v>
      </c>
      <c r="AK444" s="724" t="s">
        <v>677</v>
      </c>
      <c r="AL444" s="724"/>
      <c r="AM444" s="724"/>
      <c r="AN444" s="724"/>
      <c r="AO444" s="724"/>
      <c r="AP444" s="724"/>
      <c r="AQ444" s="724"/>
      <c r="AR444" s="726"/>
      <c r="AS444" s="724"/>
      <c r="AT444" s="726"/>
      <c r="AU444" s="724" t="s">
        <v>678</v>
      </c>
      <c r="AV444" s="724" t="s">
        <v>677</v>
      </c>
      <c r="AW444" s="724" t="s">
        <v>676</v>
      </c>
      <c r="AX444" s="724" t="s">
        <v>674</v>
      </c>
      <c r="AY444" s="724"/>
      <c r="AZ444" s="724"/>
      <c r="BA444" s="724" t="s">
        <v>679</v>
      </c>
      <c r="BB444" s="724"/>
      <c r="BC444" s="724"/>
      <c r="BD444" s="724"/>
      <c r="BE444" s="726"/>
      <c r="BF444" s="724" t="s">
        <v>298</v>
      </c>
      <c r="BG444" s="724" t="s">
        <v>680</v>
      </c>
      <c r="BH444" s="724" t="s">
        <v>681</v>
      </c>
      <c r="BI444" s="724"/>
    </row>
    <row r="445" spans="1:61">
      <c r="A445" s="724" t="s">
        <v>914</v>
      </c>
      <c r="B445" s="724" t="s">
        <v>914</v>
      </c>
      <c r="C445" s="724" t="s">
        <v>914</v>
      </c>
      <c r="D445" s="724" t="s">
        <v>673</v>
      </c>
      <c r="E445" s="724" t="s">
        <v>3</v>
      </c>
      <c r="F445" s="725" t="s">
        <v>83</v>
      </c>
      <c r="G445" s="725" t="s">
        <v>700</v>
      </c>
      <c r="H445" s="726">
        <v>13680000</v>
      </c>
      <c r="I445" s="726">
        <v>13680000</v>
      </c>
      <c r="J445" s="726">
        <v>0</v>
      </c>
      <c r="K445" s="726">
        <v>0</v>
      </c>
      <c r="L445" s="726">
        <v>13680000</v>
      </c>
      <c r="M445" s="726">
        <v>0</v>
      </c>
      <c r="N445" s="726">
        <v>0</v>
      </c>
      <c r="O445" s="726">
        <v>0</v>
      </c>
      <c r="P445" s="726">
        <v>0</v>
      </c>
      <c r="Q445" s="726">
        <v>0</v>
      </c>
      <c r="R445" s="726">
        <v>0</v>
      </c>
      <c r="S445" s="726">
        <v>0</v>
      </c>
      <c r="T445" s="726">
        <v>0</v>
      </c>
      <c r="U445" s="726">
        <v>0</v>
      </c>
      <c r="V445" s="726">
        <v>0</v>
      </c>
      <c r="W445" s="726">
        <v>0</v>
      </c>
      <c r="X445" s="724" t="s">
        <v>674</v>
      </c>
      <c r="Y445" s="724" t="s">
        <v>1226</v>
      </c>
      <c r="Z445" s="724" t="s">
        <v>1226</v>
      </c>
      <c r="AA445" s="724" t="s">
        <v>675</v>
      </c>
      <c r="AB445" s="724" t="s">
        <v>675</v>
      </c>
      <c r="AC445" s="724"/>
      <c r="AD445" s="724"/>
      <c r="AE445" s="724"/>
      <c r="AF445" s="724"/>
      <c r="AG445" s="725" t="s">
        <v>913</v>
      </c>
      <c r="AH445" s="724"/>
      <c r="AI445" s="725" t="s">
        <v>913</v>
      </c>
      <c r="AJ445" s="725" t="s">
        <v>677</v>
      </c>
      <c r="AK445" s="724" t="s">
        <v>677</v>
      </c>
      <c r="AL445" s="724"/>
      <c r="AM445" s="724"/>
      <c r="AN445" s="724"/>
      <c r="AO445" s="724"/>
      <c r="AP445" s="724"/>
      <c r="AQ445" s="724"/>
      <c r="AR445" s="726"/>
      <c r="AS445" s="724"/>
      <c r="AT445" s="726"/>
      <c r="AU445" s="724" t="s">
        <v>678</v>
      </c>
      <c r="AV445" s="724" t="s">
        <v>677</v>
      </c>
      <c r="AW445" s="724" t="s">
        <v>676</v>
      </c>
      <c r="AX445" s="724" t="s">
        <v>674</v>
      </c>
      <c r="AY445" s="724"/>
      <c r="AZ445" s="724"/>
      <c r="BA445" s="724" t="s">
        <v>679</v>
      </c>
      <c r="BB445" s="724"/>
      <c r="BC445" s="724"/>
      <c r="BD445" s="724"/>
      <c r="BE445" s="726"/>
      <c r="BF445" s="724" t="s">
        <v>298</v>
      </c>
      <c r="BG445" s="724" t="s">
        <v>680</v>
      </c>
      <c r="BH445" s="724" t="s">
        <v>681</v>
      </c>
      <c r="BI445" s="724"/>
    </row>
    <row r="446" spans="1:61">
      <c r="A446" s="724" t="s">
        <v>914</v>
      </c>
      <c r="B446" s="724" t="s">
        <v>914</v>
      </c>
      <c r="C446" s="724" t="s">
        <v>914</v>
      </c>
      <c r="D446" s="724" t="s">
        <v>673</v>
      </c>
      <c r="E446" s="724" t="s">
        <v>3</v>
      </c>
      <c r="F446" s="725" t="s">
        <v>83</v>
      </c>
      <c r="G446" s="725" t="s">
        <v>700</v>
      </c>
      <c r="H446" s="726">
        <v>880000</v>
      </c>
      <c r="I446" s="726">
        <v>880000</v>
      </c>
      <c r="J446" s="726">
        <v>0</v>
      </c>
      <c r="K446" s="726">
        <v>0</v>
      </c>
      <c r="L446" s="726">
        <v>880000</v>
      </c>
      <c r="M446" s="726">
        <v>0</v>
      </c>
      <c r="N446" s="726">
        <v>0</v>
      </c>
      <c r="O446" s="726">
        <v>0</v>
      </c>
      <c r="P446" s="726">
        <v>0</v>
      </c>
      <c r="Q446" s="726">
        <v>0</v>
      </c>
      <c r="R446" s="726">
        <v>0</v>
      </c>
      <c r="S446" s="726">
        <v>0</v>
      </c>
      <c r="T446" s="726">
        <v>0</v>
      </c>
      <c r="U446" s="726">
        <v>0</v>
      </c>
      <c r="V446" s="726">
        <v>0</v>
      </c>
      <c r="W446" s="726">
        <v>0</v>
      </c>
      <c r="X446" s="724" t="s">
        <v>674</v>
      </c>
      <c r="Y446" s="724" t="s">
        <v>1226</v>
      </c>
      <c r="Z446" s="724" t="s">
        <v>1226</v>
      </c>
      <c r="AA446" s="724" t="s">
        <v>675</v>
      </c>
      <c r="AB446" s="724" t="s">
        <v>675</v>
      </c>
      <c r="AC446" s="724"/>
      <c r="AD446" s="724"/>
      <c r="AE446" s="724"/>
      <c r="AF446" s="724"/>
      <c r="AG446" s="725" t="s">
        <v>912</v>
      </c>
      <c r="AH446" s="724"/>
      <c r="AI446" s="725" t="s">
        <v>912</v>
      </c>
      <c r="AJ446" s="725" t="s">
        <v>677</v>
      </c>
      <c r="AK446" s="724" t="s">
        <v>677</v>
      </c>
      <c r="AL446" s="724"/>
      <c r="AM446" s="724"/>
      <c r="AN446" s="724"/>
      <c r="AO446" s="724"/>
      <c r="AP446" s="724"/>
      <c r="AQ446" s="724"/>
      <c r="AR446" s="726"/>
      <c r="AS446" s="724"/>
      <c r="AT446" s="726"/>
      <c r="AU446" s="724" t="s">
        <v>678</v>
      </c>
      <c r="AV446" s="724" t="s">
        <v>677</v>
      </c>
      <c r="AW446" s="724" t="s">
        <v>676</v>
      </c>
      <c r="AX446" s="724" t="s">
        <v>674</v>
      </c>
      <c r="AY446" s="724"/>
      <c r="AZ446" s="724"/>
      <c r="BA446" s="724" t="s">
        <v>679</v>
      </c>
      <c r="BB446" s="724"/>
      <c r="BC446" s="724"/>
      <c r="BD446" s="724"/>
      <c r="BE446" s="726"/>
      <c r="BF446" s="724" t="s">
        <v>298</v>
      </c>
      <c r="BG446" s="724" t="s">
        <v>680</v>
      </c>
      <c r="BH446" s="724" t="s">
        <v>681</v>
      </c>
      <c r="BI446" s="724"/>
    </row>
    <row r="447" spans="1:61">
      <c r="A447" s="724" t="s">
        <v>914</v>
      </c>
      <c r="B447" s="724" t="s">
        <v>914</v>
      </c>
      <c r="C447" s="724" t="s">
        <v>914</v>
      </c>
      <c r="D447" s="724" t="s">
        <v>673</v>
      </c>
      <c r="E447" s="724" t="s">
        <v>3</v>
      </c>
      <c r="F447" s="725" t="s">
        <v>83</v>
      </c>
      <c r="G447" s="725" t="s">
        <v>700</v>
      </c>
      <c r="H447" s="726">
        <v>1320000</v>
      </c>
      <c r="I447" s="726">
        <v>1320000</v>
      </c>
      <c r="J447" s="726">
        <v>0</v>
      </c>
      <c r="K447" s="726">
        <v>0</v>
      </c>
      <c r="L447" s="726">
        <v>1320000</v>
      </c>
      <c r="M447" s="726">
        <v>0</v>
      </c>
      <c r="N447" s="726">
        <v>0</v>
      </c>
      <c r="O447" s="726">
        <v>0</v>
      </c>
      <c r="P447" s="726">
        <v>0</v>
      </c>
      <c r="Q447" s="726">
        <v>0</v>
      </c>
      <c r="R447" s="726">
        <v>0</v>
      </c>
      <c r="S447" s="726">
        <v>0</v>
      </c>
      <c r="T447" s="726">
        <v>0</v>
      </c>
      <c r="U447" s="726">
        <v>0</v>
      </c>
      <c r="V447" s="726">
        <v>0</v>
      </c>
      <c r="W447" s="726">
        <v>0</v>
      </c>
      <c r="X447" s="724" t="s">
        <v>674</v>
      </c>
      <c r="Y447" s="724" t="s">
        <v>1226</v>
      </c>
      <c r="Z447" s="724" t="s">
        <v>1226</v>
      </c>
      <c r="AA447" s="724" t="s">
        <v>675</v>
      </c>
      <c r="AB447" s="724" t="s">
        <v>675</v>
      </c>
      <c r="AC447" s="724"/>
      <c r="AD447" s="724"/>
      <c r="AE447" s="724"/>
      <c r="AF447" s="724"/>
      <c r="AG447" s="725" t="s">
        <v>912</v>
      </c>
      <c r="AH447" s="724"/>
      <c r="AI447" s="725" t="s">
        <v>912</v>
      </c>
      <c r="AJ447" s="725" t="s">
        <v>677</v>
      </c>
      <c r="AK447" s="724" t="s">
        <v>677</v>
      </c>
      <c r="AL447" s="724"/>
      <c r="AM447" s="724"/>
      <c r="AN447" s="724"/>
      <c r="AO447" s="724"/>
      <c r="AP447" s="724"/>
      <c r="AQ447" s="724"/>
      <c r="AR447" s="726"/>
      <c r="AS447" s="724"/>
      <c r="AT447" s="726"/>
      <c r="AU447" s="724" t="s">
        <v>678</v>
      </c>
      <c r="AV447" s="724" t="s">
        <v>677</v>
      </c>
      <c r="AW447" s="724" t="s">
        <v>676</v>
      </c>
      <c r="AX447" s="724" t="s">
        <v>674</v>
      </c>
      <c r="AY447" s="724"/>
      <c r="AZ447" s="724"/>
      <c r="BA447" s="724" t="s">
        <v>679</v>
      </c>
      <c r="BB447" s="724"/>
      <c r="BC447" s="724"/>
      <c r="BD447" s="724"/>
      <c r="BE447" s="726"/>
      <c r="BF447" s="724" t="s">
        <v>298</v>
      </c>
      <c r="BG447" s="724" t="s">
        <v>680</v>
      </c>
      <c r="BH447" s="724" t="s">
        <v>681</v>
      </c>
      <c r="BI447" s="724"/>
    </row>
    <row r="448" spans="1:61">
      <c r="A448" s="724" t="s">
        <v>914</v>
      </c>
      <c r="B448" s="724" t="s">
        <v>914</v>
      </c>
      <c r="C448" s="724" t="s">
        <v>914</v>
      </c>
      <c r="D448" s="724" t="s">
        <v>673</v>
      </c>
      <c r="E448" s="724" t="s">
        <v>3</v>
      </c>
      <c r="F448" s="725" t="s">
        <v>83</v>
      </c>
      <c r="G448" s="725" t="s">
        <v>700</v>
      </c>
      <c r="H448" s="726">
        <v>9120000</v>
      </c>
      <c r="I448" s="726">
        <v>9120000</v>
      </c>
      <c r="J448" s="726">
        <v>0</v>
      </c>
      <c r="K448" s="726">
        <v>0</v>
      </c>
      <c r="L448" s="726">
        <v>9120000</v>
      </c>
      <c r="M448" s="726">
        <v>0</v>
      </c>
      <c r="N448" s="726">
        <v>0</v>
      </c>
      <c r="O448" s="726">
        <v>0</v>
      </c>
      <c r="P448" s="726">
        <v>0</v>
      </c>
      <c r="Q448" s="726">
        <v>0</v>
      </c>
      <c r="R448" s="726">
        <v>0</v>
      </c>
      <c r="S448" s="726">
        <v>0</v>
      </c>
      <c r="T448" s="726">
        <v>0</v>
      </c>
      <c r="U448" s="726">
        <v>0</v>
      </c>
      <c r="V448" s="726">
        <v>0</v>
      </c>
      <c r="W448" s="726">
        <v>0</v>
      </c>
      <c r="X448" s="724" t="s">
        <v>674</v>
      </c>
      <c r="Y448" s="724" t="s">
        <v>1226</v>
      </c>
      <c r="Z448" s="724" t="s">
        <v>1226</v>
      </c>
      <c r="AA448" s="724" t="s">
        <v>675</v>
      </c>
      <c r="AB448" s="724" t="s">
        <v>675</v>
      </c>
      <c r="AC448" s="724"/>
      <c r="AD448" s="724"/>
      <c r="AE448" s="724"/>
      <c r="AF448" s="724"/>
      <c r="AG448" s="725" t="s">
        <v>913</v>
      </c>
      <c r="AH448" s="724"/>
      <c r="AI448" s="725" t="s">
        <v>913</v>
      </c>
      <c r="AJ448" s="725" t="s">
        <v>677</v>
      </c>
      <c r="AK448" s="724" t="s">
        <v>677</v>
      </c>
      <c r="AL448" s="724"/>
      <c r="AM448" s="724"/>
      <c r="AN448" s="724"/>
      <c r="AO448" s="724"/>
      <c r="AP448" s="724"/>
      <c r="AQ448" s="724"/>
      <c r="AR448" s="726"/>
      <c r="AS448" s="724"/>
      <c r="AT448" s="726"/>
      <c r="AU448" s="724" t="s">
        <v>678</v>
      </c>
      <c r="AV448" s="724" t="s">
        <v>677</v>
      </c>
      <c r="AW448" s="724" t="s">
        <v>676</v>
      </c>
      <c r="AX448" s="724" t="s">
        <v>674</v>
      </c>
      <c r="AY448" s="724"/>
      <c r="AZ448" s="724"/>
      <c r="BA448" s="724" t="s">
        <v>679</v>
      </c>
      <c r="BB448" s="724"/>
      <c r="BC448" s="724"/>
      <c r="BD448" s="724"/>
      <c r="BE448" s="726"/>
      <c r="BF448" s="724" t="s">
        <v>298</v>
      </c>
      <c r="BG448" s="724" t="s">
        <v>680</v>
      </c>
      <c r="BH448" s="724" t="s">
        <v>681</v>
      </c>
      <c r="BI448" s="724"/>
    </row>
    <row r="449" spans="1:61">
      <c r="A449" s="724" t="s">
        <v>914</v>
      </c>
      <c r="B449" s="724" t="s">
        <v>914</v>
      </c>
      <c r="C449" s="724" t="s">
        <v>914</v>
      </c>
      <c r="D449" s="724" t="s">
        <v>673</v>
      </c>
      <c r="E449" s="724" t="s">
        <v>3</v>
      </c>
      <c r="F449" s="725" t="s">
        <v>83</v>
      </c>
      <c r="G449" s="725" t="s">
        <v>700</v>
      </c>
      <c r="H449" s="726">
        <v>9120000</v>
      </c>
      <c r="I449" s="726">
        <v>9120000</v>
      </c>
      <c r="J449" s="726">
        <v>0</v>
      </c>
      <c r="K449" s="726">
        <v>0</v>
      </c>
      <c r="L449" s="726">
        <v>9120000</v>
      </c>
      <c r="M449" s="726">
        <v>0</v>
      </c>
      <c r="N449" s="726">
        <v>0</v>
      </c>
      <c r="O449" s="726">
        <v>0</v>
      </c>
      <c r="P449" s="726">
        <v>0</v>
      </c>
      <c r="Q449" s="726">
        <v>0</v>
      </c>
      <c r="R449" s="726">
        <v>0</v>
      </c>
      <c r="S449" s="726">
        <v>0</v>
      </c>
      <c r="T449" s="726">
        <v>0</v>
      </c>
      <c r="U449" s="726">
        <v>0</v>
      </c>
      <c r="V449" s="726">
        <v>0</v>
      </c>
      <c r="W449" s="726">
        <v>0</v>
      </c>
      <c r="X449" s="724" t="s">
        <v>674</v>
      </c>
      <c r="Y449" s="724" t="s">
        <v>1226</v>
      </c>
      <c r="Z449" s="724" t="s">
        <v>1226</v>
      </c>
      <c r="AA449" s="724" t="s">
        <v>675</v>
      </c>
      <c r="AB449" s="724" t="s">
        <v>675</v>
      </c>
      <c r="AC449" s="724"/>
      <c r="AD449" s="724"/>
      <c r="AE449" s="724"/>
      <c r="AF449" s="724"/>
      <c r="AG449" s="725" t="s">
        <v>913</v>
      </c>
      <c r="AH449" s="724"/>
      <c r="AI449" s="725" t="s">
        <v>913</v>
      </c>
      <c r="AJ449" s="725" t="s">
        <v>677</v>
      </c>
      <c r="AK449" s="724" t="s">
        <v>677</v>
      </c>
      <c r="AL449" s="724"/>
      <c r="AM449" s="724"/>
      <c r="AN449" s="724"/>
      <c r="AO449" s="724"/>
      <c r="AP449" s="724"/>
      <c r="AQ449" s="724"/>
      <c r="AR449" s="726"/>
      <c r="AS449" s="724"/>
      <c r="AT449" s="726"/>
      <c r="AU449" s="724" t="s">
        <v>678</v>
      </c>
      <c r="AV449" s="724" t="s">
        <v>677</v>
      </c>
      <c r="AW449" s="724" t="s">
        <v>676</v>
      </c>
      <c r="AX449" s="724" t="s">
        <v>674</v>
      </c>
      <c r="AY449" s="724"/>
      <c r="AZ449" s="724"/>
      <c r="BA449" s="724" t="s">
        <v>679</v>
      </c>
      <c r="BB449" s="724"/>
      <c r="BC449" s="724"/>
      <c r="BD449" s="724"/>
      <c r="BE449" s="726"/>
      <c r="BF449" s="724" t="s">
        <v>298</v>
      </c>
      <c r="BG449" s="724" t="s">
        <v>680</v>
      </c>
      <c r="BH449" s="724" t="s">
        <v>681</v>
      </c>
      <c r="BI449" s="724"/>
    </row>
    <row r="450" spans="1:61">
      <c r="A450" s="724" t="s">
        <v>914</v>
      </c>
      <c r="B450" s="724" t="s">
        <v>914</v>
      </c>
      <c r="C450" s="724" t="s">
        <v>914</v>
      </c>
      <c r="D450" s="724" t="s">
        <v>673</v>
      </c>
      <c r="E450" s="724" t="s">
        <v>3</v>
      </c>
      <c r="F450" s="725" t="s">
        <v>83</v>
      </c>
      <c r="G450" s="725" t="s">
        <v>700</v>
      </c>
      <c r="H450" s="726">
        <v>880000</v>
      </c>
      <c r="I450" s="726">
        <v>880000</v>
      </c>
      <c r="J450" s="726">
        <v>0</v>
      </c>
      <c r="K450" s="726">
        <v>0</v>
      </c>
      <c r="L450" s="726">
        <v>880000</v>
      </c>
      <c r="M450" s="726">
        <v>0</v>
      </c>
      <c r="N450" s="726">
        <v>0</v>
      </c>
      <c r="O450" s="726">
        <v>0</v>
      </c>
      <c r="P450" s="726">
        <v>0</v>
      </c>
      <c r="Q450" s="726">
        <v>0</v>
      </c>
      <c r="R450" s="726">
        <v>0</v>
      </c>
      <c r="S450" s="726">
        <v>0</v>
      </c>
      <c r="T450" s="726">
        <v>0</v>
      </c>
      <c r="U450" s="726">
        <v>0</v>
      </c>
      <c r="V450" s="726">
        <v>0</v>
      </c>
      <c r="W450" s="726">
        <v>0</v>
      </c>
      <c r="X450" s="724" t="s">
        <v>674</v>
      </c>
      <c r="Y450" s="724" t="s">
        <v>1226</v>
      </c>
      <c r="Z450" s="724" t="s">
        <v>1226</v>
      </c>
      <c r="AA450" s="724" t="s">
        <v>675</v>
      </c>
      <c r="AB450" s="724" t="s">
        <v>675</v>
      </c>
      <c r="AC450" s="724"/>
      <c r="AD450" s="724"/>
      <c r="AE450" s="724"/>
      <c r="AF450" s="724"/>
      <c r="AG450" s="725" t="s">
        <v>912</v>
      </c>
      <c r="AH450" s="724"/>
      <c r="AI450" s="725" t="s">
        <v>912</v>
      </c>
      <c r="AJ450" s="725" t="s">
        <v>677</v>
      </c>
      <c r="AK450" s="724" t="s">
        <v>677</v>
      </c>
      <c r="AL450" s="724"/>
      <c r="AM450" s="724"/>
      <c r="AN450" s="724"/>
      <c r="AO450" s="724"/>
      <c r="AP450" s="724"/>
      <c r="AQ450" s="724"/>
      <c r="AR450" s="726"/>
      <c r="AS450" s="724"/>
      <c r="AT450" s="726"/>
      <c r="AU450" s="724" t="s">
        <v>678</v>
      </c>
      <c r="AV450" s="724" t="s">
        <v>677</v>
      </c>
      <c r="AW450" s="724" t="s">
        <v>676</v>
      </c>
      <c r="AX450" s="724" t="s">
        <v>674</v>
      </c>
      <c r="AY450" s="724"/>
      <c r="AZ450" s="724"/>
      <c r="BA450" s="724" t="s">
        <v>679</v>
      </c>
      <c r="BB450" s="724"/>
      <c r="BC450" s="724"/>
      <c r="BD450" s="724"/>
      <c r="BE450" s="726"/>
      <c r="BF450" s="724" t="s">
        <v>298</v>
      </c>
      <c r="BG450" s="724" t="s">
        <v>680</v>
      </c>
      <c r="BH450" s="724" t="s">
        <v>681</v>
      </c>
      <c r="BI450" s="724"/>
    </row>
    <row r="451" spans="1:61">
      <c r="A451" s="724" t="s">
        <v>914</v>
      </c>
      <c r="B451" s="724" t="s">
        <v>914</v>
      </c>
      <c r="C451" s="724" t="s">
        <v>914</v>
      </c>
      <c r="D451" s="724" t="s">
        <v>673</v>
      </c>
      <c r="E451" s="724" t="s">
        <v>3</v>
      </c>
      <c r="F451" s="725" t="s">
        <v>83</v>
      </c>
      <c r="G451" s="725" t="s">
        <v>700</v>
      </c>
      <c r="H451" s="726">
        <v>440000</v>
      </c>
      <c r="I451" s="726">
        <v>440000</v>
      </c>
      <c r="J451" s="726">
        <v>0</v>
      </c>
      <c r="K451" s="726">
        <v>0</v>
      </c>
      <c r="L451" s="726">
        <v>440000</v>
      </c>
      <c r="M451" s="726">
        <v>0</v>
      </c>
      <c r="N451" s="726">
        <v>0</v>
      </c>
      <c r="O451" s="726">
        <v>0</v>
      </c>
      <c r="P451" s="726">
        <v>0</v>
      </c>
      <c r="Q451" s="726">
        <v>0</v>
      </c>
      <c r="R451" s="726">
        <v>0</v>
      </c>
      <c r="S451" s="726">
        <v>0</v>
      </c>
      <c r="T451" s="726">
        <v>0</v>
      </c>
      <c r="U451" s="726">
        <v>0</v>
      </c>
      <c r="V451" s="726">
        <v>0</v>
      </c>
      <c r="W451" s="726">
        <v>0</v>
      </c>
      <c r="X451" s="724" t="s">
        <v>674</v>
      </c>
      <c r="Y451" s="724" t="s">
        <v>1226</v>
      </c>
      <c r="Z451" s="724" t="s">
        <v>1226</v>
      </c>
      <c r="AA451" s="724" t="s">
        <v>675</v>
      </c>
      <c r="AB451" s="724" t="s">
        <v>675</v>
      </c>
      <c r="AC451" s="724"/>
      <c r="AD451" s="724"/>
      <c r="AE451" s="724"/>
      <c r="AF451" s="724"/>
      <c r="AG451" s="725" t="s">
        <v>912</v>
      </c>
      <c r="AH451" s="724"/>
      <c r="AI451" s="725" t="s">
        <v>912</v>
      </c>
      <c r="AJ451" s="725" t="s">
        <v>677</v>
      </c>
      <c r="AK451" s="724" t="s">
        <v>677</v>
      </c>
      <c r="AL451" s="724"/>
      <c r="AM451" s="724"/>
      <c r="AN451" s="724"/>
      <c r="AO451" s="724"/>
      <c r="AP451" s="724"/>
      <c r="AQ451" s="724"/>
      <c r="AR451" s="726"/>
      <c r="AS451" s="724"/>
      <c r="AT451" s="726"/>
      <c r="AU451" s="724" t="s">
        <v>678</v>
      </c>
      <c r="AV451" s="724" t="s">
        <v>677</v>
      </c>
      <c r="AW451" s="724" t="s">
        <v>676</v>
      </c>
      <c r="AX451" s="724" t="s">
        <v>674</v>
      </c>
      <c r="AY451" s="724"/>
      <c r="AZ451" s="724"/>
      <c r="BA451" s="724" t="s">
        <v>679</v>
      </c>
      <c r="BB451" s="724"/>
      <c r="BC451" s="724"/>
      <c r="BD451" s="724"/>
      <c r="BE451" s="726"/>
      <c r="BF451" s="724" t="s">
        <v>298</v>
      </c>
      <c r="BG451" s="724" t="s">
        <v>680</v>
      </c>
      <c r="BH451" s="724" t="s">
        <v>681</v>
      </c>
      <c r="BI451" s="724"/>
    </row>
    <row r="452" spans="1:61">
      <c r="A452" s="724" t="s">
        <v>914</v>
      </c>
      <c r="B452" s="724" t="s">
        <v>914</v>
      </c>
      <c r="C452" s="724" t="s">
        <v>914</v>
      </c>
      <c r="D452" s="724" t="s">
        <v>673</v>
      </c>
      <c r="E452" s="724" t="s">
        <v>3</v>
      </c>
      <c r="F452" s="725" t="s">
        <v>83</v>
      </c>
      <c r="G452" s="725" t="s">
        <v>700</v>
      </c>
      <c r="H452" s="726">
        <v>4560000</v>
      </c>
      <c r="I452" s="726">
        <v>4560000</v>
      </c>
      <c r="J452" s="726">
        <v>0</v>
      </c>
      <c r="K452" s="726">
        <v>0</v>
      </c>
      <c r="L452" s="726">
        <v>4560000</v>
      </c>
      <c r="M452" s="726">
        <v>0</v>
      </c>
      <c r="N452" s="726">
        <v>0</v>
      </c>
      <c r="O452" s="726">
        <v>0</v>
      </c>
      <c r="P452" s="726">
        <v>0</v>
      </c>
      <c r="Q452" s="726">
        <v>0</v>
      </c>
      <c r="R452" s="726">
        <v>0</v>
      </c>
      <c r="S452" s="726">
        <v>0</v>
      </c>
      <c r="T452" s="726">
        <v>0</v>
      </c>
      <c r="U452" s="726">
        <v>0</v>
      </c>
      <c r="V452" s="726">
        <v>0</v>
      </c>
      <c r="W452" s="726">
        <v>0</v>
      </c>
      <c r="X452" s="724" t="s">
        <v>674</v>
      </c>
      <c r="Y452" s="724" t="s">
        <v>1226</v>
      </c>
      <c r="Z452" s="724" t="s">
        <v>1226</v>
      </c>
      <c r="AA452" s="724" t="s">
        <v>675</v>
      </c>
      <c r="AB452" s="724" t="s">
        <v>675</v>
      </c>
      <c r="AC452" s="724"/>
      <c r="AD452" s="724"/>
      <c r="AE452" s="724"/>
      <c r="AF452" s="724"/>
      <c r="AG452" s="725" t="s">
        <v>913</v>
      </c>
      <c r="AH452" s="724"/>
      <c r="AI452" s="725" t="s">
        <v>913</v>
      </c>
      <c r="AJ452" s="725" t="s">
        <v>677</v>
      </c>
      <c r="AK452" s="724" t="s">
        <v>677</v>
      </c>
      <c r="AL452" s="724"/>
      <c r="AM452" s="724"/>
      <c r="AN452" s="724"/>
      <c r="AO452" s="724"/>
      <c r="AP452" s="724"/>
      <c r="AQ452" s="724"/>
      <c r="AR452" s="726"/>
      <c r="AS452" s="724"/>
      <c r="AT452" s="726"/>
      <c r="AU452" s="724" t="s">
        <v>678</v>
      </c>
      <c r="AV452" s="724" t="s">
        <v>677</v>
      </c>
      <c r="AW452" s="724" t="s">
        <v>676</v>
      </c>
      <c r="AX452" s="724" t="s">
        <v>674</v>
      </c>
      <c r="AY452" s="724"/>
      <c r="AZ452" s="724"/>
      <c r="BA452" s="724" t="s">
        <v>679</v>
      </c>
      <c r="BB452" s="724"/>
      <c r="BC452" s="724"/>
      <c r="BD452" s="724"/>
      <c r="BE452" s="726"/>
      <c r="BF452" s="724" t="s">
        <v>298</v>
      </c>
      <c r="BG452" s="724" t="s">
        <v>680</v>
      </c>
      <c r="BH452" s="724" t="s">
        <v>681</v>
      </c>
      <c r="BI452" s="724"/>
    </row>
    <row r="453" spans="1:61">
      <c r="A453" s="724" t="s">
        <v>915</v>
      </c>
      <c r="B453" s="724" t="s">
        <v>915</v>
      </c>
      <c r="C453" s="724" t="s">
        <v>916</v>
      </c>
      <c r="D453" s="724" t="s">
        <v>673</v>
      </c>
      <c r="E453" s="724" t="s">
        <v>3</v>
      </c>
      <c r="F453" s="725" t="s">
        <v>7</v>
      </c>
      <c r="G453" s="725" t="s">
        <v>684</v>
      </c>
      <c r="H453" s="726">
        <v>927080</v>
      </c>
      <c r="I453" s="726">
        <v>927080</v>
      </c>
      <c r="J453" s="726">
        <v>0</v>
      </c>
      <c r="K453" s="726">
        <v>0</v>
      </c>
      <c r="L453" s="726">
        <v>927080</v>
      </c>
      <c r="M453" s="726">
        <v>0</v>
      </c>
      <c r="N453" s="726">
        <v>0</v>
      </c>
      <c r="O453" s="726">
        <v>0</v>
      </c>
      <c r="P453" s="726">
        <v>0</v>
      </c>
      <c r="Q453" s="726">
        <v>0</v>
      </c>
      <c r="R453" s="726">
        <v>0</v>
      </c>
      <c r="S453" s="726">
        <v>0</v>
      </c>
      <c r="T453" s="726">
        <v>0</v>
      </c>
      <c r="U453" s="726">
        <v>0</v>
      </c>
      <c r="V453" s="726">
        <v>0</v>
      </c>
      <c r="W453" s="726">
        <v>0</v>
      </c>
      <c r="X453" s="724" t="s">
        <v>674</v>
      </c>
      <c r="Y453" s="724" t="s">
        <v>1226</v>
      </c>
      <c r="Z453" s="724" t="s">
        <v>1226</v>
      </c>
      <c r="AA453" s="724" t="s">
        <v>675</v>
      </c>
      <c r="AB453" s="724" t="s">
        <v>675</v>
      </c>
      <c r="AC453" s="724"/>
      <c r="AD453" s="724"/>
      <c r="AE453" s="724"/>
      <c r="AF453" s="724"/>
      <c r="AG453" s="725" t="s">
        <v>917</v>
      </c>
      <c r="AH453" s="724"/>
      <c r="AI453" s="725" t="s">
        <v>917</v>
      </c>
      <c r="AJ453" s="725" t="s">
        <v>677</v>
      </c>
      <c r="AK453" s="724" t="s">
        <v>677</v>
      </c>
      <c r="AL453" s="724"/>
      <c r="AM453" s="724"/>
      <c r="AN453" s="724"/>
      <c r="AO453" s="724"/>
      <c r="AP453" s="724"/>
      <c r="AQ453" s="724"/>
      <c r="AR453" s="726"/>
      <c r="AS453" s="724"/>
      <c r="AT453" s="726"/>
      <c r="AU453" s="724" t="s">
        <v>678</v>
      </c>
      <c r="AV453" s="724" t="s">
        <v>677</v>
      </c>
      <c r="AW453" s="724" t="s">
        <v>676</v>
      </c>
      <c r="AX453" s="724" t="s">
        <v>674</v>
      </c>
      <c r="AY453" s="724"/>
      <c r="AZ453" s="724"/>
      <c r="BA453" s="724" t="s">
        <v>679</v>
      </c>
      <c r="BB453" s="724"/>
      <c r="BC453" s="724"/>
      <c r="BD453" s="724"/>
      <c r="BE453" s="726"/>
      <c r="BF453" s="724" t="s">
        <v>298</v>
      </c>
      <c r="BG453" s="724" t="s">
        <v>680</v>
      </c>
      <c r="BH453" s="724" t="s">
        <v>681</v>
      </c>
      <c r="BI453" s="724"/>
    </row>
    <row r="454" spans="1:61">
      <c r="A454" s="724" t="s">
        <v>915</v>
      </c>
      <c r="B454" s="724" t="s">
        <v>915</v>
      </c>
      <c r="C454" s="724" t="s">
        <v>916</v>
      </c>
      <c r="D454" s="724" t="s">
        <v>673</v>
      </c>
      <c r="E454" s="724" t="s">
        <v>3</v>
      </c>
      <c r="F454" s="725" t="s">
        <v>7</v>
      </c>
      <c r="G454" s="725" t="s">
        <v>684</v>
      </c>
      <c r="H454" s="726">
        <v>52920</v>
      </c>
      <c r="I454" s="726">
        <v>52920</v>
      </c>
      <c r="J454" s="726">
        <v>0</v>
      </c>
      <c r="K454" s="726">
        <v>0</v>
      </c>
      <c r="L454" s="726">
        <v>52920</v>
      </c>
      <c r="M454" s="726">
        <v>0</v>
      </c>
      <c r="N454" s="726">
        <v>0</v>
      </c>
      <c r="O454" s="726">
        <v>0</v>
      </c>
      <c r="P454" s="726">
        <v>0</v>
      </c>
      <c r="Q454" s="726">
        <v>0</v>
      </c>
      <c r="R454" s="726">
        <v>0</v>
      </c>
      <c r="S454" s="726">
        <v>0</v>
      </c>
      <c r="T454" s="726">
        <v>0</v>
      </c>
      <c r="U454" s="726">
        <v>0</v>
      </c>
      <c r="V454" s="726">
        <v>0</v>
      </c>
      <c r="W454" s="726">
        <v>0</v>
      </c>
      <c r="X454" s="724" t="s">
        <v>674</v>
      </c>
      <c r="Y454" s="724" t="s">
        <v>675</v>
      </c>
      <c r="Z454" s="724" t="s">
        <v>675</v>
      </c>
      <c r="AA454" s="724" t="s">
        <v>675</v>
      </c>
      <c r="AB454" s="724" t="s">
        <v>675</v>
      </c>
      <c r="AC454" s="724"/>
      <c r="AD454" s="724"/>
      <c r="AE454" s="724"/>
      <c r="AF454" s="724"/>
      <c r="AG454" s="725" t="s">
        <v>918</v>
      </c>
      <c r="AH454" s="724"/>
      <c r="AI454" s="725" t="s">
        <v>918</v>
      </c>
      <c r="AJ454" s="725" t="s">
        <v>677</v>
      </c>
      <c r="AK454" s="724" t="s">
        <v>677</v>
      </c>
      <c r="AL454" s="724"/>
      <c r="AM454" s="724"/>
      <c r="AN454" s="724"/>
      <c r="AO454" s="724"/>
      <c r="AP454" s="724"/>
      <c r="AQ454" s="724"/>
      <c r="AR454" s="726"/>
      <c r="AS454" s="724"/>
      <c r="AT454" s="726"/>
      <c r="AU454" s="724" t="s">
        <v>678</v>
      </c>
      <c r="AV454" s="724" t="s">
        <v>677</v>
      </c>
      <c r="AW454" s="724" t="s">
        <v>676</v>
      </c>
      <c r="AX454" s="724" t="s">
        <v>674</v>
      </c>
      <c r="AY454" s="724"/>
      <c r="AZ454" s="724"/>
      <c r="BA454" s="724" t="s">
        <v>679</v>
      </c>
      <c r="BB454" s="724"/>
      <c r="BC454" s="724"/>
      <c r="BD454" s="724"/>
      <c r="BE454" s="726"/>
      <c r="BF454" s="724" t="s">
        <v>298</v>
      </c>
      <c r="BG454" s="724" t="s">
        <v>680</v>
      </c>
      <c r="BH454" s="724" t="s">
        <v>681</v>
      </c>
      <c r="BI454" s="724"/>
    </row>
    <row r="455" spans="1:61">
      <c r="A455" s="724" t="s">
        <v>915</v>
      </c>
      <c r="B455" s="724" t="s">
        <v>915</v>
      </c>
      <c r="C455" s="724" t="s">
        <v>916</v>
      </c>
      <c r="D455" s="724" t="s">
        <v>673</v>
      </c>
      <c r="E455" s="724" t="s">
        <v>3</v>
      </c>
      <c r="F455" s="725" t="s">
        <v>7</v>
      </c>
      <c r="G455" s="725" t="s">
        <v>684</v>
      </c>
      <c r="H455" s="726">
        <v>67560</v>
      </c>
      <c r="I455" s="726">
        <v>67560</v>
      </c>
      <c r="J455" s="726">
        <v>0</v>
      </c>
      <c r="K455" s="726">
        <v>0</v>
      </c>
      <c r="L455" s="726">
        <v>67560</v>
      </c>
      <c r="M455" s="726">
        <v>0</v>
      </c>
      <c r="N455" s="726">
        <v>0</v>
      </c>
      <c r="O455" s="726">
        <v>0</v>
      </c>
      <c r="P455" s="726">
        <v>0</v>
      </c>
      <c r="Q455" s="726">
        <v>0</v>
      </c>
      <c r="R455" s="726">
        <v>0</v>
      </c>
      <c r="S455" s="726">
        <v>0</v>
      </c>
      <c r="T455" s="726">
        <v>0</v>
      </c>
      <c r="U455" s="726">
        <v>0</v>
      </c>
      <c r="V455" s="726">
        <v>0</v>
      </c>
      <c r="W455" s="726">
        <v>0</v>
      </c>
      <c r="X455" s="724" t="s">
        <v>674</v>
      </c>
      <c r="Y455" s="724" t="s">
        <v>675</v>
      </c>
      <c r="Z455" s="724" t="s">
        <v>675</v>
      </c>
      <c r="AA455" s="724" t="s">
        <v>675</v>
      </c>
      <c r="AB455" s="724" t="s">
        <v>675</v>
      </c>
      <c r="AC455" s="724"/>
      <c r="AD455" s="724"/>
      <c r="AE455" s="724"/>
      <c r="AF455" s="724"/>
      <c r="AG455" s="725" t="s">
        <v>919</v>
      </c>
      <c r="AH455" s="724"/>
      <c r="AI455" s="725" t="s">
        <v>919</v>
      </c>
      <c r="AJ455" s="725" t="s">
        <v>677</v>
      </c>
      <c r="AK455" s="724" t="s">
        <v>677</v>
      </c>
      <c r="AL455" s="724"/>
      <c r="AM455" s="724"/>
      <c r="AN455" s="724"/>
      <c r="AO455" s="724"/>
      <c r="AP455" s="724"/>
      <c r="AQ455" s="724"/>
      <c r="AR455" s="726"/>
      <c r="AS455" s="724"/>
      <c r="AT455" s="726"/>
      <c r="AU455" s="724" t="s">
        <v>678</v>
      </c>
      <c r="AV455" s="724" t="s">
        <v>677</v>
      </c>
      <c r="AW455" s="724" t="s">
        <v>676</v>
      </c>
      <c r="AX455" s="724" t="s">
        <v>674</v>
      </c>
      <c r="AY455" s="724"/>
      <c r="AZ455" s="724"/>
      <c r="BA455" s="724" t="s">
        <v>679</v>
      </c>
      <c r="BB455" s="724"/>
      <c r="BC455" s="724"/>
      <c r="BD455" s="724"/>
      <c r="BE455" s="726"/>
      <c r="BF455" s="724" t="s">
        <v>298</v>
      </c>
      <c r="BG455" s="724" t="s">
        <v>680</v>
      </c>
      <c r="BH455" s="724" t="s">
        <v>681</v>
      </c>
      <c r="BI455" s="724"/>
    </row>
    <row r="456" spans="1:61">
      <c r="A456" s="724" t="s">
        <v>840</v>
      </c>
      <c r="B456" s="724" t="s">
        <v>805</v>
      </c>
      <c r="C456" s="724" t="s">
        <v>806</v>
      </c>
      <c r="D456" s="724" t="s">
        <v>716</v>
      </c>
      <c r="E456" s="724" t="s">
        <v>3</v>
      </c>
      <c r="F456" s="725" t="s">
        <v>71</v>
      </c>
      <c r="G456" s="725" t="s">
        <v>719</v>
      </c>
      <c r="H456" s="726">
        <v>8288500</v>
      </c>
      <c r="I456" s="726">
        <v>8288500</v>
      </c>
      <c r="J456" s="726">
        <v>0</v>
      </c>
      <c r="K456" s="726">
        <v>0</v>
      </c>
      <c r="L456" s="726">
        <v>7535000</v>
      </c>
      <c r="M456" s="726">
        <v>0</v>
      </c>
      <c r="N456" s="726">
        <v>0</v>
      </c>
      <c r="O456" s="726">
        <v>753500</v>
      </c>
      <c r="P456" s="726">
        <v>0</v>
      </c>
      <c r="Q456" s="726">
        <v>0</v>
      </c>
      <c r="R456" s="726">
        <v>0</v>
      </c>
      <c r="S456" s="726">
        <v>0</v>
      </c>
      <c r="T456" s="726">
        <v>0</v>
      </c>
      <c r="U456" s="726">
        <v>0</v>
      </c>
      <c r="V456" s="726">
        <v>0</v>
      </c>
      <c r="W456" s="726">
        <v>0</v>
      </c>
      <c r="X456" s="724" t="s">
        <v>674</v>
      </c>
      <c r="Y456" s="724" t="s">
        <v>1226</v>
      </c>
      <c r="Z456" s="724" t="s">
        <v>1226</v>
      </c>
      <c r="AA456" s="724" t="s">
        <v>675</v>
      </c>
      <c r="AB456" s="724" t="s">
        <v>675</v>
      </c>
      <c r="AC456" s="724"/>
      <c r="AD456" s="724"/>
      <c r="AE456" s="724"/>
      <c r="AF456" s="724"/>
      <c r="AG456" s="725" t="s">
        <v>920</v>
      </c>
      <c r="AH456" s="724"/>
      <c r="AI456" s="725" t="s">
        <v>920</v>
      </c>
      <c r="AJ456" s="725" t="s">
        <v>921</v>
      </c>
      <c r="AK456" s="724" t="s">
        <v>677</v>
      </c>
      <c r="AL456" s="724"/>
      <c r="AM456" s="724"/>
      <c r="AN456" s="724"/>
      <c r="AO456" s="724"/>
      <c r="AP456" s="724"/>
      <c r="AQ456" s="724"/>
      <c r="AR456" s="726"/>
      <c r="AS456" s="724"/>
      <c r="AT456" s="726"/>
      <c r="AU456" s="724" t="s">
        <v>678</v>
      </c>
      <c r="AV456" s="724" t="s">
        <v>677</v>
      </c>
      <c r="AW456" s="724" t="s">
        <v>676</v>
      </c>
      <c r="AX456" s="724" t="s">
        <v>674</v>
      </c>
      <c r="AY456" s="724"/>
      <c r="AZ456" s="724"/>
      <c r="BA456" s="724" t="s">
        <v>679</v>
      </c>
      <c r="BB456" s="724"/>
      <c r="BC456" s="724"/>
      <c r="BD456" s="724"/>
      <c r="BE456" s="726"/>
      <c r="BF456" s="724" t="s">
        <v>298</v>
      </c>
      <c r="BG456" s="724" t="s">
        <v>680</v>
      </c>
      <c r="BH456" s="724" t="s">
        <v>681</v>
      </c>
      <c r="BI456" s="724"/>
    </row>
    <row r="457" spans="1:61">
      <c r="A457" s="724" t="s">
        <v>915</v>
      </c>
      <c r="B457" s="724" t="s">
        <v>914</v>
      </c>
      <c r="C457" s="724" t="s">
        <v>922</v>
      </c>
      <c r="D457" s="724" t="s">
        <v>716</v>
      </c>
      <c r="E457" s="724" t="s">
        <v>3</v>
      </c>
      <c r="F457" s="725" t="s">
        <v>308</v>
      </c>
      <c r="G457" s="725" t="s">
        <v>780</v>
      </c>
      <c r="H457" s="726">
        <v>29920000</v>
      </c>
      <c r="I457" s="726">
        <v>29920000</v>
      </c>
      <c r="J457" s="726">
        <v>0</v>
      </c>
      <c r="K457" s="726">
        <v>0</v>
      </c>
      <c r="L457" s="726">
        <v>27200000</v>
      </c>
      <c r="M457" s="726">
        <v>0</v>
      </c>
      <c r="N457" s="726">
        <v>0</v>
      </c>
      <c r="O457" s="726">
        <v>2720000</v>
      </c>
      <c r="P457" s="726">
        <v>0</v>
      </c>
      <c r="Q457" s="726">
        <v>0</v>
      </c>
      <c r="R457" s="726">
        <v>0</v>
      </c>
      <c r="S457" s="726">
        <v>0</v>
      </c>
      <c r="T457" s="726">
        <v>0</v>
      </c>
      <c r="U457" s="726">
        <v>0</v>
      </c>
      <c r="V457" s="726">
        <v>0</v>
      </c>
      <c r="W457" s="726">
        <v>0</v>
      </c>
      <c r="X457" s="724" t="s">
        <v>674</v>
      </c>
      <c r="Y457" s="724" t="s">
        <v>1226</v>
      </c>
      <c r="Z457" s="724" t="s">
        <v>1226</v>
      </c>
      <c r="AA457" s="724" t="s">
        <v>675</v>
      </c>
      <c r="AB457" s="724" t="s">
        <v>675</v>
      </c>
      <c r="AC457" s="724"/>
      <c r="AD457" s="724" t="s">
        <v>781</v>
      </c>
      <c r="AE457" s="724"/>
      <c r="AF457" s="724"/>
      <c r="AG457" s="725" t="s">
        <v>923</v>
      </c>
      <c r="AH457" s="724"/>
      <c r="AI457" s="725" t="s">
        <v>923</v>
      </c>
      <c r="AJ457" s="725" t="s">
        <v>924</v>
      </c>
      <c r="AK457" s="724" t="s">
        <v>677</v>
      </c>
      <c r="AL457" s="724"/>
      <c r="AM457" s="724"/>
      <c r="AN457" s="724"/>
      <c r="AO457" s="724"/>
      <c r="AP457" s="724"/>
      <c r="AQ457" s="724"/>
      <c r="AR457" s="726"/>
      <c r="AS457" s="724"/>
      <c r="AT457" s="726"/>
      <c r="AU457" s="724" t="s">
        <v>678</v>
      </c>
      <c r="AV457" s="724" t="s">
        <v>677</v>
      </c>
      <c r="AW457" s="724" t="s">
        <v>676</v>
      </c>
      <c r="AX457" s="724" t="s">
        <v>674</v>
      </c>
      <c r="AY457" s="724"/>
      <c r="AZ457" s="724"/>
      <c r="BA457" s="724" t="s">
        <v>679</v>
      </c>
      <c r="BB457" s="724"/>
      <c r="BC457" s="724"/>
      <c r="BD457" s="724"/>
      <c r="BE457" s="726"/>
      <c r="BF457" s="724" t="s">
        <v>298</v>
      </c>
      <c r="BG457" s="724" t="s">
        <v>680</v>
      </c>
      <c r="BH457" s="724" t="s">
        <v>681</v>
      </c>
      <c r="BI457" s="724"/>
    </row>
    <row r="458" spans="1:61">
      <c r="A458" s="724" t="s">
        <v>925</v>
      </c>
      <c r="B458" s="724" t="s">
        <v>925</v>
      </c>
      <c r="C458" s="724" t="s">
        <v>926</v>
      </c>
      <c r="D458" s="724" t="s">
        <v>673</v>
      </c>
      <c r="E458" s="724" t="s">
        <v>3</v>
      </c>
      <c r="F458" s="725" t="s">
        <v>83</v>
      </c>
      <c r="G458" s="725" t="s">
        <v>700</v>
      </c>
      <c r="H458" s="726">
        <v>70400</v>
      </c>
      <c r="I458" s="726">
        <v>70400</v>
      </c>
      <c r="J458" s="726">
        <v>0</v>
      </c>
      <c r="K458" s="726">
        <v>0</v>
      </c>
      <c r="L458" s="726">
        <v>70400</v>
      </c>
      <c r="M458" s="726">
        <v>0</v>
      </c>
      <c r="N458" s="726">
        <v>0</v>
      </c>
      <c r="O458" s="726">
        <v>0</v>
      </c>
      <c r="P458" s="726">
        <v>0</v>
      </c>
      <c r="Q458" s="726">
        <v>0</v>
      </c>
      <c r="R458" s="726">
        <v>0</v>
      </c>
      <c r="S458" s="726">
        <v>0</v>
      </c>
      <c r="T458" s="726">
        <v>0</v>
      </c>
      <c r="U458" s="726">
        <v>0</v>
      </c>
      <c r="V458" s="726">
        <v>0</v>
      </c>
      <c r="W458" s="726">
        <v>0</v>
      </c>
      <c r="X458" s="724" t="s">
        <v>674</v>
      </c>
      <c r="Y458" s="724" t="s">
        <v>675</v>
      </c>
      <c r="Z458" s="724" t="s">
        <v>675</v>
      </c>
      <c r="AA458" s="724" t="s">
        <v>675</v>
      </c>
      <c r="AB458" s="724" t="s">
        <v>675</v>
      </c>
      <c r="AC458" s="724"/>
      <c r="AD458" s="724"/>
      <c r="AE458" s="724"/>
      <c r="AF458" s="724"/>
      <c r="AG458" s="725" t="s">
        <v>927</v>
      </c>
      <c r="AH458" s="724"/>
      <c r="AI458" s="725" t="s">
        <v>927</v>
      </c>
      <c r="AJ458" s="725" t="s">
        <v>677</v>
      </c>
      <c r="AK458" s="724" t="s">
        <v>677</v>
      </c>
      <c r="AL458" s="724"/>
      <c r="AM458" s="724"/>
      <c r="AN458" s="724"/>
      <c r="AO458" s="724"/>
      <c r="AP458" s="724"/>
      <c r="AQ458" s="724"/>
      <c r="AR458" s="726"/>
      <c r="AS458" s="724"/>
      <c r="AT458" s="726"/>
      <c r="AU458" s="724" t="s">
        <v>678</v>
      </c>
      <c r="AV458" s="724" t="s">
        <v>677</v>
      </c>
      <c r="AW458" s="724" t="s">
        <v>676</v>
      </c>
      <c r="AX458" s="724" t="s">
        <v>674</v>
      </c>
      <c r="AY458" s="724"/>
      <c r="AZ458" s="724"/>
      <c r="BA458" s="724" t="s">
        <v>679</v>
      </c>
      <c r="BB458" s="724"/>
      <c r="BC458" s="724"/>
      <c r="BD458" s="724"/>
      <c r="BE458" s="726"/>
      <c r="BF458" s="724" t="s">
        <v>298</v>
      </c>
      <c r="BG458" s="724" t="s">
        <v>680</v>
      </c>
      <c r="BH458" s="724" t="s">
        <v>681</v>
      </c>
      <c r="BI458" s="724"/>
    </row>
    <row r="459" spans="1:61">
      <c r="A459" s="724" t="s">
        <v>925</v>
      </c>
      <c r="B459" s="724" t="s">
        <v>925</v>
      </c>
      <c r="C459" s="724" t="s">
        <v>926</v>
      </c>
      <c r="D459" s="724" t="s">
        <v>673</v>
      </c>
      <c r="E459" s="724" t="s">
        <v>3</v>
      </c>
      <c r="F459" s="725" t="s">
        <v>83</v>
      </c>
      <c r="G459" s="725" t="s">
        <v>700</v>
      </c>
      <c r="H459" s="726">
        <v>729600</v>
      </c>
      <c r="I459" s="726">
        <v>729600</v>
      </c>
      <c r="J459" s="726">
        <v>0</v>
      </c>
      <c r="K459" s="726">
        <v>0</v>
      </c>
      <c r="L459" s="726">
        <v>729600</v>
      </c>
      <c r="M459" s="726">
        <v>0</v>
      </c>
      <c r="N459" s="726">
        <v>0</v>
      </c>
      <c r="O459" s="726">
        <v>0</v>
      </c>
      <c r="P459" s="726">
        <v>0</v>
      </c>
      <c r="Q459" s="726">
        <v>0</v>
      </c>
      <c r="R459" s="726">
        <v>0</v>
      </c>
      <c r="S459" s="726">
        <v>0</v>
      </c>
      <c r="T459" s="726">
        <v>0</v>
      </c>
      <c r="U459" s="726">
        <v>0</v>
      </c>
      <c r="V459" s="726">
        <v>0</v>
      </c>
      <c r="W459" s="726">
        <v>0</v>
      </c>
      <c r="X459" s="724" t="s">
        <v>674</v>
      </c>
      <c r="Y459" s="724" t="s">
        <v>1226</v>
      </c>
      <c r="Z459" s="724" t="s">
        <v>1226</v>
      </c>
      <c r="AA459" s="724" t="s">
        <v>675</v>
      </c>
      <c r="AB459" s="724" t="s">
        <v>675</v>
      </c>
      <c r="AC459" s="724"/>
      <c r="AD459" s="724"/>
      <c r="AE459" s="724"/>
      <c r="AF459" s="724"/>
      <c r="AG459" s="725" t="s">
        <v>928</v>
      </c>
      <c r="AH459" s="724"/>
      <c r="AI459" s="725" t="s">
        <v>928</v>
      </c>
      <c r="AJ459" s="725" t="s">
        <v>677</v>
      </c>
      <c r="AK459" s="724" t="s">
        <v>677</v>
      </c>
      <c r="AL459" s="724"/>
      <c r="AM459" s="724"/>
      <c r="AN459" s="724"/>
      <c r="AO459" s="724"/>
      <c r="AP459" s="724"/>
      <c r="AQ459" s="724"/>
      <c r="AR459" s="726"/>
      <c r="AS459" s="724"/>
      <c r="AT459" s="726"/>
      <c r="AU459" s="724" t="s">
        <v>678</v>
      </c>
      <c r="AV459" s="724" t="s">
        <v>677</v>
      </c>
      <c r="AW459" s="724" t="s">
        <v>676</v>
      </c>
      <c r="AX459" s="724" t="s">
        <v>674</v>
      </c>
      <c r="AY459" s="724"/>
      <c r="AZ459" s="724"/>
      <c r="BA459" s="724" t="s">
        <v>679</v>
      </c>
      <c r="BB459" s="724"/>
      <c r="BC459" s="724"/>
      <c r="BD459" s="724"/>
      <c r="BE459" s="726"/>
      <c r="BF459" s="724" t="s">
        <v>298</v>
      </c>
      <c r="BG459" s="724" t="s">
        <v>680</v>
      </c>
      <c r="BH459" s="724" t="s">
        <v>681</v>
      </c>
      <c r="BI459" s="724"/>
    </row>
    <row r="460" spans="1:61">
      <c r="A460" s="724" t="s">
        <v>925</v>
      </c>
      <c r="B460" s="724" t="s">
        <v>925</v>
      </c>
      <c r="C460" s="724" t="s">
        <v>926</v>
      </c>
      <c r="D460" s="724" t="s">
        <v>673</v>
      </c>
      <c r="E460" s="724" t="s">
        <v>3</v>
      </c>
      <c r="F460" s="725" t="s">
        <v>83</v>
      </c>
      <c r="G460" s="725" t="s">
        <v>700</v>
      </c>
      <c r="H460" s="726">
        <v>2097600</v>
      </c>
      <c r="I460" s="726">
        <v>2097600</v>
      </c>
      <c r="J460" s="726">
        <v>0</v>
      </c>
      <c r="K460" s="726">
        <v>0</v>
      </c>
      <c r="L460" s="726">
        <v>2097600</v>
      </c>
      <c r="M460" s="726">
        <v>0</v>
      </c>
      <c r="N460" s="726">
        <v>0</v>
      </c>
      <c r="O460" s="726">
        <v>0</v>
      </c>
      <c r="P460" s="726">
        <v>0</v>
      </c>
      <c r="Q460" s="726">
        <v>0</v>
      </c>
      <c r="R460" s="726">
        <v>0</v>
      </c>
      <c r="S460" s="726">
        <v>0</v>
      </c>
      <c r="T460" s="726">
        <v>0</v>
      </c>
      <c r="U460" s="726">
        <v>0</v>
      </c>
      <c r="V460" s="726">
        <v>0</v>
      </c>
      <c r="W460" s="726">
        <v>0</v>
      </c>
      <c r="X460" s="724" t="s">
        <v>674</v>
      </c>
      <c r="Y460" s="724" t="s">
        <v>1226</v>
      </c>
      <c r="Z460" s="724" t="s">
        <v>1226</v>
      </c>
      <c r="AA460" s="724" t="s">
        <v>675</v>
      </c>
      <c r="AB460" s="724" t="s">
        <v>675</v>
      </c>
      <c r="AC460" s="724"/>
      <c r="AD460" s="724"/>
      <c r="AE460" s="724"/>
      <c r="AF460" s="724"/>
      <c r="AG460" s="725" t="s">
        <v>929</v>
      </c>
      <c r="AH460" s="724"/>
      <c r="AI460" s="725" t="s">
        <v>929</v>
      </c>
      <c r="AJ460" s="725" t="s">
        <v>677</v>
      </c>
      <c r="AK460" s="724" t="s">
        <v>677</v>
      </c>
      <c r="AL460" s="724"/>
      <c r="AM460" s="724"/>
      <c r="AN460" s="724"/>
      <c r="AO460" s="724"/>
      <c r="AP460" s="724"/>
      <c r="AQ460" s="724"/>
      <c r="AR460" s="726"/>
      <c r="AS460" s="724"/>
      <c r="AT460" s="726"/>
      <c r="AU460" s="724" t="s">
        <v>678</v>
      </c>
      <c r="AV460" s="724" t="s">
        <v>677</v>
      </c>
      <c r="AW460" s="724" t="s">
        <v>676</v>
      </c>
      <c r="AX460" s="724" t="s">
        <v>674</v>
      </c>
      <c r="AY460" s="724"/>
      <c r="AZ460" s="724"/>
      <c r="BA460" s="724" t="s">
        <v>679</v>
      </c>
      <c r="BB460" s="724"/>
      <c r="BC460" s="724"/>
      <c r="BD460" s="724"/>
      <c r="BE460" s="726"/>
      <c r="BF460" s="724" t="s">
        <v>298</v>
      </c>
      <c r="BG460" s="724" t="s">
        <v>680</v>
      </c>
      <c r="BH460" s="724" t="s">
        <v>681</v>
      </c>
      <c r="BI460" s="724"/>
    </row>
    <row r="461" spans="1:61">
      <c r="A461" s="724" t="s">
        <v>925</v>
      </c>
      <c r="B461" s="724" t="s">
        <v>925</v>
      </c>
      <c r="C461" s="724" t="s">
        <v>926</v>
      </c>
      <c r="D461" s="724" t="s">
        <v>673</v>
      </c>
      <c r="E461" s="724" t="s">
        <v>3</v>
      </c>
      <c r="F461" s="725" t="s">
        <v>83</v>
      </c>
      <c r="G461" s="725" t="s">
        <v>700</v>
      </c>
      <c r="H461" s="726">
        <v>202400</v>
      </c>
      <c r="I461" s="726">
        <v>202400</v>
      </c>
      <c r="J461" s="726">
        <v>0</v>
      </c>
      <c r="K461" s="726">
        <v>0</v>
      </c>
      <c r="L461" s="726">
        <v>202400</v>
      </c>
      <c r="M461" s="726">
        <v>0</v>
      </c>
      <c r="N461" s="726">
        <v>0</v>
      </c>
      <c r="O461" s="726">
        <v>0</v>
      </c>
      <c r="P461" s="726">
        <v>0</v>
      </c>
      <c r="Q461" s="726">
        <v>0</v>
      </c>
      <c r="R461" s="726">
        <v>0</v>
      </c>
      <c r="S461" s="726">
        <v>0</v>
      </c>
      <c r="T461" s="726">
        <v>0</v>
      </c>
      <c r="U461" s="726">
        <v>0</v>
      </c>
      <c r="V461" s="726">
        <v>0</v>
      </c>
      <c r="W461" s="726">
        <v>0</v>
      </c>
      <c r="X461" s="724" t="s">
        <v>674</v>
      </c>
      <c r="Y461" s="724" t="s">
        <v>1226</v>
      </c>
      <c r="Z461" s="724" t="s">
        <v>1226</v>
      </c>
      <c r="AA461" s="724" t="s">
        <v>675</v>
      </c>
      <c r="AB461" s="724" t="s">
        <v>675</v>
      </c>
      <c r="AC461" s="724"/>
      <c r="AD461" s="724"/>
      <c r="AE461" s="724"/>
      <c r="AF461" s="724"/>
      <c r="AG461" s="725" t="s">
        <v>930</v>
      </c>
      <c r="AH461" s="724"/>
      <c r="AI461" s="725" t="s">
        <v>930</v>
      </c>
      <c r="AJ461" s="725" t="s">
        <v>677</v>
      </c>
      <c r="AK461" s="724" t="s">
        <v>677</v>
      </c>
      <c r="AL461" s="724"/>
      <c r="AM461" s="724"/>
      <c r="AN461" s="724"/>
      <c r="AO461" s="724"/>
      <c r="AP461" s="724"/>
      <c r="AQ461" s="724"/>
      <c r="AR461" s="726"/>
      <c r="AS461" s="724"/>
      <c r="AT461" s="726"/>
      <c r="AU461" s="724" t="s">
        <v>678</v>
      </c>
      <c r="AV461" s="724" t="s">
        <v>677</v>
      </c>
      <c r="AW461" s="724" t="s">
        <v>676</v>
      </c>
      <c r="AX461" s="724" t="s">
        <v>674</v>
      </c>
      <c r="AY461" s="724"/>
      <c r="AZ461" s="724"/>
      <c r="BA461" s="724" t="s">
        <v>679</v>
      </c>
      <c r="BB461" s="724"/>
      <c r="BC461" s="724"/>
      <c r="BD461" s="724"/>
      <c r="BE461" s="726"/>
      <c r="BF461" s="724" t="s">
        <v>298</v>
      </c>
      <c r="BG461" s="724" t="s">
        <v>680</v>
      </c>
      <c r="BH461" s="724" t="s">
        <v>681</v>
      </c>
      <c r="BI461" s="724"/>
    </row>
    <row r="462" spans="1:61">
      <c r="A462" s="724" t="s">
        <v>925</v>
      </c>
      <c r="B462" s="724" t="s">
        <v>925</v>
      </c>
      <c r="C462" s="724" t="s">
        <v>926</v>
      </c>
      <c r="D462" s="724" t="s">
        <v>673</v>
      </c>
      <c r="E462" s="724" t="s">
        <v>3</v>
      </c>
      <c r="F462" s="725" t="s">
        <v>83</v>
      </c>
      <c r="G462" s="725" t="s">
        <v>700</v>
      </c>
      <c r="H462" s="726">
        <v>2097600</v>
      </c>
      <c r="I462" s="726">
        <v>2097600</v>
      </c>
      <c r="J462" s="726">
        <v>0</v>
      </c>
      <c r="K462" s="726">
        <v>0</v>
      </c>
      <c r="L462" s="726">
        <v>2097600</v>
      </c>
      <c r="M462" s="726">
        <v>0</v>
      </c>
      <c r="N462" s="726">
        <v>0</v>
      </c>
      <c r="O462" s="726">
        <v>0</v>
      </c>
      <c r="P462" s="726">
        <v>0</v>
      </c>
      <c r="Q462" s="726">
        <v>0</v>
      </c>
      <c r="R462" s="726">
        <v>0</v>
      </c>
      <c r="S462" s="726">
        <v>0</v>
      </c>
      <c r="T462" s="726">
        <v>0</v>
      </c>
      <c r="U462" s="726">
        <v>0</v>
      </c>
      <c r="V462" s="726">
        <v>0</v>
      </c>
      <c r="W462" s="726">
        <v>0</v>
      </c>
      <c r="X462" s="724" t="s">
        <v>674</v>
      </c>
      <c r="Y462" s="724" t="s">
        <v>1226</v>
      </c>
      <c r="Z462" s="724" t="s">
        <v>1226</v>
      </c>
      <c r="AA462" s="724" t="s">
        <v>675</v>
      </c>
      <c r="AB462" s="724" t="s">
        <v>675</v>
      </c>
      <c r="AC462" s="724"/>
      <c r="AD462" s="724"/>
      <c r="AE462" s="724"/>
      <c r="AF462" s="724"/>
      <c r="AG462" s="725" t="s">
        <v>931</v>
      </c>
      <c r="AH462" s="724"/>
      <c r="AI462" s="725" t="s">
        <v>931</v>
      </c>
      <c r="AJ462" s="725" t="s">
        <v>677</v>
      </c>
      <c r="AK462" s="724" t="s">
        <v>677</v>
      </c>
      <c r="AL462" s="724"/>
      <c r="AM462" s="724"/>
      <c r="AN462" s="724"/>
      <c r="AO462" s="724"/>
      <c r="AP462" s="724"/>
      <c r="AQ462" s="724"/>
      <c r="AR462" s="726"/>
      <c r="AS462" s="724"/>
      <c r="AT462" s="726"/>
      <c r="AU462" s="724" t="s">
        <v>678</v>
      </c>
      <c r="AV462" s="724" t="s">
        <v>677</v>
      </c>
      <c r="AW462" s="724" t="s">
        <v>676</v>
      </c>
      <c r="AX462" s="724" t="s">
        <v>674</v>
      </c>
      <c r="AY462" s="724"/>
      <c r="AZ462" s="724"/>
      <c r="BA462" s="724" t="s">
        <v>679</v>
      </c>
      <c r="BB462" s="724"/>
      <c r="BC462" s="724"/>
      <c r="BD462" s="724"/>
      <c r="BE462" s="726"/>
      <c r="BF462" s="724" t="s">
        <v>298</v>
      </c>
      <c r="BG462" s="724" t="s">
        <v>680</v>
      </c>
      <c r="BH462" s="724" t="s">
        <v>681</v>
      </c>
      <c r="BI462" s="724"/>
    </row>
    <row r="463" spans="1:61">
      <c r="A463" s="724" t="s">
        <v>925</v>
      </c>
      <c r="B463" s="724" t="s">
        <v>925</v>
      </c>
      <c r="C463" s="724" t="s">
        <v>926</v>
      </c>
      <c r="D463" s="724" t="s">
        <v>673</v>
      </c>
      <c r="E463" s="724" t="s">
        <v>3</v>
      </c>
      <c r="F463" s="725" t="s">
        <v>83</v>
      </c>
      <c r="G463" s="725" t="s">
        <v>700</v>
      </c>
      <c r="H463" s="726">
        <v>3009600</v>
      </c>
      <c r="I463" s="726">
        <v>3009600</v>
      </c>
      <c r="J463" s="726">
        <v>0</v>
      </c>
      <c r="K463" s="726">
        <v>0</v>
      </c>
      <c r="L463" s="726">
        <v>3009600</v>
      </c>
      <c r="M463" s="726">
        <v>0</v>
      </c>
      <c r="N463" s="726">
        <v>0</v>
      </c>
      <c r="O463" s="726">
        <v>0</v>
      </c>
      <c r="P463" s="726">
        <v>0</v>
      </c>
      <c r="Q463" s="726">
        <v>0</v>
      </c>
      <c r="R463" s="726">
        <v>0</v>
      </c>
      <c r="S463" s="726">
        <v>0</v>
      </c>
      <c r="T463" s="726">
        <v>0</v>
      </c>
      <c r="U463" s="726">
        <v>0</v>
      </c>
      <c r="V463" s="726">
        <v>0</v>
      </c>
      <c r="W463" s="726">
        <v>0</v>
      </c>
      <c r="X463" s="724" t="s">
        <v>674</v>
      </c>
      <c r="Y463" s="724" t="s">
        <v>1226</v>
      </c>
      <c r="Z463" s="724" t="s">
        <v>1226</v>
      </c>
      <c r="AA463" s="724" t="s">
        <v>675</v>
      </c>
      <c r="AB463" s="724" t="s">
        <v>675</v>
      </c>
      <c r="AC463" s="724"/>
      <c r="AD463" s="724"/>
      <c r="AE463" s="724"/>
      <c r="AF463" s="724"/>
      <c r="AG463" s="725" t="s">
        <v>931</v>
      </c>
      <c r="AH463" s="724"/>
      <c r="AI463" s="725" t="s">
        <v>931</v>
      </c>
      <c r="AJ463" s="725" t="s">
        <v>677</v>
      </c>
      <c r="AK463" s="724" t="s">
        <v>677</v>
      </c>
      <c r="AL463" s="724"/>
      <c r="AM463" s="724"/>
      <c r="AN463" s="724"/>
      <c r="AO463" s="724"/>
      <c r="AP463" s="724"/>
      <c r="AQ463" s="724"/>
      <c r="AR463" s="726"/>
      <c r="AS463" s="724"/>
      <c r="AT463" s="726"/>
      <c r="AU463" s="724" t="s">
        <v>678</v>
      </c>
      <c r="AV463" s="724" t="s">
        <v>677</v>
      </c>
      <c r="AW463" s="724" t="s">
        <v>676</v>
      </c>
      <c r="AX463" s="724" t="s">
        <v>674</v>
      </c>
      <c r="AY463" s="724"/>
      <c r="AZ463" s="724"/>
      <c r="BA463" s="724" t="s">
        <v>679</v>
      </c>
      <c r="BB463" s="724"/>
      <c r="BC463" s="724"/>
      <c r="BD463" s="724"/>
      <c r="BE463" s="726"/>
      <c r="BF463" s="724" t="s">
        <v>298</v>
      </c>
      <c r="BG463" s="724" t="s">
        <v>680</v>
      </c>
      <c r="BH463" s="724" t="s">
        <v>681</v>
      </c>
      <c r="BI463" s="724"/>
    </row>
    <row r="464" spans="1:61">
      <c r="A464" s="724" t="s">
        <v>925</v>
      </c>
      <c r="B464" s="724" t="s">
        <v>925</v>
      </c>
      <c r="C464" s="724" t="s">
        <v>926</v>
      </c>
      <c r="D464" s="724" t="s">
        <v>673</v>
      </c>
      <c r="E464" s="724" t="s">
        <v>3</v>
      </c>
      <c r="F464" s="725" t="s">
        <v>83</v>
      </c>
      <c r="G464" s="725" t="s">
        <v>700</v>
      </c>
      <c r="H464" s="726">
        <v>290400</v>
      </c>
      <c r="I464" s="726">
        <v>290400</v>
      </c>
      <c r="J464" s="726">
        <v>0</v>
      </c>
      <c r="K464" s="726">
        <v>0</v>
      </c>
      <c r="L464" s="726">
        <v>290400</v>
      </c>
      <c r="M464" s="726">
        <v>0</v>
      </c>
      <c r="N464" s="726">
        <v>0</v>
      </c>
      <c r="O464" s="726">
        <v>0</v>
      </c>
      <c r="P464" s="726">
        <v>0</v>
      </c>
      <c r="Q464" s="726">
        <v>0</v>
      </c>
      <c r="R464" s="726">
        <v>0</v>
      </c>
      <c r="S464" s="726">
        <v>0</v>
      </c>
      <c r="T464" s="726">
        <v>0</v>
      </c>
      <c r="U464" s="726">
        <v>0</v>
      </c>
      <c r="V464" s="726">
        <v>0</v>
      </c>
      <c r="W464" s="726">
        <v>0</v>
      </c>
      <c r="X464" s="724" t="s">
        <v>674</v>
      </c>
      <c r="Y464" s="724" t="s">
        <v>1226</v>
      </c>
      <c r="Z464" s="724" t="s">
        <v>1226</v>
      </c>
      <c r="AA464" s="724" t="s">
        <v>675</v>
      </c>
      <c r="AB464" s="724" t="s">
        <v>675</v>
      </c>
      <c r="AC464" s="724"/>
      <c r="AD464" s="724"/>
      <c r="AE464" s="724"/>
      <c r="AF464" s="724"/>
      <c r="AG464" s="725" t="s">
        <v>932</v>
      </c>
      <c r="AH464" s="724"/>
      <c r="AI464" s="725" t="s">
        <v>932</v>
      </c>
      <c r="AJ464" s="725" t="s">
        <v>677</v>
      </c>
      <c r="AK464" s="724" t="s">
        <v>677</v>
      </c>
      <c r="AL464" s="724"/>
      <c r="AM464" s="724"/>
      <c r="AN464" s="724"/>
      <c r="AO464" s="724"/>
      <c r="AP464" s="724"/>
      <c r="AQ464" s="724"/>
      <c r="AR464" s="726"/>
      <c r="AS464" s="724"/>
      <c r="AT464" s="726"/>
      <c r="AU464" s="724" t="s">
        <v>678</v>
      </c>
      <c r="AV464" s="724" t="s">
        <v>677</v>
      </c>
      <c r="AW464" s="724" t="s">
        <v>676</v>
      </c>
      <c r="AX464" s="724" t="s">
        <v>674</v>
      </c>
      <c r="AY464" s="724"/>
      <c r="AZ464" s="724"/>
      <c r="BA464" s="724" t="s">
        <v>679</v>
      </c>
      <c r="BB464" s="724"/>
      <c r="BC464" s="724"/>
      <c r="BD464" s="724"/>
      <c r="BE464" s="726"/>
      <c r="BF464" s="724" t="s">
        <v>298</v>
      </c>
      <c r="BG464" s="724" t="s">
        <v>680</v>
      </c>
      <c r="BH464" s="724" t="s">
        <v>681</v>
      </c>
      <c r="BI464" s="724"/>
    </row>
    <row r="465" spans="1:61">
      <c r="A465" s="724" t="s">
        <v>925</v>
      </c>
      <c r="B465" s="724" t="s">
        <v>925</v>
      </c>
      <c r="C465" s="724" t="s">
        <v>926</v>
      </c>
      <c r="D465" s="724" t="s">
        <v>673</v>
      </c>
      <c r="E465" s="724" t="s">
        <v>3</v>
      </c>
      <c r="F465" s="725" t="s">
        <v>83</v>
      </c>
      <c r="G465" s="725" t="s">
        <v>700</v>
      </c>
      <c r="H465" s="726">
        <v>290400</v>
      </c>
      <c r="I465" s="726">
        <v>290400</v>
      </c>
      <c r="J465" s="726">
        <v>0</v>
      </c>
      <c r="K465" s="726">
        <v>0</v>
      </c>
      <c r="L465" s="726">
        <v>290400</v>
      </c>
      <c r="M465" s="726">
        <v>0</v>
      </c>
      <c r="N465" s="726">
        <v>0</v>
      </c>
      <c r="O465" s="726">
        <v>0</v>
      </c>
      <c r="P465" s="726">
        <v>0</v>
      </c>
      <c r="Q465" s="726">
        <v>0</v>
      </c>
      <c r="R465" s="726">
        <v>0</v>
      </c>
      <c r="S465" s="726">
        <v>0</v>
      </c>
      <c r="T465" s="726">
        <v>0</v>
      </c>
      <c r="U465" s="726">
        <v>0</v>
      </c>
      <c r="V465" s="726">
        <v>0</v>
      </c>
      <c r="W465" s="726">
        <v>0</v>
      </c>
      <c r="X465" s="724" t="s">
        <v>674</v>
      </c>
      <c r="Y465" s="724" t="s">
        <v>1226</v>
      </c>
      <c r="Z465" s="724" t="s">
        <v>1226</v>
      </c>
      <c r="AA465" s="724" t="s">
        <v>675</v>
      </c>
      <c r="AB465" s="724" t="s">
        <v>675</v>
      </c>
      <c r="AC465" s="724"/>
      <c r="AD465" s="724"/>
      <c r="AE465" s="724"/>
      <c r="AF465" s="724"/>
      <c r="AG465" s="725" t="s">
        <v>932</v>
      </c>
      <c r="AH465" s="724"/>
      <c r="AI465" s="725" t="s">
        <v>932</v>
      </c>
      <c r="AJ465" s="725" t="s">
        <v>677</v>
      </c>
      <c r="AK465" s="724" t="s">
        <v>677</v>
      </c>
      <c r="AL465" s="724"/>
      <c r="AM465" s="724"/>
      <c r="AN465" s="724"/>
      <c r="AO465" s="724"/>
      <c r="AP465" s="724"/>
      <c r="AQ465" s="724"/>
      <c r="AR465" s="726"/>
      <c r="AS465" s="724"/>
      <c r="AT465" s="726"/>
      <c r="AU465" s="724" t="s">
        <v>678</v>
      </c>
      <c r="AV465" s="724" t="s">
        <v>677</v>
      </c>
      <c r="AW465" s="724" t="s">
        <v>676</v>
      </c>
      <c r="AX465" s="724" t="s">
        <v>674</v>
      </c>
      <c r="AY465" s="724"/>
      <c r="AZ465" s="724"/>
      <c r="BA465" s="724" t="s">
        <v>679</v>
      </c>
      <c r="BB465" s="724"/>
      <c r="BC465" s="724"/>
      <c r="BD465" s="724"/>
      <c r="BE465" s="726"/>
      <c r="BF465" s="724" t="s">
        <v>298</v>
      </c>
      <c r="BG465" s="724" t="s">
        <v>680</v>
      </c>
      <c r="BH465" s="724" t="s">
        <v>681</v>
      </c>
      <c r="BI465" s="724"/>
    </row>
    <row r="466" spans="1:61">
      <c r="A466" s="724" t="s">
        <v>925</v>
      </c>
      <c r="B466" s="724" t="s">
        <v>925</v>
      </c>
      <c r="C466" s="724" t="s">
        <v>926</v>
      </c>
      <c r="D466" s="724" t="s">
        <v>673</v>
      </c>
      <c r="E466" s="724" t="s">
        <v>3</v>
      </c>
      <c r="F466" s="725" t="s">
        <v>83</v>
      </c>
      <c r="G466" s="725" t="s">
        <v>700</v>
      </c>
      <c r="H466" s="726">
        <v>202400</v>
      </c>
      <c r="I466" s="726">
        <v>202400</v>
      </c>
      <c r="J466" s="726">
        <v>0</v>
      </c>
      <c r="K466" s="726">
        <v>0</v>
      </c>
      <c r="L466" s="726">
        <v>202400</v>
      </c>
      <c r="M466" s="726">
        <v>0</v>
      </c>
      <c r="N466" s="726">
        <v>0</v>
      </c>
      <c r="O466" s="726">
        <v>0</v>
      </c>
      <c r="P466" s="726">
        <v>0</v>
      </c>
      <c r="Q466" s="726">
        <v>0</v>
      </c>
      <c r="R466" s="726">
        <v>0</v>
      </c>
      <c r="S466" s="726">
        <v>0</v>
      </c>
      <c r="T466" s="726">
        <v>0</v>
      </c>
      <c r="U466" s="726">
        <v>0</v>
      </c>
      <c r="V466" s="726">
        <v>0</v>
      </c>
      <c r="W466" s="726">
        <v>0</v>
      </c>
      <c r="X466" s="724" t="s">
        <v>674</v>
      </c>
      <c r="Y466" s="724" t="s">
        <v>1226</v>
      </c>
      <c r="Z466" s="724" t="s">
        <v>1226</v>
      </c>
      <c r="AA466" s="724" t="s">
        <v>675</v>
      </c>
      <c r="AB466" s="724" t="s">
        <v>675</v>
      </c>
      <c r="AC466" s="724"/>
      <c r="AD466" s="724"/>
      <c r="AE466" s="724"/>
      <c r="AF466" s="724"/>
      <c r="AG466" s="725" t="s">
        <v>932</v>
      </c>
      <c r="AH466" s="724"/>
      <c r="AI466" s="725" t="s">
        <v>932</v>
      </c>
      <c r="AJ466" s="725" t="s">
        <v>677</v>
      </c>
      <c r="AK466" s="724" t="s">
        <v>677</v>
      </c>
      <c r="AL466" s="724"/>
      <c r="AM466" s="724"/>
      <c r="AN466" s="724"/>
      <c r="AO466" s="724"/>
      <c r="AP466" s="724"/>
      <c r="AQ466" s="724"/>
      <c r="AR466" s="726"/>
      <c r="AS466" s="724"/>
      <c r="AT466" s="726"/>
      <c r="AU466" s="724" t="s">
        <v>678</v>
      </c>
      <c r="AV466" s="724" t="s">
        <v>677</v>
      </c>
      <c r="AW466" s="724" t="s">
        <v>676</v>
      </c>
      <c r="AX466" s="724" t="s">
        <v>674</v>
      </c>
      <c r="AY466" s="724"/>
      <c r="AZ466" s="724"/>
      <c r="BA466" s="724" t="s">
        <v>679</v>
      </c>
      <c r="BB466" s="724"/>
      <c r="BC466" s="724"/>
      <c r="BD466" s="724"/>
      <c r="BE466" s="726"/>
      <c r="BF466" s="724" t="s">
        <v>298</v>
      </c>
      <c r="BG466" s="724" t="s">
        <v>680</v>
      </c>
      <c r="BH466" s="724" t="s">
        <v>681</v>
      </c>
      <c r="BI466" s="724"/>
    </row>
    <row r="467" spans="1:61">
      <c r="A467" s="724" t="s">
        <v>925</v>
      </c>
      <c r="B467" s="724" t="s">
        <v>925</v>
      </c>
      <c r="C467" s="724" t="s">
        <v>926</v>
      </c>
      <c r="D467" s="724" t="s">
        <v>673</v>
      </c>
      <c r="E467" s="724" t="s">
        <v>3</v>
      </c>
      <c r="F467" s="725" t="s">
        <v>83</v>
      </c>
      <c r="G467" s="725" t="s">
        <v>700</v>
      </c>
      <c r="H467" s="726">
        <v>3009600</v>
      </c>
      <c r="I467" s="726">
        <v>3009600</v>
      </c>
      <c r="J467" s="726">
        <v>0</v>
      </c>
      <c r="K467" s="726">
        <v>0</v>
      </c>
      <c r="L467" s="726">
        <v>3009600</v>
      </c>
      <c r="M467" s="726">
        <v>0</v>
      </c>
      <c r="N467" s="726">
        <v>0</v>
      </c>
      <c r="O467" s="726">
        <v>0</v>
      </c>
      <c r="P467" s="726">
        <v>0</v>
      </c>
      <c r="Q467" s="726">
        <v>0</v>
      </c>
      <c r="R467" s="726">
        <v>0</v>
      </c>
      <c r="S467" s="726">
        <v>0</v>
      </c>
      <c r="T467" s="726">
        <v>0</v>
      </c>
      <c r="U467" s="726">
        <v>0</v>
      </c>
      <c r="V467" s="726">
        <v>0</v>
      </c>
      <c r="W467" s="726">
        <v>0</v>
      </c>
      <c r="X467" s="724" t="s">
        <v>674</v>
      </c>
      <c r="Y467" s="724" t="s">
        <v>1226</v>
      </c>
      <c r="Z467" s="724" t="s">
        <v>1226</v>
      </c>
      <c r="AA467" s="724" t="s">
        <v>675</v>
      </c>
      <c r="AB467" s="724" t="s">
        <v>675</v>
      </c>
      <c r="AC467" s="724"/>
      <c r="AD467" s="724"/>
      <c r="AE467" s="724"/>
      <c r="AF467" s="724"/>
      <c r="AG467" s="725" t="s">
        <v>931</v>
      </c>
      <c r="AH467" s="724"/>
      <c r="AI467" s="725" t="s">
        <v>931</v>
      </c>
      <c r="AJ467" s="725" t="s">
        <v>677</v>
      </c>
      <c r="AK467" s="724" t="s">
        <v>677</v>
      </c>
      <c r="AL467" s="724"/>
      <c r="AM467" s="724"/>
      <c r="AN467" s="724"/>
      <c r="AO467" s="724"/>
      <c r="AP467" s="724"/>
      <c r="AQ467" s="724"/>
      <c r="AR467" s="726"/>
      <c r="AS467" s="724"/>
      <c r="AT467" s="726"/>
      <c r="AU467" s="724" t="s">
        <v>678</v>
      </c>
      <c r="AV467" s="724" t="s">
        <v>677</v>
      </c>
      <c r="AW467" s="724" t="s">
        <v>676</v>
      </c>
      <c r="AX467" s="724" t="s">
        <v>674</v>
      </c>
      <c r="AY467" s="724"/>
      <c r="AZ467" s="724"/>
      <c r="BA467" s="724" t="s">
        <v>679</v>
      </c>
      <c r="BB467" s="724"/>
      <c r="BC467" s="724"/>
      <c r="BD467" s="724"/>
      <c r="BE467" s="726"/>
      <c r="BF467" s="724" t="s">
        <v>298</v>
      </c>
      <c r="BG467" s="724" t="s">
        <v>680</v>
      </c>
      <c r="BH467" s="724" t="s">
        <v>681</v>
      </c>
      <c r="BI467" s="724"/>
    </row>
    <row r="468" spans="1:61">
      <c r="A468" s="724" t="s">
        <v>933</v>
      </c>
      <c r="B468" s="724" t="s">
        <v>934</v>
      </c>
      <c r="C468" s="724" t="s">
        <v>935</v>
      </c>
      <c r="D468" s="724" t="s">
        <v>724</v>
      </c>
      <c r="E468" s="724" t="s">
        <v>3</v>
      </c>
      <c r="F468" s="725" t="s">
        <v>71</v>
      </c>
      <c r="G468" s="725" t="s">
        <v>719</v>
      </c>
      <c r="H468" s="726">
        <v>10164000</v>
      </c>
      <c r="I468" s="726">
        <v>10164000</v>
      </c>
      <c r="J468" s="726">
        <v>0</v>
      </c>
      <c r="K468" s="726">
        <v>0</v>
      </c>
      <c r="L468" s="726">
        <v>9240000</v>
      </c>
      <c r="M468" s="726">
        <v>0</v>
      </c>
      <c r="N468" s="726">
        <v>0</v>
      </c>
      <c r="O468" s="726">
        <v>924000</v>
      </c>
      <c r="P468" s="726">
        <v>0</v>
      </c>
      <c r="Q468" s="726">
        <v>0</v>
      </c>
      <c r="R468" s="726">
        <v>0</v>
      </c>
      <c r="S468" s="726">
        <v>0</v>
      </c>
      <c r="T468" s="726">
        <v>0</v>
      </c>
      <c r="U468" s="726">
        <v>0</v>
      </c>
      <c r="V468" s="726">
        <v>0</v>
      </c>
      <c r="W468" s="726">
        <v>0</v>
      </c>
      <c r="X468" s="724" t="s">
        <v>674</v>
      </c>
      <c r="Y468" s="724" t="s">
        <v>1226</v>
      </c>
      <c r="Z468" s="724" t="s">
        <v>1226</v>
      </c>
      <c r="AA468" s="724" t="s">
        <v>675</v>
      </c>
      <c r="AB468" s="724" t="s">
        <v>675</v>
      </c>
      <c r="AC468" s="724"/>
      <c r="AD468" s="724"/>
      <c r="AE468" s="724"/>
      <c r="AF468" s="724"/>
      <c r="AG468" s="725" t="s">
        <v>936</v>
      </c>
      <c r="AH468" s="724"/>
      <c r="AI468" s="725" t="s">
        <v>936</v>
      </c>
      <c r="AJ468" s="725" t="s">
        <v>937</v>
      </c>
      <c r="AK468" s="724" t="s">
        <v>677</v>
      </c>
      <c r="AL468" s="724"/>
      <c r="AM468" s="724" t="s">
        <v>726</v>
      </c>
      <c r="AN468" s="724" t="s">
        <v>938</v>
      </c>
      <c r="AO468" s="724" t="s">
        <v>933</v>
      </c>
      <c r="AP468" s="724" t="s">
        <v>926</v>
      </c>
      <c r="AQ468" s="724" t="s">
        <v>939</v>
      </c>
      <c r="AR468" s="726">
        <v>10164000</v>
      </c>
      <c r="AS468" s="724" t="s">
        <v>675</v>
      </c>
      <c r="AT468" s="726">
        <v>0</v>
      </c>
      <c r="AU468" s="724" t="s">
        <v>678</v>
      </c>
      <c r="AV468" s="724" t="s">
        <v>677</v>
      </c>
      <c r="AW468" s="724" t="s">
        <v>676</v>
      </c>
      <c r="AX468" s="724" t="s">
        <v>674</v>
      </c>
      <c r="AY468" s="724"/>
      <c r="AZ468" s="724"/>
      <c r="BA468" s="724" t="s">
        <v>679</v>
      </c>
      <c r="BB468" s="724"/>
      <c r="BC468" s="724"/>
      <c r="BD468" s="724"/>
      <c r="BE468" s="726"/>
      <c r="BF468" s="724" t="s">
        <v>298</v>
      </c>
      <c r="BG468" s="724" t="s">
        <v>680</v>
      </c>
      <c r="BH468" s="724" t="s">
        <v>681</v>
      </c>
      <c r="BI468" s="724"/>
    </row>
    <row r="469" spans="1:61">
      <c r="A469" s="724" t="s">
        <v>940</v>
      </c>
      <c r="B469" s="724" t="s">
        <v>940</v>
      </c>
      <c r="C469" s="724" t="s">
        <v>941</v>
      </c>
      <c r="D469" s="724" t="s">
        <v>673</v>
      </c>
      <c r="E469" s="724" t="s">
        <v>3</v>
      </c>
      <c r="F469" s="725" t="s">
        <v>83</v>
      </c>
      <c r="G469" s="725" t="s">
        <v>700</v>
      </c>
      <c r="H469" s="726">
        <v>70400</v>
      </c>
      <c r="I469" s="726">
        <v>70400</v>
      </c>
      <c r="J469" s="726">
        <v>0</v>
      </c>
      <c r="K469" s="726">
        <v>0</v>
      </c>
      <c r="L469" s="726">
        <v>70400</v>
      </c>
      <c r="M469" s="726">
        <v>0</v>
      </c>
      <c r="N469" s="726">
        <v>0</v>
      </c>
      <c r="O469" s="726">
        <v>0</v>
      </c>
      <c r="P469" s="726">
        <v>0</v>
      </c>
      <c r="Q469" s="726">
        <v>0</v>
      </c>
      <c r="R469" s="726">
        <v>0</v>
      </c>
      <c r="S469" s="726">
        <v>0</v>
      </c>
      <c r="T469" s="726">
        <v>0</v>
      </c>
      <c r="U469" s="726">
        <v>0</v>
      </c>
      <c r="V469" s="726">
        <v>0</v>
      </c>
      <c r="W469" s="726">
        <v>0</v>
      </c>
      <c r="X469" s="724" t="s">
        <v>674</v>
      </c>
      <c r="Y469" s="724" t="s">
        <v>675</v>
      </c>
      <c r="Z469" s="724" t="s">
        <v>675</v>
      </c>
      <c r="AA469" s="724" t="s">
        <v>675</v>
      </c>
      <c r="AB469" s="724" t="s">
        <v>675</v>
      </c>
      <c r="AC469" s="724"/>
      <c r="AD469" s="724"/>
      <c r="AE469" s="724"/>
      <c r="AF469" s="724"/>
      <c r="AG469" s="725" t="s">
        <v>942</v>
      </c>
      <c r="AH469" s="724"/>
      <c r="AI469" s="725" t="s">
        <v>942</v>
      </c>
      <c r="AJ469" s="725" t="s">
        <v>677</v>
      </c>
      <c r="AK469" s="724" t="s">
        <v>677</v>
      </c>
      <c r="AL469" s="724"/>
      <c r="AM469" s="724"/>
      <c r="AN469" s="724"/>
      <c r="AO469" s="724"/>
      <c r="AP469" s="724"/>
      <c r="AQ469" s="724"/>
      <c r="AR469" s="726"/>
      <c r="AS469" s="724"/>
      <c r="AT469" s="726"/>
      <c r="AU469" s="724" t="s">
        <v>678</v>
      </c>
      <c r="AV469" s="724" t="s">
        <v>677</v>
      </c>
      <c r="AW469" s="724" t="s">
        <v>676</v>
      </c>
      <c r="AX469" s="724" t="s">
        <v>674</v>
      </c>
      <c r="AY469" s="724"/>
      <c r="AZ469" s="724"/>
      <c r="BA469" s="724" t="s">
        <v>679</v>
      </c>
      <c r="BB469" s="724"/>
      <c r="BC469" s="724"/>
      <c r="BD469" s="724"/>
      <c r="BE469" s="726"/>
      <c r="BF469" s="724" t="s">
        <v>298</v>
      </c>
      <c r="BG469" s="724" t="s">
        <v>680</v>
      </c>
      <c r="BH469" s="724" t="s">
        <v>681</v>
      </c>
      <c r="BI469" s="724"/>
    </row>
    <row r="470" spans="1:61">
      <c r="A470" s="724" t="s">
        <v>940</v>
      </c>
      <c r="B470" s="724" t="s">
        <v>940</v>
      </c>
      <c r="C470" s="724" t="s">
        <v>941</v>
      </c>
      <c r="D470" s="724" t="s">
        <v>673</v>
      </c>
      <c r="E470" s="724" t="s">
        <v>3</v>
      </c>
      <c r="F470" s="725" t="s">
        <v>83</v>
      </c>
      <c r="G470" s="725" t="s">
        <v>700</v>
      </c>
      <c r="H470" s="726">
        <v>729600</v>
      </c>
      <c r="I470" s="726">
        <v>729600</v>
      </c>
      <c r="J470" s="726">
        <v>0</v>
      </c>
      <c r="K470" s="726">
        <v>0</v>
      </c>
      <c r="L470" s="726">
        <v>729600</v>
      </c>
      <c r="M470" s="726">
        <v>0</v>
      </c>
      <c r="N470" s="726">
        <v>0</v>
      </c>
      <c r="O470" s="726">
        <v>0</v>
      </c>
      <c r="P470" s="726">
        <v>0</v>
      </c>
      <c r="Q470" s="726">
        <v>0</v>
      </c>
      <c r="R470" s="726">
        <v>0</v>
      </c>
      <c r="S470" s="726">
        <v>0</v>
      </c>
      <c r="T470" s="726">
        <v>0</v>
      </c>
      <c r="U470" s="726">
        <v>0</v>
      </c>
      <c r="V470" s="726">
        <v>0</v>
      </c>
      <c r="W470" s="726">
        <v>0</v>
      </c>
      <c r="X470" s="724" t="s">
        <v>674</v>
      </c>
      <c r="Y470" s="724" t="s">
        <v>1226</v>
      </c>
      <c r="Z470" s="724" t="s">
        <v>1226</v>
      </c>
      <c r="AA470" s="724" t="s">
        <v>675</v>
      </c>
      <c r="AB470" s="724" t="s">
        <v>675</v>
      </c>
      <c r="AC470" s="724"/>
      <c r="AD470" s="724"/>
      <c r="AE470" s="724"/>
      <c r="AF470" s="724"/>
      <c r="AG470" s="725" t="s">
        <v>943</v>
      </c>
      <c r="AH470" s="724"/>
      <c r="AI470" s="725" t="s">
        <v>943</v>
      </c>
      <c r="AJ470" s="725" t="s">
        <v>677</v>
      </c>
      <c r="AK470" s="724" t="s">
        <v>677</v>
      </c>
      <c r="AL470" s="724"/>
      <c r="AM470" s="724"/>
      <c r="AN470" s="724"/>
      <c r="AO470" s="724"/>
      <c r="AP470" s="724"/>
      <c r="AQ470" s="724"/>
      <c r="AR470" s="726"/>
      <c r="AS470" s="724"/>
      <c r="AT470" s="726"/>
      <c r="AU470" s="724" t="s">
        <v>678</v>
      </c>
      <c r="AV470" s="724" t="s">
        <v>677</v>
      </c>
      <c r="AW470" s="724" t="s">
        <v>676</v>
      </c>
      <c r="AX470" s="724" t="s">
        <v>674</v>
      </c>
      <c r="AY470" s="724"/>
      <c r="AZ470" s="724"/>
      <c r="BA470" s="724" t="s">
        <v>679</v>
      </c>
      <c r="BB470" s="724"/>
      <c r="BC470" s="724"/>
      <c r="BD470" s="724"/>
      <c r="BE470" s="726"/>
      <c r="BF470" s="724" t="s">
        <v>298</v>
      </c>
      <c r="BG470" s="724" t="s">
        <v>680</v>
      </c>
      <c r="BH470" s="724" t="s">
        <v>681</v>
      </c>
      <c r="BI470" s="724"/>
    </row>
    <row r="471" spans="1:61">
      <c r="A471" s="724" t="s">
        <v>940</v>
      </c>
      <c r="B471" s="724" t="s">
        <v>940</v>
      </c>
      <c r="C471" s="724" t="s">
        <v>941</v>
      </c>
      <c r="D471" s="724" t="s">
        <v>673</v>
      </c>
      <c r="E471" s="724" t="s">
        <v>3</v>
      </c>
      <c r="F471" s="725" t="s">
        <v>83</v>
      </c>
      <c r="G471" s="725" t="s">
        <v>700</v>
      </c>
      <c r="H471" s="726">
        <v>440000</v>
      </c>
      <c r="I471" s="726">
        <v>440000</v>
      </c>
      <c r="J471" s="726">
        <v>0</v>
      </c>
      <c r="K471" s="726">
        <v>0</v>
      </c>
      <c r="L471" s="726">
        <v>440000</v>
      </c>
      <c r="M471" s="726">
        <v>0</v>
      </c>
      <c r="N471" s="726">
        <v>0</v>
      </c>
      <c r="O471" s="726">
        <v>0</v>
      </c>
      <c r="P471" s="726">
        <v>0</v>
      </c>
      <c r="Q471" s="726">
        <v>0</v>
      </c>
      <c r="R471" s="726">
        <v>0</v>
      </c>
      <c r="S471" s="726">
        <v>0</v>
      </c>
      <c r="T471" s="726">
        <v>0</v>
      </c>
      <c r="U471" s="726">
        <v>0</v>
      </c>
      <c r="V471" s="726">
        <v>0</v>
      </c>
      <c r="W471" s="726">
        <v>0</v>
      </c>
      <c r="X471" s="724" t="s">
        <v>674</v>
      </c>
      <c r="Y471" s="724" t="s">
        <v>1226</v>
      </c>
      <c r="Z471" s="724" t="s">
        <v>1226</v>
      </c>
      <c r="AA471" s="724" t="s">
        <v>675</v>
      </c>
      <c r="AB471" s="724" t="s">
        <v>675</v>
      </c>
      <c r="AC471" s="724"/>
      <c r="AD471" s="724"/>
      <c r="AE471" s="724"/>
      <c r="AF471" s="724"/>
      <c r="AG471" s="725" t="s">
        <v>942</v>
      </c>
      <c r="AH471" s="724"/>
      <c r="AI471" s="725" t="s">
        <v>942</v>
      </c>
      <c r="AJ471" s="725" t="s">
        <v>677</v>
      </c>
      <c r="AK471" s="724" t="s">
        <v>677</v>
      </c>
      <c r="AL471" s="724"/>
      <c r="AM471" s="724"/>
      <c r="AN471" s="724"/>
      <c r="AO471" s="724"/>
      <c r="AP471" s="724"/>
      <c r="AQ471" s="724"/>
      <c r="AR471" s="726"/>
      <c r="AS471" s="724"/>
      <c r="AT471" s="726"/>
      <c r="AU471" s="724" t="s">
        <v>678</v>
      </c>
      <c r="AV471" s="724" t="s">
        <v>677</v>
      </c>
      <c r="AW471" s="724" t="s">
        <v>676</v>
      </c>
      <c r="AX471" s="724" t="s">
        <v>674</v>
      </c>
      <c r="AY471" s="724"/>
      <c r="AZ471" s="724"/>
      <c r="BA471" s="724" t="s">
        <v>679</v>
      </c>
      <c r="BB471" s="724"/>
      <c r="BC471" s="724"/>
      <c r="BD471" s="724"/>
      <c r="BE471" s="726"/>
      <c r="BF471" s="724" t="s">
        <v>298</v>
      </c>
      <c r="BG471" s="724" t="s">
        <v>680</v>
      </c>
      <c r="BH471" s="724" t="s">
        <v>681</v>
      </c>
      <c r="BI471" s="724"/>
    </row>
    <row r="472" spans="1:61">
      <c r="A472" s="724" t="s">
        <v>940</v>
      </c>
      <c r="B472" s="724" t="s">
        <v>940</v>
      </c>
      <c r="C472" s="724" t="s">
        <v>941</v>
      </c>
      <c r="D472" s="724" t="s">
        <v>673</v>
      </c>
      <c r="E472" s="724" t="s">
        <v>3</v>
      </c>
      <c r="F472" s="725" t="s">
        <v>83</v>
      </c>
      <c r="G472" s="725" t="s">
        <v>700</v>
      </c>
      <c r="H472" s="726">
        <v>4560000</v>
      </c>
      <c r="I472" s="726">
        <v>4560000</v>
      </c>
      <c r="J472" s="726">
        <v>0</v>
      </c>
      <c r="K472" s="726">
        <v>0</v>
      </c>
      <c r="L472" s="726">
        <v>4560000</v>
      </c>
      <c r="M472" s="726">
        <v>0</v>
      </c>
      <c r="N472" s="726">
        <v>0</v>
      </c>
      <c r="O472" s="726">
        <v>0</v>
      </c>
      <c r="P472" s="726">
        <v>0</v>
      </c>
      <c r="Q472" s="726">
        <v>0</v>
      </c>
      <c r="R472" s="726">
        <v>0</v>
      </c>
      <c r="S472" s="726">
        <v>0</v>
      </c>
      <c r="T472" s="726">
        <v>0</v>
      </c>
      <c r="U472" s="726">
        <v>0</v>
      </c>
      <c r="V472" s="726">
        <v>0</v>
      </c>
      <c r="W472" s="726">
        <v>0</v>
      </c>
      <c r="X472" s="724" t="s">
        <v>674</v>
      </c>
      <c r="Y472" s="724" t="s">
        <v>1226</v>
      </c>
      <c r="Z472" s="724" t="s">
        <v>1226</v>
      </c>
      <c r="AA472" s="724" t="s">
        <v>675</v>
      </c>
      <c r="AB472" s="724" t="s">
        <v>675</v>
      </c>
      <c r="AC472" s="724"/>
      <c r="AD472" s="724"/>
      <c r="AE472" s="724"/>
      <c r="AF472" s="724"/>
      <c r="AG472" s="725" t="s">
        <v>943</v>
      </c>
      <c r="AH472" s="724"/>
      <c r="AI472" s="725" t="s">
        <v>943</v>
      </c>
      <c r="AJ472" s="725" t="s">
        <v>677</v>
      </c>
      <c r="AK472" s="724" t="s">
        <v>677</v>
      </c>
      <c r="AL472" s="724"/>
      <c r="AM472" s="724"/>
      <c r="AN472" s="724"/>
      <c r="AO472" s="724"/>
      <c r="AP472" s="724"/>
      <c r="AQ472" s="724"/>
      <c r="AR472" s="726"/>
      <c r="AS472" s="724"/>
      <c r="AT472" s="726"/>
      <c r="AU472" s="724" t="s">
        <v>678</v>
      </c>
      <c r="AV472" s="724" t="s">
        <v>677</v>
      </c>
      <c r="AW472" s="724" t="s">
        <v>676</v>
      </c>
      <c r="AX472" s="724" t="s">
        <v>674</v>
      </c>
      <c r="AY472" s="724"/>
      <c r="AZ472" s="724"/>
      <c r="BA472" s="724" t="s">
        <v>679</v>
      </c>
      <c r="BB472" s="724"/>
      <c r="BC472" s="724"/>
      <c r="BD472" s="724"/>
      <c r="BE472" s="726"/>
      <c r="BF472" s="724" t="s">
        <v>298</v>
      </c>
      <c r="BG472" s="724" t="s">
        <v>680</v>
      </c>
      <c r="BH472" s="724" t="s">
        <v>681</v>
      </c>
      <c r="BI472" s="724"/>
    </row>
    <row r="473" spans="1:61">
      <c r="A473" s="724" t="s">
        <v>944</v>
      </c>
      <c r="B473" s="724" t="s">
        <v>728</v>
      </c>
      <c r="C473" s="724" t="s">
        <v>722</v>
      </c>
      <c r="D473" s="724" t="s">
        <v>724</v>
      </c>
      <c r="E473" s="724" t="s">
        <v>3</v>
      </c>
      <c r="F473" s="725" t="s">
        <v>83</v>
      </c>
      <c r="G473" s="725" t="s">
        <v>700</v>
      </c>
      <c r="H473" s="726">
        <v>22990</v>
      </c>
      <c r="I473" s="726">
        <v>22990</v>
      </c>
      <c r="J473" s="726">
        <v>0</v>
      </c>
      <c r="K473" s="726">
        <v>0</v>
      </c>
      <c r="L473" s="726">
        <v>20900</v>
      </c>
      <c r="M473" s="726">
        <v>0</v>
      </c>
      <c r="N473" s="726">
        <v>0</v>
      </c>
      <c r="O473" s="726">
        <v>2090</v>
      </c>
      <c r="P473" s="726">
        <v>0</v>
      </c>
      <c r="Q473" s="726">
        <v>0</v>
      </c>
      <c r="R473" s="726">
        <v>0</v>
      </c>
      <c r="S473" s="726">
        <v>0</v>
      </c>
      <c r="T473" s="726">
        <v>0</v>
      </c>
      <c r="U473" s="726">
        <v>0</v>
      </c>
      <c r="V473" s="726">
        <v>0</v>
      </c>
      <c r="W473" s="726">
        <v>0</v>
      </c>
      <c r="X473" s="724" t="s">
        <v>674</v>
      </c>
      <c r="Y473" s="724" t="s">
        <v>675</v>
      </c>
      <c r="Z473" s="724" t="s">
        <v>675</v>
      </c>
      <c r="AA473" s="724" t="s">
        <v>675</v>
      </c>
      <c r="AB473" s="724" t="s">
        <v>675</v>
      </c>
      <c r="AC473" s="724"/>
      <c r="AD473" s="724"/>
      <c r="AE473" s="724"/>
      <c r="AF473" s="724"/>
      <c r="AG473" s="725" t="s">
        <v>568</v>
      </c>
      <c r="AH473" s="724"/>
      <c r="AI473" s="725" t="s">
        <v>568</v>
      </c>
      <c r="AJ473" s="725" t="s">
        <v>945</v>
      </c>
      <c r="AK473" s="724" t="s">
        <v>677</v>
      </c>
      <c r="AL473" s="724"/>
      <c r="AM473" s="724" t="s">
        <v>763</v>
      </c>
      <c r="AN473" s="724" t="s">
        <v>946</v>
      </c>
      <c r="AO473" s="724" t="s">
        <v>944</v>
      </c>
      <c r="AP473" s="724" t="s">
        <v>947</v>
      </c>
      <c r="AQ473" s="724" t="s">
        <v>757</v>
      </c>
      <c r="AR473" s="726">
        <v>22990</v>
      </c>
      <c r="AS473" s="724" t="s">
        <v>675</v>
      </c>
      <c r="AT473" s="726">
        <v>0</v>
      </c>
      <c r="AU473" s="724" t="s">
        <v>678</v>
      </c>
      <c r="AV473" s="724" t="s">
        <v>677</v>
      </c>
      <c r="AW473" s="724" t="s">
        <v>676</v>
      </c>
      <c r="AX473" s="724" t="s">
        <v>674</v>
      </c>
      <c r="AY473" s="724"/>
      <c r="AZ473" s="724"/>
      <c r="BA473" s="724" t="s">
        <v>679</v>
      </c>
      <c r="BB473" s="724"/>
      <c r="BC473" s="724"/>
      <c r="BD473" s="724"/>
      <c r="BE473" s="726"/>
      <c r="BF473" s="724" t="s">
        <v>298</v>
      </c>
      <c r="BG473" s="724" t="s">
        <v>680</v>
      </c>
      <c r="BH473" s="724" t="s">
        <v>681</v>
      </c>
      <c r="BI473" s="724"/>
    </row>
    <row r="474" spans="1:61">
      <c r="A474" s="724" t="s">
        <v>948</v>
      </c>
      <c r="B474" s="724" t="s">
        <v>948</v>
      </c>
      <c r="C474" s="724" t="s">
        <v>949</v>
      </c>
      <c r="D474" s="724" t="s">
        <v>673</v>
      </c>
      <c r="E474" s="724" t="s">
        <v>3</v>
      </c>
      <c r="F474" s="725" t="s">
        <v>83</v>
      </c>
      <c r="G474" s="725" t="s">
        <v>700</v>
      </c>
      <c r="H474" s="726">
        <v>440000</v>
      </c>
      <c r="I474" s="726">
        <v>440000</v>
      </c>
      <c r="J474" s="726">
        <v>0</v>
      </c>
      <c r="K474" s="726">
        <v>0</v>
      </c>
      <c r="L474" s="726">
        <v>440000</v>
      </c>
      <c r="M474" s="726">
        <v>0</v>
      </c>
      <c r="N474" s="726">
        <v>0</v>
      </c>
      <c r="O474" s="726">
        <v>0</v>
      </c>
      <c r="P474" s="726">
        <v>0</v>
      </c>
      <c r="Q474" s="726">
        <v>0</v>
      </c>
      <c r="R474" s="726">
        <v>0</v>
      </c>
      <c r="S474" s="726">
        <v>0</v>
      </c>
      <c r="T474" s="726">
        <v>0</v>
      </c>
      <c r="U474" s="726">
        <v>0</v>
      </c>
      <c r="V474" s="726">
        <v>0</v>
      </c>
      <c r="W474" s="726">
        <v>0</v>
      </c>
      <c r="X474" s="724" t="s">
        <v>674</v>
      </c>
      <c r="Y474" s="724" t="s">
        <v>1226</v>
      </c>
      <c r="Z474" s="724" t="s">
        <v>1226</v>
      </c>
      <c r="AA474" s="724" t="s">
        <v>675</v>
      </c>
      <c r="AB474" s="724" t="s">
        <v>675</v>
      </c>
      <c r="AC474" s="724"/>
      <c r="AD474" s="724"/>
      <c r="AE474" s="724"/>
      <c r="AF474" s="724"/>
      <c r="AG474" s="725" t="s">
        <v>950</v>
      </c>
      <c r="AH474" s="724"/>
      <c r="AI474" s="725" t="s">
        <v>950</v>
      </c>
      <c r="AJ474" s="725" t="s">
        <v>677</v>
      </c>
      <c r="AK474" s="724" t="s">
        <v>677</v>
      </c>
      <c r="AL474" s="724"/>
      <c r="AM474" s="724"/>
      <c r="AN474" s="724"/>
      <c r="AO474" s="724"/>
      <c r="AP474" s="724"/>
      <c r="AQ474" s="724"/>
      <c r="AR474" s="726"/>
      <c r="AS474" s="724"/>
      <c r="AT474" s="726"/>
      <c r="AU474" s="724" t="s">
        <v>678</v>
      </c>
      <c r="AV474" s="724" t="s">
        <v>677</v>
      </c>
      <c r="AW474" s="724" t="s">
        <v>676</v>
      </c>
      <c r="AX474" s="724" t="s">
        <v>674</v>
      </c>
      <c r="AY474" s="724"/>
      <c r="AZ474" s="724"/>
      <c r="BA474" s="724" t="s">
        <v>679</v>
      </c>
      <c r="BB474" s="724"/>
      <c r="BC474" s="724"/>
      <c r="BD474" s="724"/>
      <c r="BE474" s="726"/>
      <c r="BF474" s="724" t="s">
        <v>298</v>
      </c>
      <c r="BG474" s="724" t="s">
        <v>680</v>
      </c>
      <c r="BH474" s="724" t="s">
        <v>681</v>
      </c>
      <c r="BI474" s="724"/>
    </row>
    <row r="475" spans="1:61">
      <c r="A475" s="724" t="s">
        <v>948</v>
      </c>
      <c r="B475" s="724" t="s">
        <v>948</v>
      </c>
      <c r="C475" s="724" t="s">
        <v>949</v>
      </c>
      <c r="D475" s="724" t="s">
        <v>673</v>
      </c>
      <c r="E475" s="724" t="s">
        <v>3</v>
      </c>
      <c r="F475" s="725" t="s">
        <v>83</v>
      </c>
      <c r="G475" s="725" t="s">
        <v>700</v>
      </c>
      <c r="H475" s="726">
        <v>4560000</v>
      </c>
      <c r="I475" s="726">
        <v>4560000</v>
      </c>
      <c r="J475" s="726">
        <v>0</v>
      </c>
      <c r="K475" s="726">
        <v>0</v>
      </c>
      <c r="L475" s="726">
        <v>4560000</v>
      </c>
      <c r="M475" s="726">
        <v>0</v>
      </c>
      <c r="N475" s="726">
        <v>0</v>
      </c>
      <c r="O475" s="726">
        <v>0</v>
      </c>
      <c r="P475" s="726">
        <v>0</v>
      </c>
      <c r="Q475" s="726">
        <v>0</v>
      </c>
      <c r="R475" s="726">
        <v>0</v>
      </c>
      <c r="S475" s="726">
        <v>0</v>
      </c>
      <c r="T475" s="726">
        <v>0</v>
      </c>
      <c r="U475" s="726">
        <v>0</v>
      </c>
      <c r="V475" s="726">
        <v>0</v>
      </c>
      <c r="W475" s="726">
        <v>0</v>
      </c>
      <c r="X475" s="724" t="s">
        <v>674</v>
      </c>
      <c r="Y475" s="724" t="s">
        <v>1226</v>
      </c>
      <c r="Z475" s="724" t="s">
        <v>1226</v>
      </c>
      <c r="AA475" s="724" t="s">
        <v>675</v>
      </c>
      <c r="AB475" s="724" t="s">
        <v>675</v>
      </c>
      <c r="AC475" s="724"/>
      <c r="AD475" s="724"/>
      <c r="AE475" s="724"/>
      <c r="AF475" s="724"/>
      <c r="AG475" s="725" t="s">
        <v>951</v>
      </c>
      <c r="AH475" s="724"/>
      <c r="AI475" s="725" t="s">
        <v>951</v>
      </c>
      <c r="AJ475" s="725" t="s">
        <v>677</v>
      </c>
      <c r="AK475" s="724" t="s">
        <v>677</v>
      </c>
      <c r="AL475" s="724"/>
      <c r="AM475" s="724"/>
      <c r="AN475" s="724"/>
      <c r="AO475" s="724"/>
      <c r="AP475" s="724"/>
      <c r="AQ475" s="724"/>
      <c r="AR475" s="726"/>
      <c r="AS475" s="724"/>
      <c r="AT475" s="726"/>
      <c r="AU475" s="724" t="s">
        <v>678</v>
      </c>
      <c r="AV475" s="724" t="s">
        <v>677</v>
      </c>
      <c r="AW475" s="724" t="s">
        <v>676</v>
      </c>
      <c r="AX475" s="724" t="s">
        <v>674</v>
      </c>
      <c r="AY475" s="724"/>
      <c r="AZ475" s="724"/>
      <c r="BA475" s="724" t="s">
        <v>679</v>
      </c>
      <c r="BB475" s="724"/>
      <c r="BC475" s="724"/>
      <c r="BD475" s="724"/>
      <c r="BE475" s="726"/>
      <c r="BF475" s="724" t="s">
        <v>298</v>
      </c>
      <c r="BG475" s="724" t="s">
        <v>680</v>
      </c>
      <c r="BH475" s="724" t="s">
        <v>681</v>
      </c>
      <c r="BI475" s="724"/>
    </row>
    <row r="476" spans="1:61">
      <c r="A476" s="724" t="s">
        <v>952</v>
      </c>
      <c r="B476" s="724" t="s">
        <v>843</v>
      </c>
      <c r="C476" s="724" t="s">
        <v>843</v>
      </c>
      <c r="D476" s="724" t="s">
        <v>724</v>
      </c>
      <c r="E476" s="724" t="s">
        <v>3</v>
      </c>
      <c r="F476" s="725" t="s">
        <v>83</v>
      </c>
      <c r="G476" s="725" t="s">
        <v>176</v>
      </c>
      <c r="H476" s="726">
        <v>516000</v>
      </c>
      <c r="I476" s="726">
        <v>516000</v>
      </c>
      <c r="J476" s="726">
        <v>0</v>
      </c>
      <c r="K476" s="726">
        <v>0</v>
      </c>
      <c r="L476" s="726">
        <v>469091</v>
      </c>
      <c r="M476" s="726">
        <v>0</v>
      </c>
      <c r="N476" s="726">
        <v>0</v>
      </c>
      <c r="O476" s="726">
        <v>46909</v>
      </c>
      <c r="P476" s="726">
        <v>0</v>
      </c>
      <c r="Q476" s="726">
        <v>0</v>
      </c>
      <c r="R476" s="726">
        <v>0</v>
      </c>
      <c r="S476" s="726">
        <v>0</v>
      </c>
      <c r="T476" s="726">
        <v>0</v>
      </c>
      <c r="U476" s="726">
        <v>0</v>
      </c>
      <c r="V476" s="726">
        <v>0</v>
      </c>
      <c r="W476" s="726">
        <v>0</v>
      </c>
      <c r="X476" s="724" t="s">
        <v>674</v>
      </c>
      <c r="Y476" s="724" t="s">
        <v>1226</v>
      </c>
      <c r="Z476" s="724" t="s">
        <v>1226</v>
      </c>
      <c r="AA476" s="724" t="s">
        <v>675</v>
      </c>
      <c r="AB476" s="724" t="s">
        <v>675</v>
      </c>
      <c r="AC476" s="724"/>
      <c r="AD476" s="724"/>
      <c r="AE476" s="724" t="s">
        <v>694</v>
      </c>
      <c r="AF476" s="724"/>
      <c r="AG476" s="725" t="s">
        <v>578</v>
      </c>
      <c r="AH476" s="724"/>
      <c r="AI476" s="725" t="s">
        <v>578</v>
      </c>
      <c r="AJ476" s="725" t="s">
        <v>953</v>
      </c>
      <c r="AK476" s="724" t="s">
        <v>677</v>
      </c>
      <c r="AL476" s="724"/>
      <c r="AM476" s="724" t="s">
        <v>726</v>
      </c>
      <c r="AN476" s="724" t="s">
        <v>954</v>
      </c>
      <c r="AO476" s="724" t="s">
        <v>952</v>
      </c>
      <c r="AP476" s="724" t="s">
        <v>955</v>
      </c>
      <c r="AQ476" s="724" t="s">
        <v>821</v>
      </c>
      <c r="AR476" s="726">
        <v>516000</v>
      </c>
      <c r="AS476" s="724" t="s">
        <v>675</v>
      </c>
      <c r="AT476" s="726">
        <v>0</v>
      </c>
      <c r="AU476" s="724" t="s">
        <v>678</v>
      </c>
      <c r="AV476" s="724" t="s">
        <v>677</v>
      </c>
      <c r="AW476" s="724" t="s">
        <v>676</v>
      </c>
      <c r="AX476" s="724" t="s">
        <v>674</v>
      </c>
      <c r="AY476" s="724"/>
      <c r="AZ476" s="724"/>
      <c r="BA476" s="724" t="s">
        <v>679</v>
      </c>
      <c r="BB476" s="724"/>
      <c r="BC476" s="724"/>
      <c r="BD476" s="724"/>
      <c r="BE476" s="726"/>
      <c r="BF476" s="724" t="s">
        <v>298</v>
      </c>
      <c r="BG476" s="724" t="s">
        <v>680</v>
      </c>
      <c r="BH476" s="724" t="s">
        <v>681</v>
      </c>
      <c r="BI476" s="724"/>
    </row>
    <row r="477" spans="1:61">
      <c r="A477" s="724" t="s">
        <v>952</v>
      </c>
      <c r="B477" s="724" t="s">
        <v>952</v>
      </c>
      <c r="C477" s="724" t="s">
        <v>956</v>
      </c>
      <c r="D477" s="724" t="s">
        <v>673</v>
      </c>
      <c r="E477" s="724" t="s">
        <v>3</v>
      </c>
      <c r="F477" s="725" t="s">
        <v>7</v>
      </c>
      <c r="G477" s="725" t="s">
        <v>684</v>
      </c>
      <c r="H477" s="726">
        <v>80290</v>
      </c>
      <c r="I477" s="726">
        <v>80290</v>
      </c>
      <c r="J477" s="726">
        <v>0</v>
      </c>
      <c r="K477" s="726">
        <v>0</v>
      </c>
      <c r="L477" s="726">
        <v>80290</v>
      </c>
      <c r="M477" s="726">
        <v>0</v>
      </c>
      <c r="N477" s="726">
        <v>0</v>
      </c>
      <c r="O477" s="726">
        <v>0</v>
      </c>
      <c r="P477" s="726">
        <v>0</v>
      </c>
      <c r="Q477" s="726">
        <v>0</v>
      </c>
      <c r="R477" s="726">
        <v>0</v>
      </c>
      <c r="S477" s="726">
        <v>0</v>
      </c>
      <c r="T477" s="726">
        <v>0</v>
      </c>
      <c r="U477" s="726">
        <v>0</v>
      </c>
      <c r="V477" s="726">
        <v>0</v>
      </c>
      <c r="W477" s="726">
        <v>0</v>
      </c>
      <c r="X477" s="724" t="s">
        <v>674</v>
      </c>
      <c r="Y477" s="724" t="s">
        <v>675</v>
      </c>
      <c r="Z477" s="724" t="s">
        <v>675</v>
      </c>
      <c r="AA477" s="724" t="s">
        <v>675</v>
      </c>
      <c r="AB477" s="724" t="s">
        <v>675</v>
      </c>
      <c r="AC477" s="724"/>
      <c r="AD477" s="724"/>
      <c r="AE477" s="724"/>
      <c r="AF477" s="724"/>
      <c r="AG477" s="725" t="s">
        <v>957</v>
      </c>
      <c r="AH477" s="724"/>
      <c r="AI477" s="725" t="s">
        <v>957</v>
      </c>
      <c r="AJ477" s="725" t="s">
        <v>677</v>
      </c>
      <c r="AK477" s="724" t="s">
        <v>677</v>
      </c>
      <c r="AL477" s="724"/>
      <c r="AM477" s="724"/>
      <c r="AN477" s="724"/>
      <c r="AO477" s="724"/>
      <c r="AP477" s="724"/>
      <c r="AQ477" s="724"/>
      <c r="AR477" s="726"/>
      <c r="AS477" s="724"/>
      <c r="AT477" s="726"/>
      <c r="AU477" s="724" t="s">
        <v>678</v>
      </c>
      <c r="AV477" s="724" t="s">
        <v>677</v>
      </c>
      <c r="AW477" s="724" t="s">
        <v>676</v>
      </c>
      <c r="AX477" s="724" t="s">
        <v>674</v>
      </c>
      <c r="AY477" s="724"/>
      <c r="AZ477" s="724"/>
      <c r="BA477" s="724" t="s">
        <v>679</v>
      </c>
      <c r="BB477" s="724"/>
      <c r="BC477" s="724"/>
      <c r="BD477" s="724"/>
      <c r="BE477" s="726"/>
      <c r="BF477" s="724" t="s">
        <v>298</v>
      </c>
      <c r="BG477" s="724" t="s">
        <v>680</v>
      </c>
      <c r="BH477" s="724" t="s">
        <v>681</v>
      </c>
      <c r="BI477" s="724"/>
    </row>
    <row r="478" spans="1:61">
      <c r="A478" s="724" t="s">
        <v>952</v>
      </c>
      <c r="B478" s="724" t="s">
        <v>952</v>
      </c>
      <c r="C478" s="724" t="s">
        <v>956</v>
      </c>
      <c r="D478" s="724" t="s">
        <v>673</v>
      </c>
      <c r="E478" s="724" t="s">
        <v>3</v>
      </c>
      <c r="F478" s="725" t="s">
        <v>7</v>
      </c>
      <c r="G478" s="725" t="s">
        <v>684</v>
      </c>
      <c r="H478" s="726">
        <v>116470</v>
      </c>
      <c r="I478" s="726">
        <v>116470</v>
      </c>
      <c r="J478" s="726">
        <v>0</v>
      </c>
      <c r="K478" s="726">
        <v>0</v>
      </c>
      <c r="L478" s="726">
        <v>116470</v>
      </c>
      <c r="M478" s="726">
        <v>0</v>
      </c>
      <c r="N478" s="726">
        <v>0</v>
      </c>
      <c r="O478" s="726">
        <v>0</v>
      </c>
      <c r="P478" s="726">
        <v>0</v>
      </c>
      <c r="Q478" s="726">
        <v>0</v>
      </c>
      <c r="R478" s="726">
        <v>0</v>
      </c>
      <c r="S478" s="726">
        <v>0</v>
      </c>
      <c r="T478" s="726">
        <v>0</v>
      </c>
      <c r="U478" s="726">
        <v>0</v>
      </c>
      <c r="V478" s="726">
        <v>0</v>
      </c>
      <c r="W478" s="726">
        <v>0</v>
      </c>
      <c r="X478" s="724" t="s">
        <v>674</v>
      </c>
      <c r="Y478" s="724" t="s">
        <v>1226</v>
      </c>
      <c r="Z478" s="724" t="s">
        <v>1226</v>
      </c>
      <c r="AA478" s="724" t="s">
        <v>675</v>
      </c>
      <c r="AB478" s="724" t="s">
        <v>675</v>
      </c>
      <c r="AC478" s="724"/>
      <c r="AD478" s="724"/>
      <c r="AE478" s="724"/>
      <c r="AF478" s="724"/>
      <c r="AG478" s="725" t="s">
        <v>958</v>
      </c>
      <c r="AH478" s="724"/>
      <c r="AI478" s="725" t="s">
        <v>958</v>
      </c>
      <c r="AJ478" s="725" t="s">
        <v>677</v>
      </c>
      <c r="AK478" s="724" t="s">
        <v>677</v>
      </c>
      <c r="AL478" s="724"/>
      <c r="AM478" s="724"/>
      <c r="AN478" s="724"/>
      <c r="AO478" s="724"/>
      <c r="AP478" s="724"/>
      <c r="AQ478" s="724"/>
      <c r="AR478" s="726"/>
      <c r="AS478" s="724"/>
      <c r="AT478" s="726"/>
      <c r="AU478" s="724" t="s">
        <v>678</v>
      </c>
      <c r="AV478" s="724" t="s">
        <v>677</v>
      </c>
      <c r="AW478" s="724" t="s">
        <v>676</v>
      </c>
      <c r="AX478" s="724" t="s">
        <v>674</v>
      </c>
      <c r="AY478" s="724"/>
      <c r="AZ478" s="724"/>
      <c r="BA478" s="724" t="s">
        <v>679</v>
      </c>
      <c r="BB478" s="724"/>
      <c r="BC478" s="724"/>
      <c r="BD478" s="724"/>
      <c r="BE478" s="726"/>
      <c r="BF478" s="724" t="s">
        <v>298</v>
      </c>
      <c r="BG478" s="724" t="s">
        <v>680</v>
      </c>
      <c r="BH478" s="724" t="s">
        <v>681</v>
      </c>
      <c r="BI478" s="724"/>
    </row>
    <row r="479" spans="1:61">
      <c r="A479" s="724" t="s">
        <v>952</v>
      </c>
      <c r="B479" s="724" t="s">
        <v>952</v>
      </c>
      <c r="C479" s="724" t="s">
        <v>956</v>
      </c>
      <c r="D479" s="724" t="s">
        <v>673</v>
      </c>
      <c r="E479" s="724" t="s">
        <v>3</v>
      </c>
      <c r="F479" s="725" t="s">
        <v>7</v>
      </c>
      <c r="G479" s="725" t="s">
        <v>684</v>
      </c>
      <c r="H479" s="726">
        <v>101950</v>
      </c>
      <c r="I479" s="726">
        <v>101950</v>
      </c>
      <c r="J479" s="726">
        <v>0</v>
      </c>
      <c r="K479" s="726">
        <v>0</v>
      </c>
      <c r="L479" s="726">
        <v>101950</v>
      </c>
      <c r="M479" s="726">
        <v>0</v>
      </c>
      <c r="N479" s="726">
        <v>0</v>
      </c>
      <c r="O479" s="726">
        <v>0</v>
      </c>
      <c r="P479" s="726">
        <v>0</v>
      </c>
      <c r="Q479" s="726">
        <v>0</v>
      </c>
      <c r="R479" s="726">
        <v>0</v>
      </c>
      <c r="S479" s="726">
        <v>0</v>
      </c>
      <c r="T479" s="726">
        <v>0</v>
      </c>
      <c r="U479" s="726">
        <v>0</v>
      </c>
      <c r="V479" s="726">
        <v>0</v>
      </c>
      <c r="W479" s="726">
        <v>0</v>
      </c>
      <c r="X479" s="724" t="s">
        <v>674</v>
      </c>
      <c r="Y479" s="724" t="s">
        <v>1226</v>
      </c>
      <c r="Z479" s="724" t="s">
        <v>1226</v>
      </c>
      <c r="AA479" s="724" t="s">
        <v>675</v>
      </c>
      <c r="AB479" s="724" t="s">
        <v>675</v>
      </c>
      <c r="AC479" s="724"/>
      <c r="AD479" s="724"/>
      <c r="AE479" s="724"/>
      <c r="AF479" s="724"/>
      <c r="AG479" s="725" t="s">
        <v>958</v>
      </c>
      <c r="AH479" s="724"/>
      <c r="AI479" s="725" t="s">
        <v>958</v>
      </c>
      <c r="AJ479" s="725" t="s">
        <v>677</v>
      </c>
      <c r="AK479" s="724" t="s">
        <v>677</v>
      </c>
      <c r="AL479" s="724"/>
      <c r="AM479" s="724"/>
      <c r="AN479" s="724"/>
      <c r="AO479" s="724"/>
      <c r="AP479" s="724"/>
      <c r="AQ479" s="724"/>
      <c r="AR479" s="726"/>
      <c r="AS479" s="724"/>
      <c r="AT479" s="726"/>
      <c r="AU479" s="724" t="s">
        <v>678</v>
      </c>
      <c r="AV479" s="724" t="s">
        <v>677</v>
      </c>
      <c r="AW479" s="724" t="s">
        <v>676</v>
      </c>
      <c r="AX479" s="724" t="s">
        <v>674</v>
      </c>
      <c r="AY479" s="724"/>
      <c r="AZ479" s="724"/>
      <c r="BA479" s="724" t="s">
        <v>679</v>
      </c>
      <c r="BB479" s="724"/>
      <c r="BC479" s="724"/>
      <c r="BD479" s="724"/>
      <c r="BE479" s="726"/>
      <c r="BF479" s="724" t="s">
        <v>298</v>
      </c>
      <c r="BG479" s="724" t="s">
        <v>680</v>
      </c>
      <c r="BH479" s="724" t="s">
        <v>681</v>
      </c>
      <c r="BI479" s="724"/>
    </row>
    <row r="480" spans="1:61">
      <c r="A480" s="724" t="s">
        <v>952</v>
      </c>
      <c r="B480" s="724" t="s">
        <v>952</v>
      </c>
      <c r="C480" s="724" t="s">
        <v>956</v>
      </c>
      <c r="D480" s="724" t="s">
        <v>673</v>
      </c>
      <c r="E480" s="724" t="s">
        <v>3</v>
      </c>
      <c r="F480" s="725" t="s">
        <v>7</v>
      </c>
      <c r="G480" s="725" t="s">
        <v>684</v>
      </c>
      <c r="H480" s="726">
        <v>1397850</v>
      </c>
      <c r="I480" s="726">
        <v>1397850</v>
      </c>
      <c r="J480" s="726">
        <v>0</v>
      </c>
      <c r="K480" s="726">
        <v>0</v>
      </c>
      <c r="L480" s="726">
        <v>1397850</v>
      </c>
      <c r="M480" s="726">
        <v>0</v>
      </c>
      <c r="N480" s="726">
        <v>0</v>
      </c>
      <c r="O480" s="726">
        <v>0</v>
      </c>
      <c r="P480" s="726">
        <v>0</v>
      </c>
      <c r="Q480" s="726">
        <v>0</v>
      </c>
      <c r="R480" s="726">
        <v>0</v>
      </c>
      <c r="S480" s="726">
        <v>0</v>
      </c>
      <c r="T480" s="726">
        <v>0</v>
      </c>
      <c r="U480" s="726">
        <v>0</v>
      </c>
      <c r="V480" s="726">
        <v>0</v>
      </c>
      <c r="W480" s="726">
        <v>0</v>
      </c>
      <c r="X480" s="724" t="s">
        <v>674</v>
      </c>
      <c r="Y480" s="724" t="s">
        <v>1226</v>
      </c>
      <c r="Z480" s="724" t="s">
        <v>1226</v>
      </c>
      <c r="AA480" s="724" t="s">
        <v>675</v>
      </c>
      <c r="AB480" s="724" t="s">
        <v>675</v>
      </c>
      <c r="AC480" s="724"/>
      <c r="AD480" s="724"/>
      <c r="AE480" s="724"/>
      <c r="AF480" s="724"/>
      <c r="AG480" s="725" t="s">
        <v>959</v>
      </c>
      <c r="AH480" s="724"/>
      <c r="AI480" s="725" t="s">
        <v>959</v>
      </c>
      <c r="AJ480" s="725" t="s">
        <v>677</v>
      </c>
      <c r="AK480" s="724" t="s">
        <v>677</v>
      </c>
      <c r="AL480" s="724"/>
      <c r="AM480" s="724"/>
      <c r="AN480" s="724"/>
      <c r="AO480" s="724"/>
      <c r="AP480" s="724"/>
      <c r="AQ480" s="724"/>
      <c r="AR480" s="726"/>
      <c r="AS480" s="724"/>
      <c r="AT480" s="726"/>
      <c r="AU480" s="724" t="s">
        <v>678</v>
      </c>
      <c r="AV480" s="724" t="s">
        <v>677</v>
      </c>
      <c r="AW480" s="724" t="s">
        <v>676</v>
      </c>
      <c r="AX480" s="724" t="s">
        <v>674</v>
      </c>
      <c r="AY480" s="724"/>
      <c r="AZ480" s="724"/>
      <c r="BA480" s="724" t="s">
        <v>679</v>
      </c>
      <c r="BB480" s="724"/>
      <c r="BC480" s="724"/>
      <c r="BD480" s="724"/>
      <c r="BE480" s="726"/>
      <c r="BF480" s="724" t="s">
        <v>298</v>
      </c>
      <c r="BG480" s="724" t="s">
        <v>680</v>
      </c>
      <c r="BH480" s="724" t="s">
        <v>681</v>
      </c>
      <c r="BI480" s="724"/>
    </row>
    <row r="481" spans="1:61">
      <c r="A481" s="724" t="s">
        <v>952</v>
      </c>
      <c r="B481" s="724" t="s">
        <v>952</v>
      </c>
      <c r="C481" s="724" t="s">
        <v>956</v>
      </c>
      <c r="D481" s="724" t="s">
        <v>673</v>
      </c>
      <c r="E481" s="724" t="s">
        <v>3</v>
      </c>
      <c r="F481" s="725" t="s">
        <v>7</v>
      </c>
      <c r="G481" s="725" t="s">
        <v>684</v>
      </c>
      <c r="H481" s="726">
        <v>9410</v>
      </c>
      <c r="I481" s="726">
        <v>9410</v>
      </c>
      <c r="J481" s="726">
        <v>0</v>
      </c>
      <c r="K481" s="726">
        <v>0</v>
      </c>
      <c r="L481" s="726">
        <v>9410</v>
      </c>
      <c r="M481" s="726">
        <v>0</v>
      </c>
      <c r="N481" s="726">
        <v>0</v>
      </c>
      <c r="O481" s="726">
        <v>0</v>
      </c>
      <c r="P481" s="726">
        <v>0</v>
      </c>
      <c r="Q481" s="726">
        <v>0</v>
      </c>
      <c r="R481" s="726">
        <v>0</v>
      </c>
      <c r="S481" s="726">
        <v>0</v>
      </c>
      <c r="T481" s="726">
        <v>0</v>
      </c>
      <c r="U481" s="726">
        <v>0</v>
      </c>
      <c r="V481" s="726">
        <v>0</v>
      </c>
      <c r="W481" s="726">
        <v>0</v>
      </c>
      <c r="X481" s="724" t="s">
        <v>674</v>
      </c>
      <c r="Y481" s="724" t="s">
        <v>675</v>
      </c>
      <c r="Z481" s="724" t="s">
        <v>675</v>
      </c>
      <c r="AA481" s="724" t="s">
        <v>675</v>
      </c>
      <c r="AB481" s="724" t="s">
        <v>675</v>
      </c>
      <c r="AC481" s="724"/>
      <c r="AD481" s="724"/>
      <c r="AE481" s="724"/>
      <c r="AF481" s="724"/>
      <c r="AG481" s="725" t="s">
        <v>960</v>
      </c>
      <c r="AH481" s="724"/>
      <c r="AI481" s="725" t="s">
        <v>960</v>
      </c>
      <c r="AJ481" s="725" t="s">
        <v>677</v>
      </c>
      <c r="AK481" s="724" t="s">
        <v>677</v>
      </c>
      <c r="AL481" s="724"/>
      <c r="AM481" s="724"/>
      <c r="AN481" s="724"/>
      <c r="AO481" s="724"/>
      <c r="AP481" s="724"/>
      <c r="AQ481" s="724"/>
      <c r="AR481" s="726"/>
      <c r="AS481" s="724"/>
      <c r="AT481" s="726"/>
      <c r="AU481" s="724" t="s">
        <v>678</v>
      </c>
      <c r="AV481" s="724" t="s">
        <v>677</v>
      </c>
      <c r="AW481" s="724" t="s">
        <v>676</v>
      </c>
      <c r="AX481" s="724" t="s">
        <v>674</v>
      </c>
      <c r="AY481" s="724"/>
      <c r="AZ481" s="724"/>
      <c r="BA481" s="724" t="s">
        <v>679</v>
      </c>
      <c r="BB481" s="724"/>
      <c r="BC481" s="724"/>
      <c r="BD481" s="724"/>
      <c r="BE481" s="726"/>
      <c r="BF481" s="724" t="s">
        <v>298</v>
      </c>
      <c r="BG481" s="724" t="s">
        <v>680</v>
      </c>
      <c r="BH481" s="724" t="s">
        <v>681</v>
      </c>
      <c r="BI481" s="724"/>
    </row>
    <row r="482" spans="1:61">
      <c r="A482" s="724" t="s">
        <v>952</v>
      </c>
      <c r="B482" s="724" t="s">
        <v>952</v>
      </c>
      <c r="C482" s="724" t="s">
        <v>956</v>
      </c>
      <c r="D482" s="724" t="s">
        <v>673</v>
      </c>
      <c r="E482" s="724" t="s">
        <v>3</v>
      </c>
      <c r="F482" s="725" t="s">
        <v>7</v>
      </c>
      <c r="G482" s="725" t="s">
        <v>684</v>
      </c>
      <c r="H482" s="726">
        <v>91740</v>
      </c>
      <c r="I482" s="726">
        <v>91740</v>
      </c>
      <c r="J482" s="726">
        <v>0</v>
      </c>
      <c r="K482" s="726">
        <v>0</v>
      </c>
      <c r="L482" s="726">
        <v>91740</v>
      </c>
      <c r="M482" s="726">
        <v>0</v>
      </c>
      <c r="N482" s="726">
        <v>0</v>
      </c>
      <c r="O482" s="726">
        <v>0</v>
      </c>
      <c r="P482" s="726">
        <v>0</v>
      </c>
      <c r="Q482" s="726">
        <v>0</v>
      </c>
      <c r="R482" s="726">
        <v>0</v>
      </c>
      <c r="S482" s="726">
        <v>0</v>
      </c>
      <c r="T482" s="726">
        <v>0</v>
      </c>
      <c r="U482" s="726">
        <v>0</v>
      </c>
      <c r="V482" s="726">
        <v>0</v>
      </c>
      <c r="W482" s="726">
        <v>0</v>
      </c>
      <c r="X482" s="724" t="s">
        <v>674</v>
      </c>
      <c r="Y482" s="724" t="s">
        <v>675</v>
      </c>
      <c r="Z482" s="724" t="s">
        <v>675</v>
      </c>
      <c r="AA482" s="724" t="s">
        <v>675</v>
      </c>
      <c r="AB482" s="724" t="s">
        <v>675</v>
      </c>
      <c r="AC482" s="724"/>
      <c r="AD482" s="724"/>
      <c r="AE482" s="724"/>
      <c r="AF482" s="724"/>
      <c r="AG482" s="725" t="s">
        <v>957</v>
      </c>
      <c r="AH482" s="724"/>
      <c r="AI482" s="725" t="s">
        <v>957</v>
      </c>
      <c r="AJ482" s="725" t="s">
        <v>677</v>
      </c>
      <c r="AK482" s="724" t="s">
        <v>677</v>
      </c>
      <c r="AL482" s="724"/>
      <c r="AM482" s="724"/>
      <c r="AN482" s="724"/>
      <c r="AO482" s="724"/>
      <c r="AP482" s="724"/>
      <c r="AQ482" s="724"/>
      <c r="AR482" s="726"/>
      <c r="AS482" s="724"/>
      <c r="AT482" s="726"/>
      <c r="AU482" s="724" t="s">
        <v>678</v>
      </c>
      <c r="AV482" s="724" t="s">
        <v>677</v>
      </c>
      <c r="AW482" s="724" t="s">
        <v>676</v>
      </c>
      <c r="AX482" s="724" t="s">
        <v>674</v>
      </c>
      <c r="AY482" s="724"/>
      <c r="AZ482" s="724"/>
      <c r="BA482" s="724" t="s">
        <v>679</v>
      </c>
      <c r="BB482" s="724"/>
      <c r="BC482" s="724"/>
      <c r="BD482" s="724"/>
      <c r="BE482" s="726"/>
      <c r="BF482" s="724" t="s">
        <v>298</v>
      </c>
      <c r="BG482" s="724" t="s">
        <v>680</v>
      </c>
      <c r="BH482" s="724" t="s">
        <v>681</v>
      </c>
      <c r="BI482" s="724"/>
    </row>
    <row r="483" spans="1:61">
      <c r="A483" s="724" t="s">
        <v>952</v>
      </c>
      <c r="B483" s="724" t="s">
        <v>952</v>
      </c>
      <c r="C483" s="724" t="s">
        <v>956</v>
      </c>
      <c r="D483" s="724" t="s">
        <v>673</v>
      </c>
      <c r="E483" s="724" t="s">
        <v>3</v>
      </c>
      <c r="F483" s="725" t="s">
        <v>7</v>
      </c>
      <c r="G483" s="725" t="s">
        <v>684</v>
      </c>
      <c r="H483" s="726">
        <v>1593430</v>
      </c>
      <c r="I483" s="726">
        <v>1593430</v>
      </c>
      <c r="J483" s="726">
        <v>0</v>
      </c>
      <c r="K483" s="726">
        <v>0</v>
      </c>
      <c r="L483" s="726">
        <v>1593430</v>
      </c>
      <c r="M483" s="726">
        <v>0</v>
      </c>
      <c r="N483" s="726">
        <v>0</v>
      </c>
      <c r="O483" s="726">
        <v>0</v>
      </c>
      <c r="P483" s="726">
        <v>0</v>
      </c>
      <c r="Q483" s="726">
        <v>0</v>
      </c>
      <c r="R483" s="726">
        <v>0</v>
      </c>
      <c r="S483" s="726">
        <v>0</v>
      </c>
      <c r="T483" s="726">
        <v>0</v>
      </c>
      <c r="U483" s="726">
        <v>0</v>
      </c>
      <c r="V483" s="726">
        <v>0</v>
      </c>
      <c r="W483" s="726">
        <v>0</v>
      </c>
      <c r="X483" s="724" t="s">
        <v>674</v>
      </c>
      <c r="Y483" s="724" t="s">
        <v>1226</v>
      </c>
      <c r="Z483" s="724" t="s">
        <v>1226</v>
      </c>
      <c r="AA483" s="724" t="s">
        <v>675</v>
      </c>
      <c r="AB483" s="724" t="s">
        <v>675</v>
      </c>
      <c r="AC483" s="724"/>
      <c r="AD483" s="724"/>
      <c r="AE483" s="724"/>
      <c r="AF483" s="724"/>
      <c r="AG483" s="725" t="s">
        <v>959</v>
      </c>
      <c r="AH483" s="724"/>
      <c r="AI483" s="725" t="s">
        <v>959</v>
      </c>
      <c r="AJ483" s="725" t="s">
        <v>677</v>
      </c>
      <c r="AK483" s="724" t="s">
        <v>677</v>
      </c>
      <c r="AL483" s="724"/>
      <c r="AM483" s="724"/>
      <c r="AN483" s="724"/>
      <c r="AO483" s="724"/>
      <c r="AP483" s="724"/>
      <c r="AQ483" s="724"/>
      <c r="AR483" s="726"/>
      <c r="AS483" s="724"/>
      <c r="AT483" s="726"/>
      <c r="AU483" s="724" t="s">
        <v>678</v>
      </c>
      <c r="AV483" s="724" t="s">
        <v>677</v>
      </c>
      <c r="AW483" s="724" t="s">
        <v>676</v>
      </c>
      <c r="AX483" s="724" t="s">
        <v>674</v>
      </c>
      <c r="AY483" s="724"/>
      <c r="AZ483" s="724"/>
      <c r="BA483" s="724" t="s">
        <v>679</v>
      </c>
      <c r="BB483" s="724"/>
      <c r="BC483" s="724"/>
      <c r="BD483" s="724"/>
      <c r="BE483" s="726"/>
      <c r="BF483" s="724" t="s">
        <v>298</v>
      </c>
      <c r="BG483" s="724" t="s">
        <v>680</v>
      </c>
      <c r="BH483" s="724" t="s">
        <v>681</v>
      </c>
      <c r="BI483" s="724"/>
    </row>
    <row r="484" spans="1:61">
      <c r="A484" s="724" t="s">
        <v>952</v>
      </c>
      <c r="B484" s="724" t="s">
        <v>952</v>
      </c>
      <c r="C484" s="724" t="s">
        <v>956</v>
      </c>
      <c r="D484" s="724" t="s">
        <v>673</v>
      </c>
      <c r="E484" s="724" t="s">
        <v>3</v>
      </c>
      <c r="F484" s="725" t="s">
        <v>7</v>
      </c>
      <c r="G484" s="725" t="s">
        <v>684</v>
      </c>
      <c r="H484" s="726">
        <v>14120</v>
      </c>
      <c r="I484" s="726">
        <v>14120</v>
      </c>
      <c r="J484" s="726">
        <v>0</v>
      </c>
      <c r="K484" s="726">
        <v>0</v>
      </c>
      <c r="L484" s="726">
        <v>14120</v>
      </c>
      <c r="M484" s="726">
        <v>0</v>
      </c>
      <c r="N484" s="726">
        <v>0</v>
      </c>
      <c r="O484" s="726">
        <v>0</v>
      </c>
      <c r="P484" s="726">
        <v>0</v>
      </c>
      <c r="Q484" s="726">
        <v>0</v>
      </c>
      <c r="R484" s="726">
        <v>0</v>
      </c>
      <c r="S484" s="726">
        <v>0</v>
      </c>
      <c r="T484" s="726">
        <v>0</v>
      </c>
      <c r="U484" s="726">
        <v>0</v>
      </c>
      <c r="V484" s="726">
        <v>0</v>
      </c>
      <c r="W484" s="726">
        <v>0</v>
      </c>
      <c r="X484" s="724" t="s">
        <v>674</v>
      </c>
      <c r="Y484" s="724" t="s">
        <v>675</v>
      </c>
      <c r="Z484" s="724" t="s">
        <v>675</v>
      </c>
      <c r="AA484" s="724" t="s">
        <v>675</v>
      </c>
      <c r="AB484" s="724" t="s">
        <v>675</v>
      </c>
      <c r="AC484" s="724"/>
      <c r="AD484" s="724"/>
      <c r="AE484" s="724"/>
      <c r="AF484" s="724"/>
      <c r="AG484" s="725" t="s">
        <v>960</v>
      </c>
      <c r="AH484" s="724"/>
      <c r="AI484" s="725" t="s">
        <v>960</v>
      </c>
      <c r="AJ484" s="725" t="s">
        <v>677</v>
      </c>
      <c r="AK484" s="724" t="s">
        <v>677</v>
      </c>
      <c r="AL484" s="724"/>
      <c r="AM484" s="724"/>
      <c r="AN484" s="724"/>
      <c r="AO484" s="724"/>
      <c r="AP484" s="724"/>
      <c r="AQ484" s="724"/>
      <c r="AR484" s="726"/>
      <c r="AS484" s="724"/>
      <c r="AT484" s="726"/>
      <c r="AU484" s="724" t="s">
        <v>678</v>
      </c>
      <c r="AV484" s="724" t="s">
        <v>677</v>
      </c>
      <c r="AW484" s="724" t="s">
        <v>676</v>
      </c>
      <c r="AX484" s="724" t="s">
        <v>674</v>
      </c>
      <c r="AY484" s="724"/>
      <c r="AZ484" s="724"/>
      <c r="BA484" s="724" t="s">
        <v>679</v>
      </c>
      <c r="BB484" s="724"/>
      <c r="BC484" s="724"/>
      <c r="BD484" s="724"/>
      <c r="BE484" s="726"/>
      <c r="BF484" s="724" t="s">
        <v>298</v>
      </c>
      <c r="BG484" s="724" t="s">
        <v>680</v>
      </c>
      <c r="BH484" s="724" t="s">
        <v>681</v>
      </c>
      <c r="BI484" s="724"/>
    </row>
    <row r="485" spans="1:61">
      <c r="A485" s="724" t="s">
        <v>952</v>
      </c>
      <c r="B485" s="724" t="s">
        <v>952</v>
      </c>
      <c r="C485" s="724" t="s">
        <v>952</v>
      </c>
      <c r="D485" s="724" t="s">
        <v>716</v>
      </c>
      <c r="E485" s="724" t="s">
        <v>3</v>
      </c>
      <c r="F485" s="725" t="s">
        <v>83</v>
      </c>
      <c r="G485" s="725" t="s">
        <v>134</v>
      </c>
      <c r="H485" s="726">
        <v>230000000</v>
      </c>
      <c r="I485" s="726">
        <v>151120240</v>
      </c>
      <c r="J485" s="726">
        <v>0</v>
      </c>
      <c r="K485" s="726">
        <v>78879760</v>
      </c>
      <c r="L485" s="726">
        <v>137382038</v>
      </c>
      <c r="M485" s="726">
        <v>0</v>
      </c>
      <c r="N485" s="726">
        <v>71708872</v>
      </c>
      <c r="O485" s="726">
        <v>13738202</v>
      </c>
      <c r="P485" s="726">
        <v>0</v>
      </c>
      <c r="Q485" s="726">
        <v>7170888</v>
      </c>
      <c r="R485" s="726">
        <v>0</v>
      </c>
      <c r="S485" s="726">
        <v>0</v>
      </c>
      <c r="T485" s="726">
        <v>0</v>
      </c>
      <c r="U485" s="726">
        <v>0</v>
      </c>
      <c r="V485" s="726">
        <v>0</v>
      </c>
      <c r="W485" s="726">
        <v>0</v>
      </c>
      <c r="X485" s="724" t="s">
        <v>674</v>
      </c>
      <c r="Y485" s="724" t="s">
        <v>1226</v>
      </c>
      <c r="Z485" s="724" t="s">
        <v>1226</v>
      </c>
      <c r="AA485" s="724" t="s">
        <v>675</v>
      </c>
      <c r="AB485" s="724" t="s">
        <v>675</v>
      </c>
      <c r="AC485" s="724"/>
      <c r="AD485" s="724"/>
      <c r="AE485" s="724"/>
      <c r="AF485" s="724"/>
      <c r="AG485" s="725" t="s">
        <v>598</v>
      </c>
      <c r="AH485" s="724"/>
      <c r="AI485" s="725" t="s">
        <v>598</v>
      </c>
      <c r="AJ485" s="725" t="s">
        <v>961</v>
      </c>
      <c r="AK485" s="724" t="s">
        <v>677</v>
      </c>
      <c r="AL485" s="724"/>
      <c r="AM485" s="724"/>
      <c r="AN485" s="724"/>
      <c r="AO485" s="724"/>
      <c r="AP485" s="724"/>
      <c r="AQ485" s="724"/>
      <c r="AR485" s="726"/>
      <c r="AS485" s="724"/>
      <c r="AT485" s="726"/>
      <c r="AU485" s="724" t="s">
        <v>678</v>
      </c>
      <c r="AV485" s="724" t="s">
        <v>677</v>
      </c>
      <c r="AW485" s="724" t="s">
        <v>676</v>
      </c>
      <c r="AX485" s="724" t="s">
        <v>674</v>
      </c>
      <c r="AY485" s="724"/>
      <c r="AZ485" s="724"/>
      <c r="BA485" s="724" t="s">
        <v>679</v>
      </c>
      <c r="BB485" s="724"/>
      <c r="BC485" s="724"/>
      <c r="BD485" s="724"/>
      <c r="BE485" s="726"/>
      <c r="BF485" s="724" t="s">
        <v>298</v>
      </c>
      <c r="BG485" s="724" t="s">
        <v>680</v>
      </c>
      <c r="BH485" s="724" t="s">
        <v>681</v>
      </c>
      <c r="BI485" s="724"/>
    </row>
    <row r="486" spans="1:61">
      <c r="A486" s="724" t="s">
        <v>962</v>
      </c>
      <c r="B486" s="724" t="s">
        <v>728</v>
      </c>
      <c r="C486" s="724" t="s">
        <v>722</v>
      </c>
      <c r="D486" s="724" t="s">
        <v>724</v>
      </c>
      <c r="E486" s="724" t="s">
        <v>3</v>
      </c>
      <c r="F486" s="725" t="s">
        <v>83</v>
      </c>
      <c r="G486" s="725" t="s">
        <v>829</v>
      </c>
      <c r="H486" s="726">
        <v>53400</v>
      </c>
      <c r="I486" s="726">
        <v>3400</v>
      </c>
      <c r="J486" s="726">
        <v>0</v>
      </c>
      <c r="K486" s="726">
        <v>50000</v>
      </c>
      <c r="L486" s="726">
        <v>3092</v>
      </c>
      <c r="M486" s="726">
        <v>0</v>
      </c>
      <c r="N486" s="726">
        <v>45454</v>
      </c>
      <c r="O486" s="726">
        <v>308</v>
      </c>
      <c r="P486" s="726">
        <v>0</v>
      </c>
      <c r="Q486" s="726">
        <v>4546</v>
      </c>
      <c r="R486" s="726">
        <v>0</v>
      </c>
      <c r="S486" s="726">
        <v>0</v>
      </c>
      <c r="T486" s="726">
        <v>0</v>
      </c>
      <c r="U486" s="726">
        <v>0</v>
      </c>
      <c r="V486" s="726">
        <v>0</v>
      </c>
      <c r="W486" s="726">
        <v>0</v>
      </c>
      <c r="X486" s="724" t="s">
        <v>674</v>
      </c>
      <c r="Y486" s="724" t="s">
        <v>675</v>
      </c>
      <c r="Z486" s="724" t="s">
        <v>675</v>
      </c>
      <c r="AA486" s="724" t="s">
        <v>675</v>
      </c>
      <c r="AB486" s="724" t="s">
        <v>675</v>
      </c>
      <c r="AC486" s="724"/>
      <c r="AD486" s="724"/>
      <c r="AE486" s="724"/>
      <c r="AF486" s="724"/>
      <c r="AG486" s="725" t="s">
        <v>569</v>
      </c>
      <c r="AH486" s="724"/>
      <c r="AI486" s="725" t="s">
        <v>569</v>
      </c>
      <c r="AJ486" s="725" t="s">
        <v>762</v>
      </c>
      <c r="AK486" s="724" t="s">
        <v>677</v>
      </c>
      <c r="AL486" s="724"/>
      <c r="AM486" s="724" t="s">
        <v>726</v>
      </c>
      <c r="AN486" s="724" t="s">
        <v>963</v>
      </c>
      <c r="AO486" s="724" t="s">
        <v>962</v>
      </c>
      <c r="AP486" s="724" t="s">
        <v>964</v>
      </c>
      <c r="AQ486" s="724" t="s">
        <v>757</v>
      </c>
      <c r="AR486" s="726">
        <v>53400</v>
      </c>
      <c r="AS486" s="724" t="s">
        <v>675</v>
      </c>
      <c r="AT486" s="726">
        <v>0</v>
      </c>
      <c r="AU486" s="724" t="s">
        <v>678</v>
      </c>
      <c r="AV486" s="724" t="s">
        <v>677</v>
      </c>
      <c r="AW486" s="724" t="s">
        <v>676</v>
      </c>
      <c r="AX486" s="724" t="s">
        <v>674</v>
      </c>
      <c r="AY486" s="724"/>
      <c r="AZ486" s="724"/>
      <c r="BA486" s="724" t="s">
        <v>679</v>
      </c>
      <c r="BB486" s="724"/>
      <c r="BC486" s="724"/>
      <c r="BD486" s="724"/>
      <c r="BE486" s="726"/>
      <c r="BF486" s="724" t="s">
        <v>298</v>
      </c>
      <c r="BG486" s="724" t="s">
        <v>680</v>
      </c>
      <c r="BH486" s="724" t="s">
        <v>681</v>
      </c>
      <c r="BI486" s="724"/>
    </row>
    <row r="487" spans="1:61">
      <c r="A487" s="724" t="s">
        <v>962</v>
      </c>
      <c r="B487" s="724" t="s">
        <v>965</v>
      </c>
      <c r="C487" s="724" t="s">
        <v>966</v>
      </c>
      <c r="D487" s="724" t="s">
        <v>724</v>
      </c>
      <c r="E487" s="724" t="s">
        <v>3</v>
      </c>
      <c r="F487" s="725" t="s">
        <v>83</v>
      </c>
      <c r="G487" s="725" t="s">
        <v>829</v>
      </c>
      <c r="H487" s="726">
        <v>555000</v>
      </c>
      <c r="I487" s="726">
        <v>55000</v>
      </c>
      <c r="J487" s="726">
        <v>0</v>
      </c>
      <c r="K487" s="726">
        <v>500000</v>
      </c>
      <c r="L487" s="726">
        <v>50001</v>
      </c>
      <c r="M487" s="726">
        <v>0</v>
      </c>
      <c r="N487" s="726">
        <v>454545</v>
      </c>
      <c r="O487" s="726">
        <v>4999</v>
      </c>
      <c r="P487" s="726">
        <v>0</v>
      </c>
      <c r="Q487" s="726">
        <v>45455</v>
      </c>
      <c r="R487" s="726">
        <v>0</v>
      </c>
      <c r="S487" s="726">
        <v>0</v>
      </c>
      <c r="T487" s="726">
        <v>0</v>
      </c>
      <c r="U487" s="726">
        <v>0</v>
      </c>
      <c r="V487" s="726">
        <v>0</v>
      </c>
      <c r="W487" s="726">
        <v>0</v>
      </c>
      <c r="X487" s="724" t="s">
        <v>674</v>
      </c>
      <c r="Y487" s="724" t="s">
        <v>1226</v>
      </c>
      <c r="Z487" s="724" t="s">
        <v>1226</v>
      </c>
      <c r="AA487" s="724" t="s">
        <v>675</v>
      </c>
      <c r="AB487" s="724" t="s">
        <v>675</v>
      </c>
      <c r="AC487" s="724"/>
      <c r="AD487" s="724"/>
      <c r="AE487" s="724"/>
      <c r="AF487" s="724"/>
      <c r="AG487" s="725" t="s">
        <v>592</v>
      </c>
      <c r="AH487" s="724"/>
      <c r="AI487" s="725" t="s">
        <v>592</v>
      </c>
      <c r="AJ487" s="725" t="s">
        <v>762</v>
      </c>
      <c r="AK487" s="724" t="s">
        <v>677</v>
      </c>
      <c r="AL487" s="724"/>
      <c r="AM487" s="724" t="s">
        <v>967</v>
      </c>
      <c r="AN487" s="724" t="s">
        <v>968</v>
      </c>
      <c r="AO487" s="724" t="s">
        <v>962</v>
      </c>
      <c r="AP487" s="724" t="s">
        <v>964</v>
      </c>
      <c r="AQ487" s="724" t="s">
        <v>939</v>
      </c>
      <c r="AR487" s="726">
        <v>555000</v>
      </c>
      <c r="AS487" s="724" t="s">
        <v>675</v>
      </c>
      <c r="AT487" s="726">
        <v>0</v>
      </c>
      <c r="AU487" s="724" t="s">
        <v>678</v>
      </c>
      <c r="AV487" s="724" t="s">
        <v>677</v>
      </c>
      <c r="AW487" s="724" t="s">
        <v>676</v>
      </c>
      <c r="AX487" s="724" t="s">
        <v>674</v>
      </c>
      <c r="AY487" s="724"/>
      <c r="AZ487" s="724"/>
      <c r="BA487" s="724" t="s">
        <v>679</v>
      </c>
      <c r="BB487" s="724"/>
      <c r="BC487" s="724"/>
      <c r="BD487" s="724"/>
      <c r="BE487" s="726"/>
      <c r="BF487" s="724" t="s">
        <v>298</v>
      </c>
      <c r="BG487" s="724" t="s">
        <v>680</v>
      </c>
      <c r="BH487" s="724" t="s">
        <v>681</v>
      </c>
      <c r="BI487" s="724"/>
    </row>
    <row r="488" spans="1:61">
      <c r="A488" s="724" t="s">
        <v>969</v>
      </c>
      <c r="B488" s="724" t="s">
        <v>711</v>
      </c>
      <c r="C488" s="724" t="s">
        <v>711</v>
      </c>
      <c r="D488" s="724" t="s">
        <v>724</v>
      </c>
      <c r="E488" s="724" t="s">
        <v>3</v>
      </c>
      <c r="F488" s="725" t="s">
        <v>83</v>
      </c>
      <c r="G488" s="725" t="s">
        <v>700</v>
      </c>
      <c r="H488" s="726">
        <v>1194800</v>
      </c>
      <c r="I488" s="726">
        <v>1194800</v>
      </c>
      <c r="J488" s="726">
        <v>0</v>
      </c>
      <c r="K488" s="726">
        <v>0</v>
      </c>
      <c r="L488" s="726">
        <v>1086182</v>
      </c>
      <c r="M488" s="726">
        <v>0</v>
      </c>
      <c r="N488" s="726">
        <v>0</v>
      </c>
      <c r="O488" s="726">
        <v>108618</v>
      </c>
      <c r="P488" s="726">
        <v>0</v>
      </c>
      <c r="Q488" s="726">
        <v>0</v>
      </c>
      <c r="R488" s="726">
        <v>0</v>
      </c>
      <c r="S488" s="726">
        <v>0</v>
      </c>
      <c r="T488" s="726">
        <v>0</v>
      </c>
      <c r="U488" s="726">
        <v>0</v>
      </c>
      <c r="V488" s="726">
        <v>0</v>
      </c>
      <c r="W488" s="726">
        <v>0</v>
      </c>
      <c r="X488" s="724" t="s">
        <v>674</v>
      </c>
      <c r="Y488" s="724" t="s">
        <v>1226</v>
      </c>
      <c r="Z488" s="724" t="s">
        <v>1226</v>
      </c>
      <c r="AA488" s="724" t="s">
        <v>675</v>
      </c>
      <c r="AB488" s="724" t="s">
        <v>675</v>
      </c>
      <c r="AC488" s="724"/>
      <c r="AD488" s="724"/>
      <c r="AE488" s="724"/>
      <c r="AF488" s="724"/>
      <c r="AG488" s="725" t="s">
        <v>970</v>
      </c>
      <c r="AH488" s="724"/>
      <c r="AI488" s="725" t="s">
        <v>970</v>
      </c>
      <c r="AJ488" s="725" t="s">
        <v>762</v>
      </c>
      <c r="AK488" s="724" t="s">
        <v>677</v>
      </c>
      <c r="AL488" s="724"/>
      <c r="AM488" s="724" t="s">
        <v>726</v>
      </c>
      <c r="AN488" s="724" t="s">
        <v>971</v>
      </c>
      <c r="AO488" s="724" t="s">
        <v>969</v>
      </c>
      <c r="AP488" s="724" t="s">
        <v>972</v>
      </c>
      <c r="AQ488" s="724" t="s">
        <v>757</v>
      </c>
      <c r="AR488" s="726">
        <v>1194800</v>
      </c>
      <c r="AS488" s="724" t="s">
        <v>675</v>
      </c>
      <c r="AT488" s="726">
        <v>0</v>
      </c>
      <c r="AU488" s="724" t="s">
        <v>678</v>
      </c>
      <c r="AV488" s="724" t="s">
        <v>677</v>
      </c>
      <c r="AW488" s="724" t="s">
        <v>676</v>
      </c>
      <c r="AX488" s="724" t="s">
        <v>674</v>
      </c>
      <c r="AY488" s="724"/>
      <c r="AZ488" s="724"/>
      <c r="BA488" s="724" t="s">
        <v>679</v>
      </c>
      <c r="BB488" s="724"/>
      <c r="BC488" s="724"/>
      <c r="BD488" s="724"/>
      <c r="BE488" s="726"/>
      <c r="BF488" s="724" t="s">
        <v>298</v>
      </c>
      <c r="BG488" s="724" t="s">
        <v>680</v>
      </c>
      <c r="BH488" s="724" t="s">
        <v>681</v>
      </c>
      <c r="BI488" s="724"/>
    </row>
    <row r="489" spans="1:61">
      <c r="A489" s="724" t="s">
        <v>969</v>
      </c>
      <c r="B489" s="724" t="s">
        <v>972</v>
      </c>
      <c r="C489" s="724" t="s">
        <v>969</v>
      </c>
      <c r="D489" s="724" t="s">
        <v>716</v>
      </c>
      <c r="E489" s="724" t="s">
        <v>3</v>
      </c>
      <c r="F489" s="725" t="s">
        <v>71</v>
      </c>
      <c r="G489" s="725" t="s">
        <v>719</v>
      </c>
      <c r="H489" s="726">
        <v>1320000</v>
      </c>
      <c r="I489" s="726">
        <v>1320000</v>
      </c>
      <c r="J489" s="726">
        <v>0</v>
      </c>
      <c r="K489" s="726">
        <v>0</v>
      </c>
      <c r="L489" s="726">
        <v>1200000</v>
      </c>
      <c r="M489" s="726">
        <v>0</v>
      </c>
      <c r="N489" s="726">
        <v>0</v>
      </c>
      <c r="O489" s="726">
        <v>120000</v>
      </c>
      <c r="P489" s="726">
        <v>0</v>
      </c>
      <c r="Q489" s="726">
        <v>0</v>
      </c>
      <c r="R489" s="726">
        <v>0</v>
      </c>
      <c r="S489" s="726">
        <v>0</v>
      </c>
      <c r="T489" s="726">
        <v>0</v>
      </c>
      <c r="U489" s="726">
        <v>0</v>
      </c>
      <c r="V489" s="726">
        <v>0</v>
      </c>
      <c r="W489" s="726">
        <v>0</v>
      </c>
      <c r="X489" s="724" t="s">
        <v>674</v>
      </c>
      <c r="Y489" s="724" t="s">
        <v>1226</v>
      </c>
      <c r="Z489" s="724" t="s">
        <v>1226</v>
      </c>
      <c r="AA489" s="724" t="s">
        <v>675</v>
      </c>
      <c r="AB489" s="724" t="s">
        <v>675</v>
      </c>
      <c r="AC489" s="724"/>
      <c r="AD489" s="724"/>
      <c r="AE489" s="724"/>
      <c r="AF489" s="724"/>
      <c r="AG489" s="725" t="s">
        <v>973</v>
      </c>
      <c r="AH489" s="724"/>
      <c r="AI489" s="725" t="s">
        <v>973</v>
      </c>
      <c r="AJ489" s="725" t="s">
        <v>974</v>
      </c>
      <c r="AK489" s="724" t="s">
        <v>677</v>
      </c>
      <c r="AL489" s="724"/>
      <c r="AM489" s="724"/>
      <c r="AN489" s="724"/>
      <c r="AO489" s="724"/>
      <c r="AP489" s="724"/>
      <c r="AQ489" s="724"/>
      <c r="AR489" s="726"/>
      <c r="AS489" s="724"/>
      <c r="AT489" s="726"/>
      <c r="AU489" s="724" t="s">
        <v>678</v>
      </c>
      <c r="AV489" s="724" t="s">
        <v>677</v>
      </c>
      <c r="AW489" s="724" t="s">
        <v>676</v>
      </c>
      <c r="AX489" s="724" t="s">
        <v>674</v>
      </c>
      <c r="AY489" s="724"/>
      <c r="AZ489" s="724"/>
      <c r="BA489" s="724" t="s">
        <v>679</v>
      </c>
      <c r="BB489" s="724"/>
      <c r="BC489" s="724"/>
      <c r="BD489" s="724"/>
      <c r="BE489" s="726"/>
      <c r="BF489" s="724" t="s">
        <v>298</v>
      </c>
      <c r="BG489" s="724" t="s">
        <v>680</v>
      </c>
      <c r="BH489" s="724" t="s">
        <v>681</v>
      </c>
      <c r="BI489" s="724"/>
    </row>
    <row r="490" spans="1:61">
      <c r="A490" s="724" t="s">
        <v>972</v>
      </c>
      <c r="B490" s="724" t="s">
        <v>972</v>
      </c>
      <c r="C490" s="724" t="s">
        <v>975</v>
      </c>
      <c r="D490" s="724" t="s">
        <v>673</v>
      </c>
      <c r="E490" s="724" t="s">
        <v>3</v>
      </c>
      <c r="F490" s="725" t="s">
        <v>83</v>
      </c>
      <c r="G490" s="725" t="s">
        <v>700</v>
      </c>
      <c r="H490" s="726">
        <v>88000</v>
      </c>
      <c r="I490" s="726">
        <v>88000</v>
      </c>
      <c r="J490" s="726">
        <v>0</v>
      </c>
      <c r="K490" s="726">
        <v>0</v>
      </c>
      <c r="L490" s="726">
        <v>88000</v>
      </c>
      <c r="M490" s="726">
        <v>0</v>
      </c>
      <c r="N490" s="726">
        <v>0</v>
      </c>
      <c r="O490" s="726">
        <v>0</v>
      </c>
      <c r="P490" s="726">
        <v>0</v>
      </c>
      <c r="Q490" s="726">
        <v>0</v>
      </c>
      <c r="R490" s="726">
        <v>0</v>
      </c>
      <c r="S490" s="726">
        <v>0</v>
      </c>
      <c r="T490" s="726">
        <v>0</v>
      </c>
      <c r="U490" s="726">
        <v>0</v>
      </c>
      <c r="V490" s="726">
        <v>0</v>
      </c>
      <c r="W490" s="726">
        <v>0</v>
      </c>
      <c r="X490" s="724" t="s">
        <v>674</v>
      </c>
      <c r="Y490" s="724" t="s">
        <v>675</v>
      </c>
      <c r="Z490" s="724" t="s">
        <v>675</v>
      </c>
      <c r="AA490" s="724" t="s">
        <v>675</v>
      </c>
      <c r="AB490" s="724" t="s">
        <v>675</v>
      </c>
      <c r="AC490" s="724"/>
      <c r="AD490" s="724"/>
      <c r="AE490" s="724"/>
      <c r="AF490" s="724"/>
      <c r="AG490" s="725" t="s">
        <v>976</v>
      </c>
      <c r="AH490" s="724"/>
      <c r="AI490" s="725" t="s">
        <v>976</v>
      </c>
      <c r="AJ490" s="725" t="s">
        <v>677</v>
      </c>
      <c r="AK490" s="724" t="s">
        <v>677</v>
      </c>
      <c r="AL490" s="724"/>
      <c r="AM490" s="724"/>
      <c r="AN490" s="724"/>
      <c r="AO490" s="724"/>
      <c r="AP490" s="724"/>
      <c r="AQ490" s="724"/>
      <c r="AR490" s="726"/>
      <c r="AS490" s="724"/>
      <c r="AT490" s="726"/>
      <c r="AU490" s="724" t="s">
        <v>678</v>
      </c>
      <c r="AV490" s="724" t="s">
        <v>677</v>
      </c>
      <c r="AW490" s="724" t="s">
        <v>676</v>
      </c>
      <c r="AX490" s="724" t="s">
        <v>674</v>
      </c>
      <c r="AY490" s="724"/>
      <c r="AZ490" s="724"/>
      <c r="BA490" s="724" t="s">
        <v>679</v>
      </c>
      <c r="BB490" s="724"/>
      <c r="BC490" s="724"/>
      <c r="BD490" s="724"/>
      <c r="BE490" s="726"/>
      <c r="BF490" s="724" t="s">
        <v>298</v>
      </c>
      <c r="BG490" s="724" t="s">
        <v>680</v>
      </c>
      <c r="BH490" s="724" t="s">
        <v>681</v>
      </c>
      <c r="BI490" s="724"/>
    </row>
    <row r="491" spans="1:61">
      <c r="A491" s="724" t="s">
        <v>972</v>
      </c>
      <c r="B491" s="724" t="s">
        <v>972</v>
      </c>
      <c r="C491" s="724" t="s">
        <v>975</v>
      </c>
      <c r="D491" s="724" t="s">
        <v>673</v>
      </c>
      <c r="E491" s="724" t="s">
        <v>3</v>
      </c>
      <c r="F491" s="725" t="s">
        <v>83</v>
      </c>
      <c r="G491" s="725" t="s">
        <v>700</v>
      </c>
      <c r="H491" s="726">
        <v>912000</v>
      </c>
      <c r="I491" s="726">
        <v>912000</v>
      </c>
      <c r="J491" s="726">
        <v>0</v>
      </c>
      <c r="K491" s="726">
        <v>0</v>
      </c>
      <c r="L491" s="726">
        <v>912000</v>
      </c>
      <c r="M491" s="726">
        <v>0</v>
      </c>
      <c r="N491" s="726">
        <v>0</v>
      </c>
      <c r="O491" s="726">
        <v>0</v>
      </c>
      <c r="P491" s="726">
        <v>0</v>
      </c>
      <c r="Q491" s="726">
        <v>0</v>
      </c>
      <c r="R491" s="726">
        <v>0</v>
      </c>
      <c r="S491" s="726">
        <v>0</v>
      </c>
      <c r="T491" s="726">
        <v>0</v>
      </c>
      <c r="U491" s="726">
        <v>0</v>
      </c>
      <c r="V491" s="726">
        <v>0</v>
      </c>
      <c r="W491" s="726">
        <v>0</v>
      </c>
      <c r="X491" s="724" t="s">
        <v>674</v>
      </c>
      <c r="Y491" s="724" t="s">
        <v>1226</v>
      </c>
      <c r="Z491" s="724" t="s">
        <v>1226</v>
      </c>
      <c r="AA491" s="724" t="s">
        <v>675</v>
      </c>
      <c r="AB491" s="724" t="s">
        <v>675</v>
      </c>
      <c r="AC491" s="724"/>
      <c r="AD491" s="724"/>
      <c r="AE491" s="724"/>
      <c r="AF491" s="724"/>
      <c r="AG491" s="725" t="s">
        <v>977</v>
      </c>
      <c r="AH491" s="724"/>
      <c r="AI491" s="725" t="s">
        <v>977</v>
      </c>
      <c r="AJ491" s="725" t="s">
        <v>677</v>
      </c>
      <c r="AK491" s="724" t="s">
        <v>677</v>
      </c>
      <c r="AL491" s="724"/>
      <c r="AM491" s="724"/>
      <c r="AN491" s="724"/>
      <c r="AO491" s="724"/>
      <c r="AP491" s="724"/>
      <c r="AQ491" s="724"/>
      <c r="AR491" s="726"/>
      <c r="AS491" s="724"/>
      <c r="AT491" s="726"/>
      <c r="AU491" s="724" t="s">
        <v>678</v>
      </c>
      <c r="AV491" s="724" t="s">
        <v>677</v>
      </c>
      <c r="AW491" s="724" t="s">
        <v>676</v>
      </c>
      <c r="AX491" s="724" t="s">
        <v>674</v>
      </c>
      <c r="AY491" s="724"/>
      <c r="AZ491" s="724"/>
      <c r="BA491" s="724" t="s">
        <v>679</v>
      </c>
      <c r="BB491" s="724"/>
      <c r="BC491" s="724"/>
      <c r="BD491" s="724"/>
      <c r="BE491" s="726"/>
      <c r="BF491" s="724" t="s">
        <v>298</v>
      </c>
      <c r="BG491" s="724" t="s">
        <v>680</v>
      </c>
      <c r="BH491" s="724" t="s">
        <v>681</v>
      </c>
      <c r="BI491" s="724"/>
    </row>
    <row r="492" spans="1:61">
      <c r="A492" s="724" t="s">
        <v>978</v>
      </c>
      <c r="B492" s="724" t="s">
        <v>978</v>
      </c>
      <c r="C492" s="724" t="s">
        <v>978</v>
      </c>
      <c r="D492" s="724" t="s">
        <v>673</v>
      </c>
      <c r="E492" s="724" t="s">
        <v>3</v>
      </c>
      <c r="F492" s="725" t="s">
        <v>238</v>
      </c>
      <c r="G492" s="725" t="s">
        <v>712</v>
      </c>
      <c r="H492" s="726">
        <v>118900000</v>
      </c>
      <c r="I492" s="726">
        <v>118900000</v>
      </c>
      <c r="J492" s="726">
        <v>0</v>
      </c>
      <c r="K492" s="726">
        <v>0</v>
      </c>
      <c r="L492" s="726">
        <v>118900000</v>
      </c>
      <c r="M492" s="726">
        <v>0</v>
      </c>
      <c r="N492" s="726">
        <v>0</v>
      </c>
      <c r="O492" s="726">
        <v>0</v>
      </c>
      <c r="P492" s="726">
        <v>0</v>
      </c>
      <c r="Q492" s="726">
        <v>0</v>
      </c>
      <c r="R492" s="726">
        <v>0</v>
      </c>
      <c r="S492" s="726">
        <v>0</v>
      </c>
      <c r="T492" s="726">
        <v>0</v>
      </c>
      <c r="U492" s="726">
        <v>0</v>
      </c>
      <c r="V492" s="726">
        <v>0</v>
      </c>
      <c r="W492" s="726">
        <v>0</v>
      </c>
      <c r="X492" s="724" t="s">
        <v>674</v>
      </c>
      <c r="Y492" s="724" t="s">
        <v>675</v>
      </c>
      <c r="Z492" s="724" t="s">
        <v>675</v>
      </c>
      <c r="AA492" s="724" t="s">
        <v>675</v>
      </c>
      <c r="AB492" s="724" t="s">
        <v>675</v>
      </c>
      <c r="AC492" s="724"/>
      <c r="AD492" s="724"/>
      <c r="AE492" s="724"/>
      <c r="AF492" s="724"/>
      <c r="AG492" s="725" t="s">
        <v>713</v>
      </c>
      <c r="AH492" s="724"/>
      <c r="AI492" s="725" t="s">
        <v>713</v>
      </c>
      <c r="AJ492" s="725" t="s">
        <v>677</v>
      </c>
      <c r="AK492" s="724" t="s">
        <v>677</v>
      </c>
      <c r="AL492" s="724"/>
      <c r="AM492" s="724"/>
      <c r="AN492" s="724"/>
      <c r="AO492" s="724"/>
      <c r="AP492" s="724"/>
      <c r="AQ492" s="724"/>
      <c r="AR492" s="726"/>
      <c r="AS492" s="724"/>
      <c r="AT492" s="726"/>
      <c r="AU492" s="724" t="s">
        <v>678</v>
      </c>
      <c r="AV492" s="724" t="s">
        <v>677</v>
      </c>
      <c r="AW492" s="724" t="s">
        <v>676</v>
      </c>
      <c r="AX492" s="724" t="s">
        <v>784</v>
      </c>
      <c r="AY492" s="724" t="s">
        <v>785</v>
      </c>
      <c r="AZ492" s="724" t="s">
        <v>979</v>
      </c>
      <c r="BA492" s="724" t="s">
        <v>679</v>
      </c>
      <c r="BB492" s="724"/>
      <c r="BC492" s="724"/>
      <c r="BD492" s="724"/>
      <c r="BE492" s="726"/>
      <c r="BF492" s="724" t="s">
        <v>298</v>
      </c>
      <c r="BG492" s="724" t="s">
        <v>680</v>
      </c>
      <c r="BH492" s="724" t="s">
        <v>681</v>
      </c>
      <c r="BI492" s="724"/>
    </row>
    <row r="493" spans="1:61">
      <c r="A493" s="724" t="s">
        <v>980</v>
      </c>
      <c r="B493" s="724" t="s">
        <v>965</v>
      </c>
      <c r="C493" s="724" t="s">
        <v>966</v>
      </c>
      <c r="D493" s="724" t="s">
        <v>724</v>
      </c>
      <c r="E493" s="724" t="s">
        <v>3</v>
      </c>
      <c r="F493" s="725" t="s">
        <v>83</v>
      </c>
      <c r="G493" s="725" t="s">
        <v>829</v>
      </c>
      <c r="H493" s="726">
        <v>4640</v>
      </c>
      <c r="I493" s="726">
        <v>4640</v>
      </c>
      <c r="J493" s="726">
        <v>0</v>
      </c>
      <c r="K493" s="726">
        <v>0</v>
      </c>
      <c r="L493" s="726">
        <v>4640</v>
      </c>
      <c r="M493" s="726">
        <v>0</v>
      </c>
      <c r="N493" s="726">
        <v>0</v>
      </c>
      <c r="O493" s="726">
        <v>0</v>
      </c>
      <c r="P493" s="726">
        <v>0</v>
      </c>
      <c r="Q493" s="726">
        <v>0</v>
      </c>
      <c r="R493" s="726">
        <v>0</v>
      </c>
      <c r="S493" s="726">
        <v>0</v>
      </c>
      <c r="T493" s="726">
        <v>0</v>
      </c>
      <c r="U493" s="726">
        <v>0</v>
      </c>
      <c r="V493" s="726">
        <v>0</v>
      </c>
      <c r="W493" s="726">
        <v>0</v>
      </c>
      <c r="X493" s="724" t="s">
        <v>674</v>
      </c>
      <c r="Y493" s="724" t="s">
        <v>675</v>
      </c>
      <c r="Z493" s="724" t="s">
        <v>675</v>
      </c>
      <c r="AA493" s="724" t="s">
        <v>675</v>
      </c>
      <c r="AB493" s="724" t="s">
        <v>675</v>
      </c>
      <c r="AC493" s="724"/>
      <c r="AD493" s="724"/>
      <c r="AE493" s="724"/>
      <c r="AF493" s="724"/>
      <c r="AG493" s="725" t="s">
        <v>204</v>
      </c>
      <c r="AH493" s="724"/>
      <c r="AI493" s="725" t="s">
        <v>204</v>
      </c>
      <c r="AJ493" s="725" t="s">
        <v>981</v>
      </c>
      <c r="AK493" s="724" t="s">
        <v>677</v>
      </c>
      <c r="AL493" s="724"/>
      <c r="AM493" s="724" t="s">
        <v>967</v>
      </c>
      <c r="AN493" s="724" t="s">
        <v>982</v>
      </c>
      <c r="AO493" s="724" t="s">
        <v>980</v>
      </c>
      <c r="AP493" s="724" t="s">
        <v>983</v>
      </c>
      <c r="AQ493" s="724" t="s">
        <v>939</v>
      </c>
      <c r="AR493" s="726">
        <v>4640</v>
      </c>
      <c r="AS493" s="724" t="s">
        <v>675</v>
      </c>
      <c r="AT493" s="726">
        <v>0</v>
      </c>
      <c r="AU493" s="724" t="s">
        <v>678</v>
      </c>
      <c r="AV493" s="724" t="s">
        <v>677</v>
      </c>
      <c r="AW493" s="724" t="s">
        <v>676</v>
      </c>
      <c r="AX493" s="724" t="s">
        <v>674</v>
      </c>
      <c r="AY493" s="724"/>
      <c r="AZ493" s="724"/>
      <c r="BA493" s="724" t="s">
        <v>679</v>
      </c>
      <c r="BB493" s="724"/>
      <c r="BC493" s="724"/>
      <c r="BD493" s="724"/>
      <c r="BE493" s="726"/>
      <c r="BF493" s="724" t="s">
        <v>298</v>
      </c>
      <c r="BG493" s="724" t="s">
        <v>680</v>
      </c>
      <c r="BH493" s="724" t="s">
        <v>681</v>
      </c>
      <c r="BI493" s="724"/>
    </row>
    <row r="494" spans="1:61">
      <c r="A494" s="724" t="s">
        <v>980</v>
      </c>
      <c r="B494" s="724" t="s">
        <v>965</v>
      </c>
      <c r="C494" s="724" t="s">
        <v>966</v>
      </c>
      <c r="D494" s="724" t="s">
        <v>724</v>
      </c>
      <c r="E494" s="724" t="s">
        <v>3</v>
      </c>
      <c r="F494" s="725" t="s">
        <v>83</v>
      </c>
      <c r="G494" s="725" t="s">
        <v>829</v>
      </c>
      <c r="H494" s="726">
        <v>100</v>
      </c>
      <c r="I494" s="726">
        <v>100</v>
      </c>
      <c r="J494" s="726">
        <v>0</v>
      </c>
      <c r="K494" s="726">
        <v>0</v>
      </c>
      <c r="L494" s="726">
        <v>100</v>
      </c>
      <c r="M494" s="726">
        <v>0</v>
      </c>
      <c r="N494" s="726">
        <v>0</v>
      </c>
      <c r="O494" s="726">
        <v>0</v>
      </c>
      <c r="P494" s="726">
        <v>0</v>
      </c>
      <c r="Q494" s="726">
        <v>0</v>
      </c>
      <c r="R494" s="726">
        <v>0</v>
      </c>
      <c r="S494" s="726">
        <v>0</v>
      </c>
      <c r="T494" s="726">
        <v>0</v>
      </c>
      <c r="U494" s="726">
        <v>0</v>
      </c>
      <c r="V494" s="726">
        <v>0</v>
      </c>
      <c r="W494" s="726">
        <v>0</v>
      </c>
      <c r="X494" s="724" t="s">
        <v>674</v>
      </c>
      <c r="Y494" s="724" t="s">
        <v>675</v>
      </c>
      <c r="Z494" s="724" t="s">
        <v>675</v>
      </c>
      <c r="AA494" s="724" t="s">
        <v>675</v>
      </c>
      <c r="AB494" s="724" t="s">
        <v>675</v>
      </c>
      <c r="AC494" s="724"/>
      <c r="AD494" s="724"/>
      <c r="AE494" s="724"/>
      <c r="AF494" s="724"/>
      <c r="AG494" s="725" t="s">
        <v>204</v>
      </c>
      <c r="AH494" s="724"/>
      <c r="AI494" s="725" t="s">
        <v>204</v>
      </c>
      <c r="AJ494" s="725" t="s">
        <v>981</v>
      </c>
      <c r="AK494" s="724" t="s">
        <v>677</v>
      </c>
      <c r="AL494" s="724"/>
      <c r="AM494" s="724" t="s">
        <v>967</v>
      </c>
      <c r="AN494" s="724" t="s">
        <v>984</v>
      </c>
      <c r="AO494" s="724" t="s">
        <v>980</v>
      </c>
      <c r="AP494" s="724" t="s">
        <v>983</v>
      </c>
      <c r="AQ494" s="724" t="s">
        <v>939</v>
      </c>
      <c r="AR494" s="726">
        <v>100</v>
      </c>
      <c r="AS494" s="724" t="s">
        <v>675</v>
      </c>
      <c r="AT494" s="726">
        <v>0</v>
      </c>
      <c r="AU494" s="724" t="s">
        <v>678</v>
      </c>
      <c r="AV494" s="724" t="s">
        <v>677</v>
      </c>
      <c r="AW494" s="724" t="s">
        <v>676</v>
      </c>
      <c r="AX494" s="724" t="s">
        <v>674</v>
      </c>
      <c r="AY494" s="724"/>
      <c r="AZ494" s="724"/>
      <c r="BA494" s="724" t="s">
        <v>679</v>
      </c>
      <c r="BB494" s="724"/>
      <c r="BC494" s="724"/>
      <c r="BD494" s="724"/>
      <c r="BE494" s="726"/>
      <c r="BF494" s="724" t="s">
        <v>298</v>
      </c>
      <c r="BG494" s="724" t="s">
        <v>680</v>
      </c>
      <c r="BH494" s="724" t="s">
        <v>681</v>
      </c>
      <c r="BI494" s="724"/>
    </row>
    <row r="495" spans="1:61">
      <c r="A495" s="724" t="s">
        <v>980</v>
      </c>
      <c r="B495" s="724" t="s">
        <v>965</v>
      </c>
      <c r="C495" s="724" t="s">
        <v>966</v>
      </c>
      <c r="D495" s="724" t="s">
        <v>724</v>
      </c>
      <c r="E495" s="724" t="s">
        <v>3</v>
      </c>
      <c r="F495" s="725" t="s">
        <v>83</v>
      </c>
      <c r="G495" s="725" t="s">
        <v>700</v>
      </c>
      <c r="H495" s="726">
        <v>21560</v>
      </c>
      <c r="I495" s="726">
        <v>21560</v>
      </c>
      <c r="J495" s="726">
        <v>0</v>
      </c>
      <c r="K495" s="726">
        <v>0</v>
      </c>
      <c r="L495" s="726">
        <v>19600</v>
      </c>
      <c r="M495" s="726">
        <v>0</v>
      </c>
      <c r="N495" s="726">
        <v>0</v>
      </c>
      <c r="O495" s="726">
        <v>1960</v>
      </c>
      <c r="P495" s="726">
        <v>0</v>
      </c>
      <c r="Q495" s="726">
        <v>0</v>
      </c>
      <c r="R495" s="726">
        <v>0</v>
      </c>
      <c r="S495" s="726">
        <v>0</v>
      </c>
      <c r="T495" s="726">
        <v>0</v>
      </c>
      <c r="U495" s="726">
        <v>0</v>
      </c>
      <c r="V495" s="726">
        <v>0</v>
      </c>
      <c r="W495" s="726">
        <v>0</v>
      </c>
      <c r="X495" s="724" t="s">
        <v>674</v>
      </c>
      <c r="Y495" s="724" t="s">
        <v>675</v>
      </c>
      <c r="Z495" s="724" t="s">
        <v>675</v>
      </c>
      <c r="AA495" s="724" t="s">
        <v>675</v>
      </c>
      <c r="AB495" s="724" t="s">
        <v>675</v>
      </c>
      <c r="AC495" s="724"/>
      <c r="AD495" s="724"/>
      <c r="AE495" s="724"/>
      <c r="AF495" s="724"/>
      <c r="AG495" s="725" t="s">
        <v>591</v>
      </c>
      <c r="AH495" s="724"/>
      <c r="AI495" s="725" t="s">
        <v>591</v>
      </c>
      <c r="AJ495" s="725" t="s">
        <v>945</v>
      </c>
      <c r="AK495" s="724" t="s">
        <v>677</v>
      </c>
      <c r="AL495" s="724"/>
      <c r="AM495" s="724" t="s">
        <v>763</v>
      </c>
      <c r="AN495" s="724" t="s">
        <v>985</v>
      </c>
      <c r="AO495" s="724" t="s">
        <v>980</v>
      </c>
      <c r="AP495" s="724" t="s">
        <v>978</v>
      </c>
      <c r="AQ495" s="724" t="s">
        <v>939</v>
      </c>
      <c r="AR495" s="726">
        <v>21560</v>
      </c>
      <c r="AS495" s="724" t="s">
        <v>675</v>
      </c>
      <c r="AT495" s="726">
        <v>0</v>
      </c>
      <c r="AU495" s="724" t="s">
        <v>678</v>
      </c>
      <c r="AV495" s="724" t="s">
        <v>677</v>
      </c>
      <c r="AW495" s="724" t="s">
        <v>676</v>
      </c>
      <c r="AX495" s="724" t="s">
        <v>674</v>
      </c>
      <c r="AY495" s="724"/>
      <c r="AZ495" s="724"/>
      <c r="BA495" s="724" t="s">
        <v>679</v>
      </c>
      <c r="BB495" s="724"/>
      <c r="BC495" s="724"/>
      <c r="BD495" s="724"/>
      <c r="BE495" s="726"/>
      <c r="BF495" s="724" t="s">
        <v>298</v>
      </c>
      <c r="BG495" s="724" t="s">
        <v>680</v>
      </c>
      <c r="BH495" s="724" t="s">
        <v>681</v>
      </c>
      <c r="BI495" s="724"/>
    </row>
    <row r="496" spans="1:61">
      <c r="A496" s="724" t="s">
        <v>915</v>
      </c>
      <c r="B496" s="724" t="s">
        <v>914</v>
      </c>
      <c r="C496" s="724" t="s">
        <v>915</v>
      </c>
      <c r="D496" s="724" t="s">
        <v>716</v>
      </c>
      <c r="E496" s="724" t="s">
        <v>3</v>
      </c>
      <c r="F496" s="725" t="s">
        <v>83</v>
      </c>
      <c r="G496" s="725" t="s">
        <v>700</v>
      </c>
      <c r="H496" s="726">
        <v>21120000</v>
      </c>
      <c r="I496" s="726">
        <v>0</v>
      </c>
      <c r="J496" s="726">
        <v>0</v>
      </c>
      <c r="K496" s="726">
        <v>21120000</v>
      </c>
      <c r="L496" s="726">
        <v>0</v>
      </c>
      <c r="M496" s="726">
        <v>0</v>
      </c>
      <c r="N496" s="726">
        <v>19200000</v>
      </c>
      <c r="O496" s="726">
        <v>0</v>
      </c>
      <c r="P496" s="726">
        <v>0</v>
      </c>
      <c r="Q496" s="726">
        <v>1920000</v>
      </c>
      <c r="R496" s="726">
        <v>0</v>
      </c>
      <c r="S496" s="726">
        <v>0</v>
      </c>
      <c r="T496" s="726">
        <v>0</v>
      </c>
      <c r="U496" s="726">
        <v>0</v>
      </c>
      <c r="V496" s="726">
        <v>0</v>
      </c>
      <c r="W496" s="726">
        <v>0</v>
      </c>
      <c r="X496" s="724" t="s">
        <v>674</v>
      </c>
      <c r="Y496" s="724" t="s">
        <v>1226</v>
      </c>
      <c r="Z496" s="724" t="s">
        <v>1226</v>
      </c>
      <c r="AA496" s="724" t="s">
        <v>675</v>
      </c>
      <c r="AB496" s="724" t="s">
        <v>675</v>
      </c>
      <c r="AC496" s="724"/>
      <c r="AD496" s="724"/>
      <c r="AE496" s="724"/>
      <c r="AF496" s="724"/>
      <c r="AG496" s="725" t="s">
        <v>986</v>
      </c>
      <c r="AH496" s="724"/>
      <c r="AI496" s="725" t="s">
        <v>986</v>
      </c>
      <c r="AJ496" s="725" t="s">
        <v>987</v>
      </c>
      <c r="AK496" s="724" t="s">
        <v>677</v>
      </c>
      <c r="AL496" s="724"/>
      <c r="AM496" s="724"/>
      <c r="AN496" s="724"/>
      <c r="AO496" s="724"/>
      <c r="AP496" s="724"/>
      <c r="AQ496" s="724"/>
      <c r="AR496" s="726"/>
      <c r="AS496" s="724"/>
      <c r="AT496" s="726"/>
      <c r="AU496" s="724" t="s">
        <v>678</v>
      </c>
      <c r="AV496" s="724" t="s">
        <v>677</v>
      </c>
      <c r="AW496" s="724" t="s">
        <v>676</v>
      </c>
      <c r="AX496" s="724" t="s">
        <v>784</v>
      </c>
      <c r="AY496" s="724" t="s">
        <v>785</v>
      </c>
      <c r="AZ496" s="724" t="s">
        <v>988</v>
      </c>
      <c r="BA496" s="724" t="s">
        <v>679</v>
      </c>
      <c r="BB496" s="724"/>
      <c r="BC496" s="724"/>
      <c r="BD496" s="724"/>
      <c r="BE496" s="726"/>
      <c r="BF496" s="724" t="s">
        <v>298</v>
      </c>
      <c r="BG496" s="724" t="s">
        <v>680</v>
      </c>
      <c r="BH496" s="724" t="s">
        <v>681</v>
      </c>
      <c r="BI496" s="724"/>
    </row>
    <row r="497" spans="1:61">
      <c r="A497" s="724" t="s">
        <v>989</v>
      </c>
      <c r="B497" s="724" t="s">
        <v>965</v>
      </c>
      <c r="C497" s="724" t="s">
        <v>966</v>
      </c>
      <c r="D497" s="724" t="s">
        <v>724</v>
      </c>
      <c r="E497" s="724" t="s">
        <v>3</v>
      </c>
      <c r="F497" s="725" t="s">
        <v>83</v>
      </c>
      <c r="G497" s="725" t="s">
        <v>700</v>
      </c>
      <c r="H497" s="726">
        <v>21560</v>
      </c>
      <c r="I497" s="726">
        <v>21560</v>
      </c>
      <c r="J497" s="726">
        <v>0</v>
      </c>
      <c r="K497" s="726">
        <v>0</v>
      </c>
      <c r="L497" s="726">
        <v>19600</v>
      </c>
      <c r="M497" s="726">
        <v>0</v>
      </c>
      <c r="N497" s="726">
        <v>0</v>
      </c>
      <c r="O497" s="726">
        <v>1960</v>
      </c>
      <c r="P497" s="726">
        <v>0</v>
      </c>
      <c r="Q497" s="726">
        <v>0</v>
      </c>
      <c r="R497" s="726">
        <v>0</v>
      </c>
      <c r="S497" s="726">
        <v>0</v>
      </c>
      <c r="T497" s="726">
        <v>0</v>
      </c>
      <c r="U497" s="726">
        <v>0</v>
      </c>
      <c r="V497" s="726">
        <v>0</v>
      </c>
      <c r="W497" s="726">
        <v>0</v>
      </c>
      <c r="X497" s="724" t="s">
        <v>674</v>
      </c>
      <c r="Y497" s="724" t="s">
        <v>675</v>
      </c>
      <c r="Z497" s="724" t="s">
        <v>675</v>
      </c>
      <c r="AA497" s="724" t="s">
        <v>675</v>
      </c>
      <c r="AB497" s="724" t="s">
        <v>675</v>
      </c>
      <c r="AC497" s="724"/>
      <c r="AD497" s="724"/>
      <c r="AE497" s="724"/>
      <c r="AF497" s="724"/>
      <c r="AG497" s="725" t="s">
        <v>591</v>
      </c>
      <c r="AH497" s="724"/>
      <c r="AI497" s="725" t="s">
        <v>591</v>
      </c>
      <c r="AJ497" s="725" t="s">
        <v>945</v>
      </c>
      <c r="AK497" s="724" t="s">
        <v>677</v>
      </c>
      <c r="AL497" s="724"/>
      <c r="AM497" s="724" t="s">
        <v>726</v>
      </c>
      <c r="AN497" s="724" t="s">
        <v>990</v>
      </c>
      <c r="AO497" s="724" t="s">
        <v>989</v>
      </c>
      <c r="AP497" s="724" t="s">
        <v>991</v>
      </c>
      <c r="AQ497" s="724" t="s">
        <v>939</v>
      </c>
      <c r="AR497" s="726">
        <v>21560</v>
      </c>
      <c r="AS497" s="724" t="s">
        <v>675</v>
      </c>
      <c r="AT497" s="726">
        <v>0</v>
      </c>
      <c r="AU497" s="724" t="s">
        <v>678</v>
      </c>
      <c r="AV497" s="724" t="s">
        <v>677</v>
      </c>
      <c r="AW497" s="724" t="s">
        <v>676</v>
      </c>
      <c r="AX497" s="724" t="s">
        <v>674</v>
      </c>
      <c r="AY497" s="724"/>
      <c r="AZ497" s="724"/>
      <c r="BA497" s="724" t="s">
        <v>679</v>
      </c>
      <c r="BB497" s="724"/>
      <c r="BC497" s="724"/>
      <c r="BD497" s="724"/>
      <c r="BE497" s="726"/>
      <c r="BF497" s="724" t="s">
        <v>298</v>
      </c>
      <c r="BG497" s="724" t="s">
        <v>680</v>
      </c>
      <c r="BH497" s="724" t="s">
        <v>681</v>
      </c>
      <c r="BI497" s="724"/>
    </row>
    <row r="498" spans="1:61">
      <c r="A498" s="724" t="s">
        <v>992</v>
      </c>
      <c r="B498" s="724" t="s">
        <v>978</v>
      </c>
      <c r="C498" s="724" t="s">
        <v>980</v>
      </c>
      <c r="D498" s="724" t="s">
        <v>716</v>
      </c>
      <c r="E498" s="724" t="s">
        <v>3</v>
      </c>
      <c r="F498" s="725" t="s">
        <v>83</v>
      </c>
      <c r="G498" s="725" t="s">
        <v>700</v>
      </c>
      <c r="H498" s="726">
        <v>18480000</v>
      </c>
      <c r="I498" s="726">
        <v>0</v>
      </c>
      <c r="J498" s="726">
        <v>0</v>
      </c>
      <c r="K498" s="726">
        <v>18480000</v>
      </c>
      <c r="L498" s="726">
        <v>0</v>
      </c>
      <c r="M498" s="726">
        <v>0</v>
      </c>
      <c r="N498" s="726">
        <v>16800000</v>
      </c>
      <c r="O498" s="726">
        <v>0</v>
      </c>
      <c r="P498" s="726">
        <v>0</v>
      </c>
      <c r="Q498" s="726">
        <v>1680000</v>
      </c>
      <c r="R498" s="726">
        <v>0</v>
      </c>
      <c r="S498" s="726">
        <v>0</v>
      </c>
      <c r="T498" s="726">
        <v>0</v>
      </c>
      <c r="U498" s="726">
        <v>0</v>
      </c>
      <c r="V498" s="726">
        <v>0</v>
      </c>
      <c r="W498" s="726">
        <v>0</v>
      </c>
      <c r="X498" s="724" t="s">
        <v>674</v>
      </c>
      <c r="Y498" s="724" t="s">
        <v>1226</v>
      </c>
      <c r="Z498" s="724" t="s">
        <v>1226</v>
      </c>
      <c r="AA498" s="724" t="s">
        <v>675</v>
      </c>
      <c r="AB498" s="724" t="s">
        <v>675</v>
      </c>
      <c r="AC498" s="724"/>
      <c r="AD498" s="724"/>
      <c r="AE498" s="724"/>
      <c r="AF498" s="724"/>
      <c r="AG498" s="725" t="s">
        <v>600</v>
      </c>
      <c r="AH498" s="724"/>
      <c r="AI498" s="725" t="s">
        <v>600</v>
      </c>
      <c r="AJ498" s="725" t="s">
        <v>993</v>
      </c>
      <c r="AK498" s="724" t="s">
        <v>677</v>
      </c>
      <c r="AL498" s="724"/>
      <c r="AM498" s="724"/>
      <c r="AN498" s="724"/>
      <c r="AO498" s="724"/>
      <c r="AP498" s="724"/>
      <c r="AQ498" s="724"/>
      <c r="AR498" s="726"/>
      <c r="AS498" s="724"/>
      <c r="AT498" s="726"/>
      <c r="AU498" s="724" t="s">
        <v>678</v>
      </c>
      <c r="AV498" s="724" t="s">
        <v>677</v>
      </c>
      <c r="AW498" s="724" t="s">
        <v>676</v>
      </c>
      <c r="AX498" s="724" t="s">
        <v>674</v>
      </c>
      <c r="AY498" s="724"/>
      <c r="AZ498" s="724"/>
      <c r="BA498" s="724" t="s">
        <v>679</v>
      </c>
      <c r="BB498" s="724"/>
      <c r="BC498" s="724"/>
      <c r="BD498" s="724"/>
      <c r="BE498" s="726"/>
      <c r="BF498" s="724" t="s">
        <v>298</v>
      </c>
      <c r="BG498" s="724" t="s">
        <v>680</v>
      </c>
      <c r="BH498" s="724" t="s">
        <v>681</v>
      </c>
      <c r="BI498" s="724"/>
    </row>
    <row r="499" spans="1:61">
      <c r="A499" s="724" t="s">
        <v>994</v>
      </c>
      <c r="B499" s="724" t="s">
        <v>965</v>
      </c>
      <c r="C499" s="724" t="s">
        <v>966</v>
      </c>
      <c r="D499" s="724" t="s">
        <v>724</v>
      </c>
      <c r="E499" s="724" t="s">
        <v>3</v>
      </c>
      <c r="F499" s="725" t="s">
        <v>83</v>
      </c>
      <c r="G499" s="725" t="s">
        <v>700</v>
      </c>
      <c r="H499" s="726">
        <v>44000</v>
      </c>
      <c r="I499" s="726">
        <v>44000</v>
      </c>
      <c r="J499" s="726">
        <v>0</v>
      </c>
      <c r="K499" s="726">
        <v>0</v>
      </c>
      <c r="L499" s="726">
        <v>40000</v>
      </c>
      <c r="M499" s="726">
        <v>0</v>
      </c>
      <c r="N499" s="726">
        <v>0</v>
      </c>
      <c r="O499" s="726">
        <v>4000</v>
      </c>
      <c r="P499" s="726">
        <v>0</v>
      </c>
      <c r="Q499" s="726">
        <v>0</v>
      </c>
      <c r="R499" s="726">
        <v>0</v>
      </c>
      <c r="S499" s="726">
        <v>0</v>
      </c>
      <c r="T499" s="726">
        <v>0</v>
      </c>
      <c r="U499" s="726">
        <v>0</v>
      </c>
      <c r="V499" s="726">
        <v>0</v>
      </c>
      <c r="W499" s="726">
        <v>0</v>
      </c>
      <c r="X499" s="724" t="s">
        <v>674</v>
      </c>
      <c r="Y499" s="724" t="s">
        <v>675</v>
      </c>
      <c r="Z499" s="724" t="s">
        <v>675</v>
      </c>
      <c r="AA499" s="724" t="s">
        <v>675</v>
      </c>
      <c r="AB499" s="724" t="s">
        <v>675</v>
      </c>
      <c r="AC499" s="724"/>
      <c r="AD499" s="724"/>
      <c r="AE499" s="724"/>
      <c r="AF499" s="724"/>
      <c r="AG499" s="725" t="s">
        <v>590</v>
      </c>
      <c r="AH499" s="724"/>
      <c r="AI499" s="725" t="s">
        <v>590</v>
      </c>
      <c r="AJ499" s="725" t="s">
        <v>995</v>
      </c>
      <c r="AK499" s="724" t="s">
        <v>677</v>
      </c>
      <c r="AL499" s="724"/>
      <c r="AM499" s="724" t="s">
        <v>726</v>
      </c>
      <c r="AN499" s="724" t="s">
        <v>996</v>
      </c>
      <c r="AO499" s="724" t="s">
        <v>994</v>
      </c>
      <c r="AP499" s="724" t="s">
        <v>997</v>
      </c>
      <c r="AQ499" s="724" t="s">
        <v>939</v>
      </c>
      <c r="AR499" s="726">
        <v>44000</v>
      </c>
      <c r="AS499" s="724" t="s">
        <v>675</v>
      </c>
      <c r="AT499" s="726">
        <v>0</v>
      </c>
      <c r="AU499" s="724" t="s">
        <v>678</v>
      </c>
      <c r="AV499" s="724" t="s">
        <v>677</v>
      </c>
      <c r="AW499" s="724" t="s">
        <v>676</v>
      </c>
      <c r="AX499" s="724" t="s">
        <v>674</v>
      </c>
      <c r="AY499" s="724"/>
      <c r="AZ499" s="724"/>
      <c r="BA499" s="724" t="s">
        <v>679</v>
      </c>
      <c r="BB499" s="724"/>
      <c r="BC499" s="724"/>
      <c r="BD499" s="724"/>
      <c r="BE499" s="726"/>
      <c r="BF499" s="724" t="s">
        <v>298</v>
      </c>
      <c r="BG499" s="724" t="s">
        <v>680</v>
      </c>
      <c r="BH499" s="724" t="s">
        <v>681</v>
      </c>
      <c r="BI499" s="724"/>
    </row>
    <row r="500" spans="1:61">
      <c r="A500" s="724" t="s">
        <v>998</v>
      </c>
      <c r="B500" s="724" t="s">
        <v>980</v>
      </c>
      <c r="C500" s="724" t="s">
        <v>992</v>
      </c>
      <c r="D500" s="724" t="s">
        <v>716</v>
      </c>
      <c r="E500" s="724" t="s">
        <v>3</v>
      </c>
      <c r="F500" s="725" t="s">
        <v>71</v>
      </c>
      <c r="G500" s="725" t="s">
        <v>719</v>
      </c>
      <c r="H500" s="726">
        <v>19250000</v>
      </c>
      <c r="I500" s="726">
        <v>19250000</v>
      </c>
      <c r="J500" s="726">
        <v>0</v>
      </c>
      <c r="K500" s="726">
        <v>0</v>
      </c>
      <c r="L500" s="726">
        <v>17500000</v>
      </c>
      <c r="M500" s="726">
        <v>0</v>
      </c>
      <c r="N500" s="726">
        <v>0</v>
      </c>
      <c r="O500" s="726">
        <v>1750000</v>
      </c>
      <c r="P500" s="726">
        <v>0</v>
      </c>
      <c r="Q500" s="726">
        <v>0</v>
      </c>
      <c r="R500" s="726">
        <v>0</v>
      </c>
      <c r="S500" s="726">
        <v>0</v>
      </c>
      <c r="T500" s="726">
        <v>0</v>
      </c>
      <c r="U500" s="726">
        <v>0</v>
      </c>
      <c r="V500" s="726">
        <v>0</v>
      </c>
      <c r="W500" s="726">
        <v>0</v>
      </c>
      <c r="X500" s="724" t="s">
        <v>674</v>
      </c>
      <c r="Y500" s="724" t="s">
        <v>1226</v>
      </c>
      <c r="Z500" s="724" t="s">
        <v>1226</v>
      </c>
      <c r="AA500" s="724" t="s">
        <v>675</v>
      </c>
      <c r="AB500" s="724" t="s">
        <v>675</v>
      </c>
      <c r="AC500" s="724"/>
      <c r="AD500" s="724"/>
      <c r="AE500" s="724"/>
      <c r="AF500" s="724"/>
      <c r="AG500" s="725" t="s">
        <v>999</v>
      </c>
      <c r="AH500" s="724"/>
      <c r="AI500" s="725" t="s">
        <v>999</v>
      </c>
      <c r="AJ500" s="725" t="s">
        <v>1000</v>
      </c>
      <c r="AK500" s="724" t="s">
        <v>677</v>
      </c>
      <c r="AL500" s="724"/>
      <c r="AM500" s="724"/>
      <c r="AN500" s="724"/>
      <c r="AO500" s="724"/>
      <c r="AP500" s="724"/>
      <c r="AQ500" s="724"/>
      <c r="AR500" s="726"/>
      <c r="AS500" s="724"/>
      <c r="AT500" s="726"/>
      <c r="AU500" s="724" t="s">
        <v>678</v>
      </c>
      <c r="AV500" s="724" t="s">
        <v>677</v>
      </c>
      <c r="AW500" s="724" t="s">
        <v>676</v>
      </c>
      <c r="AX500" s="724" t="s">
        <v>674</v>
      </c>
      <c r="AY500" s="724"/>
      <c r="AZ500" s="724"/>
      <c r="BA500" s="724" t="s">
        <v>679</v>
      </c>
      <c r="BB500" s="724"/>
      <c r="BC500" s="724"/>
      <c r="BD500" s="724"/>
      <c r="BE500" s="726"/>
      <c r="BF500" s="724" t="s">
        <v>298</v>
      </c>
      <c r="BG500" s="724" t="s">
        <v>680</v>
      </c>
      <c r="BH500" s="724" t="s">
        <v>681</v>
      </c>
      <c r="BI500" s="724"/>
    </row>
    <row r="501" spans="1:61">
      <c r="A501" s="724" t="s">
        <v>1001</v>
      </c>
      <c r="B501" s="724" t="s">
        <v>843</v>
      </c>
      <c r="C501" s="724" t="s">
        <v>843</v>
      </c>
      <c r="D501" s="724" t="s">
        <v>724</v>
      </c>
      <c r="E501" s="724" t="s">
        <v>3</v>
      </c>
      <c r="F501" s="725" t="s">
        <v>83</v>
      </c>
      <c r="G501" s="725" t="s">
        <v>176</v>
      </c>
      <c r="H501" s="726">
        <v>173730</v>
      </c>
      <c r="I501" s="726">
        <v>173730</v>
      </c>
      <c r="J501" s="726">
        <v>0</v>
      </c>
      <c r="K501" s="726">
        <v>0</v>
      </c>
      <c r="L501" s="726">
        <v>157937</v>
      </c>
      <c r="M501" s="726">
        <v>0</v>
      </c>
      <c r="N501" s="726">
        <v>0</v>
      </c>
      <c r="O501" s="726">
        <v>15793</v>
      </c>
      <c r="P501" s="726">
        <v>0</v>
      </c>
      <c r="Q501" s="726">
        <v>0</v>
      </c>
      <c r="R501" s="726">
        <v>0</v>
      </c>
      <c r="S501" s="726">
        <v>0</v>
      </c>
      <c r="T501" s="726">
        <v>0</v>
      </c>
      <c r="U501" s="726">
        <v>0</v>
      </c>
      <c r="V501" s="726">
        <v>0</v>
      </c>
      <c r="W501" s="726">
        <v>0</v>
      </c>
      <c r="X501" s="724" t="s">
        <v>674</v>
      </c>
      <c r="Y501" s="724" t="s">
        <v>1226</v>
      </c>
      <c r="Z501" s="724" t="s">
        <v>1226</v>
      </c>
      <c r="AA501" s="724" t="s">
        <v>675</v>
      </c>
      <c r="AB501" s="724" t="s">
        <v>675</v>
      </c>
      <c r="AC501" s="724"/>
      <c r="AD501" s="724"/>
      <c r="AE501" s="724" t="s">
        <v>694</v>
      </c>
      <c r="AF501" s="724"/>
      <c r="AG501" s="725" t="s">
        <v>578</v>
      </c>
      <c r="AH501" s="724"/>
      <c r="AI501" s="725" t="s">
        <v>578</v>
      </c>
      <c r="AJ501" s="725" t="s">
        <v>1002</v>
      </c>
      <c r="AK501" s="724" t="s">
        <v>677</v>
      </c>
      <c r="AL501" s="724"/>
      <c r="AM501" s="724" t="s">
        <v>726</v>
      </c>
      <c r="AN501" s="724" t="s">
        <v>1003</v>
      </c>
      <c r="AO501" s="724" t="s">
        <v>1001</v>
      </c>
      <c r="AP501" s="724" t="s">
        <v>994</v>
      </c>
      <c r="AQ501" s="724" t="s">
        <v>821</v>
      </c>
      <c r="AR501" s="726">
        <v>173730</v>
      </c>
      <c r="AS501" s="724" t="s">
        <v>675</v>
      </c>
      <c r="AT501" s="726">
        <v>0</v>
      </c>
      <c r="AU501" s="724" t="s">
        <v>678</v>
      </c>
      <c r="AV501" s="724" t="s">
        <v>677</v>
      </c>
      <c r="AW501" s="724" t="s">
        <v>676</v>
      </c>
      <c r="AX501" s="724" t="s">
        <v>674</v>
      </c>
      <c r="AY501" s="724"/>
      <c r="AZ501" s="724"/>
      <c r="BA501" s="724" t="s">
        <v>679</v>
      </c>
      <c r="BB501" s="724"/>
      <c r="BC501" s="724"/>
      <c r="BD501" s="724"/>
      <c r="BE501" s="726"/>
      <c r="BF501" s="724" t="s">
        <v>298</v>
      </c>
      <c r="BG501" s="724" t="s">
        <v>680</v>
      </c>
      <c r="BH501" s="724" t="s">
        <v>681</v>
      </c>
      <c r="BI501" s="724"/>
    </row>
    <row r="502" spans="1:61">
      <c r="A502" s="724" t="s">
        <v>1001</v>
      </c>
      <c r="B502" s="724" t="s">
        <v>965</v>
      </c>
      <c r="C502" s="724" t="s">
        <v>966</v>
      </c>
      <c r="D502" s="724" t="s">
        <v>724</v>
      </c>
      <c r="E502" s="724" t="s">
        <v>3</v>
      </c>
      <c r="F502" s="725" t="s">
        <v>83</v>
      </c>
      <c r="G502" s="725" t="s">
        <v>700</v>
      </c>
      <c r="H502" s="726">
        <v>23760</v>
      </c>
      <c r="I502" s="726">
        <v>23760</v>
      </c>
      <c r="J502" s="726">
        <v>0</v>
      </c>
      <c r="K502" s="726">
        <v>0</v>
      </c>
      <c r="L502" s="726">
        <v>21600</v>
      </c>
      <c r="M502" s="726">
        <v>0</v>
      </c>
      <c r="N502" s="726">
        <v>0</v>
      </c>
      <c r="O502" s="726">
        <v>2160</v>
      </c>
      <c r="P502" s="726">
        <v>0</v>
      </c>
      <c r="Q502" s="726">
        <v>0</v>
      </c>
      <c r="R502" s="726">
        <v>0</v>
      </c>
      <c r="S502" s="726">
        <v>0</v>
      </c>
      <c r="T502" s="726">
        <v>0</v>
      </c>
      <c r="U502" s="726">
        <v>0</v>
      </c>
      <c r="V502" s="726">
        <v>0</v>
      </c>
      <c r="W502" s="726">
        <v>0</v>
      </c>
      <c r="X502" s="724" t="s">
        <v>674</v>
      </c>
      <c r="Y502" s="724" t="s">
        <v>675</v>
      </c>
      <c r="Z502" s="724" t="s">
        <v>675</v>
      </c>
      <c r="AA502" s="724" t="s">
        <v>675</v>
      </c>
      <c r="AB502" s="724" t="s">
        <v>675</v>
      </c>
      <c r="AC502" s="724"/>
      <c r="AD502" s="724"/>
      <c r="AE502" s="724"/>
      <c r="AF502" s="724"/>
      <c r="AG502" s="725" t="s">
        <v>591</v>
      </c>
      <c r="AH502" s="724"/>
      <c r="AI502" s="725" t="s">
        <v>591</v>
      </c>
      <c r="AJ502" s="725" t="s">
        <v>945</v>
      </c>
      <c r="AK502" s="724" t="s">
        <v>677</v>
      </c>
      <c r="AL502" s="724"/>
      <c r="AM502" s="724" t="s">
        <v>726</v>
      </c>
      <c r="AN502" s="724" t="s">
        <v>1004</v>
      </c>
      <c r="AO502" s="724" t="s">
        <v>1001</v>
      </c>
      <c r="AP502" s="724" t="s">
        <v>994</v>
      </c>
      <c r="AQ502" s="724" t="s">
        <v>939</v>
      </c>
      <c r="AR502" s="726">
        <v>23760</v>
      </c>
      <c r="AS502" s="724" t="s">
        <v>675</v>
      </c>
      <c r="AT502" s="726">
        <v>0</v>
      </c>
      <c r="AU502" s="724" t="s">
        <v>678</v>
      </c>
      <c r="AV502" s="724" t="s">
        <v>677</v>
      </c>
      <c r="AW502" s="724" t="s">
        <v>676</v>
      </c>
      <c r="AX502" s="724" t="s">
        <v>674</v>
      </c>
      <c r="AY502" s="724"/>
      <c r="AZ502" s="724"/>
      <c r="BA502" s="724" t="s">
        <v>679</v>
      </c>
      <c r="BB502" s="724"/>
      <c r="BC502" s="724"/>
      <c r="BD502" s="724"/>
      <c r="BE502" s="726"/>
      <c r="BF502" s="724" t="s">
        <v>298</v>
      </c>
      <c r="BG502" s="724" t="s">
        <v>680</v>
      </c>
      <c r="BH502" s="724" t="s">
        <v>681</v>
      </c>
      <c r="BI502" s="724"/>
    </row>
    <row r="503" spans="1:61">
      <c r="A503" s="724" t="s">
        <v>1005</v>
      </c>
      <c r="B503" s="724" t="s">
        <v>914</v>
      </c>
      <c r="C503" s="724" t="s">
        <v>915</v>
      </c>
      <c r="D503" s="724" t="s">
        <v>724</v>
      </c>
      <c r="E503" s="724" t="s">
        <v>3</v>
      </c>
      <c r="F503" s="725" t="s">
        <v>71</v>
      </c>
      <c r="G503" s="725" t="s">
        <v>719</v>
      </c>
      <c r="H503" s="726">
        <v>4219509</v>
      </c>
      <c r="I503" s="726">
        <v>3075509</v>
      </c>
      <c r="J503" s="726">
        <v>0</v>
      </c>
      <c r="K503" s="726">
        <v>1144000</v>
      </c>
      <c r="L503" s="726">
        <v>3075509</v>
      </c>
      <c r="M503" s="726">
        <v>0</v>
      </c>
      <c r="N503" s="726">
        <v>1144000</v>
      </c>
      <c r="O503" s="726">
        <v>0</v>
      </c>
      <c r="P503" s="726">
        <v>0</v>
      </c>
      <c r="Q503" s="726">
        <v>0</v>
      </c>
      <c r="R503" s="726">
        <v>0</v>
      </c>
      <c r="S503" s="726">
        <v>0</v>
      </c>
      <c r="T503" s="726">
        <v>0</v>
      </c>
      <c r="U503" s="726">
        <v>0</v>
      </c>
      <c r="V503" s="726">
        <v>0</v>
      </c>
      <c r="W503" s="726">
        <v>0</v>
      </c>
      <c r="X503" s="724" t="s">
        <v>674</v>
      </c>
      <c r="Y503" s="724" t="s">
        <v>1226</v>
      </c>
      <c r="Z503" s="724" t="s">
        <v>1226</v>
      </c>
      <c r="AA503" s="724" t="s">
        <v>675</v>
      </c>
      <c r="AB503" s="724" t="s">
        <v>675</v>
      </c>
      <c r="AC503" s="724"/>
      <c r="AD503" s="724"/>
      <c r="AE503" s="724"/>
      <c r="AF503" s="724"/>
      <c r="AG503" s="725" t="s">
        <v>1006</v>
      </c>
      <c r="AH503" s="724" t="s">
        <v>1007</v>
      </c>
      <c r="AI503" s="725" t="s">
        <v>1006</v>
      </c>
      <c r="AJ503" s="725" t="s">
        <v>1008</v>
      </c>
      <c r="AK503" s="724" t="s">
        <v>677</v>
      </c>
      <c r="AL503" s="724"/>
      <c r="AM503" s="724" t="s">
        <v>726</v>
      </c>
      <c r="AN503" s="724" t="s">
        <v>1009</v>
      </c>
      <c r="AO503" s="724" t="s">
        <v>1005</v>
      </c>
      <c r="AP503" s="724" t="s">
        <v>1001</v>
      </c>
      <c r="AQ503" s="724" t="s">
        <v>939</v>
      </c>
      <c r="AR503" s="726">
        <v>4219509</v>
      </c>
      <c r="AS503" s="724" t="s">
        <v>675</v>
      </c>
      <c r="AT503" s="726">
        <v>0</v>
      </c>
      <c r="AU503" s="724" t="s">
        <v>678</v>
      </c>
      <c r="AV503" s="724" t="s">
        <v>677</v>
      </c>
      <c r="AW503" s="724" t="s">
        <v>676</v>
      </c>
      <c r="AX503" s="724" t="s">
        <v>674</v>
      </c>
      <c r="AY503" s="724"/>
      <c r="AZ503" s="724"/>
      <c r="BA503" s="724" t="s">
        <v>679</v>
      </c>
      <c r="BB503" s="724"/>
      <c r="BC503" s="724"/>
      <c r="BD503" s="724"/>
      <c r="BE503" s="726"/>
      <c r="BF503" s="724" t="s">
        <v>298</v>
      </c>
      <c r="BG503" s="724" t="s">
        <v>680</v>
      </c>
      <c r="BH503" s="724" t="s">
        <v>681</v>
      </c>
      <c r="BI503" s="724"/>
    </row>
    <row r="504" spans="1:61">
      <c r="A504" s="724" t="s">
        <v>1010</v>
      </c>
      <c r="B504" s="724" t="s">
        <v>1011</v>
      </c>
      <c r="C504" s="724" t="s">
        <v>934</v>
      </c>
      <c r="D504" s="724" t="s">
        <v>724</v>
      </c>
      <c r="E504" s="724" t="s">
        <v>3</v>
      </c>
      <c r="F504" s="725" t="s">
        <v>83</v>
      </c>
      <c r="G504" s="725" t="s">
        <v>700</v>
      </c>
      <c r="H504" s="726">
        <v>140000</v>
      </c>
      <c r="I504" s="726">
        <v>140000</v>
      </c>
      <c r="J504" s="726">
        <v>0</v>
      </c>
      <c r="K504" s="726">
        <v>0</v>
      </c>
      <c r="L504" s="726">
        <v>127273</v>
      </c>
      <c r="M504" s="726">
        <v>0</v>
      </c>
      <c r="N504" s="726">
        <v>0</v>
      </c>
      <c r="O504" s="726">
        <v>12727</v>
      </c>
      <c r="P504" s="726">
        <v>0</v>
      </c>
      <c r="Q504" s="726">
        <v>0</v>
      </c>
      <c r="R504" s="726">
        <v>0</v>
      </c>
      <c r="S504" s="726">
        <v>0</v>
      </c>
      <c r="T504" s="726">
        <v>0</v>
      </c>
      <c r="U504" s="726">
        <v>0</v>
      </c>
      <c r="V504" s="726">
        <v>0</v>
      </c>
      <c r="W504" s="726">
        <v>0</v>
      </c>
      <c r="X504" s="724" t="s">
        <v>674</v>
      </c>
      <c r="Y504" s="724" t="s">
        <v>1226</v>
      </c>
      <c r="Z504" s="724" t="s">
        <v>1226</v>
      </c>
      <c r="AA504" s="724" t="s">
        <v>675</v>
      </c>
      <c r="AB504" s="724" t="s">
        <v>675</v>
      </c>
      <c r="AC504" s="724"/>
      <c r="AD504" s="724"/>
      <c r="AE504" s="724"/>
      <c r="AF504" s="724"/>
      <c r="AG504" s="725" t="s">
        <v>584</v>
      </c>
      <c r="AH504" s="724"/>
      <c r="AI504" s="725" t="s">
        <v>584</v>
      </c>
      <c r="AJ504" s="725" t="s">
        <v>1012</v>
      </c>
      <c r="AK504" s="724" t="s">
        <v>677</v>
      </c>
      <c r="AL504" s="724"/>
      <c r="AM504" s="724" t="s">
        <v>726</v>
      </c>
      <c r="AN504" s="724" t="s">
        <v>1013</v>
      </c>
      <c r="AO504" s="724" t="s">
        <v>1010</v>
      </c>
      <c r="AP504" s="724" t="s">
        <v>1005</v>
      </c>
      <c r="AQ504" s="724" t="s">
        <v>939</v>
      </c>
      <c r="AR504" s="726">
        <v>140000</v>
      </c>
      <c r="AS504" s="724" t="s">
        <v>675</v>
      </c>
      <c r="AT504" s="726">
        <v>0</v>
      </c>
      <c r="AU504" s="724" t="s">
        <v>678</v>
      </c>
      <c r="AV504" s="724" t="s">
        <v>677</v>
      </c>
      <c r="AW504" s="724" t="s">
        <v>676</v>
      </c>
      <c r="AX504" s="724" t="s">
        <v>674</v>
      </c>
      <c r="AY504" s="724"/>
      <c r="AZ504" s="724"/>
      <c r="BA504" s="724" t="s">
        <v>679</v>
      </c>
      <c r="BB504" s="724"/>
      <c r="BC504" s="724"/>
      <c r="BD504" s="724"/>
      <c r="BE504" s="726"/>
      <c r="BF504" s="724" t="s">
        <v>298</v>
      </c>
      <c r="BG504" s="724" t="s">
        <v>680</v>
      </c>
      <c r="BH504" s="724" t="s">
        <v>681</v>
      </c>
      <c r="BI504" s="724"/>
    </row>
    <row r="505" spans="1:61">
      <c r="A505" s="724" t="s">
        <v>1010</v>
      </c>
      <c r="B505" s="724" t="s">
        <v>1011</v>
      </c>
      <c r="C505" s="724" t="s">
        <v>934</v>
      </c>
      <c r="D505" s="724" t="s">
        <v>724</v>
      </c>
      <c r="E505" s="724" t="s">
        <v>3</v>
      </c>
      <c r="F505" s="725" t="s">
        <v>83</v>
      </c>
      <c r="G505" s="725" t="s">
        <v>700</v>
      </c>
      <c r="H505" s="726">
        <v>230000</v>
      </c>
      <c r="I505" s="726">
        <v>230000</v>
      </c>
      <c r="J505" s="726">
        <v>0</v>
      </c>
      <c r="K505" s="726">
        <v>0</v>
      </c>
      <c r="L505" s="726">
        <v>209091</v>
      </c>
      <c r="M505" s="726">
        <v>0</v>
      </c>
      <c r="N505" s="726">
        <v>0</v>
      </c>
      <c r="O505" s="726">
        <v>20909</v>
      </c>
      <c r="P505" s="726">
        <v>0</v>
      </c>
      <c r="Q505" s="726">
        <v>0</v>
      </c>
      <c r="R505" s="726">
        <v>0</v>
      </c>
      <c r="S505" s="726">
        <v>0</v>
      </c>
      <c r="T505" s="726">
        <v>0</v>
      </c>
      <c r="U505" s="726">
        <v>0</v>
      </c>
      <c r="V505" s="726">
        <v>0</v>
      </c>
      <c r="W505" s="726">
        <v>0</v>
      </c>
      <c r="X505" s="724" t="s">
        <v>674</v>
      </c>
      <c r="Y505" s="724" t="s">
        <v>1226</v>
      </c>
      <c r="Z505" s="724" t="s">
        <v>1226</v>
      </c>
      <c r="AA505" s="724" t="s">
        <v>675</v>
      </c>
      <c r="AB505" s="724" t="s">
        <v>675</v>
      </c>
      <c r="AC505" s="724"/>
      <c r="AD505" s="724"/>
      <c r="AE505" s="724"/>
      <c r="AF505" s="724"/>
      <c r="AG505" s="725" t="s">
        <v>584</v>
      </c>
      <c r="AH505" s="724"/>
      <c r="AI505" s="725" t="s">
        <v>584</v>
      </c>
      <c r="AJ505" s="725" t="s">
        <v>1012</v>
      </c>
      <c r="AK505" s="724" t="s">
        <v>677</v>
      </c>
      <c r="AL505" s="724"/>
      <c r="AM505" s="724" t="s">
        <v>726</v>
      </c>
      <c r="AN505" s="724" t="s">
        <v>1014</v>
      </c>
      <c r="AO505" s="724" t="s">
        <v>1010</v>
      </c>
      <c r="AP505" s="724" t="s">
        <v>1005</v>
      </c>
      <c r="AQ505" s="724" t="s">
        <v>939</v>
      </c>
      <c r="AR505" s="726">
        <v>230000</v>
      </c>
      <c r="AS505" s="724" t="s">
        <v>675</v>
      </c>
      <c r="AT505" s="726">
        <v>0</v>
      </c>
      <c r="AU505" s="724" t="s">
        <v>678</v>
      </c>
      <c r="AV505" s="724" t="s">
        <v>677</v>
      </c>
      <c r="AW505" s="724" t="s">
        <v>676</v>
      </c>
      <c r="AX505" s="724" t="s">
        <v>674</v>
      </c>
      <c r="AY505" s="724"/>
      <c r="AZ505" s="724"/>
      <c r="BA505" s="724" t="s">
        <v>679</v>
      </c>
      <c r="BB505" s="724"/>
      <c r="BC505" s="724"/>
      <c r="BD505" s="724"/>
      <c r="BE505" s="726"/>
      <c r="BF505" s="724" t="s">
        <v>298</v>
      </c>
      <c r="BG505" s="724" t="s">
        <v>680</v>
      </c>
      <c r="BH505" s="724" t="s">
        <v>681</v>
      </c>
      <c r="BI505" s="724"/>
    </row>
    <row r="506" spans="1:61">
      <c r="A506" s="724" t="s">
        <v>1010</v>
      </c>
      <c r="B506" s="724" t="s">
        <v>1011</v>
      </c>
      <c r="C506" s="724" t="s">
        <v>934</v>
      </c>
      <c r="D506" s="724" t="s">
        <v>724</v>
      </c>
      <c r="E506" s="724" t="s">
        <v>3</v>
      </c>
      <c r="F506" s="725" t="s">
        <v>83</v>
      </c>
      <c r="G506" s="725" t="s">
        <v>700</v>
      </c>
      <c r="H506" s="726">
        <v>230000</v>
      </c>
      <c r="I506" s="726">
        <v>230000</v>
      </c>
      <c r="J506" s="726">
        <v>0</v>
      </c>
      <c r="K506" s="726">
        <v>0</v>
      </c>
      <c r="L506" s="726">
        <v>209091</v>
      </c>
      <c r="M506" s="726">
        <v>0</v>
      </c>
      <c r="N506" s="726">
        <v>0</v>
      </c>
      <c r="O506" s="726">
        <v>20909</v>
      </c>
      <c r="P506" s="726">
        <v>0</v>
      </c>
      <c r="Q506" s="726">
        <v>0</v>
      </c>
      <c r="R506" s="726">
        <v>0</v>
      </c>
      <c r="S506" s="726">
        <v>0</v>
      </c>
      <c r="T506" s="726">
        <v>0</v>
      </c>
      <c r="U506" s="726">
        <v>0</v>
      </c>
      <c r="V506" s="726">
        <v>0</v>
      </c>
      <c r="W506" s="726">
        <v>0</v>
      </c>
      <c r="X506" s="724" t="s">
        <v>674</v>
      </c>
      <c r="Y506" s="724" t="s">
        <v>1226</v>
      </c>
      <c r="Z506" s="724" t="s">
        <v>1226</v>
      </c>
      <c r="AA506" s="724" t="s">
        <v>675</v>
      </c>
      <c r="AB506" s="724" t="s">
        <v>675</v>
      </c>
      <c r="AC506" s="724"/>
      <c r="AD506" s="724"/>
      <c r="AE506" s="724"/>
      <c r="AF506" s="724"/>
      <c r="AG506" s="725" t="s">
        <v>584</v>
      </c>
      <c r="AH506" s="724"/>
      <c r="AI506" s="725" t="s">
        <v>584</v>
      </c>
      <c r="AJ506" s="725" t="s">
        <v>1012</v>
      </c>
      <c r="AK506" s="724" t="s">
        <v>677</v>
      </c>
      <c r="AL506" s="724"/>
      <c r="AM506" s="724" t="s">
        <v>726</v>
      </c>
      <c r="AN506" s="724" t="s">
        <v>1015</v>
      </c>
      <c r="AO506" s="724" t="s">
        <v>1010</v>
      </c>
      <c r="AP506" s="724" t="s">
        <v>1005</v>
      </c>
      <c r="AQ506" s="724" t="s">
        <v>939</v>
      </c>
      <c r="AR506" s="726">
        <v>230000</v>
      </c>
      <c r="AS506" s="724" t="s">
        <v>675</v>
      </c>
      <c r="AT506" s="726">
        <v>0</v>
      </c>
      <c r="AU506" s="724" t="s">
        <v>678</v>
      </c>
      <c r="AV506" s="724" t="s">
        <v>677</v>
      </c>
      <c r="AW506" s="724" t="s">
        <v>676</v>
      </c>
      <c r="AX506" s="724" t="s">
        <v>674</v>
      </c>
      <c r="AY506" s="724"/>
      <c r="AZ506" s="724"/>
      <c r="BA506" s="724" t="s">
        <v>679</v>
      </c>
      <c r="BB506" s="724"/>
      <c r="BC506" s="724"/>
      <c r="BD506" s="724"/>
      <c r="BE506" s="726"/>
      <c r="BF506" s="724" t="s">
        <v>298</v>
      </c>
      <c r="BG506" s="724" t="s">
        <v>680</v>
      </c>
      <c r="BH506" s="724" t="s">
        <v>681</v>
      </c>
      <c r="BI506" s="724"/>
    </row>
    <row r="507" spans="1:61">
      <c r="A507" s="724" t="s">
        <v>1010</v>
      </c>
      <c r="B507" s="724" t="s">
        <v>1011</v>
      </c>
      <c r="C507" s="724" t="s">
        <v>934</v>
      </c>
      <c r="D507" s="724" t="s">
        <v>724</v>
      </c>
      <c r="E507" s="724" t="s">
        <v>3</v>
      </c>
      <c r="F507" s="725" t="s">
        <v>83</v>
      </c>
      <c r="G507" s="725" t="s">
        <v>700</v>
      </c>
      <c r="H507" s="726">
        <v>140000</v>
      </c>
      <c r="I507" s="726">
        <v>140000</v>
      </c>
      <c r="J507" s="726">
        <v>0</v>
      </c>
      <c r="K507" s="726">
        <v>0</v>
      </c>
      <c r="L507" s="726">
        <v>127273</v>
      </c>
      <c r="M507" s="726">
        <v>0</v>
      </c>
      <c r="N507" s="726">
        <v>0</v>
      </c>
      <c r="O507" s="726">
        <v>12727</v>
      </c>
      <c r="P507" s="726">
        <v>0</v>
      </c>
      <c r="Q507" s="726">
        <v>0</v>
      </c>
      <c r="R507" s="726">
        <v>0</v>
      </c>
      <c r="S507" s="726">
        <v>0</v>
      </c>
      <c r="T507" s="726">
        <v>0</v>
      </c>
      <c r="U507" s="726">
        <v>0</v>
      </c>
      <c r="V507" s="726">
        <v>0</v>
      </c>
      <c r="W507" s="726">
        <v>0</v>
      </c>
      <c r="X507" s="724" t="s">
        <v>674</v>
      </c>
      <c r="Y507" s="724" t="s">
        <v>1226</v>
      </c>
      <c r="Z507" s="724" t="s">
        <v>1226</v>
      </c>
      <c r="AA507" s="724" t="s">
        <v>675</v>
      </c>
      <c r="AB507" s="724" t="s">
        <v>675</v>
      </c>
      <c r="AC507" s="724"/>
      <c r="AD507" s="724"/>
      <c r="AE507" s="724"/>
      <c r="AF507" s="724"/>
      <c r="AG507" s="725" t="s">
        <v>584</v>
      </c>
      <c r="AH507" s="724"/>
      <c r="AI507" s="725" t="s">
        <v>584</v>
      </c>
      <c r="AJ507" s="725" t="s">
        <v>1012</v>
      </c>
      <c r="AK507" s="724" t="s">
        <v>677</v>
      </c>
      <c r="AL507" s="724"/>
      <c r="AM507" s="724" t="s">
        <v>726</v>
      </c>
      <c r="AN507" s="724" t="s">
        <v>1016</v>
      </c>
      <c r="AO507" s="724" t="s">
        <v>1010</v>
      </c>
      <c r="AP507" s="724" t="s">
        <v>1005</v>
      </c>
      <c r="AQ507" s="724" t="s">
        <v>939</v>
      </c>
      <c r="AR507" s="726">
        <v>140000</v>
      </c>
      <c r="AS507" s="724" t="s">
        <v>675</v>
      </c>
      <c r="AT507" s="726">
        <v>0</v>
      </c>
      <c r="AU507" s="724" t="s">
        <v>678</v>
      </c>
      <c r="AV507" s="724" t="s">
        <v>677</v>
      </c>
      <c r="AW507" s="724" t="s">
        <v>676</v>
      </c>
      <c r="AX507" s="724" t="s">
        <v>674</v>
      </c>
      <c r="AY507" s="724"/>
      <c r="AZ507" s="724"/>
      <c r="BA507" s="724" t="s">
        <v>679</v>
      </c>
      <c r="BB507" s="724"/>
      <c r="BC507" s="724"/>
      <c r="BD507" s="724"/>
      <c r="BE507" s="726"/>
      <c r="BF507" s="724" t="s">
        <v>298</v>
      </c>
      <c r="BG507" s="724" t="s">
        <v>680</v>
      </c>
      <c r="BH507" s="724" t="s">
        <v>681</v>
      </c>
      <c r="BI507" s="724"/>
    </row>
    <row r="508" spans="1:61">
      <c r="A508" s="724" t="s">
        <v>1010</v>
      </c>
      <c r="B508" s="724" t="s">
        <v>1011</v>
      </c>
      <c r="C508" s="724" t="s">
        <v>934</v>
      </c>
      <c r="D508" s="724" t="s">
        <v>724</v>
      </c>
      <c r="E508" s="724" t="s">
        <v>3</v>
      </c>
      <c r="F508" s="725" t="s">
        <v>83</v>
      </c>
      <c r="G508" s="725" t="s">
        <v>700</v>
      </c>
      <c r="H508" s="726">
        <v>140000</v>
      </c>
      <c r="I508" s="726">
        <v>140000</v>
      </c>
      <c r="J508" s="726">
        <v>0</v>
      </c>
      <c r="K508" s="726">
        <v>0</v>
      </c>
      <c r="L508" s="726">
        <v>127273</v>
      </c>
      <c r="M508" s="726">
        <v>0</v>
      </c>
      <c r="N508" s="726">
        <v>0</v>
      </c>
      <c r="O508" s="726">
        <v>12727</v>
      </c>
      <c r="P508" s="726">
        <v>0</v>
      </c>
      <c r="Q508" s="726">
        <v>0</v>
      </c>
      <c r="R508" s="726">
        <v>0</v>
      </c>
      <c r="S508" s="726">
        <v>0</v>
      </c>
      <c r="T508" s="726">
        <v>0</v>
      </c>
      <c r="U508" s="726">
        <v>0</v>
      </c>
      <c r="V508" s="726">
        <v>0</v>
      </c>
      <c r="W508" s="726">
        <v>0</v>
      </c>
      <c r="X508" s="724" t="s">
        <v>674</v>
      </c>
      <c r="Y508" s="724" t="s">
        <v>1226</v>
      </c>
      <c r="Z508" s="724" t="s">
        <v>1226</v>
      </c>
      <c r="AA508" s="724" t="s">
        <v>675</v>
      </c>
      <c r="AB508" s="724" t="s">
        <v>675</v>
      </c>
      <c r="AC508" s="724"/>
      <c r="AD508" s="724"/>
      <c r="AE508" s="724"/>
      <c r="AF508" s="724"/>
      <c r="AG508" s="725" t="s">
        <v>584</v>
      </c>
      <c r="AH508" s="724"/>
      <c r="AI508" s="725" t="s">
        <v>584</v>
      </c>
      <c r="AJ508" s="725" t="s">
        <v>1012</v>
      </c>
      <c r="AK508" s="724" t="s">
        <v>677</v>
      </c>
      <c r="AL508" s="724"/>
      <c r="AM508" s="724" t="s">
        <v>726</v>
      </c>
      <c r="AN508" s="724" t="s">
        <v>1017</v>
      </c>
      <c r="AO508" s="724" t="s">
        <v>1010</v>
      </c>
      <c r="AP508" s="724" t="s">
        <v>1005</v>
      </c>
      <c r="AQ508" s="724" t="s">
        <v>939</v>
      </c>
      <c r="AR508" s="726">
        <v>140000</v>
      </c>
      <c r="AS508" s="724" t="s">
        <v>675</v>
      </c>
      <c r="AT508" s="726">
        <v>0</v>
      </c>
      <c r="AU508" s="724" t="s">
        <v>678</v>
      </c>
      <c r="AV508" s="724" t="s">
        <v>677</v>
      </c>
      <c r="AW508" s="724" t="s">
        <v>676</v>
      </c>
      <c r="AX508" s="724" t="s">
        <v>674</v>
      </c>
      <c r="AY508" s="724"/>
      <c r="AZ508" s="724"/>
      <c r="BA508" s="724" t="s">
        <v>679</v>
      </c>
      <c r="BB508" s="724"/>
      <c r="BC508" s="724"/>
      <c r="BD508" s="724"/>
      <c r="BE508" s="726"/>
      <c r="BF508" s="724" t="s">
        <v>298</v>
      </c>
      <c r="BG508" s="724" t="s">
        <v>680</v>
      </c>
      <c r="BH508" s="724" t="s">
        <v>681</v>
      </c>
      <c r="BI508" s="724"/>
    </row>
    <row r="509" spans="1:61">
      <c r="A509" s="724" t="s">
        <v>1010</v>
      </c>
      <c r="B509" s="724" t="s">
        <v>1011</v>
      </c>
      <c r="C509" s="724" t="s">
        <v>934</v>
      </c>
      <c r="D509" s="724" t="s">
        <v>724</v>
      </c>
      <c r="E509" s="724" t="s">
        <v>3</v>
      </c>
      <c r="F509" s="725" t="s">
        <v>83</v>
      </c>
      <c r="G509" s="725" t="s">
        <v>700</v>
      </c>
      <c r="H509" s="726">
        <v>140000</v>
      </c>
      <c r="I509" s="726">
        <v>140000</v>
      </c>
      <c r="J509" s="726">
        <v>0</v>
      </c>
      <c r="K509" s="726">
        <v>0</v>
      </c>
      <c r="L509" s="726">
        <v>127273</v>
      </c>
      <c r="M509" s="726">
        <v>0</v>
      </c>
      <c r="N509" s="726">
        <v>0</v>
      </c>
      <c r="O509" s="726">
        <v>12727</v>
      </c>
      <c r="P509" s="726">
        <v>0</v>
      </c>
      <c r="Q509" s="726">
        <v>0</v>
      </c>
      <c r="R509" s="726">
        <v>0</v>
      </c>
      <c r="S509" s="726">
        <v>0</v>
      </c>
      <c r="T509" s="726">
        <v>0</v>
      </c>
      <c r="U509" s="726">
        <v>0</v>
      </c>
      <c r="V509" s="726">
        <v>0</v>
      </c>
      <c r="W509" s="726">
        <v>0</v>
      </c>
      <c r="X509" s="724" t="s">
        <v>674</v>
      </c>
      <c r="Y509" s="724" t="s">
        <v>1226</v>
      </c>
      <c r="Z509" s="724" t="s">
        <v>1226</v>
      </c>
      <c r="AA509" s="724" t="s">
        <v>675</v>
      </c>
      <c r="AB509" s="724" t="s">
        <v>675</v>
      </c>
      <c r="AC509" s="724"/>
      <c r="AD509" s="724"/>
      <c r="AE509" s="724"/>
      <c r="AF509" s="724"/>
      <c r="AG509" s="725" t="s">
        <v>584</v>
      </c>
      <c r="AH509" s="724"/>
      <c r="AI509" s="725" t="s">
        <v>584</v>
      </c>
      <c r="AJ509" s="725" t="s">
        <v>1012</v>
      </c>
      <c r="AK509" s="724" t="s">
        <v>677</v>
      </c>
      <c r="AL509" s="724"/>
      <c r="AM509" s="724" t="s">
        <v>726</v>
      </c>
      <c r="AN509" s="724" t="s">
        <v>1018</v>
      </c>
      <c r="AO509" s="724" t="s">
        <v>1010</v>
      </c>
      <c r="AP509" s="724" t="s">
        <v>1005</v>
      </c>
      <c r="AQ509" s="724" t="s">
        <v>939</v>
      </c>
      <c r="AR509" s="726">
        <v>140000</v>
      </c>
      <c r="AS509" s="724" t="s">
        <v>675</v>
      </c>
      <c r="AT509" s="726">
        <v>0</v>
      </c>
      <c r="AU509" s="724" t="s">
        <v>678</v>
      </c>
      <c r="AV509" s="724" t="s">
        <v>677</v>
      </c>
      <c r="AW509" s="724" t="s">
        <v>676</v>
      </c>
      <c r="AX509" s="724" t="s">
        <v>674</v>
      </c>
      <c r="AY509" s="724"/>
      <c r="AZ509" s="724"/>
      <c r="BA509" s="724" t="s">
        <v>679</v>
      </c>
      <c r="BB509" s="724"/>
      <c r="BC509" s="724"/>
      <c r="BD509" s="724"/>
      <c r="BE509" s="726"/>
      <c r="BF509" s="724" t="s">
        <v>298</v>
      </c>
      <c r="BG509" s="724" t="s">
        <v>680</v>
      </c>
      <c r="BH509" s="724" t="s">
        <v>681</v>
      </c>
      <c r="BI509" s="724"/>
    </row>
    <row r="510" spans="1:61">
      <c r="A510" s="724" t="s">
        <v>1010</v>
      </c>
      <c r="B510" s="724" t="s">
        <v>1011</v>
      </c>
      <c r="C510" s="724" t="s">
        <v>934</v>
      </c>
      <c r="D510" s="724" t="s">
        <v>724</v>
      </c>
      <c r="E510" s="724" t="s">
        <v>3</v>
      </c>
      <c r="F510" s="725" t="s">
        <v>83</v>
      </c>
      <c r="G510" s="725" t="s">
        <v>700</v>
      </c>
      <c r="H510" s="726">
        <v>140000</v>
      </c>
      <c r="I510" s="726">
        <v>140000</v>
      </c>
      <c r="J510" s="726">
        <v>0</v>
      </c>
      <c r="K510" s="726">
        <v>0</v>
      </c>
      <c r="L510" s="726">
        <v>127273</v>
      </c>
      <c r="M510" s="726">
        <v>0</v>
      </c>
      <c r="N510" s="726">
        <v>0</v>
      </c>
      <c r="O510" s="726">
        <v>12727</v>
      </c>
      <c r="P510" s="726">
        <v>0</v>
      </c>
      <c r="Q510" s="726">
        <v>0</v>
      </c>
      <c r="R510" s="726">
        <v>0</v>
      </c>
      <c r="S510" s="726">
        <v>0</v>
      </c>
      <c r="T510" s="726">
        <v>0</v>
      </c>
      <c r="U510" s="726">
        <v>0</v>
      </c>
      <c r="V510" s="726">
        <v>0</v>
      </c>
      <c r="W510" s="726">
        <v>0</v>
      </c>
      <c r="X510" s="724" t="s">
        <v>674</v>
      </c>
      <c r="Y510" s="724" t="s">
        <v>1226</v>
      </c>
      <c r="Z510" s="724" t="s">
        <v>1226</v>
      </c>
      <c r="AA510" s="724" t="s">
        <v>675</v>
      </c>
      <c r="AB510" s="724" t="s">
        <v>675</v>
      </c>
      <c r="AC510" s="724"/>
      <c r="AD510" s="724"/>
      <c r="AE510" s="724"/>
      <c r="AF510" s="724"/>
      <c r="AG510" s="725" t="s">
        <v>584</v>
      </c>
      <c r="AH510" s="724"/>
      <c r="AI510" s="725" t="s">
        <v>584</v>
      </c>
      <c r="AJ510" s="725" t="s">
        <v>1012</v>
      </c>
      <c r="AK510" s="724" t="s">
        <v>677</v>
      </c>
      <c r="AL510" s="724"/>
      <c r="AM510" s="724" t="s">
        <v>726</v>
      </c>
      <c r="AN510" s="724" t="s">
        <v>1019</v>
      </c>
      <c r="AO510" s="724" t="s">
        <v>1010</v>
      </c>
      <c r="AP510" s="724" t="s">
        <v>1005</v>
      </c>
      <c r="AQ510" s="724" t="s">
        <v>939</v>
      </c>
      <c r="AR510" s="726">
        <v>140000</v>
      </c>
      <c r="AS510" s="724" t="s">
        <v>675</v>
      </c>
      <c r="AT510" s="726">
        <v>0</v>
      </c>
      <c r="AU510" s="724" t="s">
        <v>678</v>
      </c>
      <c r="AV510" s="724" t="s">
        <v>677</v>
      </c>
      <c r="AW510" s="724" t="s">
        <v>676</v>
      </c>
      <c r="AX510" s="724" t="s">
        <v>674</v>
      </c>
      <c r="AY510" s="724"/>
      <c r="AZ510" s="724"/>
      <c r="BA510" s="724" t="s">
        <v>679</v>
      </c>
      <c r="BB510" s="724"/>
      <c r="BC510" s="724"/>
      <c r="BD510" s="724"/>
      <c r="BE510" s="726"/>
      <c r="BF510" s="724" t="s">
        <v>298</v>
      </c>
      <c r="BG510" s="724" t="s">
        <v>680</v>
      </c>
      <c r="BH510" s="724" t="s">
        <v>681</v>
      </c>
      <c r="BI510" s="724"/>
    </row>
    <row r="511" spans="1:61">
      <c r="A511" s="724" t="s">
        <v>1010</v>
      </c>
      <c r="B511" s="724" t="s">
        <v>1011</v>
      </c>
      <c r="C511" s="724" t="s">
        <v>934</v>
      </c>
      <c r="D511" s="724" t="s">
        <v>724</v>
      </c>
      <c r="E511" s="724" t="s">
        <v>3</v>
      </c>
      <c r="F511" s="725" t="s">
        <v>83</v>
      </c>
      <c r="G511" s="725" t="s">
        <v>700</v>
      </c>
      <c r="H511" s="726">
        <v>140000</v>
      </c>
      <c r="I511" s="726">
        <v>140000</v>
      </c>
      <c r="J511" s="726">
        <v>0</v>
      </c>
      <c r="K511" s="726">
        <v>0</v>
      </c>
      <c r="L511" s="726">
        <v>127273</v>
      </c>
      <c r="M511" s="726">
        <v>0</v>
      </c>
      <c r="N511" s="726">
        <v>0</v>
      </c>
      <c r="O511" s="726">
        <v>12727</v>
      </c>
      <c r="P511" s="726">
        <v>0</v>
      </c>
      <c r="Q511" s="726">
        <v>0</v>
      </c>
      <c r="R511" s="726">
        <v>0</v>
      </c>
      <c r="S511" s="726">
        <v>0</v>
      </c>
      <c r="T511" s="726">
        <v>0</v>
      </c>
      <c r="U511" s="726">
        <v>0</v>
      </c>
      <c r="V511" s="726">
        <v>0</v>
      </c>
      <c r="W511" s="726">
        <v>0</v>
      </c>
      <c r="X511" s="724" t="s">
        <v>674</v>
      </c>
      <c r="Y511" s="724" t="s">
        <v>1226</v>
      </c>
      <c r="Z511" s="724" t="s">
        <v>1226</v>
      </c>
      <c r="AA511" s="724" t="s">
        <v>675</v>
      </c>
      <c r="AB511" s="724" t="s">
        <v>675</v>
      </c>
      <c r="AC511" s="724"/>
      <c r="AD511" s="724"/>
      <c r="AE511" s="724"/>
      <c r="AF511" s="724"/>
      <c r="AG511" s="725" t="s">
        <v>584</v>
      </c>
      <c r="AH511" s="724"/>
      <c r="AI511" s="725" t="s">
        <v>584</v>
      </c>
      <c r="AJ511" s="725" t="s">
        <v>1012</v>
      </c>
      <c r="AK511" s="724" t="s">
        <v>677</v>
      </c>
      <c r="AL511" s="724"/>
      <c r="AM511" s="724" t="s">
        <v>726</v>
      </c>
      <c r="AN511" s="724" t="s">
        <v>1020</v>
      </c>
      <c r="AO511" s="724" t="s">
        <v>1010</v>
      </c>
      <c r="AP511" s="724" t="s">
        <v>1005</v>
      </c>
      <c r="AQ511" s="724" t="s">
        <v>939</v>
      </c>
      <c r="AR511" s="726">
        <v>140000</v>
      </c>
      <c r="AS511" s="724" t="s">
        <v>675</v>
      </c>
      <c r="AT511" s="726">
        <v>0</v>
      </c>
      <c r="AU511" s="724" t="s">
        <v>678</v>
      </c>
      <c r="AV511" s="724" t="s">
        <v>677</v>
      </c>
      <c r="AW511" s="724" t="s">
        <v>676</v>
      </c>
      <c r="AX511" s="724" t="s">
        <v>674</v>
      </c>
      <c r="AY511" s="724"/>
      <c r="AZ511" s="724"/>
      <c r="BA511" s="724" t="s">
        <v>679</v>
      </c>
      <c r="BB511" s="724"/>
      <c r="BC511" s="724"/>
      <c r="BD511" s="724"/>
      <c r="BE511" s="726"/>
      <c r="BF511" s="724" t="s">
        <v>298</v>
      </c>
      <c r="BG511" s="724" t="s">
        <v>680</v>
      </c>
      <c r="BH511" s="724" t="s">
        <v>681</v>
      </c>
      <c r="BI511" s="724"/>
    </row>
    <row r="512" spans="1:61">
      <c r="A512" s="724" t="s">
        <v>1010</v>
      </c>
      <c r="B512" s="724" t="s">
        <v>1011</v>
      </c>
      <c r="C512" s="724" t="s">
        <v>934</v>
      </c>
      <c r="D512" s="724" t="s">
        <v>724</v>
      </c>
      <c r="E512" s="724" t="s">
        <v>3</v>
      </c>
      <c r="F512" s="725" t="s">
        <v>83</v>
      </c>
      <c r="G512" s="725" t="s">
        <v>700</v>
      </c>
      <c r="H512" s="726">
        <v>140000</v>
      </c>
      <c r="I512" s="726">
        <v>140000</v>
      </c>
      <c r="J512" s="726">
        <v>0</v>
      </c>
      <c r="K512" s="726">
        <v>0</v>
      </c>
      <c r="L512" s="726">
        <v>127273</v>
      </c>
      <c r="M512" s="726">
        <v>0</v>
      </c>
      <c r="N512" s="726">
        <v>0</v>
      </c>
      <c r="O512" s="726">
        <v>12727</v>
      </c>
      <c r="P512" s="726">
        <v>0</v>
      </c>
      <c r="Q512" s="726">
        <v>0</v>
      </c>
      <c r="R512" s="726">
        <v>0</v>
      </c>
      <c r="S512" s="726">
        <v>0</v>
      </c>
      <c r="T512" s="726">
        <v>0</v>
      </c>
      <c r="U512" s="726">
        <v>0</v>
      </c>
      <c r="V512" s="726">
        <v>0</v>
      </c>
      <c r="W512" s="726">
        <v>0</v>
      </c>
      <c r="X512" s="724" t="s">
        <v>674</v>
      </c>
      <c r="Y512" s="724" t="s">
        <v>1226</v>
      </c>
      <c r="Z512" s="724" t="s">
        <v>1226</v>
      </c>
      <c r="AA512" s="724" t="s">
        <v>675</v>
      </c>
      <c r="AB512" s="724" t="s">
        <v>675</v>
      </c>
      <c r="AC512" s="724"/>
      <c r="AD512" s="724"/>
      <c r="AE512" s="724"/>
      <c r="AF512" s="724"/>
      <c r="AG512" s="725" t="s">
        <v>584</v>
      </c>
      <c r="AH512" s="724"/>
      <c r="AI512" s="725" t="s">
        <v>584</v>
      </c>
      <c r="AJ512" s="725" t="s">
        <v>1012</v>
      </c>
      <c r="AK512" s="724" t="s">
        <v>677</v>
      </c>
      <c r="AL512" s="724"/>
      <c r="AM512" s="724" t="s">
        <v>726</v>
      </c>
      <c r="AN512" s="724" t="s">
        <v>1021</v>
      </c>
      <c r="AO512" s="724" t="s">
        <v>1010</v>
      </c>
      <c r="AP512" s="724" t="s">
        <v>1005</v>
      </c>
      <c r="AQ512" s="724" t="s">
        <v>939</v>
      </c>
      <c r="AR512" s="726">
        <v>140000</v>
      </c>
      <c r="AS512" s="724" t="s">
        <v>675</v>
      </c>
      <c r="AT512" s="726">
        <v>0</v>
      </c>
      <c r="AU512" s="724" t="s">
        <v>678</v>
      </c>
      <c r="AV512" s="724" t="s">
        <v>677</v>
      </c>
      <c r="AW512" s="724" t="s">
        <v>676</v>
      </c>
      <c r="AX512" s="724" t="s">
        <v>674</v>
      </c>
      <c r="AY512" s="724"/>
      <c r="AZ512" s="724"/>
      <c r="BA512" s="724" t="s">
        <v>679</v>
      </c>
      <c r="BB512" s="724"/>
      <c r="BC512" s="724"/>
      <c r="BD512" s="724"/>
      <c r="BE512" s="726"/>
      <c r="BF512" s="724" t="s">
        <v>298</v>
      </c>
      <c r="BG512" s="724" t="s">
        <v>680</v>
      </c>
      <c r="BH512" s="724" t="s">
        <v>681</v>
      </c>
      <c r="BI512" s="724"/>
    </row>
    <row r="513" spans="1:61">
      <c r="A513" s="724" t="s">
        <v>1010</v>
      </c>
      <c r="B513" s="724" t="s">
        <v>1011</v>
      </c>
      <c r="C513" s="724" t="s">
        <v>934</v>
      </c>
      <c r="D513" s="724" t="s">
        <v>724</v>
      </c>
      <c r="E513" s="724" t="s">
        <v>3</v>
      </c>
      <c r="F513" s="725" t="s">
        <v>83</v>
      </c>
      <c r="G513" s="725" t="s">
        <v>700</v>
      </c>
      <c r="H513" s="726">
        <v>140000</v>
      </c>
      <c r="I513" s="726">
        <v>140000</v>
      </c>
      <c r="J513" s="726">
        <v>0</v>
      </c>
      <c r="K513" s="726">
        <v>0</v>
      </c>
      <c r="L513" s="726">
        <v>127273</v>
      </c>
      <c r="M513" s="726">
        <v>0</v>
      </c>
      <c r="N513" s="726">
        <v>0</v>
      </c>
      <c r="O513" s="726">
        <v>12727</v>
      </c>
      <c r="P513" s="726">
        <v>0</v>
      </c>
      <c r="Q513" s="726">
        <v>0</v>
      </c>
      <c r="R513" s="726">
        <v>0</v>
      </c>
      <c r="S513" s="726">
        <v>0</v>
      </c>
      <c r="T513" s="726">
        <v>0</v>
      </c>
      <c r="U513" s="726">
        <v>0</v>
      </c>
      <c r="V513" s="726">
        <v>0</v>
      </c>
      <c r="W513" s="726">
        <v>0</v>
      </c>
      <c r="X513" s="724" t="s">
        <v>674</v>
      </c>
      <c r="Y513" s="724" t="s">
        <v>1226</v>
      </c>
      <c r="Z513" s="724" t="s">
        <v>1226</v>
      </c>
      <c r="AA513" s="724" t="s">
        <v>675</v>
      </c>
      <c r="AB513" s="724" t="s">
        <v>675</v>
      </c>
      <c r="AC513" s="724"/>
      <c r="AD513" s="724"/>
      <c r="AE513" s="724"/>
      <c r="AF513" s="724"/>
      <c r="AG513" s="725" t="s">
        <v>584</v>
      </c>
      <c r="AH513" s="724"/>
      <c r="AI513" s="725" t="s">
        <v>584</v>
      </c>
      <c r="AJ513" s="725" t="s">
        <v>1012</v>
      </c>
      <c r="AK513" s="724" t="s">
        <v>677</v>
      </c>
      <c r="AL513" s="724"/>
      <c r="AM513" s="724" t="s">
        <v>726</v>
      </c>
      <c r="AN513" s="724" t="s">
        <v>1022</v>
      </c>
      <c r="AO513" s="724" t="s">
        <v>1010</v>
      </c>
      <c r="AP513" s="724" t="s">
        <v>1005</v>
      </c>
      <c r="AQ513" s="724" t="s">
        <v>939</v>
      </c>
      <c r="AR513" s="726">
        <v>140000</v>
      </c>
      <c r="AS513" s="724" t="s">
        <v>675</v>
      </c>
      <c r="AT513" s="726">
        <v>0</v>
      </c>
      <c r="AU513" s="724" t="s">
        <v>678</v>
      </c>
      <c r="AV513" s="724" t="s">
        <v>677</v>
      </c>
      <c r="AW513" s="724" t="s">
        <v>676</v>
      </c>
      <c r="AX513" s="724" t="s">
        <v>674</v>
      </c>
      <c r="AY513" s="724"/>
      <c r="AZ513" s="724"/>
      <c r="BA513" s="724" t="s">
        <v>679</v>
      </c>
      <c r="BB513" s="724"/>
      <c r="BC513" s="724"/>
      <c r="BD513" s="724"/>
      <c r="BE513" s="726"/>
      <c r="BF513" s="724" t="s">
        <v>298</v>
      </c>
      <c r="BG513" s="724" t="s">
        <v>680</v>
      </c>
      <c r="BH513" s="724" t="s">
        <v>681</v>
      </c>
      <c r="BI513" s="724"/>
    </row>
    <row r="514" spans="1:61">
      <c r="A514" s="724" t="s">
        <v>1010</v>
      </c>
      <c r="B514" s="724" t="s">
        <v>1011</v>
      </c>
      <c r="C514" s="724" t="s">
        <v>934</v>
      </c>
      <c r="D514" s="724" t="s">
        <v>724</v>
      </c>
      <c r="E514" s="724" t="s">
        <v>3</v>
      </c>
      <c r="F514" s="725" t="s">
        <v>83</v>
      </c>
      <c r="G514" s="725" t="s">
        <v>700</v>
      </c>
      <c r="H514" s="726">
        <v>140000</v>
      </c>
      <c r="I514" s="726">
        <v>140000</v>
      </c>
      <c r="J514" s="726">
        <v>0</v>
      </c>
      <c r="K514" s="726">
        <v>0</v>
      </c>
      <c r="L514" s="726">
        <v>127273</v>
      </c>
      <c r="M514" s="726">
        <v>0</v>
      </c>
      <c r="N514" s="726">
        <v>0</v>
      </c>
      <c r="O514" s="726">
        <v>12727</v>
      </c>
      <c r="P514" s="726">
        <v>0</v>
      </c>
      <c r="Q514" s="726">
        <v>0</v>
      </c>
      <c r="R514" s="726">
        <v>0</v>
      </c>
      <c r="S514" s="726">
        <v>0</v>
      </c>
      <c r="T514" s="726">
        <v>0</v>
      </c>
      <c r="U514" s="726">
        <v>0</v>
      </c>
      <c r="V514" s="726">
        <v>0</v>
      </c>
      <c r="W514" s="726">
        <v>0</v>
      </c>
      <c r="X514" s="724" t="s">
        <v>674</v>
      </c>
      <c r="Y514" s="724" t="s">
        <v>1226</v>
      </c>
      <c r="Z514" s="724" t="s">
        <v>1226</v>
      </c>
      <c r="AA514" s="724" t="s">
        <v>675</v>
      </c>
      <c r="AB514" s="724" t="s">
        <v>675</v>
      </c>
      <c r="AC514" s="724"/>
      <c r="AD514" s="724"/>
      <c r="AE514" s="724"/>
      <c r="AF514" s="724"/>
      <c r="AG514" s="725" t="s">
        <v>584</v>
      </c>
      <c r="AH514" s="724"/>
      <c r="AI514" s="725" t="s">
        <v>584</v>
      </c>
      <c r="AJ514" s="725" t="s">
        <v>1012</v>
      </c>
      <c r="AK514" s="724" t="s">
        <v>677</v>
      </c>
      <c r="AL514" s="724"/>
      <c r="AM514" s="724" t="s">
        <v>726</v>
      </c>
      <c r="AN514" s="724" t="s">
        <v>1023</v>
      </c>
      <c r="AO514" s="724" t="s">
        <v>1010</v>
      </c>
      <c r="AP514" s="724" t="s">
        <v>1005</v>
      </c>
      <c r="AQ514" s="724" t="s">
        <v>939</v>
      </c>
      <c r="AR514" s="726">
        <v>140000</v>
      </c>
      <c r="AS514" s="724" t="s">
        <v>675</v>
      </c>
      <c r="AT514" s="726">
        <v>0</v>
      </c>
      <c r="AU514" s="724" t="s">
        <v>678</v>
      </c>
      <c r="AV514" s="724" t="s">
        <v>677</v>
      </c>
      <c r="AW514" s="724" t="s">
        <v>676</v>
      </c>
      <c r="AX514" s="724" t="s">
        <v>674</v>
      </c>
      <c r="AY514" s="724"/>
      <c r="AZ514" s="724"/>
      <c r="BA514" s="724" t="s">
        <v>679</v>
      </c>
      <c r="BB514" s="724"/>
      <c r="BC514" s="724"/>
      <c r="BD514" s="724"/>
      <c r="BE514" s="726"/>
      <c r="BF514" s="724" t="s">
        <v>298</v>
      </c>
      <c r="BG514" s="724" t="s">
        <v>680</v>
      </c>
      <c r="BH514" s="724" t="s">
        <v>681</v>
      </c>
      <c r="BI514" s="724"/>
    </row>
    <row r="515" spans="1:61">
      <c r="A515" s="724" t="s">
        <v>1010</v>
      </c>
      <c r="B515" s="724" t="s">
        <v>1011</v>
      </c>
      <c r="C515" s="724" t="s">
        <v>934</v>
      </c>
      <c r="D515" s="724" t="s">
        <v>724</v>
      </c>
      <c r="E515" s="724" t="s">
        <v>3</v>
      </c>
      <c r="F515" s="725" t="s">
        <v>83</v>
      </c>
      <c r="G515" s="725" t="s">
        <v>700</v>
      </c>
      <c r="H515" s="726">
        <v>140000</v>
      </c>
      <c r="I515" s="726">
        <v>140000</v>
      </c>
      <c r="J515" s="726">
        <v>0</v>
      </c>
      <c r="K515" s="726">
        <v>0</v>
      </c>
      <c r="L515" s="726">
        <v>127273</v>
      </c>
      <c r="M515" s="726">
        <v>0</v>
      </c>
      <c r="N515" s="726">
        <v>0</v>
      </c>
      <c r="O515" s="726">
        <v>12727</v>
      </c>
      <c r="P515" s="726">
        <v>0</v>
      </c>
      <c r="Q515" s="726">
        <v>0</v>
      </c>
      <c r="R515" s="726">
        <v>0</v>
      </c>
      <c r="S515" s="726">
        <v>0</v>
      </c>
      <c r="T515" s="726">
        <v>0</v>
      </c>
      <c r="U515" s="726">
        <v>0</v>
      </c>
      <c r="V515" s="726">
        <v>0</v>
      </c>
      <c r="W515" s="726">
        <v>0</v>
      </c>
      <c r="X515" s="724" t="s">
        <v>674</v>
      </c>
      <c r="Y515" s="724" t="s">
        <v>1226</v>
      </c>
      <c r="Z515" s="724" t="s">
        <v>1226</v>
      </c>
      <c r="AA515" s="724" t="s">
        <v>675</v>
      </c>
      <c r="AB515" s="724" t="s">
        <v>675</v>
      </c>
      <c r="AC515" s="724"/>
      <c r="AD515" s="724"/>
      <c r="AE515" s="724"/>
      <c r="AF515" s="724"/>
      <c r="AG515" s="725" t="s">
        <v>584</v>
      </c>
      <c r="AH515" s="724"/>
      <c r="AI515" s="725" t="s">
        <v>584</v>
      </c>
      <c r="AJ515" s="725" t="s">
        <v>1012</v>
      </c>
      <c r="AK515" s="724" t="s">
        <v>677</v>
      </c>
      <c r="AL515" s="724"/>
      <c r="AM515" s="724" t="s">
        <v>726</v>
      </c>
      <c r="AN515" s="724" t="s">
        <v>1024</v>
      </c>
      <c r="AO515" s="724" t="s">
        <v>1010</v>
      </c>
      <c r="AP515" s="724" t="s">
        <v>1005</v>
      </c>
      <c r="AQ515" s="724" t="s">
        <v>939</v>
      </c>
      <c r="AR515" s="726">
        <v>140000</v>
      </c>
      <c r="AS515" s="724" t="s">
        <v>675</v>
      </c>
      <c r="AT515" s="726">
        <v>0</v>
      </c>
      <c r="AU515" s="724" t="s">
        <v>678</v>
      </c>
      <c r="AV515" s="724" t="s">
        <v>677</v>
      </c>
      <c r="AW515" s="724" t="s">
        <v>676</v>
      </c>
      <c r="AX515" s="724" t="s">
        <v>674</v>
      </c>
      <c r="AY515" s="724"/>
      <c r="AZ515" s="724"/>
      <c r="BA515" s="724" t="s">
        <v>679</v>
      </c>
      <c r="BB515" s="724"/>
      <c r="BC515" s="724"/>
      <c r="BD515" s="724"/>
      <c r="BE515" s="726"/>
      <c r="BF515" s="724" t="s">
        <v>298</v>
      </c>
      <c r="BG515" s="724" t="s">
        <v>680</v>
      </c>
      <c r="BH515" s="724" t="s">
        <v>681</v>
      </c>
      <c r="BI515" s="724"/>
    </row>
    <row r="516" spans="1:61">
      <c r="A516" s="724" t="s">
        <v>1010</v>
      </c>
      <c r="B516" s="724" t="s">
        <v>1011</v>
      </c>
      <c r="C516" s="724" t="s">
        <v>934</v>
      </c>
      <c r="D516" s="724" t="s">
        <v>724</v>
      </c>
      <c r="E516" s="724" t="s">
        <v>3</v>
      </c>
      <c r="F516" s="725" t="s">
        <v>83</v>
      </c>
      <c r="G516" s="725" t="s">
        <v>700</v>
      </c>
      <c r="H516" s="726">
        <v>140000</v>
      </c>
      <c r="I516" s="726">
        <v>140000</v>
      </c>
      <c r="J516" s="726">
        <v>0</v>
      </c>
      <c r="K516" s="726">
        <v>0</v>
      </c>
      <c r="L516" s="726">
        <v>127273</v>
      </c>
      <c r="M516" s="726">
        <v>0</v>
      </c>
      <c r="N516" s="726">
        <v>0</v>
      </c>
      <c r="O516" s="726">
        <v>12727</v>
      </c>
      <c r="P516" s="726">
        <v>0</v>
      </c>
      <c r="Q516" s="726">
        <v>0</v>
      </c>
      <c r="R516" s="726">
        <v>0</v>
      </c>
      <c r="S516" s="726">
        <v>0</v>
      </c>
      <c r="T516" s="726">
        <v>0</v>
      </c>
      <c r="U516" s="726">
        <v>0</v>
      </c>
      <c r="V516" s="726">
        <v>0</v>
      </c>
      <c r="W516" s="726">
        <v>0</v>
      </c>
      <c r="X516" s="724" t="s">
        <v>674</v>
      </c>
      <c r="Y516" s="724" t="s">
        <v>1226</v>
      </c>
      <c r="Z516" s="724" t="s">
        <v>1226</v>
      </c>
      <c r="AA516" s="724" t="s">
        <v>675</v>
      </c>
      <c r="AB516" s="724" t="s">
        <v>675</v>
      </c>
      <c r="AC516" s="724"/>
      <c r="AD516" s="724"/>
      <c r="AE516" s="724"/>
      <c r="AF516" s="724"/>
      <c r="AG516" s="725" t="s">
        <v>584</v>
      </c>
      <c r="AH516" s="724"/>
      <c r="AI516" s="725" t="s">
        <v>584</v>
      </c>
      <c r="AJ516" s="725" t="s">
        <v>1012</v>
      </c>
      <c r="AK516" s="724" t="s">
        <v>677</v>
      </c>
      <c r="AL516" s="724"/>
      <c r="AM516" s="724" t="s">
        <v>726</v>
      </c>
      <c r="AN516" s="724" t="s">
        <v>1025</v>
      </c>
      <c r="AO516" s="724" t="s">
        <v>1010</v>
      </c>
      <c r="AP516" s="724" t="s">
        <v>1005</v>
      </c>
      <c r="AQ516" s="724" t="s">
        <v>939</v>
      </c>
      <c r="AR516" s="726">
        <v>140000</v>
      </c>
      <c r="AS516" s="724" t="s">
        <v>675</v>
      </c>
      <c r="AT516" s="726">
        <v>0</v>
      </c>
      <c r="AU516" s="724" t="s">
        <v>678</v>
      </c>
      <c r="AV516" s="724" t="s">
        <v>677</v>
      </c>
      <c r="AW516" s="724" t="s">
        <v>676</v>
      </c>
      <c r="AX516" s="724" t="s">
        <v>674</v>
      </c>
      <c r="AY516" s="724"/>
      <c r="AZ516" s="724"/>
      <c r="BA516" s="724" t="s">
        <v>679</v>
      </c>
      <c r="BB516" s="724"/>
      <c r="BC516" s="724"/>
      <c r="BD516" s="724"/>
      <c r="BE516" s="726"/>
      <c r="BF516" s="724" t="s">
        <v>298</v>
      </c>
      <c r="BG516" s="724" t="s">
        <v>680</v>
      </c>
      <c r="BH516" s="724" t="s">
        <v>681</v>
      </c>
      <c r="BI516" s="724"/>
    </row>
    <row r="517" spans="1:61">
      <c r="A517" s="724" t="s">
        <v>1010</v>
      </c>
      <c r="B517" s="724" t="s">
        <v>1011</v>
      </c>
      <c r="C517" s="724" t="s">
        <v>934</v>
      </c>
      <c r="D517" s="724" t="s">
        <v>724</v>
      </c>
      <c r="E517" s="724" t="s">
        <v>3</v>
      </c>
      <c r="F517" s="725" t="s">
        <v>83</v>
      </c>
      <c r="G517" s="725" t="s">
        <v>700</v>
      </c>
      <c r="H517" s="726">
        <v>140000</v>
      </c>
      <c r="I517" s="726">
        <v>140000</v>
      </c>
      <c r="J517" s="726">
        <v>0</v>
      </c>
      <c r="K517" s="726">
        <v>0</v>
      </c>
      <c r="L517" s="726">
        <v>127273</v>
      </c>
      <c r="M517" s="726">
        <v>0</v>
      </c>
      <c r="N517" s="726">
        <v>0</v>
      </c>
      <c r="O517" s="726">
        <v>12727</v>
      </c>
      <c r="P517" s="726">
        <v>0</v>
      </c>
      <c r="Q517" s="726">
        <v>0</v>
      </c>
      <c r="R517" s="726">
        <v>0</v>
      </c>
      <c r="S517" s="726">
        <v>0</v>
      </c>
      <c r="T517" s="726">
        <v>0</v>
      </c>
      <c r="U517" s="726">
        <v>0</v>
      </c>
      <c r="V517" s="726">
        <v>0</v>
      </c>
      <c r="W517" s="726">
        <v>0</v>
      </c>
      <c r="X517" s="724" t="s">
        <v>674</v>
      </c>
      <c r="Y517" s="724" t="s">
        <v>1226</v>
      </c>
      <c r="Z517" s="724" t="s">
        <v>1226</v>
      </c>
      <c r="AA517" s="724" t="s">
        <v>675</v>
      </c>
      <c r="AB517" s="724" t="s">
        <v>675</v>
      </c>
      <c r="AC517" s="724"/>
      <c r="AD517" s="724"/>
      <c r="AE517" s="724"/>
      <c r="AF517" s="724"/>
      <c r="AG517" s="725" t="s">
        <v>584</v>
      </c>
      <c r="AH517" s="724"/>
      <c r="AI517" s="725" t="s">
        <v>584</v>
      </c>
      <c r="AJ517" s="725" t="s">
        <v>1012</v>
      </c>
      <c r="AK517" s="724" t="s">
        <v>677</v>
      </c>
      <c r="AL517" s="724"/>
      <c r="AM517" s="724" t="s">
        <v>726</v>
      </c>
      <c r="AN517" s="724" t="s">
        <v>1026</v>
      </c>
      <c r="AO517" s="724" t="s">
        <v>1010</v>
      </c>
      <c r="AP517" s="724" t="s">
        <v>1005</v>
      </c>
      <c r="AQ517" s="724" t="s">
        <v>939</v>
      </c>
      <c r="AR517" s="726">
        <v>140000</v>
      </c>
      <c r="AS517" s="724" t="s">
        <v>675</v>
      </c>
      <c r="AT517" s="726">
        <v>0</v>
      </c>
      <c r="AU517" s="724" t="s">
        <v>678</v>
      </c>
      <c r="AV517" s="724" t="s">
        <v>677</v>
      </c>
      <c r="AW517" s="724" t="s">
        <v>676</v>
      </c>
      <c r="AX517" s="724" t="s">
        <v>674</v>
      </c>
      <c r="AY517" s="724"/>
      <c r="AZ517" s="724"/>
      <c r="BA517" s="724" t="s">
        <v>679</v>
      </c>
      <c r="BB517" s="724"/>
      <c r="BC517" s="724"/>
      <c r="BD517" s="724"/>
      <c r="BE517" s="726"/>
      <c r="BF517" s="724" t="s">
        <v>298</v>
      </c>
      <c r="BG517" s="724" t="s">
        <v>680</v>
      </c>
      <c r="BH517" s="724" t="s">
        <v>681</v>
      </c>
      <c r="BI517" s="724"/>
    </row>
    <row r="518" spans="1:61">
      <c r="A518" s="724" t="s">
        <v>1010</v>
      </c>
      <c r="B518" s="724" t="s">
        <v>1011</v>
      </c>
      <c r="C518" s="724" t="s">
        <v>934</v>
      </c>
      <c r="D518" s="724" t="s">
        <v>724</v>
      </c>
      <c r="E518" s="724" t="s">
        <v>3</v>
      </c>
      <c r="F518" s="725" t="s">
        <v>83</v>
      </c>
      <c r="G518" s="725" t="s">
        <v>700</v>
      </c>
      <c r="H518" s="726">
        <v>140000</v>
      </c>
      <c r="I518" s="726">
        <v>140000</v>
      </c>
      <c r="J518" s="726">
        <v>0</v>
      </c>
      <c r="K518" s="726">
        <v>0</v>
      </c>
      <c r="L518" s="726">
        <v>127273</v>
      </c>
      <c r="M518" s="726">
        <v>0</v>
      </c>
      <c r="N518" s="726">
        <v>0</v>
      </c>
      <c r="O518" s="726">
        <v>12727</v>
      </c>
      <c r="P518" s="726">
        <v>0</v>
      </c>
      <c r="Q518" s="726">
        <v>0</v>
      </c>
      <c r="R518" s="726">
        <v>0</v>
      </c>
      <c r="S518" s="726">
        <v>0</v>
      </c>
      <c r="T518" s="726">
        <v>0</v>
      </c>
      <c r="U518" s="726">
        <v>0</v>
      </c>
      <c r="V518" s="726">
        <v>0</v>
      </c>
      <c r="W518" s="726">
        <v>0</v>
      </c>
      <c r="X518" s="724" t="s">
        <v>674</v>
      </c>
      <c r="Y518" s="724" t="s">
        <v>1226</v>
      </c>
      <c r="Z518" s="724" t="s">
        <v>1226</v>
      </c>
      <c r="AA518" s="724" t="s">
        <v>675</v>
      </c>
      <c r="AB518" s="724" t="s">
        <v>675</v>
      </c>
      <c r="AC518" s="724"/>
      <c r="AD518" s="724"/>
      <c r="AE518" s="724"/>
      <c r="AF518" s="724"/>
      <c r="AG518" s="725" t="s">
        <v>584</v>
      </c>
      <c r="AH518" s="724"/>
      <c r="AI518" s="725" t="s">
        <v>584</v>
      </c>
      <c r="AJ518" s="725" t="s">
        <v>1012</v>
      </c>
      <c r="AK518" s="724" t="s">
        <v>677</v>
      </c>
      <c r="AL518" s="724"/>
      <c r="AM518" s="724" t="s">
        <v>726</v>
      </c>
      <c r="AN518" s="724" t="s">
        <v>1027</v>
      </c>
      <c r="AO518" s="724" t="s">
        <v>1010</v>
      </c>
      <c r="AP518" s="724" t="s">
        <v>1005</v>
      </c>
      <c r="AQ518" s="724" t="s">
        <v>939</v>
      </c>
      <c r="AR518" s="726">
        <v>140000</v>
      </c>
      <c r="AS518" s="724" t="s">
        <v>675</v>
      </c>
      <c r="AT518" s="726">
        <v>0</v>
      </c>
      <c r="AU518" s="724" t="s">
        <v>678</v>
      </c>
      <c r="AV518" s="724" t="s">
        <v>677</v>
      </c>
      <c r="AW518" s="724" t="s">
        <v>676</v>
      </c>
      <c r="AX518" s="724" t="s">
        <v>674</v>
      </c>
      <c r="AY518" s="724"/>
      <c r="AZ518" s="724"/>
      <c r="BA518" s="724" t="s">
        <v>679</v>
      </c>
      <c r="BB518" s="724"/>
      <c r="BC518" s="724"/>
      <c r="BD518" s="724"/>
      <c r="BE518" s="726"/>
      <c r="BF518" s="724" t="s">
        <v>298</v>
      </c>
      <c r="BG518" s="724" t="s">
        <v>680</v>
      </c>
      <c r="BH518" s="724" t="s">
        <v>681</v>
      </c>
      <c r="BI518" s="724"/>
    </row>
    <row r="519" spans="1:61">
      <c r="A519" s="724" t="s">
        <v>1010</v>
      </c>
      <c r="B519" s="724" t="s">
        <v>1011</v>
      </c>
      <c r="C519" s="724" t="s">
        <v>934</v>
      </c>
      <c r="D519" s="724" t="s">
        <v>724</v>
      </c>
      <c r="E519" s="724" t="s">
        <v>3</v>
      </c>
      <c r="F519" s="725" t="s">
        <v>83</v>
      </c>
      <c r="G519" s="725" t="s">
        <v>700</v>
      </c>
      <c r="H519" s="726">
        <v>140000</v>
      </c>
      <c r="I519" s="726">
        <v>140000</v>
      </c>
      <c r="J519" s="726">
        <v>0</v>
      </c>
      <c r="K519" s="726">
        <v>0</v>
      </c>
      <c r="L519" s="726">
        <v>127273</v>
      </c>
      <c r="M519" s="726">
        <v>0</v>
      </c>
      <c r="N519" s="726">
        <v>0</v>
      </c>
      <c r="O519" s="726">
        <v>12727</v>
      </c>
      <c r="P519" s="726">
        <v>0</v>
      </c>
      <c r="Q519" s="726">
        <v>0</v>
      </c>
      <c r="R519" s="726">
        <v>0</v>
      </c>
      <c r="S519" s="726">
        <v>0</v>
      </c>
      <c r="T519" s="726">
        <v>0</v>
      </c>
      <c r="U519" s="726">
        <v>0</v>
      </c>
      <c r="V519" s="726">
        <v>0</v>
      </c>
      <c r="W519" s="726">
        <v>0</v>
      </c>
      <c r="X519" s="724" t="s">
        <v>674</v>
      </c>
      <c r="Y519" s="724" t="s">
        <v>1226</v>
      </c>
      <c r="Z519" s="724" t="s">
        <v>1226</v>
      </c>
      <c r="AA519" s="724" t="s">
        <v>675</v>
      </c>
      <c r="AB519" s="724" t="s">
        <v>675</v>
      </c>
      <c r="AC519" s="724"/>
      <c r="AD519" s="724"/>
      <c r="AE519" s="724"/>
      <c r="AF519" s="724"/>
      <c r="AG519" s="725" t="s">
        <v>584</v>
      </c>
      <c r="AH519" s="724"/>
      <c r="AI519" s="725" t="s">
        <v>584</v>
      </c>
      <c r="AJ519" s="725" t="s">
        <v>1012</v>
      </c>
      <c r="AK519" s="724" t="s">
        <v>677</v>
      </c>
      <c r="AL519" s="724"/>
      <c r="AM519" s="724" t="s">
        <v>726</v>
      </c>
      <c r="AN519" s="724" t="s">
        <v>1028</v>
      </c>
      <c r="AO519" s="724" t="s">
        <v>1010</v>
      </c>
      <c r="AP519" s="724" t="s">
        <v>1005</v>
      </c>
      <c r="AQ519" s="724" t="s">
        <v>939</v>
      </c>
      <c r="AR519" s="726">
        <v>140000</v>
      </c>
      <c r="AS519" s="724" t="s">
        <v>675</v>
      </c>
      <c r="AT519" s="726">
        <v>0</v>
      </c>
      <c r="AU519" s="724" t="s">
        <v>678</v>
      </c>
      <c r="AV519" s="724" t="s">
        <v>677</v>
      </c>
      <c r="AW519" s="724" t="s">
        <v>676</v>
      </c>
      <c r="AX519" s="724" t="s">
        <v>674</v>
      </c>
      <c r="AY519" s="724"/>
      <c r="AZ519" s="724"/>
      <c r="BA519" s="724" t="s">
        <v>679</v>
      </c>
      <c r="BB519" s="724"/>
      <c r="BC519" s="724"/>
      <c r="BD519" s="724"/>
      <c r="BE519" s="726"/>
      <c r="BF519" s="724" t="s">
        <v>298</v>
      </c>
      <c r="BG519" s="724" t="s">
        <v>680</v>
      </c>
      <c r="BH519" s="724" t="s">
        <v>681</v>
      </c>
      <c r="BI519" s="724"/>
    </row>
    <row r="520" spans="1:61">
      <c r="A520" s="724" t="s">
        <v>1010</v>
      </c>
      <c r="B520" s="724" t="s">
        <v>1011</v>
      </c>
      <c r="C520" s="724" t="s">
        <v>934</v>
      </c>
      <c r="D520" s="724" t="s">
        <v>724</v>
      </c>
      <c r="E520" s="724" t="s">
        <v>3</v>
      </c>
      <c r="F520" s="725" t="s">
        <v>83</v>
      </c>
      <c r="G520" s="725" t="s">
        <v>700</v>
      </c>
      <c r="H520" s="726">
        <v>140000</v>
      </c>
      <c r="I520" s="726">
        <v>140000</v>
      </c>
      <c r="J520" s="726">
        <v>0</v>
      </c>
      <c r="K520" s="726">
        <v>0</v>
      </c>
      <c r="L520" s="726">
        <v>127273</v>
      </c>
      <c r="M520" s="726">
        <v>0</v>
      </c>
      <c r="N520" s="726">
        <v>0</v>
      </c>
      <c r="O520" s="726">
        <v>12727</v>
      </c>
      <c r="P520" s="726">
        <v>0</v>
      </c>
      <c r="Q520" s="726">
        <v>0</v>
      </c>
      <c r="R520" s="726">
        <v>0</v>
      </c>
      <c r="S520" s="726">
        <v>0</v>
      </c>
      <c r="T520" s="726">
        <v>0</v>
      </c>
      <c r="U520" s="726">
        <v>0</v>
      </c>
      <c r="V520" s="726">
        <v>0</v>
      </c>
      <c r="W520" s="726">
        <v>0</v>
      </c>
      <c r="X520" s="724" t="s">
        <v>674</v>
      </c>
      <c r="Y520" s="724" t="s">
        <v>1226</v>
      </c>
      <c r="Z520" s="724" t="s">
        <v>1226</v>
      </c>
      <c r="AA520" s="724" t="s">
        <v>675</v>
      </c>
      <c r="AB520" s="724" t="s">
        <v>675</v>
      </c>
      <c r="AC520" s="724"/>
      <c r="AD520" s="724"/>
      <c r="AE520" s="724"/>
      <c r="AF520" s="724"/>
      <c r="AG520" s="725" t="s">
        <v>584</v>
      </c>
      <c r="AH520" s="724"/>
      <c r="AI520" s="725" t="s">
        <v>584</v>
      </c>
      <c r="AJ520" s="725" t="s">
        <v>1012</v>
      </c>
      <c r="AK520" s="724" t="s">
        <v>677</v>
      </c>
      <c r="AL520" s="724"/>
      <c r="AM520" s="724" t="s">
        <v>726</v>
      </c>
      <c r="AN520" s="724" t="s">
        <v>1029</v>
      </c>
      <c r="AO520" s="724" t="s">
        <v>1010</v>
      </c>
      <c r="AP520" s="724" t="s">
        <v>1005</v>
      </c>
      <c r="AQ520" s="724" t="s">
        <v>939</v>
      </c>
      <c r="AR520" s="726">
        <v>140000</v>
      </c>
      <c r="AS520" s="724" t="s">
        <v>675</v>
      </c>
      <c r="AT520" s="726">
        <v>0</v>
      </c>
      <c r="AU520" s="724" t="s">
        <v>678</v>
      </c>
      <c r="AV520" s="724" t="s">
        <v>677</v>
      </c>
      <c r="AW520" s="724" t="s">
        <v>676</v>
      </c>
      <c r="AX520" s="724" t="s">
        <v>674</v>
      </c>
      <c r="AY520" s="724"/>
      <c r="AZ520" s="724"/>
      <c r="BA520" s="724" t="s">
        <v>679</v>
      </c>
      <c r="BB520" s="724"/>
      <c r="BC520" s="724"/>
      <c r="BD520" s="724"/>
      <c r="BE520" s="726"/>
      <c r="BF520" s="724" t="s">
        <v>298</v>
      </c>
      <c r="BG520" s="724" t="s">
        <v>680</v>
      </c>
      <c r="BH520" s="724" t="s">
        <v>681</v>
      </c>
      <c r="BI520" s="724"/>
    </row>
    <row r="521" spans="1:61">
      <c r="A521" s="724" t="s">
        <v>1010</v>
      </c>
      <c r="B521" s="724" t="s">
        <v>1011</v>
      </c>
      <c r="C521" s="724" t="s">
        <v>934</v>
      </c>
      <c r="D521" s="724" t="s">
        <v>724</v>
      </c>
      <c r="E521" s="724" t="s">
        <v>3</v>
      </c>
      <c r="F521" s="725" t="s">
        <v>83</v>
      </c>
      <c r="G521" s="725" t="s">
        <v>700</v>
      </c>
      <c r="H521" s="726">
        <v>140000</v>
      </c>
      <c r="I521" s="726">
        <v>140000</v>
      </c>
      <c r="J521" s="726">
        <v>0</v>
      </c>
      <c r="K521" s="726">
        <v>0</v>
      </c>
      <c r="L521" s="726">
        <v>127273</v>
      </c>
      <c r="M521" s="726">
        <v>0</v>
      </c>
      <c r="N521" s="726">
        <v>0</v>
      </c>
      <c r="O521" s="726">
        <v>12727</v>
      </c>
      <c r="P521" s="726">
        <v>0</v>
      </c>
      <c r="Q521" s="726">
        <v>0</v>
      </c>
      <c r="R521" s="726">
        <v>0</v>
      </c>
      <c r="S521" s="726">
        <v>0</v>
      </c>
      <c r="T521" s="726">
        <v>0</v>
      </c>
      <c r="U521" s="726">
        <v>0</v>
      </c>
      <c r="V521" s="726">
        <v>0</v>
      </c>
      <c r="W521" s="726">
        <v>0</v>
      </c>
      <c r="X521" s="724" t="s">
        <v>674</v>
      </c>
      <c r="Y521" s="724" t="s">
        <v>1226</v>
      </c>
      <c r="Z521" s="724" t="s">
        <v>1226</v>
      </c>
      <c r="AA521" s="724" t="s">
        <v>675</v>
      </c>
      <c r="AB521" s="724" t="s">
        <v>675</v>
      </c>
      <c r="AC521" s="724"/>
      <c r="AD521" s="724"/>
      <c r="AE521" s="724"/>
      <c r="AF521" s="724"/>
      <c r="AG521" s="725" t="s">
        <v>584</v>
      </c>
      <c r="AH521" s="724"/>
      <c r="AI521" s="725" t="s">
        <v>584</v>
      </c>
      <c r="AJ521" s="725" t="s">
        <v>1012</v>
      </c>
      <c r="AK521" s="724" t="s">
        <v>677</v>
      </c>
      <c r="AL521" s="724"/>
      <c r="AM521" s="724" t="s">
        <v>726</v>
      </c>
      <c r="AN521" s="724" t="s">
        <v>1030</v>
      </c>
      <c r="AO521" s="724" t="s">
        <v>1010</v>
      </c>
      <c r="AP521" s="724" t="s">
        <v>1005</v>
      </c>
      <c r="AQ521" s="724" t="s">
        <v>939</v>
      </c>
      <c r="AR521" s="726">
        <v>140000</v>
      </c>
      <c r="AS521" s="724" t="s">
        <v>675</v>
      </c>
      <c r="AT521" s="726">
        <v>0</v>
      </c>
      <c r="AU521" s="724" t="s">
        <v>678</v>
      </c>
      <c r="AV521" s="724" t="s">
        <v>677</v>
      </c>
      <c r="AW521" s="724" t="s">
        <v>676</v>
      </c>
      <c r="AX521" s="724" t="s">
        <v>674</v>
      </c>
      <c r="AY521" s="724"/>
      <c r="AZ521" s="724"/>
      <c r="BA521" s="724" t="s">
        <v>679</v>
      </c>
      <c r="BB521" s="724"/>
      <c r="BC521" s="724"/>
      <c r="BD521" s="724"/>
      <c r="BE521" s="726"/>
      <c r="BF521" s="724" t="s">
        <v>298</v>
      </c>
      <c r="BG521" s="724" t="s">
        <v>680</v>
      </c>
      <c r="BH521" s="724" t="s">
        <v>681</v>
      </c>
      <c r="BI521" s="724"/>
    </row>
    <row r="522" spans="1:61">
      <c r="A522" s="724" t="s">
        <v>1010</v>
      </c>
      <c r="B522" s="724" t="s">
        <v>1011</v>
      </c>
      <c r="C522" s="724" t="s">
        <v>934</v>
      </c>
      <c r="D522" s="724" t="s">
        <v>724</v>
      </c>
      <c r="E522" s="724" t="s">
        <v>3</v>
      </c>
      <c r="F522" s="725" t="s">
        <v>83</v>
      </c>
      <c r="G522" s="725" t="s">
        <v>700</v>
      </c>
      <c r="H522" s="726">
        <v>140000</v>
      </c>
      <c r="I522" s="726">
        <v>140000</v>
      </c>
      <c r="J522" s="726">
        <v>0</v>
      </c>
      <c r="K522" s="726">
        <v>0</v>
      </c>
      <c r="L522" s="726">
        <v>127273</v>
      </c>
      <c r="M522" s="726">
        <v>0</v>
      </c>
      <c r="N522" s="726">
        <v>0</v>
      </c>
      <c r="O522" s="726">
        <v>12727</v>
      </c>
      <c r="P522" s="726">
        <v>0</v>
      </c>
      <c r="Q522" s="726">
        <v>0</v>
      </c>
      <c r="R522" s="726">
        <v>0</v>
      </c>
      <c r="S522" s="726">
        <v>0</v>
      </c>
      <c r="T522" s="726">
        <v>0</v>
      </c>
      <c r="U522" s="726">
        <v>0</v>
      </c>
      <c r="V522" s="726">
        <v>0</v>
      </c>
      <c r="W522" s="726">
        <v>0</v>
      </c>
      <c r="X522" s="724" t="s">
        <v>674</v>
      </c>
      <c r="Y522" s="724" t="s">
        <v>1226</v>
      </c>
      <c r="Z522" s="724" t="s">
        <v>1226</v>
      </c>
      <c r="AA522" s="724" t="s">
        <v>675</v>
      </c>
      <c r="AB522" s="724" t="s">
        <v>675</v>
      </c>
      <c r="AC522" s="724"/>
      <c r="AD522" s="724"/>
      <c r="AE522" s="724"/>
      <c r="AF522" s="724"/>
      <c r="AG522" s="725" t="s">
        <v>584</v>
      </c>
      <c r="AH522" s="724"/>
      <c r="AI522" s="725" t="s">
        <v>584</v>
      </c>
      <c r="AJ522" s="725" t="s">
        <v>1012</v>
      </c>
      <c r="AK522" s="724" t="s">
        <v>677</v>
      </c>
      <c r="AL522" s="724"/>
      <c r="AM522" s="724" t="s">
        <v>726</v>
      </c>
      <c r="AN522" s="724" t="s">
        <v>1031</v>
      </c>
      <c r="AO522" s="724" t="s">
        <v>1010</v>
      </c>
      <c r="AP522" s="724" t="s">
        <v>1005</v>
      </c>
      <c r="AQ522" s="724" t="s">
        <v>939</v>
      </c>
      <c r="AR522" s="726">
        <v>140000</v>
      </c>
      <c r="AS522" s="724" t="s">
        <v>675</v>
      </c>
      <c r="AT522" s="726">
        <v>0</v>
      </c>
      <c r="AU522" s="724" t="s">
        <v>678</v>
      </c>
      <c r="AV522" s="724" t="s">
        <v>677</v>
      </c>
      <c r="AW522" s="724" t="s">
        <v>676</v>
      </c>
      <c r="AX522" s="724" t="s">
        <v>674</v>
      </c>
      <c r="AY522" s="724"/>
      <c r="AZ522" s="724"/>
      <c r="BA522" s="724" t="s">
        <v>679</v>
      </c>
      <c r="BB522" s="724"/>
      <c r="BC522" s="724"/>
      <c r="BD522" s="724"/>
      <c r="BE522" s="726"/>
      <c r="BF522" s="724" t="s">
        <v>298</v>
      </c>
      <c r="BG522" s="724" t="s">
        <v>680</v>
      </c>
      <c r="BH522" s="724" t="s">
        <v>681</v>
      </c>
      <c r="BI522" s="724"/>
    </row>
    <row r="523" spans="1:61">
      <c r="A523" s="724" t="s">
        <v>1010</v>
      </c>
      <c r="B523" s="724" t="s">
        <v>1011</v>
      </c>
      <c r="C523" s="724" t="s">
        <v>934</v>
      </c>
      <c r="D523" s="724" t="s">
        <v>724</v>
      </c>
      <c r="E523" s="724" t="s">
        <v>3</v>
      </c>
      <c r="F523" s="725" t="s">
        <v>83</v>
      </c>
      <c r="G523" s="725" t="s">
        <v>700</v>
      </c>
      <c r="H523" s="726">
        <v>140000</v>
      </c>
      <c r="I523" s="726">
        <v>140000</v>
      </c>
      <c r="J523" s="726">
        <v>0</v>
      </c>
      <c r="K523" s="726">
        <v>0</v>
      </c>
      <c r="L523" s="726">
        <v>127273</v>
      </c>
      <c r="M523" s="726">
        <v>0</v>
      </c>
      <c r="N523" s="726">
        <v>0</v>
      </c>
      <c r="O523" s="726">
        <v>12727</v>
      </c>
      <c r="P523" s="726">
        <v>0</v>
      </c>
      <c r="Q523" s="726">
        <v>0</v>
      </c>
      <c r="R523" s="726">
        <v>0</v>
      </c>
      <c r="S523" s="726">
        <v>0</v>
      </c>
      <c r="T523" s="726">
        <v>0</v>
      </c>
      <c r="U523" s="726">
        <v>0</v>
      </c>
      <c r="V523" s="726">
        <v>0</v>
      </c>
      <c r="W523" s="726">
        <v>0</v>
      </c>
      <c r="X523" s="724" t="s">
        <v>674</v>
      </c>
      <c r="Y523" s="724" t="s">
        <v>1226</v>
      </c>
      <c r="Z523" s="724" t="s">
        <v>1226</v>
      </c>
      <c r="AA523" s="724" t="s">
        <v>675</v>
      </c>
      <c r="AB523" s="724" t="s">
        <v>675</v>
      </c>
      <c r="AC523" s="724"/>
      <c r="AD523" s="724"/>
      <c r="AE523" s="724"/>
      <c r="AF523" s="724"/>
      <c r="AG523" s="725" t="s">
        <v>584</v>
      </c>
      <c r="AH523" s="724"/>
      <c r="AI523" s="725" t="s">
        <v>584</v>
      </c>
      <c r="AJ523" s="725" t="s">
        <v>1012</v>
      </c>
      <c r="AK523" s="724" t="s">
        <v>677</v>
      </c>
      <c r="AL523" s="724"/>
      <c r="AM523" s="724" t="s">
        <v>726</v>
      </c>
      <c r="AN523" s="724" t="s">
        <v>1032</v>
      </c>
      <c r="AO523" s="724" t="s">
        <v>1010</v>
      </c>
      <c r="AP523" s="724" t="s">
        <v>1005</v>
      </c>
      <c r="AQ523" s="724" t="s">
        <v>939</v>
      </c>
      <c r="AR523" s="726">
        <v>140000</v>
      </c>
      <c r="AS523" s="724" t="s">
        <v>675</v>
      </c>
      <c r="AT523" s="726">
        <v>0</v>
      </c>
      <c r="AU523" s="724" t="s">
        <v>678</v>
      </c>
      <c r="AV523" s="724" t="s">
        <v>677</v>
      </c>
      <c r="AW523" s="724" t="s">
        <v>676</v>
      </c>
      <c r="AX523" s="724" t="s">
        <v>674</v>
      </c>
      <c r="AY523" s="724"/>
      <c r="AZ523" s="724"/>
      <c r="BA523" s="724" t="s">
        <v>679</v>
      </c>
      <c r="BB523" s="724"/>
      <c r="BC523" s="724"/>
      <c r="BD523" s="724"/>
      <c r="BE523" s="726"/>
      <c r="BF523" s="724" t="s">
        <v>298</v>
      </c>
      <c r="BG523" s="724" t="s">
        <v>680</v>
      </c>
      <c r="BH523" s="724" t="s">
        <v>681</v>
      </c>
      <c r="BI523" s="724"/>
    </row>
    <row r="524" spans="1:61">
      <c r="A524" s="724" t="s">
        <v>1010</v>
      </c>
      <c r="B524" s="724" t="s">
        <v>1011</v>
      </c>
      <c r="C524" s="724" t="s">
        <v>934</v>
      </c>
      <c r="D524" s="724" t="s">
        <v>724</v>
      </c>
      <c r="E524" s="724" t="s">
        <v>3</v>
      </c>
      <c r="F524" s="725" t="s">
        <v>83</v>
      </c>
      <c r="G524" s="725" t="s">
        <v>700</v>
      </c>
      <c r="H524" s="726">
        <v>140000</v>
      </c>
      <c r="I524" s="726">
        <v>140000</v>
      </c>
      <c r="J524" s="726">
        <v>0</v>
      </c>
      <c r="K524" s="726">
        <v>0</v>
      </c>
      <c r="L524" s="726">
        <v>127273</v>
      </c>
      <c r="M524" s="726">
        <v>0</v>
      </c>
      <c r="N524" s="726">
        <v>0</v>
      </c>
      <c r="O524" s="726">
        <v>12727</v>
      </c>
      <c r="P524" s="726">
        <v>0</v>
      </c>
      <c r="Q524" s="726">
        <v>0</v>
      </c>
      <c r="R524" s="726">
        <v>0</v>
      </c>
      <c r="S524" s="726">
        <v>0</v>
      </c>
      <c r="T524" s="726">
        <v>0</v>
      </c>
      <c r="U524" s="726">
        <v>0</v>
      </c>
      <c r="V524" s="726">
        <v>0</v>
      </c>
      <c r="W524" s="726">
        <v>0</v>
      </c>
      <c r="X524" s="724" t="s">
        <v>674</v>
      </c>
      <c r="Y524" s="724" t="s">
        <v>1226</v>
      </c>
      <c r="Z524" s="724" t="s">
        <v>1226</v>
      </c>
      <c r="AA524" s="724" t="s">
        <v>675</v>
      </c>
      <c r="AB524" s="724" t="s">
        <v>675</v>
      </c>
      <c r="AC524" s="724"/>
      <c r="AD524" s="724"/>
      <c r="AE524" s="724"/>
      <c r="AF524" s="724"/>
      <c r="AG524" s="725" t="s">
        <v>584</v>
      </c>
      <c r="AH524" s="724"/>
      <c r="AI524" s="725" t="s">
        <v>584</v>
      </c>
      <c r="AJ524" s="725" t="s">
        <v>1012</v>
      </c>
      <c r="AK524" s="724" t="s">
        <v>677</v>
      </c>
      <c r="AL524" s="724"/>
      <c r="AM524" s="724" t="s">
        <v>726</v>
      </c>
      <c r="AN524" s="724" t="s">
        <v>1033</v>
      </c>
      <c r="AO524" s="724" t="s">
        <v>1010</v>
      </c>
      <c r="AP524" s="724" t="s">
        <v>1005</v>
      </c>
      <c r="AQ524" s="724" t="s">
        <v>939</v>
      </c>
      <c r="AR524" s="726">
        <v>140000</v>
      </c>
      <c r="AS524" s="724" t="s">
        <v>675</v>
      </c>
      <c r="AT524" s="726">
        <v>0</v>
      </c>
      <c r="AU524" s="724" t="s">
        <v>678</v>
      </c>
      <c r="AV524" s="724" t="s">
        <v>677</v>
      </c>
      <c r="AW524" s="724" t="s">
        <v>676</v>
      </c>
      <c r="AX524" s="724" t="s">
        <v>674</v>
      </c>
      <c r="AY524" s="724"/>
      <c r="AZ524" s="724"/>
      <c r="BA524" s="724" t="s">
        <v>679</v>
      </c>
      <c r="BB524" s="724"/>
      <c r="BC524" s="724"/>
      <c r="BD524" s="724"/>
      <c r="BE524" s="726"/>
      <c r="BF524" s="724" t="s">
        <v>298</v>
      </c>
      <c r="BG524" s="724" t="s">
        <v>680</v>
      </c>
      <c r="BH524" s="724" t="s">
        <v>681</v>
      </c>
      <c r="BI524" s="724"/>
    </row>
    <row r="525" spans="1:61">
      <c r="A525" s="724" t="s">
        <v>1010</v>
      </c>
      <c r="B525" s="724" t="s">
        <v>1011</v>
      </c>
      <c r="C525" s="724" t="s">
        <v>934</v>
      </c>
      <c r="D525" s="724" t="s">
        <v>724</v>
      </c>
      <c r="E525" s="724" t="s">
        <v>3</v>
      </c>
      <c r="F525" s="725" t="s">
        <v>83</v>
      </c>
      <c r="G525" s="725" t="s">
        <v>700</v>
      </c>
      <c r="H525" s="726">
        <v>140000</v>
      </c>
      <c r="I525" s="726">
        <v>140000</v>
      </c>
      <c r="J525" s="726">
        <v>0</v>
      </c>
      <c r="K525" s="726">
        <v>0</v>
      </c>
      <c r="L525" s="726">
        <v>127273</v>
      </c>
      <c r="M525" s="726">
        <v>0</v>
      </c>
      <c r="N525" s="726">
        <v>0</v>
      </c>
      <c r="O525" s="726">
        <v>12727</v>
      </c>
      <c r="P525" s="726">
        <v>0</v>
      </c>
      <c r="Q525" s="726">
        <v>0</v>
      </c>
      <c r="R525" s="726">
        <v>0</v>
      </c>
      <c r="S525" s="726">
        <v>0</v>
      </c>
      <c r="T525" s="726">
        <v>0</v>
      </c>
      <c r="U525" s="726">
        <v>0</v>
      </c>
      <c r="V525" s="726">
        <v>0</v>
      </c>
      <c r="W525" s="726">
        <v>0</v>
      </c>
      <c r="X525" s="724" t="s">
        <v>674</v>
      </c>
      <c r="Y525" s="724" t="s">
        <v>1226</v>
      </c>
      <c r="Z525" s="724" t="s">
        <v>1226</v>
      </c>
      <c r="AA525" s="724" t="s">
        <v>675</v>
      </c>
      <c r="AB525" s="724" t="s">
        <v>675</v>
      </c>
      <c r="AC525" s="724"/>
      <c r="AD525" s="724"/>
      <c r="AE525" s="724"/>
      <c r="AF525" s="724"/>
      <c r="AG525" s="725" t="s">
        <v>584</v>
      </c>
      <c r="AH525" s="724"/>
      <c r="AI525" s="725" t="s">
        <v>584</v>
      </c>
      <c r="AJ525" s="725" t="s">
        <v>1012</v>
      </c>
      <c r="AK525" s="724" t="s">
        <v>677</v>
      </c>
      <c r="AL525" s="724"/>
      <c r="AM525" s="724" t="s">
        <v>726</v>
      </c>
      <c r="AN525" s="724" t="s">
        <v>1034</v>
      </c>
      <c r="AO525" s="724" t="s">
        <v>1010</v>
      </c>
      <c r="AP525" s="724" t="s">
        <v>1005</v>
      </c>
      <c r="AQ525" s="724" t="s">
        <v>939</v>
      </c>
      <c r="AR525" s="726">
        <v>140000</v>
      </c>
      <c r="AS525" s="724" t="s">
        <v>675</v>
      </c>
      <c r="AT525" s="726">
        <v>0</v>
      </c>
      <c r="AU525" s="724" t="s">
        <v>678</v>
      </c>
      <c r="AV525" s="724" t="s">
        <v>677</v>
      </c>
      <c r="AW525" s="724" t="s">
        <v>676</v>
      </c>
      <c r="AX525" s="724" t="s">
        <v>674</v>
      </c>
      <c r="AY525" s="724"/>
      <c r="AZ525" s="724"/>
      <c r="BA525" s="724" t="s">
        <v>679</v>
      </c>
      <c r="BB525" s="724"/>
      <c r="BC525" s="724"/>
      <c r="BD525" s="724"/>
      <c r="BE525" s="726"/>
      <c r="BF525" s="724" t="s">
        <v>298</v>
      </c>
      <c r="BG525" s="724" t="s">
        <v>680</v>
      </c>
      <c r="BH525" s="724" t="s">
        <v>681</v>
      </c>
      <c r="BI525" s="724"/>
    </row>
    <row r="526" spans="1:61">
      <c r="A526" s="724" t="s">
        <v>1035</v>
      </c>
      <c r="B526" s="724" t="s">
        <v>843</v>
      </c>
      <c r="C526" s="724" t="s">
        <v>843</v>
      </c>
      <c r="D526" s="724" t="s">
        <v>724</v>
      </c>
      <c r="E526" s="724" t="s">
        <v>3</v>
      </c>
      <c r="F526" s="725" t="s">
        <v>83</v>
      </c>
      <c r="G526" s="725" t="s">
        <v>700</v>
      </c>
      <c r="H526" s="726">
        <v>1002000</v>
      </c>
      <c r="I526" s="726">
        <v>1002000</v>
      </c>
      <c r="J526" s="726">
        <v>0</v>
      </c>
      <c r="K526" s="726">
        <v>0</v>
      </c>
      <c r="L526" s="726">
        <v>910910</v>
      </c>
      <c r="M526" s="726">
        <v>0</v>
      </c>
      <c r="N526" s="726">
        <v>0</v>
      </c>
      <c r="O526" s="726">
        <v>91090</v>
      </c>
      <c r="P526" s="726">
        <v>0</v>
      </c>
      <c r="Q526" s="726">
        <v>0</v>
      </c>
      <c r="R526" s="726">
        <v>0</v>
      </c>
      <c r="S526" s="726">
        <v>0</v>
      </c>
      <c r="T526" s="726">
        <v>0</v>
      </c>
      <c r="U526" s="726">
        <v>0</v>
      </c>
      <c r="V526" s="726">
        <v>0</v>
      </c>
      <c r="W526" s="726">
        <v>0</v>
      </c>
      <c r="X526" s="724" t="s">
        <v>674</v>
      </c>
      <c r="Y526" s="724" t="s">
        <v>1226</v>
      </c>
      <c r="Z526" s="724" t="s">
        <v>1226</v>
      </c>
      <c r="AA526" s="724" t="s">
        <v>675</v>
      </c>
      <c r="AB526" s="724" t="s">
        <v>675</v>
      </c>
      <c r="AC526" s="724"/>
      <c r="AD526" s="724"/>
      <c r="AE526" s="724"/>
      <c r="AF526" s="724"/>
      <c r="AG526" s="725" t="s">
        <v>844</v>
      </c>
      <c r="AH526" s="724"/>
      <c r="AI526" s="725" t="s">
        <v>844</v>
      </c>
      <c r="AJ526" s="725" t="s">
        <v>1036</v>
      </c>
      <c r="AK526" s="724" t="s">
        <v>677</v>
      </c>
      <c r="AL526" s="724"/>
      <c r="AM526" s="724" t="s">
        <v>726</v>
      </c>
      <c r="AN526" s="724" t="s">
        <v>1037</v>
      </c>
      <c r="AO526" s="724" t="s">
        <v>1035</v>
      </c>
      <c r="AP526" s="724" t="s">
        <v>1010</v>
      </c>
      <c r="AQ526" s="724" t="s">
        <v>821</v>
      </c>
      <c r="AR526" s="726">
        <v>1002000</v>
      </c>
      <c r="AS526" s="724" t="s">
        <v>675</v>
      </c>
      <c r="AT526" s="726">
        <v>0</v>
      </c>
      <c r="AU526" s="724" t="s">
        <v>678</v>
      </c>
      <c r="AV526" s="724" t="s">
        <v>677</v>
      </c>
      <c r="AW526" s="724" t="s">
        <v>676</v>
      </c>
      <c r="AX526" s="724" t="s">
        <v>674</v>
      </c>
      <c r="AY526" s="724"/>
      <c r="AZ526" s="724"/>
      <c r="BA526" s="724" t="s">
        <v>679</v>
      </c>
      <c r="BB526" s="724"/>
      <c r="BC526" s="724"/>
      <c r="BD526" s="724"/>
      <c r="BE526" s="726"/>
      <c r="BF526" s="724" t="s">
        <v>298</v>
      </c>
      <c r="BG526" s="724" t="s">
        <v>680</v>
      </c>
      <c r="BH526" s="724" t="s">
        <v>681</v>
      </c>
      <c r="BI526" s="724"/>
    </row>
    <row r="527" spans="1:61">
      <c r="A527" s="724" t="s">
        <v>1035</v>
      </c>
      <c r="B527" s="724" t="s">
        <v>843</v>
      </c>
      <c r="C527" s="724" t="s">
        <v>843</v>
      </c>
      <c r="D527" s="724" t="s">
        <v>724</v>
      </c>
      <c r="E527" s="724" t="s">
        <v>3</v>
      </c>
      <c r="F527" s="725" t="s">
        <v>83</v>
      </c>
      <c r="G527" s="725" t="s">
        <v>700</v>
      </c>
      <c r="H527" s="726">
        <v>912000</v>
      </c>
      <c r="I527" s="726">
        <v>912000</v>
      </c>
      <c r="J527" s="726">
        <v>0</v>
      </c>
      <c r="K527" s="726">
        <v>0</v>
      </c>
      <c r="L527" s="726">
        <v>829091</v>
      </c>
      <c r="M527" s="726">
        <v>0</v>
      </c>
      <c r="N527" s="726">
        <v>0</v>
      </c>
      <c r="O527" s="726">
        <v>82909</v>
      </c>
      <c r="P527" s="726">
        <v>0</v>
      </c>
      <c r="Q527" s="726">
        <v>0</v>
      </c>
      <c r="R527" s="726">
        <v>0</v>
      </c>
      <c r="S527" s="726">
        <v>0</v>
      </c>
      <c r="T527" s="726">
        <v>0</v>
      </c>
      <c r="U527" s="726">
        <v>0</v>
      </c>
      <c r="V527" s="726">
        <v>0</v>
      </c>
      <c r="W527" s="726">
        <v>0</v>
      </c>
      <c r="X527" s="724" t="s">
        <v>674</v>
      </c>
      <c r="Y527" s="724" t="s">
        <v>1226</v>
      </c>
      <c r="Z527" s="724" t="s">
        <v>1226</v>
      </c>
      <c r="AA527" s="724" t="s">
        <v>675</v>
      </c>
      <c r="AB527" s="724" t="s">
        <v>675</v>
      </c>
      <c r="AC527" s="724"/>
      <c r="AD527" s="724"/>
      <c r="AE527" s="724"/>
      <c r="AF527" s="724"/>
      <c r="AG527" s="725" t="s">
        <v>844</v>
      </c>
      <c r="AH527" s="724"/>
      <c r="AI527" s="725" t="s">
        <v>844</v>
      </c>
      <c r="AJ527" s="725" t="s">
        <v>1036</v>
      </c>
      <c r="AK527" s="724" t="s">
        <v>677</v>
      </c>
      <c r="AL527" s="724"/>
      <c r="AM527" s="724" t="s">
        <v>726</v>
      </c>
      <c r="AN527" s="724" t="s">
        <v>1038</v>
      </c>
      <c r="AO527" s="724" t="s">
        <v>1035</v>
      </c>
      <c r="AP527" s="724" t="s">
        <v>1010</v>
      </c>
      <c r="AQ527" s="724" t="s">
        <v>821</v>
      </c>
      <c r="AR527" s="726">
        <v>912000</v>
      </c>
      <c r="AS527" s="724" t="s">
        <v>675</v>
      </c>
      <c r="AT527" s="726">
        <v>0</v>
      </c>
      <c r="AU527" s="724" t="s">
        <v>678</v>
      </c>
      <c r="AV527" s="724" t="s">
        <v>677</v>
      </c>
      <c r="AW527" s="724" t="s">
        <v>676</v>
      </c>
      <c r="AX527" s="724" t="s">
        <v>674</v>
      </c>
      <c r="AY527" s="724"/>
      <c r="AZ527" s="724"/>
      <c r="BA527" s="724" t="s">
        <v>679</v>
      </c>
      <c r="BB527" s="724"/>
      <c r="BC527" s="724"/>
      <c r="BD527" s="724"/>
      <c r="BE527" s="726"/>
      <c r="BF527" s="724" t="s">
        <v>298</v>
      </c>
      <c r="BG527" s="724" t="s">
        <v>680</v>
      </c>
      <c r="BH527" s="724" t="s">
        <v>681</v>
      </c>
      <c r="BI527" s="724"/>
    </row>
    <row r="528" spans="1:61">
      <c r="A528" s="724" t="s">
        <v>1035</v>
      </c>
      <c r="B528" s="724" t="s">
        <v>843</v>
      </c>
      <c r="C528" s="724" t="s">
        <v>843</v>
      </c>
      <c r="D528" s="724" t="s">
        <v>724</v>
      </c>
      <c r="E528" s="724" t="s">
        <v>3</v>
      </c>
      <c r="F528" s="725" t="s">
        <v>83</v>
      </c>
      <c r="G528" s="725" t="s">
        <v>700</v>
      </c>
      <c r="H528" s="726">
        <v>953700</v>
      </c>
      <c r="I528" s="726">
        <v>953700</v>
      </c>
      <c r="J528" s="726">
        <v>0</v>
      </c>
      <c r="K528" s="726">
        <v>0</v>
      </c>
      <c r="L528" s="726">
        <v>867000</v>
      </c>
      <c r="M528" s="726">
        <v>0</v>
      </c>
      <c r="N528" s="726">
        <v>0</v>
      </c>
      <c r="O528" s="726">
        <v>86700</v>
      </c>
      <c r="P528" s="726">
        <v>0</v>
      </c>
      <c r="Q528" s="726">
        <v>0</v>
      </c>
      <c r="R528" s="726">
        <v>0</v>
      </c>
      <c r="S528" s="726">
        <v>0</v>
      </c>
      <c r="T528" s="726">
        <v>0</v>
      </c>
      <c r="U528" s="726">
        <v>0</v>
      </c>
      <c r="V528" s="726">
        <v>0</v>
      </c>
      <c r="W528" s="726">
        <v>0</v>
      </c>
      <c r="X528" s="724" t="s">
        <v>674</v>
      </c>
      <c r="Y528" s="724" t="s">
        <v>1226</v>
      </c>
      <c r="Z528" s="724" t="s">
        <v>1226</v>
      </c>
      <c r="AA528" s="724" t="s">
        <v>675</v>
      </c>
      <c r="AB528" s="724" t="s">
        <v>675</v>
      </c>
      <c r="AC528" s="724"/>
      <c r="AD528" s="724"/>
      <c r="AE528" s="724"/>
      <c r="AF528" s="724"/>
      <c r="AG528" s="725" t="s">
        <v>844</v>
      </c>
      <c r="AH528" s="724"/>
      <c r="AI528" s="725" t="s">
        <v>844</v>
      </c>
      <c r="AJ528" s="725" t="s">
        <v>1039</v>
      </c>
      <c r="AK528" s="724" t="s">
        <v>677</v>
      </c>
      <c r="AL528" s="724"/>
      <c r="AM528" s="724" t="s">
        <v>726</v>
      </c>
      <c r="AN528" s="724" t="s">
        <v>1040</v>
      </c>
      <c r="AO528" s="724" t="s">
        <v>1035</v>
      </c>
      <c r="AP528" s="724" t="s">
        <v>1010</v>
      </c>
      <c r="AQ528" s="724" t="s">
        <v>821</v>
      </c>
      <c r="AR528" s="726">
        <v>953700</v>
      </c>
      <c r="AS528" s="724" t="s">
        <v>675</v>
      </c>
      <c r="AT528" s="726">
        <v>0</v>
      </c>
      <c r="AU528" s="724" t="s">
        <v>678</v>
      </c>
      <c r="AV528" s="724" t="s">
        <v>677</v>
      </c>
      <c r="AW528" s="724" t="s">
        <v>676</v>
      </c>
      <c r="AX528" s="724" t="s">
        <v>674</v>
      </c>
      <c r="AY528" s="724"/>
      <c r="AZ528" s="724"/>
      <c r="BA528" s="724" t="s">
        <v>679</v>
      </c>
      <c r="BB528" s="724"/>
      <c r="BC528" s="724"/>
      <c r="BD528" s="724"/>
      <c r="BE528" s="726"/>
      <c r="BF528" s="724" t="s">
        <v>298</v>
      </c>
      <c r="BG528" s="724" t="s">
        <v>680</v>
      </c>
      <c r="BH528" s="724" t="s">
        <v>681</v>
      </c>
      <c r="BI528" s="724"/>
    </row>
    <row r="529" spans="1:61">
      <c r="A529" s="724" t="s">
        <v>1035</v>
      </c>
      <c r="B529" s="724" t="s">
        <v>843</v>
      </c>
      <c r="C529" s="724" t="s">
        <v>843</v>
      </c>
      <c r="D529" s="724" t="s">
        <v>724</v>
      </c>
      <c r="E529" s="724" t="s">
        <v>3</v>
      </c>
      <c r="F529" s="725" t="s">
        <v>83</v>
      </c>
      <c r="G529" s="725" t="s">
        <v>700</v>
      </c>
      <c r="H529" s="726">
        <v>673200</v>
      </c>
      <c r="I529" s="726">
        <v>673200</v>
      </c>
      <c r="J529" s="726">
        <v>0</v>
      </c>
      <c r="K529" s="726">
        <v>0</v>
      </c>
      <c r="L529" s="726">
        <v>612000</v>
      </c>
      <c r="M529" s="726">
        <v>0</v>
      </c>
      <c r="N529" s="726">
        <v>0</v>
      </c>
      <c r="O529" s="726">
        <v>61200</v>
      </c>
      <c r="P529" s="726">
        <v>0</v>
      </c>
      <c r="Q529" s="726">
        <v>0</v>
      </c>
      <c r="R529" s="726">
        <v>0</v>
      </c>
      <c r="S529" s="726">
        <v>0</v>
      </c>
      <c r="T529" s="726">
        <v>0</v>
      </c>
      <c r="U529" s="726">
        <v>0</v>
      </c>
      <c r="V529" s="726">
        <v>0</v>
      </c>
      <c r="W529" s="726">
        <v>0</v>
      </c>
      <c r="X529" s="724" t="s">
        <v>674</v>
      </c>
      <c r="Y529" s="724" t="s">
        <v>1226</v>
      </c>
      <c r="Z529" s="724" t="s">
        <v>1226</v>
      </c>
      <c r="AA529" s="724" t="s">
        <v>675</v>
      </c>
      <c r="AB529" s="724" t="s">
        <v>675</v>
      </c>
      <c r="AC529" s="724"/>
      <c r="AD529" s="724"/>
      <c r="AE529" s="724"/>
      <c r="AF529" s="724"/>
      <c r="AG529" s="725" t="s">
        <v>844</v>
      </c>
      <c r="AH529" s="724"/>
      <c r="AI529" s="725" t="s">
        <v>844</v>
      </c>
      <c r="AJ529" s="725" t="s">
        <v>1039</v>
      </c>
      <c r="AK529" s="724" t="s">
        <v>677</v>
      </c>
      <c r="AL529" s="724"/>
      <c r="AM529" s="724" t="s">
        <v>726</v>
      </c>
      <c r="AN529" s="724" t="s">
        <v>1041</v>
      </c>
      <c r="AO529" s="724" t="s">
        <v>1035</v>
      </c>
      <c r="AP529" s="724" t="s">
        <v>1010</v>
      </c>
      <c r="AQ529" s="724" t="s">
        <v>821</v>
      </c>
      <c r="AR529" s="726">
        <v>673200</v>
      </c>
      <c r="AS529" s="724" t="s">
        <v>675</v>
      </c>
      <c r="AT529" s="726">
        <v>0</v>
      </c>
      <c r="AU529" s="724" t="s">
        <v>678</v>
      </c>
      <c r="AV529" s="724" t="s">
        <v>677</v>
      </c>
      <c r="AW529" s="724" t="s">
        <v>676</v>
      </c>
      <c r="AX529" s="724" t="s">
        <v>674</v>
      </c>
      <c r="AY529" s="724"/>
      <c r="AZ529" s="724"/>
      <c r="BA529" s="724" t="s">
        <v>679</v>
      </c>
      <c r="BB529" s="724"/>
      <c r="BC529" s="724"/>
      <c r="BD529" s="724"/>
      <c r="BE529" s="726"/>
      <c r="BF529" s="724" t="s">
        <v>298</v>
      </c>
      <c r="BG529" s="724" t="s">
        <v>680</v>
      </c>
      <c r="BH529" s="724" t="s">
        <v>681</v>
      </c>
      <c r="BI529" s="724"/>
    </row>
    <row r="530" spans="1:61">
      <c r="A530" s="724" t="s">
        <v>1035</v>
      </c>
      <c r="B530" s="724" t="s">
        <v>843</v>
      </c>
      <c r="C530" s="724" t="s">
        <v>843</v>
      </c>
      <c r="D530" s="724" t="s">
        <v>724</v>
      </c>
      <c r="E530" s="724" t="s">
        <v>3</v>
      </c>
      <c r="F530" s="725" t="s">
        <v>83</v>
      </c>
      <c r="G530" s="725" t="s">
        <v>700</v>
      </c>
      <c r="H530" s="726">
        <v>673200</v>
      </c>
      <c r="I530" s="726">
        <v>673200</v>
      </c>
      <c r="J530" s="726">
        <v>0</v>
      </c>
      <c r="K530" s="726">
        <v>0</v>
      </c>
      <c r="L530" s="726">
        <v>612000</v>
      </c>
      <c r="M530" s="726">
        <v>0</v>
      </c>
      <c r="N530" s="726">
        <v>0</v>
      </c>
      <c r="O530" s="726">
        <v>61200</v>
      </c>
      <c r="P530" s="726">
        <v>0</v>
      </c>
      <c r="Q530" s="726">
        <v>0</v>
      </c>
      <c r="R530" s="726">
        <v>0</v>
      </c>
      <c r="S530" s="726">
        <v>0</v>
      </c>
      <c r="T530" s="726">
        <v>0</v>
      </c>
      <c r="U530" s="726">
        <v>0</v>
      </c>
      <c r="V530" s="726">
        <v>0</v>
      </c>
      <c r="W530" s="726">
        <v>0</v>
      </c>
      <c r="X530" s="724" t="s">
        <v>674</v>
      </c>
      <c r="Y530" s="724" t="s">
        <v>1226</v>
      </c>
      <c r="Z530" s="724" t="s">
        <v>1226</v>
      </c>
      <c r="AA530" s="724" t="s">
        <v>675</v>
      </c>
      <c r="AB530" s="724" t="s">
        <v>675</v>
      </c>
      <c r="AC530" s="724"/>
      <c r="AD530" s="724"/>
      <c r="AE530" s="724"/>
      <c r="AF530" s="724"/>
      <c r="AG530" s="725" t="s">
        <v>844</v>
      </c>
      <c r="AH530" s="724"/>
      <c r="AI530" s="725" t="s">
        <v>844</v>
      </c>
      <c r="AJ530" s="725" t="s">
        <v>1039</v>
      </c>
      <c r="AK530" s="724" t="s">
        <v>677</v>
      </c>
      <c r="AL530" s="724"/>
      <c r="AM530" s="724" t="s">
        <v>726</v>
      </c>
      <c r="AN530" s="724" t="s">
        <v>1042</v>
      </c>
      <c r="AO530" s="724" t="s">
        <v>1035</v>
      </c>
      <c r="AP530" s="724" t="s">
        <v>1010</v>
      </c>
      <c r="AQ530" s="724" t="s">
        <v>821</v>
      </c>
      <c r="AR530" s="726">
        <v>673200</v>
      </c>
      <c r="AS530" s="724" t="s">
        <v>675</v>
      </c>
      <c r="AT530" s="726">
        <v>0</v>
      </c>
      <c r="AU530" s="724" t="s">
        <v>678</v>
      </c>
      <c r="AV530" s="724" t="s">
        <v>677</v>
      </c>
      <c r="AW530" s="724" t="s">
        <v>676</v>
      </c>
      <c r="AX530" s="724" t="s">
        <v>674</v>
      </c>
      <c r="AY530" s="724"/>
      <c r="AZ530" s="724"/>
      <c r="BA530" s="724" t="s">
        <v>679</v>
      </c>
      <c r="BB530" s="724"/>
      <c r="BC530" s="724"/>
      <c r="BD530" s="724"/>
      <c r="BE530" s="726"/>
      <c r="BF530" s="724" t="s">
        <v>298</v>
      </c>
      <c r="BG530" s="724" t="s">
        <v>680</v>
      </c>
      <c r="BH530" s="724" t="s">
        <v>681</v>
      </c>
      <c r="BI530" s="724"/>
    </row>
    <row r="531" spans="1:61">
      <c r="A531" s="724" t="s">
        <v>1035</v>
      </c>
      <c r="B531" s="724" t="s">
        <v>843</v>
      </c>
      <c r="C531" s="724" t="s">
        <v>843</v>
      </c>
      <c r="D531" s="724" t="s">
        <v>724</v>
      </c>
      <c r="E531" s="724" t="s">
        <v>3</v>
      </c>
      <c r="F531" s="725" t="s">
        <v>83</v>
      </c>
      <c r="G531" s="725" t="s">
        <v>700</v>
      </c>
      <c r="H531" s="726">
        <v>673200</v>
      </c>
      <c r="I531" s="726">
        <v>673200</v>
      </c>
      <c r="J531" s="726">
        <v>0</v>
      </c>
      <c r="K531" s="726">
        <v>0</v>
      </c>
      <c r="L531" s="726">
        <v>612000</v>
      </c>
      <c r="M531" s="726">
        <v>0</v>
      </c>
      <c r="N531" s="726">
        <v>0</v>
      </c>
      <c r="O531" s="726">
        <v>61200</v>
      </c>
      <c r="P531" s="726">
        <v>0</v>
      </c>
      <c r="Q531" s="726">
        <v>0</v>
      </c>
      <c r="R531" s="726">
        <v>0</v>
      </c>
      <c r="S531" s="726">
        <v>0</v>
      </c>
      <c r="T531" s="726">
        <v>0</v>
      </c>
      <c r="U531" s="726">
        <v>0</v>
      </c>
      <c r="V531" s="726">
        <v>0</v>
      </c>
      <c r="W531" s="726">
        <v>0</v>
      </c>
      <c r="X531" s="724" t="s">
        <v>674</v>
      </c>
      <c r="Y531" s="724" t="s">
        <v>1226</v>
      </c>
      <c r="Z531" s="724" t="s">
        <v>1226</v>
      </c>
      <c r="AA531" s="724" t="s">
        <v>675</v>
      </c>
      <c r="AB531" s="724" t="s">
        <v>675</v>
      </c>
      <c r="AC531" s="724"/>
      <c r="AD531" s="724"/>
      <c r="AE531" s="724"/>
      <c r="AF531" s="724"/>
      <c r="AG531" s="725" t="s">
        <v>844</v>
      </c>
      <c r="AH531" s="724"/>
      <c r="AI531" s="725" t="s">
        <v>844</v>
      </c>
      <c r="AJ531" s="725" t="s">
        <v>1039</v>
      </c>
      <c r="AK531" s="724" t="s">
        <v>677</v>
      </c>
      <c r="AL531" s="724"/>
      <c r="AM531" s="724" t="s">
        <v>726</v>
      </c>
      <c r="AN531" s="724" t="s">
        <v>1043</v>
      </c>
      <c r="AO531" s="724" t="s">
        <v>1035</v>
      </c>
      <c r="AP531" s="724" t="s">
        <v>1010</v>
      </c>
      <c r="AQ531" s="724" t="s">
        <v>821</v>
      </c>
      <c r="AR531" s="726">
        <v>673200</v>
      </c>
      <c r="AS531" s="724" t="s">
        <v>675</v>
      </c>
      <c r="AT531" s="726">
        <v>0</v>
      </c>
      <c r="AU531" s="724" t="s">
        <v>678</v>
      </c>
      <c r="AV531" s="724" t="s">
        <v>677</v>
      </c>
      <c r="AW531" s="724" t="s">
        <v>676</v>
      </c>
      <c r="AX531" s="724" t="s">
        <v>674</v>
      </c>
      <c r="AY531" s="724"/>
      <c r="AZ531" s="724"/>
      <c r="BA531" s="724" t="s">
        <v>679</v>
      </c>
      <c r="BB531" s="724"/>
      <c r="BC531" s="724"/>
      <c r="BD531" s="724"/>
      <c r="BE531" s="726"/>
      <c r="BF531" s="724" t="s">
        <v>298</v>
      </c>
      <c r="BG531" s="724" t="s">
        <v>680</v>
      </c>
      <c r="BH531" s="724" t="s">
        <v>681</v>
      </c>
      <c r="BI531" s="724"/>
    </row>
    <row r="532" spans="1:61">
      <c r="A532" s="724" t="s">
        <v>1035</v>
      </c>
      <c r="B532" s="724" t="s">
        <v>843</v>
      </c>
      <c r="C532" s="724" t="s">
        <v>843</v>
      </c>
      <c r="D532" s="724" t="s">
        <v>724</v>
      </c>
      <c r="E532" s="724" t="s">
        <v>3</v>
      </c>
      <c r="F532" s="725" t="s">
        <v>83</v>
      </c>
      <c r="G532" s="725" t="s">
        <v>700</v>
      </c>
      <c r="H532" s="726">
        <v>673200</v>
      </c>
      <c r="I532" s="726">
        <v>673200</v>
      </c>
      <c r="J532" s="726">
        <v>0</v>
      </c>
      <c r="K532" s="726">
        <v>0</v>
      </c>
      <c r="L532" s="726">
        <v>612000</v>
      </c>
      <c r="M532" s="726">
        <v>0</v>
      </c>
      <c r="N532" s="726">
        <v>0</v>
      </c>
      <c r="O532" s="726">
        <v>61200</v>
      </c>
      <c r="P532" s="726">
        <v>0</v>
      </c>
      <c r="Q532" s="726">
        <v>0</v>
      </c>
      <c r="R532" s="726">
        <v>0</v>
      </c>
      <c r="S532" s="726">
        <v>0</v>
      </c>
      <c r="T532" s="726">
        <v>0</v>
      </c>
      <c r="U532" s="726">
        <v>0</v>
      </c>
      <c r="V532" s="726">
        <v>0</v>
      </c>
      <c r="W532" s="726">
        <v>0</v>
      </c>
      <c r="X532" s="724" t="s">
        <v>674</v>
      </c>
      <c r="Y532" s="724" t="s">
        <v>1226</v>
      </c>
      <c r="Z532" s="724" t="s">
        <v>1226</v>
      </c>
      <c r="AA532" s="724" t="s">
        <v>675</v>
      </c>
      <c r="AB532" s="724" t="s">
        <v>675</v>
      </c>
      <c r="AC532" s="724"/>
      <c r="AD532" s="724"/>
      <c r="AE532" s="724"/>
      <c r="AF532" s="724"/>
      <c r="AG532" s="725" t="s">
        <v>844</v>
      </c>
      <c r="AH532" s="724"/>
      <c r="AI532" s="725" t="s">
        <v>844</v>
      </c>
      <c r="AJ532" s="725" t="s">
        <v>1039</v>
      </c>
      <c r="AK532" s="724" t="s">
        <v>677</v>
      </c>
      <c r="AL532" s="724"/>
      <c r="AM532" s="724" t="s">
        <v>726</v>
      </c>
      <c r="AN532" s="724" t="s">
        <v>1044</v>
      </c>
      <c r="AO532" s="724" t="s">
        <v>1035</v>
      </c>
      <c r="AP532" s="724" t="s">
        <v>1010</v>
      </c>
      <c r="AQ532" s="724" t="s">
        <v>821</v>
      </c>
      <c r="AR532" s="726">
        <v>673200</v>
      </c>
      <c r="AS532" s="724" t="s">
        <v>675</v>
      </c>
      <c r="AT532" s="726">
        <v>0</v>
      </c>
      <c r="AU532" s="724" t="s">
        <v>678</v>
      </c>
      <c r="AV532" s="724" t="s">
        <v>677</v>
      </c>
      <c r="AW532" s="724" t="s">
        <v>676</v>
      </c>
      <c r="AX532" s="724" t="s">
        <v>674</v>
      </c>
      <c r="AY532" s="724"/>
      <c r="AZ532" s="724"/>
      <c r="BA532" s="724" t="s">
        <v>679</v>
      </c>
      <c r="BB532" s="724"/>
      <c r="BC532" s="724"/>
      <c r="BD532" s="724"/>
      <c r="BE532" s="726"/>
      <c r="BF532" s="724" t="s">
        <v>298</v>
      </c>
      <c r="BG532" s="724" t="s">
        <v>680</v>
      </c>
      <c r="BH532" s="724" t="s">
        <v>681</v>
      </c>
      <c r="BI532" s="724"/>
    </row>
    <row r="533" spans="1:61">
      <c r="A533" s="724" t="s">
        <v>1035</v>
      </c>
      <c r="B533" s="724" t="s">
        <v>843</v>
      </c>
      <c r="C533" s="724" t="s">
        <v>843</v>
      </c>
      <c r="D533" s="724" t="s">
        <v>724</v>
      </c>
      <c r="E533" s="724" t="s">
        <v>3</v>
      </c>
      <c r="F533" s="725" t="s">
        <v>83</v>
      </c>
      <c r="G533" s="725" t="s">
        <v>700</v>
      </c>
      <c r="H533" s="726">
        <v>633600</v>
      </c>
      <c r="I533" s="726">
        <v>633600</v>
      </c>
      <c r="J533" s="726">
        <v>0</v>
      </c>
      <c r="K533" s="726">
        <v>0</v>
      </c>
      <c r="L533" s="726">
        <v>633600</v>
      </c>
      <c r="M533" s="726">
        <v>0</v>
      </c>
      <c r="N533" s="726">
        <v>0</v>
      </c>
      <c r="O533" s="726">
        <v>0</v>
      </c>
      <c r="P533" s="726">
        <v>0</v>
      </c>
      <c r="Q533" s="726">
        <v>0</v>
      </c>
      <c r="R533" s="726">
        <v>0</v>
      </c>
      <c r="S533" s="726">
        <v>0</v>
      </c>
      <c r="T533" s="726">
        <v>0</v>
      </c>
      <c r="U533" s="726">
        <v>0</v>
      </c>
      <c r="V533" s="726">
        <v>0</v>
      </c>
      <c r="W533" s="726">
        <v>0</v>
      </c>
      <c r="X533" s="724" t="s">
        <v>674</v>
      </c>
      <c r="Y533" s="724" t="s">
        <v>1226</v>
      </c>
      <c r="Z533" s="724" t="s">
        <v>1226</v>
      </c>
      <c r="AA533" s="724" t="s">
        <v>675</v>
      </c>
      <c r="AB533" s="724" t="s">
        <v>675</v>
      </c>
      <c r="AC533" s="724"/>
      <c r="AD533" s="724"/>
      <c r="AE533" s="724"/>
      <c r="AF533" s="724"/>
      <c r="AG533" s="725" t="s">
        <v>844</v>
      </c>
      <c r="AH533" s="724"/>
      <c r="AI533" s="725" t="s">
        <v>844</v>
      </c>
      <c r="AJ533" s="725" t="s">
        <v>771</v>
      </c>
      <c r="AK533" s="724" t="s">
        <v>677</v>
      </c>
      <c r="AL533" s="724"/>
      <c r="AM533" s="724" t="s">
        <v>726</v>
      </c>
      <c r="AN533" s="724" t="s">
        <v>1045</v>
      </c>
      <c r="AO533" s="724" t="s">
        <v>1035</v>
      </c>
      <c r="AP533" s="724" t="s">
        <v>1005</v>
      </c>
      <c r="AQ533" s="724" t="s">
        <v>821</v>
      </c>
      <c r="AR533" s="726">
        <v>633600</v>
      </c>
      <c r="AS533" s="724" t="s">
        <v>675</v>
      </c>
      <c r="AT533" s="726">
        <v>0</v>
      </c>
      <c r="AU533" s="724" t="s">
        <v>678</v>
      </c>
      <c r="AV533" s="724" t="s">
        <v>677</v>
      </c>
      <c r="AW533" s="724" t="s">
        <v>676</v>
      </c>
      <c r="AX533" s="724" t="s">
        <v>674</v>
      </c>
      <c r="AY533" s="724"/>
      <c r="AZ533" s="724"/>
      <c r="BA533" s="724" t="s">
        <v>679</v>
      </c>
      <c r="BB533" s="724"/>
      <c r="BC533" s="724"/>
      <c r="BD533" s="724"/>
      <c r="BE533" s="726"/>
      <c r="BF533" s="724" t="s">
        <v>298</v>
      </c>
      <c r="BG533" s="724" t="s">
        <v>680</v>
      </c>
      <c r="BH533" s="724" t="s">
        <v>681</v>
      </c>
      <c r="BI533" s="724"/>
    </row>
    <row r="534" spans="1:61">
      <c r="A534" s="724" t="s">
        <v>1035</v>
      </c>
      <c r="B534" s="724" t="s">
        <v>843</v>
      </c>
      <c r="C534" s="724" t="s">
        <v>843</v>
      </c>
      <c r="D534" s="724" t="s">
        <v>724</v>
      </c>
      <c r="E534" s="724" t="s">
        <v>3</v>
      </c>
      <c r="F534" s="725" t="s">
        <v>83</v>
      </c>
      <c r="G534" s="725" t="s">
        <v>700</v>
      </c>
      <c r="H534" s="726">
        <v>1389600</v>
      </c>
      <c r="I534" s="726">
        <v>1389600</v>
      </c>
      <c r="J534" s="726">
        <v>0</v>
      </c>
      <c r="K534" s="726">
        <v>0</v>
      </c>
      <c r="L534" s="726">
        <v>1389600</v>
      </c>
      <c r="M534" s="726">
        <v>0</v>
      </c>
      <c r="N534" s="726">
        <v>0</v>
      </c>
      <c r="O534" s="726">
        <v>0</v>
      </c>
      <c r="P534" s="726">
        <v>0</v>
      </c>
      <c r="Q534" s="726">
        <v>0</v>
      </c>
      <c r="R534" s="726">
        <v>0</v>
      </c>
      <c r="S534" s="726">
        <v>0</v>
      </c>
      <c r="T534" s="726">
        <v>0</v>
      </c>
      <c r="U534" s="726">
        <v>0</v>
      </c>
      <c r="V534" s="726">
        <v>0</v>
      </c>
      <c r="W534" s="726">
        <v>0</v>
      </c>
      <c r="X534" s="724" t="s">
        <v>674</v>
      </c>
      <c r="Y534" s="724" t="s">
        <v>1226</v>
      </c>
      <c r="Z534" s="724" t="s">
        <v>1226</v>
      </c>
      <c r="AA534" s="724" t="s">
        <v>675</v>
      </c>
      <c r="AB534" s="724" t="s">
        <v>675</v>
      </c>
      <c r="AC534" s="724"/>
      <c r="AD534" s="724"/>
      <c r="AE534" s="724"/>
      <c r="AF534" s="724"/>
      <c r="AG534" s="725" t="s">
        <v>844</v>
      </c>
      <c r="AH534" s="724"/>
      <c r="AI534" s="725" t="s">
        <v>844</v>
      </c>
      <c r="AJ534" s="725" t="s">
        <v>771</v>
      </c>
      <c r="AK534" s="724" t="s">
        <v>677</v>
      </c>
      <c r="AL534" s="724"/>
      <c r="AM534" s="724" t="s">
        <v>726</v>
      </c>
      <c r="AN534" s="724" t="s">
        <v>1046</v>
      </c>
      <c r="AO534" s="724" t="s">
        <v>1035</v>
      </c>
      <c r="AP534" s="724" t="s">
        <v>1005</v>
      </c>
      <c r="AQ534" s="724" t="s">
        <v>821</v>
      </c>
      <c r="AR534" s="726">
        <v>1389600</v>
      </c>
      <c r="AS534" s="724" t="s">
        <v>675</v>
      </c>
      <c r="AT534" s="726">
        <v>0</v>
      </c>
      <c r="AU534" s="724" t="s">
        <v>678</v>
      </c>
      <c r="AV534" s="724" t="s">
        <v>677</v>
      </c>
      <c r="AW534" s="724" t="s">
        <v>676</v>
      </c>
      <c r="AX534" s="724" t="s">
        <v>674</v>
      </c>
      <c r="AY534" s="724"/>
      <c r="AZ534" s="724"/>
      <c r="BA534" s="724" t="s">
        <v>679</v>
      </c>
      <c r="BB534" s="724"/>
      <c r="BC534" s="724"/>
      <c r="BD534" s="724"/>
      <c r="BE534" s="726"/>
      <c r="BF534" s="724" t="s">
        <v>298</v>
      </c>
      <c r="BG534" s="724" t="s">
        <v>680</v>
      </c>
      <c r="BH534" s="724" t="s">
        <v>681</v>
      </c>
      <c r="BI534" s="724"/>
    </row>
    <row r="535" spans="1:61">
      <c r="A535" s="724" t="s">
        <v>1035</v>
      </c>
      <c r="B535" s="724" t="s">
        <v>843</v>
      </c>
      <c r="C535" s="724" t="s">
        <v>843</v>
      </c>
      <c r="D535" s="724" t="s">
        <v>724</v>
      </c>
      <c r="E535" s="724" t="s">
        <v>3</v>
      </c>
      <c r="F535" s="725" t="s">
        <v>83</v>
      </c>
      <c r="G535" s="725" t="s">
        <v>700</v>
      </c>
      <c r="H535" s="726">
        <v>807000</v>
      </c>
      <c r="I535" s="726">
        <v>807000</v>
      </c>
      <c r="J535" s="726">
        <v>0</v>
      </c>
      <c r="K535" s="726">
        <v>0</v>
      </c>
      <c r="L535" s="726">
        <v>733637</v>
      </c>
      <c r="M535" s="726">
        <v>0</v>
      </c>
      <c r="N535" s="726">
        <v>0</v>
      </c>
      <c r="O535" s="726">
        <v>73363</v>
      </c>
      <c r="P535" s="726">
        <v>0</v>
      </c>
      <c r="Q535" s="726">
        <v>0</v>
      </c>
      <c r="R535" s="726">
        <v>0</v>
      </c>
      <c r="S535" s="726">
        <v>0</v>
      </c>
      <c r="T535" s="726">
        <v>0</v>
      </c>
      <c r="U535" s="726">
        <v>0</v>
      </c>
      <c r="V535" s="726">
        <v>0</v>
      </c>
      <c r="W535" s="726">
        <v>0</v>
      </c>
      <c r="X535" s="724" t="s">
        <v>674</v>
      </c>
      <c r="Y535" s="724" t="s">
        <v>1226</v>
      </c>
      <c r="Z535" s="724" t="s">
        <v>1226</v>
      </c>
      <c r="AA535" s="724" t="s">
        <v>675</v>
      </c>
      <c r="AB535" s="724" t="s">
        <v>675</v>
      </c>
      <c r="AC535" s="724"/>
      <c r="AD535" s="724"/>
      <c r="AE535" s="724"/>
      <c r="AF535" s="724"/>
      <c r="AG535" s="725" t="s">
        <v>844</v>
      </c>
      <c r="AH535" s="724"/>
      <c r="AI535" s="725" t="s">
        <v>844</v>
      </c>
      <c r="AJ535" s="725" t="s">
        <v>1036</v>
      </c>
      <c r="AK535" s="724" t="s">
        <v>677</v>
      </c>
      <c r="AL535" s="724"/>
      <c r="AM535" s="724" t="s">
        <v>726</v>
      </c>
      <c r="AN535" s="724" t="s">
        <v>1047</v>
      </c>
      <c r="AO535" s="724" t="s">
        <v>1035</v>
      </c>
      <c r="AP535" s="724" t="s">
        <v>1010</v>
      </c>
      <c r="AQ535" s="724" t="s">
        <v>821</v>
      </c>
      <c r="AR535" s="726">
        <v>807000</v>
      </c>
      <c r="AS535" s="724" t="s">
        <v>675</v>
      </c>
      <c r="AT535" s="726">
        <v>0</v>
      </c>
      <c r="AU535" s="724" t="s">
        <v>678</v>
      </c>
      <c r="AV535" s="724" t="s">
        <v>677</v>
      </c>
      <c r="AW535" s="724" t="s">
        <v>676</v>
      </c>
      <c r="AX535" s="724" t="s">
        <v>674</v>
      </c>
      <c r="AY535" s="724"/>
      <c r="AZ535" s="724"/>
      <c r="BA535" s="724" t="s">
        <v>679</v>
      </c>
      <c r="BB535" s="724"/>
      <c r="BC535" s="724"/>
      <c r="BD535" s="724"/>
      <c r="BE535" s="726"/>
      <c r="BF535" s="724" t="s">
        <v>298</v>
      </c>
      <c r="BG535" s="724" t="s">
        <v>680</v>
      </c>
      <c r="BH535" s="724" t="s">
        <v>681</v>
      </c>
      <c r="BI535" s="724"/>
    </row>
    <row r="536" spans="1:61">
      <c r="A536" s="724" t="s">
        <v>1035</v>
      </c>
      <c r="B536" s="724" t="s">
        <v>843</v>
      </c>
      <c r="C536" s="724" t="s">
        <v>843</v>
      </c>
      <c r="D536" s="724" t="s">
        <v>724</v>
      </c>
      <c r="E536" s="724" t="s">
        <v>3</v>
      </c>
      <c r="F536" s="725" t="s">
        <v>83</v>
      </c>
      <c r="G536" s="725" t="s">
        <v>700</v>
      </c>
      <c r="H536" s="726">
        <v>673200</v>
      </c>
      <c r="I536" s="726">
        <v>673200</v>
      </c>
      <c r="J536" s="726">
        <v>0</v>
      </c>
      <c r="K536" s="726">
        <v>0</v>
      </c>
      <c r="L536" s="726">
        <v>612000</v>
      </c>
      <c r="M536" s="726">
        <v>0</v>
      </c>
      <c r="N536" s="726">
        <v>0</v>
      </c>
      <c r="O536" s="726">
        <v>61200</v>
      </c>
      <c r="P536" s="726">
        <v>0</v>
      </c>
      <c r="Q536" s="726">
        <v>0</v>
      </c>
      <c r="R536" s="726">
        <v>0</v>
      </c>
      <c r="S536" s="726">
        <v>0</v>
      </c>
      <c r="T536" s="726">
        <v>0</v>
      </c>
      <c r="U536" s="726">
        <v>0</v>
      </c>
      <c r="V536" s="726">
        <v>0</v>
      </c>
      <c r="W536" s="726">
        <v>0</v>
      </c>
      <c r="X536" s="724" t="s">
        <v>674</v>
      </c>
      <c r="Y536" s="724" t="s">
        <v>1226</v>
      </c>
      <c r="Z536" s="724" t="s">
        <v>1226</v>
      </c>
      <c r="AA536" s="724" t="s">
        <v>675</v>
      </c>
      <c r="AB536" s="724" t="s">
        <v>675</v>
      </c>
      <c r="AC536" s="724"/>
      <c r="AD536" s="724"/>
      <c r="AE536" s="724"/>
      <c r="AF536" s="724"/>
      <c r="AG536" s="725" t="s">
        <v>844</v>
      </c>
      <c r="AH536" s="724"/>
      <c r="AI536" s="725" t="s">
        <v>844</v>
      </c>
      <c r="AJ536" s="725" t="s">
        <v>1039</v>
      </c>
      <c r="AK536" s="724" t="s">
        <v>677</v>
      </c>
      <c r="AL536" s="724"/>
      <c r="AM536" s="724" t="s">
        <v>726</v>
      </c>
      <c r="AN536" s="724" t="s">
        <v>1048</v>
      </c>
      <c r="AO536" s="724" t="s">
        <v>1035</v>
      </c>
      <c r="AP536" s="724" t="s">
        <v>1010</v>
      </c>
      <c r="AQ536" s="724" t="s">
        <v>821</v>
      </c>
      <c r="AR536" s="726">
        <v>673200</v>
      </c>
      <c r="AS536" s="724" t="s">
        <v>675</v>
      </c>
      <c r="AT536" s="726">
        <v>0</v>
      </c>
      <c r="AU536" s="724" t="s">
        <v>678</v>
      </c>
      <c r="AV536" s="724" t="s">
        <v>677</v>
      </c>
      <c r="AW536" s="724" t="s">
        <v>676</v>
      </c>
      <c r="AX536" s="724" t="s">
        <v>674</v>
      </c>
      <c r="AY536" s="724"/>
      <c r="AZ536" s="724"/>
      <c r="BA536" s="724" t="s">
        <v>679</v>
      </c>
      <c r="BB536" s="724"/>
      <c r="BC536" s="724"/>
      <c r="BD536" s="724"/>
      <c r="BE536" s="726"/>
      <c r="BF536" s="724" t="s">
        <v>298</v>
      </c>
      <c r="BG536" s="724" t="s">
        <v>680</v>
      </c>
      <c r="BH536" s="724" t="s">
        <v>681</v>
      </c>
      <c r="BI536" s="724"/>
    </row>
    <row r="537" spans="1:61">
      <c r="A537" s="724" t="s">
        <v>1035</v>
      </c>
      <c r="B537" s="724" t="s">
        <v>843</v>
      </c>
      <c r="C537" s="724" t="s">
        <v>843</v>
      </c>
      <c r="D537" s="724" t="s">
        <v>724</v>
      </c>
      <c r="E537" s="724" t="s">
        <v>3</v>
      </c>
      <c r="F537" s="725" t="s">
        <v>83</v>
      </c>
      <c r="G537" s="725" t="s">
        <v>700</v>
      </c>
      <c r="H537" s="726">
        <v>1632600</v>
      </c>
      <c r="I537" s="726">
        <v>1632600</v>
      </c>
      <c r="J537" s="726">
        <v>0</v>
      </c>
      <c r="K537" s="726">
        <v>0</v>
      </c>
      <c r="L537" s="726">
        <v>1632600</v>
      </c>
      <c r="M537" s="726">
        <v>0</v>
      </c>
      <c r="N537" s="726">
        <v>0</v>
      </c>
      <c r="O537" s="726">
        <v>0</v>
      </c>
      <c r="P537" s="726">
        <v>0</v>
      </c>
      <c r="Q537" s="726">
        <v>0</v>
      </c>
      <c r="R537" s="726">
        <v>0</v>
      </c>
      <c r="S537" s="726">
        <v>0</v>
      </c>
      <c r="T537" s="726">
        <v>0</v>
      </c>
      <c r="U537" s="726">
        <v>0</v>
      </c>
      <c r="V537" s="726">
        <v>0</v>
      </c>
      <c r="W537" s="726">
        <v>0</v>
      </c>
      <c r="X537" s="724" t="s">
        <v>674</v>
      </c>
      <c r="Y537" s="724" t="s">
        <v>1226</v>
      </c>
      <c r="Z537" s="724" t="s">
        <v>1226</v>
      </c>
      <c r="AA537" s="724" t="s">
        <v>675</v>
      </c>
      <c r="AB537" s="724" t="s">
        <v>675</v>
      </c>
      <c r="AC537" s="724"/>
      <c r="AD537" s="724"/>
      <c r="AE537" s="724"/>
      <c r="AF537" s="724"/>
      <c r="AG537" s="725" t="s">
        <v>844</v>
      </c>
      <c r="AH537" s="724"/>
      <c r="AI537" s="725" t="s">
        <v>844</v>
      </c>
      <c r="AJ537" s="725" t="s">
        <v>771</v>
      </c>
      <c r="AK537" s="724" t="s">
        <v>677</v>
      </c>
      <c r="AL537" s="724"/>
      <c r="AM537" s="724" t="s">
        <v>726</v>
      </c>
      <c r="AN537" s="724" t="s">
        <v>1049</v>
      </c>
      <c r="AO537" s="724" t="s">
        <v>1035</v>
      </c>
      <c r="AP537" s="724" t="s">
        <v>1005</v>
      </c>
      <c r="AQ537" s="724" t="s">
        <v>821</v>
      </c>
      <c r="AR537" s="726">
        <v>1632600</v>
      </c>
      <c r="AS537" s="724" t="s">
        <v>675</v>
      </c>
      <c r="AT537" s="726">
        <v>0</v>
      </c>
      <c r="AU537" s="724" t="s">
        <v>678</v>
      </c>
      <c r="AV537" s="724" t="s">
        <v>677</v>
      </c>
      <c r="AW537" s="724" t="s">
        <v>676</v>
      </c>
      <c r="AX537" s="724" t="s">
        <v>674</v>
      </c>
      <c r="AY537" s="724"/>
      <c r="AZ537" s="724"/>
      <c r="BA537" s="724" t="s">
        <v>679</v>
      </c>
      <c r="BB537" s="724"/>
      <c r="BC537" s="724"/>
      <c r="BD537" s="724"/>
      <c r="BE537" s="726"/>
      <c r="BF537" s="724" t="s">
        <v>298</v>
      </c>
      <c r="BG537" s="724" t="s">
        <v>680</v>
      </c>
      <c r="BH537" s="724" t="s">
        <v>681</v>
      </c>
      <c r="BI537" s="724"/>
    </row>
    <row r="538" spans="1:61">
      <c r="A538" s="724" t="s">
        <v>1005</v>
      </c>
      <c r="B538" s="724" t="s">
        <v>1005</v>
      </c>
      <c r="C538" s="724" t="s">
        <v>1035</v>
      </c>
      <c r="D538" s="724" t="s">
        <v>673</v>
      </c>
      <c r="E538" s="724" t="s">
        <v>3</v>
      </c>
      <c r="F538" s="725" t="s">
        <v>7</v>
      </c>
      <c r="G538" s="725" t="s">
        <v>684</v>
      </c>
      <c r="H538" s="726">
        <v>116470</v>
      </c>
      <c r="I538" s="726">
        <v>116470</v>
      </c>
      <c r="J538" s="726">
        <v>0</v>
      </c>
      <c r="K538" s="726">
        <v>0</v>
      </c>
      <c r="L538" s="726">
        <v>116470</v>
      </c>
      <c r="M538" s="726">
        <v>0</v>
      </c>
      <c r="N538" s="726">
        <v>0</v>
      </c>
      <c r="O538" s="726">
        <v>0</v>
      </c>
      <c r="P538" s="726">
        <v>0</v>
      </c>
      <c r="Q538" s="726">
        <v>0</v>
      </c>
      <c r="R538" s="726">
        <v>0</v>
      </c>
      <c r="S538" s="726">
        <v>0</v>
      </c>
      <c r="T538" s="726">
        <v>0</v>
      </c>
      <c r="U538" s="726">
        <v>0</v>
      </c>
      <c r="V538" s="726">
        <v>0</v>
      </c>
      <c r="W538" s="726">
        <v>0</v>
      </c>
      <c r="X538" s="724" t="s">
        <v>674</v>
      </c>
      <c r="Y538" s="724" t="s">
        <v>1226</v>
      </c>
      <c r="Z538" s="724" t="s">
        <v>1226</v>
      </c>
      <c r="AA538" s="724" t="s">
        <v>675</v>
      </c>
      <c r="AB538" s="724" t="s">
        <v>675</v>
      </c>
      <c r="AC538" s="724"/>
      <c r="AD538" s="724"/>
      <c r="AE538" s="724"/>
      <c r="AF538" s="724"/>
      <c r="AG538" s="725" t="s">
        <v>1050</v>
      </c>
      <c r="AH538" s="724"/>
      <c r="AI538" s="725" t="s">
        <v>1050</v>
      </c>
      <c r="AJ538" s="725" t="s">
        <v>677</v>
      </c>
      <c r="AK538" s="724" t="s">
        <v>677</v>
      </c>
      <c r="AL538" s="724"/>
      <c r="AM538" s="724"/>
      <c r="AN538" s="724"/>
      <c r="AO538" s="724"/>
      <c r="AP538" s="724"/>
      <c r="AQ538" s="724"/>
      <c r="AR538" s="726"/>
      <c r="AS538" s="724"/>
      <c r="AT538" s="726"/>
      <c r="AU538" s="724" t="s">
        <v>678</v>
      </c>
      <c r="AV538" s="724" t="s">
        <v>677</v>
      </c>
      <c r="AW538" s="724" t="s">
        <v>676</v>
      </c>
      <c r="AX538" s="724" t="s">
        <v>674</v>
      </c>
      <c r="AY538" s="724"/>
      <c r="AZ538" s="724"/>
      <c r="BA538" s="724" t="s">
        <v>679</v>
      </c>
      <c r="BB538" s="724"/>
      <c r="BC538" s="724"/>
      <c r="BD538" s="724"/>
      <c r="BE538" s="726"/>
      <c r="BF538" s="724" t="s">
        <v>298</v>
      </c>
      <c r="BG538" s="724" t="s">
        <v>680</v>
      </c>
      <c r="BH538" s="724" t="s">
        <v>681</v>
      </c>
      <c r="BI538" s="724"/>
    </row>
    <row r="539" spans="1:61">
      <c r="A539" s="724" t="s">
        <v>1005</v>
      </c>
      <c r="B539" s="724" t="s">
        <v>1005</v>
      </c>
      <c r="C539" s="724" t="s">
        <v>1035</v>
      </c>
      <c r="D539" s="724" t="s">
        <v>673</v>
      </c>
      <c r="E539" s="724" t="s">
        <v>3</v>
      </c>
      <c r="F539" s="725" t="s">
        <v>7</v>
      </c>
      <c r="G539" s="725" t="s">
        <v>684</v>
      </c>
      <c r="H539" s="726">
        <v>1593430</v>
      </c>
      <c r="I539" s="726">
        <v>969798</v>
      </c>
      <c r="J539" s="726">
        <v>0</v>
      </c>
      <c r="K539" s="726">
        <v>623632</v>
      </c>
      <c r="L539" s="726">
        <v>969798</v>
      </c>
      <c r="M539" s="726">
        <v>0</v>
      </c>
      <c r="N539" s="726">
        <v>623632</v>
      </c>
      <c r="O539" s="726">
        <v>0</v>
      </c>
      <c r="P539" s="726">
        <v>0</v>
      </c>
      <c r="Q539" s="726">
        <v>0</v>
      </c>
      <c r="R539" s="726">
        <v>0</v>
      </c>
      <c r="S539" s="726">
        <v>0</v>
      </c>
      <c r="T539" s="726">
        <v>0</v>
      </c>
      <c r="U539" s="726">
        <v>0</v>
      </c>
      <c r="V539" s="726">
        <v>0</v>
      </c>
      <c r="W539" s="726">
        <v>0</v>
      </c>
      <c r="X539" s="724" t="s">
        <v>674</v>
      </c>
      <c r="Y539" s="724" t="s">
        <v>1226</v>
      </c>
      <c r="Z539" s="724" t="s">
        <v>1226</v>
      </c>
      <c r="AA539" s="724" t="s">
        <v>675</v>
      </c>
      <c r="AB539" s="724" t="s">
        <v>675</v>
      </c>
      <c r="AC539" s="724"/>
      <c r="AD539" s="724"/>
      <c r="AE539" s="724"/>
      <c r="AF539" s="724"/>
      <c r="AG539" s="725" t="s">
        <v>1051</v>
      </c>
      <c r="AH539" s="724"/>
      <c r="AI539" s="725" t="s">
        <v>1051</v>
      </c>
      <c r="AJ539" s="725" t="s">
        <v>677</v>
      </c>
      <c r="AK539" s="724" t="s">
        <v>677</v>
      </c>
      <c r="AL539" s="724"/>
      <c r="AM539" s="724"/>
      <c r="AN539" s="724"/>
      <c r="AO539" s="724"/>
      <c r="AP539" s="724"/>
      <c r="AQ539" s="724"/>
      <c r="AR539" s="726"/>
      <c r="AS539" s="724"/>
      <c r="AT539" s="726"/>
      <c r="AU539" s="724" t="s">
        <v>678</v>
      </c>
      <c r="AV539" s="724" t="s">
        <v>677</v>
      </c>
      <c r="AW539" s="724" t="s">
        <v>676</v>
      </c>
      <c r="AX539" s="724" t="s">
        <v>674</v>
      </c>
      <c r="AY539" s="724"/>
      <c r="AZ539" s="724"/>
      <c r="BA539" s="724" t="s">
        <v>679</v>
      </c>
      <c r="BB539" s="724"/>
      <c r="BC539" s="724"/>
      <c r="BD539" s="724"/>
      <c r="BE539" s="726"/>
      <c r="BF539" s="724" t="s">
        <v>298</v>
      </c>
      <c r="BG539" s="724" t="s">
        <v>680</v>
      </c>
      <c r="BH539" s="724" t="s">
        <v>681</v>
      </c>
      <c r="BI539" s="724"/>
    </row>
    <row r="540" spans="1:61">
      <c r="A540" s="724" t="s">
        <v>1005</v>
      </c>
      <c r="B540" s="724" t="s">
        <v>1005</v>
      </c>
      <c r="C540" s="724" t="s">
        <v>1035</v>
      </c>
      <c r="D540" s="724" t="s">
        <v>673</v>
      </c>
      <c r="E540" s="724" t="s">
        <v>3</v>
      </c>
      <c r="F540" s="725" t="s">
        <v>7</v>
      </c>
      <c r="G540" s="725" t="s">
        <v>684</v>
      </c>
      <c r="H540" s="726">
        <v>14120</v>
      </c>
      <c r="I540" s="726">
        <v>14120</v>
      </c>
      <c r="J540" s="726">
        <v>0</v>
      </c>
      <c r="K540" s="726">
        <v>0</v>
      </c>
      <c r="L540" s="726">
        <v>14120</v>
      </c>
      <c r="M540" s="726">
        <v>0</v>
      </c>
      <c r="N540" s="726">
        <v>0</v>
      </c>
      <c r="O540" s="726">
        <v>0</v>
      </c>
      <c r="P540" s="726">
        <v>0</v>
      </c>
      <c r="Q540" s="726">
        <v>0</v>
      </c>
      <c r="R540" s="726">
        <v>0</v>
      </c>
      <c r="S540" s="726">
        <v>0</v>
      </c>
      <c r="T540" s="726">
        <v>0</v>
      </c>
      <c r="U540" s="726">
        <v>0</v>
      </c>
      <c r="V540" s="726">
        <v>0</v>
      </c>
      <c r="W540" s="726">
        <v>0</v>
      </c>
      <c r="X540" s="724" t="s">
        <v>674</v>
      </c>
      <c r="Y540" s="724" t="s">
        <v>675</v>
      </c>
      <c r="Z540" s="724" t="s">
        <v>675</v>
      </c>
      <c r="AA540" s="724" t="s">
        <v>675</v>
      </c>
      <c r="AB540" s="724" t="s">
        <v>675</v>
      </c>
      <c r="AC540" s="724"/>
      <c r="AD540" s="724"/>
      <c r="AE540" s="724"/>
      <c r="AF540" s="724"/>
      <c r="AG540" s="725" t="s">
        <v>1052</v>
      </c>
      <c r="AH540" s="724"/>
      <c r="AI540" s="725" t="s">
        <v>1052</v>
      </c>
      <c r="AJ540" s="725" t="s">
        <v>677</v>
      </c>
      <c r="AK540" s="724" t="s">
        <v>677</v>
      </c>
      <c r="AL540" s="724"/>
      <c r="AM540" s="724"/>
      <c r="AN540" s="724"/>
      <c r="AO540" s="724"/>
      <c r="AP540" s="724"/>
      <c r="AQ540" s="724"/>
      <c r="AR540" s="726"/>
      <c r="AS540" s="724"/>
      <c r="AT540" s="726"/>
      <c r="AU540" s="724" t="s">
        <v>678</v>
      </c>
      <c r="AV540" s="724" t="s">
        <v>677</v>
      </c>
      <c r="AW540" s="724" t="s">
        <v>676</v>
      </c>
      <c r="AX540" s="724" t="s">
        <v>674</v>
      </c>
      <c r="AY540" s="724"/>
      <c r="AZ540" s="724"/>
      <c r="BA540" s="724" t="s">
        <v>679</v>
      </c>
      <c r="BB540" s="724"/>
      <c r="BC540" s="724"/>
      <c r="BD540" s="724"/>
      <c r="BE540" s="726"/>
      <c r="BF540" s="724" t="s">
        <v>298</v>
      </c>
      <c r="BG540" s="724" t="s">
        <v>680</v>
      </c>
      <c r="BH540" s="724" t="s">
        <v>681</v>
      </c>
      <c r="BI540" s="724"/>
    </row>
    <row r="541" spans="1:61">
      <c r="A541" s="724" t="s">
        <v>1005</v>
      </c>
      <c r="B541" s="724" t="s">
        <v>1005</v>
      </c>
      <c r="C541" s="724" t="s">
        <v>1035</v>
      </c>
      <c r="D541" s="724" t="s">
        <v>673</v>
      </c>
      <c r="E541" s="724" t="s">
        <v>3</v>
      </c>
      <c r="F541" s="725" t="s">
        <v>7</v>
      </c>
      <c r="G541" s="725" t="s">
        <v>684</v>
      </c>
      <c r="H541" s="726">
        <v>80290</v>
      </c>
      <c r="I541" s="726">
        <v>80290</v>
      </c>
      <c r="J541" s="726">
        <v>0</v>
      </c>
      <c r="K541" s="726">
        <v>0</v>
      </c>
      <c r="L541" s="726">
        <v>80290</v>
      </c>
      <c r="M541" s="726">
        <v>0</v>
      </c>
      <c r="N541" s="726">
        <v>0</v>
      </c>
      <c r="O541" s="726">
        <v>0</v>
      </c>
      <c r="P541" s="726">
        <v>0</v>
      </c>
      <c r="Q541" s="726">
        <v>0</v>
      </c>
      <c r="R541" s="726">
        <v>0</v>
      </c>
      <c r="S541" s="726">
        <v>0</v>
      </c>
      <c r="T541" s="726">
        <v>0</v>
      </c>
      <c r="U541" s="726">
        <v>0</v>
      </c>
      <c r="V541" s="726">
        <v>0</v>
      </c>
      <c r="W541" s="726">
        <v>0</v>
      </c>
      <c r="X541" s="724" t="s">
        <v>674</v>
      </c>
      <c r="Y541" s="724" t="s">
        <v>675</v>
      </c>
      <c r="Z541" s="724" t="s">
        <v>675</v>
      </c>
      <c r="AA541" s="724" t="s">
        <v>675</v>
      </c>
      <c r="AB541" s="724" t="s">
        <v>675</v>
      </c>
      <c r="AC541" s="724"/>
      <c r="AD541" s="724"/>
      <c r="AE541" s="724"/>
      <c r="AF541" s="724"/>
      <c r="AG541" s="725" t="s">
        <v>1053</v>
      </c>
      <c r="AH541" s="724"/>
      <c r="AI541" s="725" t="s">
        <v>1053</v>
      </c>
      <c r="AJ541" s="725" t="s">
        <v>677</v>
      </c>
      <c r="AK541" s="724" t="s">
        <v>677</v>
      </c>
      <c r="AL541" s="724"/>
      <c r="AM541" s="724"/>
      <c r="AN541" s="724"/>
      <c r="AO541" s="724"/>
      <c r="AP541" s="724"/>
      <c r="AQ541" s="724"/>
      <c r="AR541" s="726"/>
      <c r="AS541" s="724"/>
      <c r="AT541" s="726"/>
      <c r="AU541" s="724" t="s">
        <v>678</v>
      </c>
      <c r="AV541" s="724" t="s">
        <v>677</v>
      </c>
      <c r="AW541" s="724" t="s">
        <v>676</v>
      </c>
      <c r="AX541" s="724" t="s">
        <v>674</v>
      </c>
      <c r="AY541" s="724"/>
      <c r="AZ541" s="724"/>
      <c r="BA541" s="724" t="s">
        <v>679</v>
      </c>
      <c r="BB541" s="724"/>
      <c r="BC541" s="724"/>
      <c r="BD541" s="724"/>
      <c r="BE541" s="726"/>
      <c r="BF541" s="724" t="s">
        <v>298</v>
      </c>
      <c r="BG541" s="724" t="s">
        <v>680</v>
      </c>
      <c r="BH541" s="724" t="s">
        <v>681</v>
      </c>
      <c r="BI541" s="724"/>
    </row>
    <row r="542" spans="1:61">
      <c r="A542" s="724" t="s">
        <v>1005</v>
      </c>
      <c r="B542" s="724" t="s">
        <v>1005</v>
      </c>
      <c r="C542" s="724" t="s">
        <v>1035</v>
      </c>
      <c r="D542" s="724" t="s">
        <v>673</v>
      </c>
      <c r="E542" s="724" t="s">
        <v>3</v>
      </c>
      <c r="F542" s="725" t="s">
        <v>7</v>
      </c>
      <c r="G542" s="725" t="s">
        <v>684</v>
      </c>
      <c r="H542" s="726">
        <v>9410</v>
      </c>
      <c r="I542" s="726">
        <v>9410</v>
      </c>
      <c r="J542" s="726">
        <v>0</v>
      </c>
      <c r="K542" s="726">
        <v>0</v>
      </c>
      <c r="L542" s="726">
        <v>9410</v>
      </c>
      <c r="M542" s="726">
        <v>0</v>
      </c>
      <c r="N542" s="726">
        <v>0</v>
      </c>
      <c r="O542" s="726">
        <v>0</v>
      </c>
      <c r="P542" s="726">
        <v>0</v>
      </c>
      <c r="Q542" s="726">
        <v>0</v>
      </c>
      <c r="R542" s="726">
        <v>0</v>
      </c>
      <c r="S542" s="726">
        <v>0</v>
      </c>
      <c r="T542" s="726">
        <v>0</v>
      </c>
      <c r="U542" s="726">
        <v>0</v>
      </c>
      <c r="V542" s="726">
        <v>0</v>
      </c>
      <c r="W542" s="726">
        <v>0</v>
      </c>
      <c r="X542" s="724" t="s">
        <v>674</v>
      </c>
      <c r="Y542" s="724" t="s">
        <v>675</v>
      </c>
      <c r="Z542" s="724" t="s">
        <v>675</v>
      </c>
      <c r="AA542" s="724" t="s">
        <v>675</v>
      </c>
      <c r="AB542" s="724" t="s">
        <v>675</v>
      </c>
      <c r="AC542" s="724"/>
      <c r="AD542" s="724"/>
      <c r="AE542" s="724"/>
      <c r="AF542" s="724"/>
      <c r="AG542" s="725" t="s">
        <v>1052</v>
      </c>
      <c r="AH542" s="724"/>
      <c r="AI542" s="725" t="s">
        <v>1052</v>
      </c>
      <c r="AJ542" s="725" t="s">
        <v>677</v>
      </c>
      <c r="AK542" s="724" t="s">
        <v>677</v>
      </c>
      <c r="AL542" s="724"/>
      <c r="AM542" s="724"/>
      <c r="AN542" s="724"/>
      <c r="AO542" s="724"/>
      <c r="AP542" s="724"/>
      <c r="AQ542" s="724"/>
      <c r="AR542" s="726"/>
      <c r="AS542" s="724"/>
      <c r="AT542" s="726"/>
      <c r="AU542" s="724" t="s">
        <v>678</v>
      </c>
      <c r="AV542" s="724" t="s">
        <v>677</v>
      </c>
      <c r="AW542" s="724" t="s">
        <v>676</v>
      </c>
      <c r="AX542" s="724" t="s">
        <v>674</v>
      </c>
      <c r="AY542" s="724"/>
      <c r="AZ542" s="724"/>
      <c r="BA542" s="724" t="s">
        <v>679</v>
      </c>
      <c r="BB542" s="724"/>
      <c r="BC542" s="724"/>
      <c r="BD542" s="724"/>
      <c r="BE542" s="726"/>
      <c r="BF542" s="724" t="s">
        <v>298</v>
      </c>
      <c r="BG542" s="724" t="s">
        <v>680</v>
      </c>
      <c r="BH542" s="724" t="s">
        <v>681</v>
      </c>
      <c r="BI542" s="724"/>
    </row>
    <row r="543" spans="1:61">
      <c r="A543" s="724" t="s">
        <v>1005</v>
      </c>
      <c r="B543" s="724" t="s">
        <v>1005</v>
      </c>
      <c r="C543" s="724" t="s">
        <v>1035</v>
      </c>
      <c r="D543" s="724" t="s">
        <v>673</v>
      </c>
      <c r="E543" s="724" t="s">
        <v>3</v>
      </c>
      <c r="F543" s="725" t="s">
        <v>83</v>
      </c>
      <c r="G543" s="725" t="s">
        <v>700</v>
      </c>
      <c r="H543" s="726">
        <v>912000</v>
      </c>
      <c r="I543" s="726">
        <v>912000</v>
      </c>
      <c r="J543" s="726">
        <v>0</v>
      </c>
      <c r="K543" s="726">
        <v>0</v>
      </c>
      <c r="L543" s="726">
        <v>912000</v>
      </c>
      <c r="M543" s="726">
        <v>0</v>
      </c>
      <c r="N543" s="726">
        <v>0</v>
      </c>
      <c r="O543" s="726">
        <v>0</v>
      </c>
      <c r="P543" s="726">
        <v>0</v>
      </c>
      <c r="Q543" s="726">
        <v>0</v>
      </c>
      <c r="R543" s="726">
        <v>0</v>
      </c>
      <c r="S543" s="726">
        <v>0</v>
      </c>
      <c r="T543" s="726">
        <v>0</v>
      </c>
      <c r="U543" s="726">
        <v>0</v>
      </c>
      <c r="V543" s="726">
        <v>0</v>
      </c>
      <c r="W543" s="726">
        <v>0</v>
      </c>
      <c r="X543" s="724" t="s">
        <v>674</v>
      </c>
      <c r="Y543" s="724" t="s">
        <v>1226</v>
      </c>
      <c r="Z543" s="724" t="s">
        <v>1226</v>
      </c>
      <c r="AA543" s="724" t="s">
        <v>675</v>
      </c>
      <c r="AB543" s="724" t="s">
        <v>675</v>
      </c>
      <c r="AC543" s="724"/>
      <c r="AD543" s="724"/>
      <c r="AE543" s="724"/>
      <c r="AF543" s="724"/>
      <c r="AG543" s="725" t="s">
        <v>1054</v>
      </c>
      <c r="AH543" s="724"/>
      <c r="AI543" s="725" t="s">
        <v>1054</v>
      </c>
      <c r="AJ543" s="725" t="s">
        <v>677</v>
      </c>
      <c r="AK543" s="724" t="s">
        <v>677</v>
      </c>
      <c r="AL543" s="724"/>
      <c r="AM543" s="724"/>
      <c r="AN543" s="724"/>
      <c r="AO543" s="724"/>
      <c r="AP543" s="724"/>
      <c r="AQ543" s="724"/>
      <c r="AR543" s="726"/>
      <c r="AS543" s="724"/>
      <c r="AT543" s="726"/>
      <c r="AU543" s="724" t="s">
        <v>678</v>
      </c>
      <c r="AV543" s="724" t="s">
        <v>677</v>
      </c>
      <c r="AW543" s="724" t="s">
        <v>676</v>
      </c>
      <c r="AX543" s="724" t="s">
        <v>674</v>
      </c>
      <c r="AY543" s="724"/>
      <c r="AZ543" s="724"/>
      <c r="BA543" s="724" t="s">
        <v>679</v>
      </c>
      <c r="BB543" s="724"/>
      <c r="BC543" s="724"/>
      <c r="BD543" s="724"/>
      <c r="BE543" s="726"/>
      <c r="BF543" s="724" t="s">
        <v>298</v>
      </c>
      <c r="BG543" s="724" t="s">
        <v>680</v>
      </c>
      <c r="BH543" s="724" t="s">
        <v>681</v>
      </c>
      <c r="BI543" s="724"/>
    </row>
    <row r="544" spans="1:61">
      <c r="A544" s="724" t="s">
        <v>1005</v>
      </c>
      <c r="B544" s="724" t="s">
        <v>1005</v>
      </c>
      <c r="C544" s="724" t="s">
        <v>1035</v>
      </c>
      <c r="D544" s="724" t="s">
        <v>673</v>
      </c>
      <c r="E544" s="724" t="s">
        <v>3</v>
      </c>
      <c r="F544" s="725" t="s">
        <v>7</v>
      </c>
      <c r="G544" s="725" t="s">
        <v>684</v>
      </c>
      <c r="H544" s="726">
        <v>91740</v>
      </c>
      <c r="I544" s="726">
        <v>91740</v>
      </c>
      <c r="J544" s="726">
        <v>0</v>
      </c>
      <c r="K544" s="726">
        <v>0</v>
      </c>
      <c r="L544" s="726">
        <v>91740</v>
      </c>
      <c r="M544" s="726">
        <v>0</v>
      </c>
      <c r="N544" s="726">
        <v>0</v>
      </c>
      <c r="O544" s="726">
        <v>0</v>
      </c>
      <c r="P544" s="726">
        <v>0</v>
      </c>
      <c r="Q544" s="726">
        <v>0</v>
      </c>
      <c r="R544" s="726">
        <v>0</v>
      </c>
      <c r="S544" s="726">
        <v>0</v>
      </c>
      <c r="T544" s="726">
        <v>0</v>
      </c>
      <c r="U544" s="726">
        <v>0</v>
      </c>
      <c r="V544" s="726">
        <v>0</v>
      </c>
      <c r="W544" s="726">
        <v>0</v>
      </c>
      <c r="X544" s="724" t="s">
        <v>674</v>
      </c>
      <c r="Y544" s="724" t="s">
        <v>675</v>
      </c>
      <c r="Z544" s="724" t="s">
        <v>675</v>
      </c>
      <c r="AA544" s="724" t="s">
        <v>675</v>
      </c>
      <c r="AB544" s="724" t="s">
        <v>675</v>
      </c>
      <c r="AC544" s="724"/>
      <c r="AD544" s="724"/>
      <c r="AE544" s="724"/>
      <c r="AF544" s="724"/>
      <c r="AG544" s="725" t="s">
        <v>1053</v>
      </c>
      <c r="AH544" s="724"/>
      <c r="AI544" s="725" t="s">
        <v>1053</v>
      </c>
      <c r="AJ544" s="725" t="s">
        <v>677</v>
      </c>
      <c r="AK544" s="724" t="s">
        <v>677</v>
      </c>
      <c r="AL544" s="724"/>
      <c r="AM544" s="724"/>
      <c r="AN544" s="724"/>
      <c r="AO544" s="724"/>
      <c r="AP544" s="724"/>
      <c r="AQ544" s="724"/>
      <c r="AR544" s="726"/>
      <c r="AS544" s="724"/>
      <c r="AT544" s="726"/>
      <c r="AU544" s="724" t="s">
        <v>678</v>
      </c>
      <c r="AV544" s="724" t="s">
        <v>677</v>
      </c>
      <c r="AW544" s="724" t="s">
        <v>676</v>
      </c>
      <c r="AX544" s="724" t="s">
        <v>674</v>
      </c>
      <c r="AY544" s="724"/>
      <c r="AZ544" s="724"/>
      <c r="BA544" s="724" t="s">
        <v>679</v>
      </c>
      <c r="BB544" s="724"/>
      <c r="BC544" s="724"/>
      <c r="BD544" s="724"/>
      <c r="BE544" s="726"/>
      <c r="BF544" s="724" t="s">
        <v>298</v>
      </c>
      <c r="BG544" s="724" t="s">
        <v>680</v>
      </c>
      <c r="BH544" s="724" t="s">
        <v>681</v>
      </c>
      <c r="BI544" s="724"/>
    </row>
    <row r="545" spans="1:61">
      <c r="A545" s="724" t="s">
        <v>1005</v>
      </c>
      <c r="B545" s="724" t="s">
        <v>1005</v>
      </c>
      <c r="C545" s="724" t="s">
        <v>1035</v>
      </c>
      <c r="D545" s="724" t="s">
        <v>673</v>
      </c>
      <c r="E545" s="724" t="s">
        <v>3</v>
      </c>
      <c r="F545" s="725" t="s">
        <v>7</v>
      </c>
      <c r="G545" s="725" t="s">
        <v>684</v>
      </c>
      <c r="H545" s="726">
        <v>101950</v>
      </c>
      <c r="I545" s="726">
        <v>101950</v>
      </c>
      <c r="J545" s="726">
        <v>0</v>
      </c>
      <c r="K545" s="726">
        <v>0</v>
      </c>
      <c r="L545" s="726">
        <v>101950</v>
      </c>
      <c r="M545" s="726">
        <v>0</v>
      </c>
      <c r="N545" s="726">
        <v>0</v>
      </c>
      <c r="O545" s="726">
        <v>0</v>
      </c>
      <c r="P545" s="726">
        <v>0</v>
      </c>
      <c r="Q545" s="726">
        <v>0</v>
      </c>
      <c r="R545" s="726">
        <v>0</v>
      </c>
      <c r="S545" s="726">
        <v>0</v>
      </c>
      <c r="T545" s="726">
        <v>0</v>
      </c>
      <c r="U545" s="726">
        <v>0</v>
      </c>
      <c r="V545" s="726">
        <v>0</v>
      </c>
      <c r="W545" s="726">
        <v>0</v>
      </c>
      <c r="X545" s="724" t="s">
        <v>674</v>
      </c>
      <c r="Y545" s="724" t="s">
        <v>1226</v>
      </c>
      <c r="Z545" s="724" t="s">
        <v>1226</v>
      </c>
      <c r="AA545" s="724" t="s">
        <v>675</v>
      </c>
      <c r="AB545" s="724" t="s">
        <v>675</v>
      </c>
      <c r="AC545" s="724"/>
      <c r="AD545" s="724"/>
      <c r="AE545" s="724"/>
      <c r="AF545" s="724"/>
      <c r="AG545" s="725" t="s">
        <v>1050</v>
      </c>
      <c r="AH545" s="724"/>
      <c r="AI545" s="725" t="s">
        <v>1050</v>
      </c>
      <c r="AJ545" s="725" t="s">
        <v>677</v>
      </c>
      <c r="AK545" s="724" t="s">
        <v>677</v>
      </c>
      <c r="AL545" s="724"/>
      <c r="AM545" s="724"/>
      <c r="AN545" s="724"/>
      <c r="AO545" s="724"/>
      <c r="AP545" s="724"/>
      <c r="AQ545" s="724"/>
      <c r="AR545" s="726"/>
      <c r="AS545" s="724"/>
      <c r="AT545" s="726"/>
      <c r="AU545" s="724" t="s">
        <v>678</v>
      </c>
      <c r="AV545" s="724" t="s">
        <v>677</v>
      </c>
      <c r="AW545" s="724" t="s">
        <v>676</v>
      </c>
      <c r="AX545" s="724" t="s">
        <v>674</v>
      </c>
      <c r="AY545" s="724"/>
      <c r="AZ545" s="724"/>
      <c r="BA545" s="724" t="s">
        <v>679</v>
      </c>
      <c r="BB545" s="724"/>
      <c r="BC545" s="724"/>
      <c r="BD545" s="724"/>
      <c r="BE545" s="726"/>
      <c r="BF545" s="724" t="s">
        <v>298</v>
      </c>
      <c r="BG545" s="724" t="s">
        <v>680</v>
      </c>
      <c r="BH545" s="724" t="s">
        <v>681</v>
      </c>
      <c r="BI545" s="724"/>
    </row>
    <row r="546" spans="1:61">
      <c r="A546" s="724" t="s">
        <v>1005</v>
      </c>
      <c r="B546" s="724" t="s">
        <v>1005</v>
      </c>
      <c r="C546" s="724" t="s">
        <v>1035</v>
      </c>
      <c r="D546" s="724" t="s">
        <v>673</v>
      </c>
      <c r="E546" s="724" t="s">
        <v>3</v>
      </c>
      <c r="F546" s="725" t="s">
        <v>7</v>
      </c>
      <c r="G546" s="725" t="s">
        <v>684</v>
      </c>
      <c r="H546" s="726">
        <v>1397850</v>
      </c>
      <c r="I546" s="726">
        <v>1397850</v>
      </c>
      <c r="J546" s="726">
        <v>0</v>
      </c>
      <c r="K546" s="726">
        <v>0</v>
      </c>
      <c r="L546" s="726">
        <v>1397850</v>
      </c>
      <c r="M546" s="726">
        <v>0</v>
      </c>
      <c r="N546" s="726">
        <v>0</v>
      </c>
      <c r="O546" s="726">
        <v>0</v>
      </c>
      <c r="P546" s="726">
        <v>0</v>
      </c>
      <c r="Q546" s="726">
        <v>0</v>
      </c>
      <c r="R546" s="726">
        <v>0</v>
      </c>
      <c r="S546" s="726">
        <v>0</v>
      </c>
      <c r="T546" s="726">
        <v>0</v>
      </c>
      <c r="U546" s="726">
        <v>0</v>
      </c>
      <c r="V546" s="726">
        <v>0</v>
      </c>
      <c r="W546" s="726">
        <v>0</v>
      </c>
      <c r="X546" s="724" t="s">
        <v>674</v>
      </c>
      <c r="Y546" s="724" t="s">
        <v>1226</v>
      </c>
      <c r="Z546" s="724" t="s">
        <v>1226</v>
      </c>
      <c r="AA546" s="724" t="s">
        <v>675</v>
      </c>
      <c r="AB546" s="724" t="s">
        <v>675</v>
      </c>
      <c r="AC546" s="724"/>
      <c r="AD546" s="724"/>
      <c r="AE546" s="724"/>
      <c r="AF546" s="724"/>
      <c r="AG546" s="725" t="s">
        <v>1051</v>
      </c>
      <c r="AH546" s="724"/>
      <c r="AI546" s="725" t="s">
        <v>1051</v>
      </c>
      <c r="AJ546" s="725" t="s">
        <v>677</v>
      </c>
      <c r="AK546" s="724" t="s">
        <v>677</v>
      </c>
      <c r="AL546" s="724"/>
      <c r="AM546" s="724"/>
      <c r="AN546" s="724"/>
      <c r="AO546" s="724"/>
      <c r="AP546" s="724"/>
      <c r="AQ546" s="724"/>
      <c r="AR546" s="726"/>
      <c r="AS546" s="724"/>
      <c r="AT546" s="726"/>
      <c r="AU546" s="724" t="s">
        <v>678</v>
      </c>
      <c r="AV546" s="724" t="s">
        <v>677</v>
      </c>
      <c r="AW546" s="724" t="s">
        <v>676</v>
      </c>
      <c r="AX546" s="724" t="s">
        <v>674</v>
      </c>
      <c r="AY546" s="724"/>
      <c r="AZ546" s="724"/>
      <c r="BA546" s="724" t="s">
        <v>679</v>
      </c>
      <c r="BB546" s="724"/>
      <c r="BC546" s="724"/>
      <c r="BD546" s="724"/>
      <c r="BE546" s="726"/>
      <c r="BF546" s="724" t="s">
        <v>298</v>
      </c>
      <c r="BG546" s="724" t="s">
        <v>680</v>
      </c>
      <c r="BH546" s="724" t="s">
        <v>681</v>
      </c>
      <c r="BI546" s="724"/>
    </row>
    <row r="547" spans="1:61">
      <c r="A547" s="724" t="s">
        <v>1005</v>
      </c>
      <c r="B547" s="724" t="s">
        <v>1005</v>
      </c>
      <c r="C547" s="724" t="s">
        <v>1035</v>
      </c>
      <c r="D547" s="724" t="s">
        <v>673</v>
      </c>
      <c r="E547" s="724" t="s">
        <v>3</v>
      </c>
      <c r="F547" s="725" t="s">
        <v>83</v>
      </c>
      <c r="G547" s="725" t="s">
        <v>700</v>
      </c>
      <c r="H547" s="726">
        <v>88000</v>
      </c>
      <c r="I547" s="726">
        <v>88000</v>
      </c>
      <c r="J547" s="726">
        <v>0</v>
      </c>
      <c r="K547" s="726">
        <v>0</v>
      </c>
      <c r="L547" s="726">
        <v>88000</v>
      </c>
      <c r="M547" s="726">
        <v>0</v>
      </c>
      <c r="N547" s="726">
        <v>0</v>
      </c>
      <c r="O547" s="726">
        <v>0</v>
      </c>
      <c r="P547" s="726">
        <v>0</v>
      </c>
      <c r="Q547" s="726">
        <v>0</v>
      </c>
      <c r="R547" s="726">
        <v>0</v>
      </c>
      <c r="S547" s="726">
        <v>0</v>
      </c>
      <c r="T547" s="726">
        <v>0</v>
      </c>
      <c r="U547" s="726">
        <v>0</v>
      </c>
      <c r="V547" s="726">
        <v>0</v>
      </c>
      <c r="W547" s="726">
        <v>0</v>
      </c>
      <c r="X547" s="724" t="s">
        <v>674</v>
      </c>
      <c r="Y547" s="724" t="s">
        <v>675</v>
      </c>
      <c r="Z547" s="724" t="s">
        <v>675</v>
      </c>
      <c r="AA547" s="724" t="s">
        <v>675</v>
      </c>
      <c r="AB547" s="724" t="s">
        <v>675</v>
      </c>
      <c r="AC547" s="724"/>
      <c r="AD547" s="724"/>
      <c r="AE547" s="724"/>
      <c r="AF547" s="724"/>
      <c r="AG547" s="725" t="s">
        <v>1055</v>
      </c>
      <c r="AH547" s="724"/>
      <c r="AI547" s="725" t="s">
        <v>1055</v>
      </c>
      <c r="AJ547" s="725" t="s">
        <v>677</v>
      </c>
      <c r="AK547" s="724" t="s">
        <v>677</v>
      </c>
      <c r="AL547" s="724"/>
      <c r="AM547" s="724"/>
      <c r="AN547" s="724"/>
      <c r="AO547" s="724"/>
      <c r="AP547" s="724"/>
      <c r="AQ547" s="724"/>
      <c r="AR547" s="726"/>
      <c r="AS547" s="724"/>
      <c r="AT547" s="726"/>
      <c r="AU547" s="724" t="s">
        <v>678</v>
      </c>
      <c r="AV547" s="724" t="s">
        <v>677</v>
      </c>
      <c r="AW547" s="724" t="s">
        <v>676</v>
      </c>
      <c r="AX547" s="724" t="s">
        <v>674</v>
      </c>
      <c r="AY547" s="724"/>
      <c r="AZ547" s="724"/>
      <c r="BA547" s="724" t="s">
        <v>679</v>
      </c>
      <c r="BB547" s="724"/>
      <c r="BC547" s="724"/>
      <c r="BD547" s="724"/>
      <c r="BE547" s="726"/>
      <c r="BF547" s="724" t="s">
        <v>298</v>
      </c>
      <c r="BG547" s="724" t="s">
        <v>680</v>
      </c>
      <c r="BH547" s="724" t="s">
        <v>681</v>
      </c>
      <c r="BI547" s="724"/>
    </row>
    <row r="548" spans="1:61">
      <c r="A548" s="724" t="s">
        <v>1056</v>
      </c>
      <c r="B548" s="724" t="s">
        <v>965</v>
      </c>
      <c r="C548" s="724" t="s">
        <v>966</v>
      </c>
      <c r="D548" s="724" t="s">
        <v>724</v>
      </c>
      <c r="E548" s="724" t="s">
        <v>3</v>
      </c>
      <c r="F548" s="725" t="s">
        <v>83</v>
      </c>
      <c r="G548" s="725" t="s">
        <v>700</v>
      </c>
      <c r="H548" s="726">
        <v>101570</v>
      </c>
      <c r="I548" s="726">
        <v>101570</v>
      </c>
      <c r="J548" s="726">
        <v>0</v>
      </c>
      <c r="K548" s="726">
        <v>0</v>
      </c>
      <c r="L548" s="726">
        <v>92337</v>
      </c>
      <c r="M548" s="726">
        <v>0</v>
      </c>
      <c r="N548" s="726">
        <v>0</v>
      </c>
      <c r="O548" s="726">
        <v>9233</v>
      </c>
      <c r="P548" s="726">
        <v>0</v>
      </c>
      <c r="Q548" s="726">
        <v>0</v>
      </c>
      <c r="R548" s="726">
        <v>0</v>
      </c>
      <c r="S548" s="726">
        <v>0</v>
      </c>
      <c r="T548" s="726">
        <v>0</v>
      </c>
      <c r="U548" s="726">
        <v>0</v>
      </c>
      <c r="V548" s="726">
        <v>0</v>
      </c>
      <c r="W548" s="726">
        <v>0</v>
      </c>
      <c r="X548" s="724" t="s">
        <v>674</v>
      </c>
      <c r="Y548" s="724" t="s">
        <v>1226</v>
      </c>
      <c r="Z548" s="724" t="s">
        <v>1226</v>
      </c>
      <c r="AA548" s="724" t="s">
        <v>675</v>
      </c>
      <c r="AB548" s="724" t="s">
        <v>675</v>
      </c>
      <c r="AC548" s="724"/>
      <c r="AD548" s="724"/>
      <c r="AE548" s="724"/>
      <c r="AF548" s="724"/>
      <c r="AG548" s="725" t="s">
        <v>591</v>
      </c>
      <c r="AH548" s="724"/>
      <c r="AI548" s="725" t="s">
        <v>591</v>
      </c>
      <c r="AJ548" s="725" t="s">
        <v>945</v>
      </c>
      <c r="AK548" s="724" t="s">
        <v>677</v>
      </c>
      <c r="AL548" s="724"/>
      <c r="AM548" s="724" t="s">
        <v>726</v>
      </c>
      <c r="AN548" s="724" t="s">
        <v>1057</v>
      </c>
      <c r="AO548" s="724" t="s">
        <v>1056</v>
      </c>
      <c r="AP548" s="724" t="s">
        <v>1058</v>
      </c>
      <c r="AQ548" s="724" t="s">
        <v>939</v>
      </c>
      <c r="AR548" s="726">
        <v>101570</v>
      </c>
      <c r="AS548" s="724" t="s">
        <v>675</v>
      </c>
      <c r="AT548" s="726">
        <v>0</v>
      </c>
      <c r="AU548" s="724" t="s">
        <v>678</v>
      </c>
      <c r="AV548" s="724" t="s">
        <v>677</v>
      </c>
      <c r="AW548" s="724" t="s">
        <v>676</v>
      </c>
      <c r="AX548" s="724" t="s">
        <v>674</v>
      </c>
      <c r="AY548" s="724"/>
      <c r="AZ548" s="724"/>
      <c r="BA548" s="724" t="s">
        <v>679</v>
      </c>
      <c r="BB548" s="724"/>
      <c r="BC548" s="724"/>
      <c r="BD548" s="724"/>
      <c r="BE548" s="726"/>
      <c r="BF548" s="724" t="s">
        <v>298</v>
      </c>
      <c r="BG548" s="724" t="s">
        <v>680</v>
      </c>
      <c r="BH548" s="724" t="s">
        <v>681</v>
      </c>
      <c r="BI548" s="724"/>
    </row>
    <row r="549" spans="1:61">
      <c r="A549" s="724" t="s">
        <v>1056</v>
      </c>
      <c r="B549" s="724" t="s">
        <v>965</v>
      </c>
      <c r="C549" s="724" t="s">
        <v>966</v>
      </c>
      <c r="D549" s="724" t="s">
        <v>724</v>
      </c>
      <c r="E549" s="724" t="s">
        <v>3</v>
      </c>
      <c r="F549" s="725" t="s">
        <v>83</v>
      </c>
      <c r="G549" s="725" t="s">
        <v>700</v>
      </c>
      <c r="H549" s="726">
        <v>150000</v>
      </c>
      <c r="I549" s="726">
        <v>0</v>
      </c>
      <c r="J549" s="726">
        <v>0</v>
      </c>
      <c r="K549" s="726">
        <v>150000</v>
      </c>
      <c r="L549" s="726">
        <v>0</v>
      </c>
      <c r="M549" s="726">
        <v>0</v>
      </c>
      <c r="N549" s="726">
        <v>136364</v>
      </c>
      <c r="O549" s="726">
        <v>0</v>
      </c>
      <c r="P549" s="726">
        <v>0</v>
      </c>
      <c r="Q549" s="726">
        <v>13636</v>
      </c>
      <c r="R549" s="726">
        <v>0</v>
      </c>
      <c r="S549" s="726">
        <v>0</v>
      </c>
      <c r="T549" s="726">
        <v>0</v>
      </c>
      <c r="U549" s="726">
        <v>0</v>
      </c>
      <c r="V549" s="726">
        <v>0</v>
      </c>
      <c r="W549" s="726">
        <v>0</v>
      </c>
      <c r="X549" s="724" t="s">
        <v>674</v>
      </c>
      <c r="Y549" s="724" t="s">
        <v>1226</v>
      </c>
      <c r="Z549" s="724" t="s">
        <v>1226</v>
      </c>
      <c r="AA549" s="724" t="s">
        <v>675</v>
      </c>
      <c r="AB549" s="724" t="s">
        <v>675</v>
      </c>
      <c r="AC549" s="724"/>
      <c r="AD549" s="724"/>
      <c r="AE549" s="724"/>
      <c r="AF549" s="724"/>
      <c r="AG549" s="725" t="s">
        <v>591</v>
      </c>
      <c r="AH549" s="724"/>
      <c r="AI549" s="725" t="s">
        <v>591</v>
      </c>
      <c r="AJ549" s="725" t="s">
        <v>945</v>
      </c>
      <c r="AK549" s="724" t="s">
        <v>677</v>
      </c>
      <c r="AL549" s="724"/>
      <c r="AM549" s="724" t="s">
        <v>726</v>
      </c>
      <c r="AN549" s="724" t="s">
        <v>1059</v>
      </c>
      <c r="AO549" s="724" t="s">
        <v>1056</v>
      </c>
      <c r="AP549" s="724" t="s">
        <v>1058</v>
      </c>
      <c r="AQ549" s="724" t="s">
        <v>939</v>
      </c>
      <c r="AR549" s="726">
        <v>150000</v>
      </c>
      <c r="AS549" s="724" t="s">
        <v>675</v>
      </c>
      <c r="AT549" s="726">
        <v>0</v>
      </c>
      <c r="AU549" s="724" t="s">
        <v>678</v>
      </c>
      <c r="AV549" s="724" t="s">
        <v>677</v>
      </c>
      <c r="AW549" s="724" t="s">
        <v>676</v>
      </c>
      <c r="AX549" s="724" t="s">
        <v>674</v>
      </c>
      <c r="AY549" s="724"/>
      <c r="AZ549" s="724"/>
      <c r="BA549" s="724" t="s">
        <v>679</v>
      </c>
      <c r="BB549" s="724"/>
      <c r="BC549" s="724"/>
      <c r="BD549" s="724"/>
      <c r="BE549" s="726"/>
      <c r="BF549" s="724" t="s">
        <v>298</v>
      </c>
      <c r="BG549" s="724" t="s">
        <v>680</v>
      </c>
      <c r="BH549" s="724" t="s">
        <v>681</v>
      </c>
      <c r="BI549" s="724"/>
    </row>
    <row r="550" spans="1:61">
      <c r="A550" s="724" t="s">
        <v>994</v>
      </c>
      <c r="B550" s="724" t="s">
        <v>997</v>
      </c>
      <c r="C550" s="724" t="s">
        <v>997</v>
      </c>
      <c r="D550" s="724" t="s">
        <v>716</v>
      </c>
      <c r="E550" s="724" t="s">
        <v>3</v>
      </c>
      <c r="F550" s="725" t="s">
        <v>83</v>
      </c>
      <c r="G550" s="725" t="s">
        <v>134</v>
      </c>
      <c r="H550" s="726">
        <v>12743500</v>
      </c>
      <c r="I550" s="726">
        <v>12743500</v>
      </c>
      <c r="J550" s="726">
        <v>0</v>
      </c>
      <c r="K550" s="726">
        <v>0</v>
      </c>
      <c r="L550" s="726">
        <v>11585000</v>
      </c>
      <c r="M550" s="726">
        <v>0</v>
      </c>
      <c r="N550" s="726">
        <v>0</v>
      </c>
      <c r="O550" s="726">
        <v>1158500</v>
      </c>
      <c r="P550" s="726">
        <v>0</v>
      </c>
      <c r="Q550" s="726">
        <v>0</v>
      </c>
      <c r="R550" s="726">
        <v>0</v>
      </c>
      <c r="S550" s="726">
        <v>0</v>
      </c>
      <c r="T550" s="726">
        <v>0</v>
      </c>
      <c r="U550" s="726">
        <v>0</v>
      </c>
      <c r="V550" s="726">
        <v>0</v>
      </c>
      <c r="W550" s="726">
        <v>0</v>
      </c>
      <c r="X550" s="724" t="s">
        <v>674</v>
      </c>
      <c r="Y550" s="724" t="s">
        <v>1226</v>
      </c>
      <c r="Z550" s="724" t="s">
        <v>1226</v>
      </c>
      <c r="AA550" s="724" t="s">
        <v>675</v>
      </c>
      <c r="AB550" s="724" t="s">
        <v>675</v>
      </c>
      <c r="AC550" s="724"/>
      <c r="AD550" s="724"/>
      <c r="AE550" s="724"/>
      <c r="AF550" s="724"/>
      <c r="AG550" s="725" t="s">
        <v>601</v>
      </c>
      <c r="AH550" s="724"/>
      <c r="AI550" s="725" t="s">
        <v>601</v>
      </c>
      <c r="AJ550" s="725" t="s">
        <v>1060</v>
      </c>
      <c r="AK550" s="724" t="s">
        <v>677</v>
      </c>
      <c r="AL550" s="724"/>
      <c r="AM550" s="724"/>
      <c r="AN550" s="724"/>
      <c r="AO550" s="724"/>
      <c r="AP550" s="724"/>
      <c r="AQ550" s="724"/>
      <c r="AR550" s="726"/>
      <c r="AS550" s="724"/>
      <c r="AT550" s="726"/>
      <c r="AU550" s="724" t="s">
        <v>678</v>
      </c>
      <c r="AV550" s="724" t="s">
        <v>677</v>
      </c>
      <c r="AW550" s="724" t="s">
        <v>676</v>
      </c>
      <c r="AX550" s="724" t="s">
        <v>674</v>
      </c>
      <c r="AY550" s="724"/>
      <c r="AZ550" s="724"/>
      <c r="BA550" s="724" t="s">
        <v>679</v>
      </c>
      <c r="BB550" s="724"/>
      <c r="BC550" s="724"/>
      <c r="BD550" s="724"/>
      <c r="BE550" s="726"/>
      <c r="BF550" s="724" t="s">
        <v>298</v>
      </c>
      <c r="BG550" s="724" t="s">
        <v>680</v>
      </c>
      <c r="BH550" s="724" t="s">
        <v>681</v>
      </c>
      <c r="BI550" s="724"/>
    </row>
    <row r="551" spans="1:61">
      <c r="A551" s="724" t="s">
        <v>1062</v>
      </c>
      <c r="B551" s="724" t="s">
        <v>1062</v>
      </c>
      <c r="C551" s="724" t="s">
        <v>1063</v>
      </c>
      <c r="D551" s="724" t="s">
        <v>673</v>
      </c>
      <c r="E551" s="724" t="s">
        <v>3</v>
      </c>
      <c r="F551" s="725" t="s">
        <v>83</v>
      </c>
      <c r="G551" s="725" t="s">
        <v>691</v>
      </c>
      <c r="H551" s="726">
        <v>484000</v>
      </c>
      <c r="I551" s="726">
        <v>484000</v>
      </c>
      <c r="J551" s="726">
        <v>0</v>
      </c>
      <c r="K551" s="726">
        <v>0</v>
      </c>
      <c r="L551" s="726">
        <v>484000</v>
      </c>
      <c r="M551" s="726">
        <v>0</v>
      </c>
      <c r="N551" s="726">
        <v>0</v>
      </c>
      <c r="O551" s="726">
        <v>0</v>
      </c>
      <c r="P551" s="726">
        <v>0</v>
      </c>
      <c r="Q551" s="726">
        <v>0</v>
      </c>
      <c r="R551" s="726">
        <v>0</v>
      </c>
      <c r="S551" s="726">
        <v>0</v>
      </c>
      <c r="T551" s="726">
        <v>0</v>
      </c>
      <c r="U551" s="726">
        <v>0</v>
      </c>
      <c r="V551" s="726">
        <v>0</v>
      </c>
      <c r="W551" s="726">
        <v>0</v>
      </c>
      <c r="X551" s="724" t="s">
        <v>674</v>
      </c>
      <c r="Y551" s="724" t="s">
        <v>1226</v>
      </c>
      <c r="Z551" s="724" t="s">
        <v>1226</v>
      </c>
      <c r="AA551" s="724" t="s">
        <v>675</v>
      </c>
      <c r="AB551" s="724" t="s">
        <v>675</v>
      </c>
      <c r="AC551" s="724"/>
      <c r="AD551" s="724"/>
      <c r="AE551" s="724" t="s">
        <v>694</v>
      </c>
      <c r="AF551" s="724"/>
      <c r="AG551" s="725" t="s">
        <v>1064</v>
      </c>
      <c r="AH551" s="724"/>
      <c r="AI551" s="725" t="s">
        <v>1064</v>
      </c>
      <c r="AJ551" s="725" t="s">
        <v>677</v>
      </c>
      <c r="AK551" s="724" t="s">
        <v>677</v>
      </c>
      <c r="AL551" s="724"/>
      <c r="AM551" s="724"/>
      <c r="AN551" s="724"/>
      <c r="AO551" s="724"/>
      <c r="AP551" s="724"/>
      <c r="AQ551" s="724"/>
      <c r="AR551" s="726"/>
      <c r="AS551" s="724"/>
      <c r="AT551" s="726"/>
      <c r="AU551" s="724" t="s">
        <v>678</v>
      </c>
      <c r="AV551" s="724" t="s">
        <v>677</v>
      </c>
      <c r="AW551" s="724" t="s">
        <v>676</v>
      </c>
      <c r="AX551" s="724" t="s">
        <v>674</v>
      </c>
      <c r="AY551" s="724"/>
      <c r="AZ551" s="724"/>
      <c r="BA551" s="724" t="s">
        <v>679</v>
      </c>
      <c r="BB551" s="724"/>
      <c r="BC551" s="724"/>
      <c r="BD551" s="724"/>
      <c r="BE551" s="726"/>
      <c r="BF551" s="724" t="s">
        <v>298</v>
      </c>
      <c r="BG551" s="724" t="s">
        <v>680</v>
      </c>
      <c r="BH551" s="724" t="s">
        <v>681</v>
      </c>
      <c r="BI551" s="724"/>
    </row>
    <row r="552" spans="1:61">
      <c r="A552" s="724" t="s">
        <v>1062</v>
      </c>
      <c r="B552" s="724" t="s">
        <v>1062</v>
      </c>
      <c r="C552" s="724" t="s">
        <v>1063</v>
      </c>
      <c r="D552" s="724" t="s">
        <v>673</v>
      </c>
      <c r="E552" s="724" t="s">
        <v>3</v>
      </c>
      <c r="F552" s="725" t="s">
        <v>83</v>
      </c>
      <c r="G552" s="725" t="s">
        <v>691</v>
      </c>
      <c r="H552" s="726">
        <v>5016000</v>
      </c>
      <c r="I552" s="726">
        <v>5016000</v>
      </c>
      <c r="J552" s="726">
        <v>0</v>
      </c>
      <c r="K552" s="726">
        <v>0</v>
      </c>
      <c r="L552" s="726">
        <v>5016000</v>
      </c>
      <c r="M552" s="726">
        <v>0</v>
      </c>
      <c r="N552" s="726">
        <v>0</v>
      </c>
      <c r="O552" s="726">
        <v>0</v>
      </c>
      <c r="P552" s="726">
        <v>0</v>
      </c>
      <c r="Q552" s="726">
        <v>0</v>
      </c>
      <c r="R552" s="726">
        <v>0</v>
      </c>
      <c r="S552" s="726">
        <v>0</v>
      </c>
      <c r="T552" s="726">
        <v>0</v>
      </c>
      <c r="U552" s="726">
        <v>0</v>
      </c>
      <c r="V552" s="726">
        <v>0</v>
      </c>
      <c r="W552" s="726">
        <v>0</v>
      </c>
      <c r="X552" s="724" t="s">
        <v>674</v>
      </c>
      <c r="Y552" s="724" t="s">
        <v>1226</v>
      </c>
      <c r="Z552" s="724" t="s">
        <v>1226</v>
      </c>
      <c r="AA552" s="724" t="s">
        <v>675</v>
      </c>
      <c r="AB552" s="724" t="s">
        <v>675</v>
      </c>
      <c r="AC552" s="724"/>
      <c r="AD552" s="724"/>
      <c r="AE552" s="724" t="s">
        <v>694</v>
      </c>
      <c r="AF552" s="724"/>
      <c r="AG552" s="725" t="s">
        <v>1065</v>
      </c>
      <c r="AH552" s="724"/>
      <c r="AI552" s="725" t="s">
        <v>1065</v>
      </c>
      <c r="AJ552" s="725" t="s">
        <v>677</v>
      </c>
      <c r="AK552" s="724" t="s">
        <v>677</v>
      </c>
      <c r="AL552" s="724"/>
      <c r="AM552" s="724"/>
      <c r="AN552" s="724"/>
      <c r="AO552" s="724"/>
      <c r="AP552" s="724"/>
      <c r="AQ552" s="724"/>
      <c r="AR552" s="726"/>
      <c r="AS552" s="724"/>
      <c r="AT552" s="726"/>
      <c r="AU552" s="724" t="s">
        <v>678</v>
      </c>
      <c r="AV552" s="724" t="s">
        <v>677</v>
      </c>
      <c r="AW552" s="724" t="s">
        <v>676</v>
      </c>
      <c r="AX552" s="724" t="s">
        <v>674</v>
      </c>
      <c r="AY552" s="724"/>
      <c r="AZ552" s="724"/>
      <c r="BA552" s="724" t="s">
        <v>679</v>
      </c>
      <c r="BB552" s="724"/>
      <c r="BC552" s="724"/>
      <c r="BD552" s="724"/>
      <c r="BE552" s="726"/>
      <c r="BF552" s="724" t="s">
        <v>298</v>
      </c>
      <c r="BG552" s="724" t="s">
        <v>680</v>
      </c>
      <c r="BH552" s="724" t="s">
        <v>681</v>
      </c>
      <c r="BI552" s="724"/>
    </row>
    <row r="553" spans="1:61">
      <c r="A553" s="724" t="s">
        <v>1066</v>
      </c>
      <c r="B553" s="724" t="s">
        <v>1066</v>
      </c>
      <c r="C553" s="724" t="s">
        <v>1067</v>
      </c>
      <c r="D553" s="724" t="s">
        <v>673</v>
      </c>
      <c r="E553" s="724" t="s">
        <v>3</v>
      </c>
      <c r="F553" s="725" t="s">
        <v>7</v>
      </c>
      <c r="G553" s="725" t="s">
        <v>684</v>
      </c>
      <c r="H553" s="726">
        <v>116470</v>
      </c>
      <c r="I553" s="726">
        <v>116470</v>
      </c>
      <c r="J553" s="726">
        <v>0</v>
      </c>
      <c r="K553" s="726">
        <v>0</v>
      </c>
      <c r="L553" s="726">
        <v>116470</v>
      </c>
      <c r="M553" s="726">
        <v>0</v>
      </c>
      <c r="N553" s="726">
        <v>0</v>
      </c>
      <c r="O553" s="726">
        <v>0</v>
      </c>
      <c r="P553" s="726">
        <v>0</v>
      </c>
      <c r="Q553" s="726">
        <v>0</v>
      </c>
      <c r="R553" s="726">
        <v>0</v>
      </c>
      <c r="S553" s="726">
        <v>0</v>
      </c>
      <c r="T553" s="726">
        <v>0</v>
      </c>
      <c r="U553" s="726">
        <v>0</v>
      </c>
      <c r="V553" s="726">
        <v>0</v>
      </c>
      <c r="W553" s="726">
        <v>0</v>
      </c>
      <c r="X553" s="724" t="s">
        <v>674</v>
      </c>
      <c r="Y553" s="724" t="s">
        <v>1226</v>
      </c>
      <c r="Z553" s="724" t="s">
        <v>1226</v>
      </c>
      <c r="AA553" s="724" t="s">
        <v>675</v>
      </c>
      <c r="AB553" s="724" t="s">
        <v>675</v>
      </c>
      <c r="AC553" s="724"/>
      <c r="AD553" s="724"/>
      <c r="AE553" s="724"/>
      <c r="AF553" s="724"/>
      <c r="AG553" s="725" t="s">
        <v>1068</v>
      </c>
      <c r="AH553" s="724"/>
      <c r="AI553" s="725" t="s">
        <v>1068</v>
      </c>
      <c r="AJ553" s="725" t="s">
        <v>677</v>
      </c>
      <c r="AK553" s="724" t="s">
        <v>677</v>
      </c>
      <c r="AL553" s="724"/>
      <c r="AM553" s="724"/>
      <c r="AN553" s="724"/>
      <c r="AO553" s="724"/>
      <c r="AP553" s="724"/>
      <c r="AQ553" s="724"/>
      <c r="AR553" s="726"/>
      <c r="AS553" s="724"/>
      <c r="AT553" s="726"/>
      <c r="AU553" s="724" t="s">
        <v>678</v>
      </c>
      <c r="AV553" s="724" t="s">
        <v>677</v>
      </c>
      <c r="AW553" s="724" t="s">
        <v>676</v>
      </c>
      <c r="AX553" s="724" t="s">
        <v>674</v>
      </c>
      <c r="AY553" s="724"/>
      <c r="AZ553" s="724"/>
      <c r="BA553" s="724" t="s">
        <v>679</v>
      </c>
      <c r="BB553" s="724"/>
      <c r="BC553" s="724"/>
      <c r="BD553" s="724"/>
      <c r="BE553" s="726"/>
      <c r="BF553" s="724" t="s">
        <v>298</v>
      </c>
      <c r="BG553" s="724" t="s">
        <v>680</v>
      </c>
      <c r="BH553" s="724" t="s">
        <v>681</v>
      </c>
      <c r="BI553" s="724"/>
    </row>
    <row r="554" spans="1:61">
      <c r="A554" s="724" t="s">
        <v>1066</v>
      </c>
      <c r="B554" s="724" t="s">
        <v>1066</v>
      </c>
      <c r="C554" s="724" t="s">
        <v>1067</v>
      </c>
      <c r="D554" s="724" t="s">
        <v>673</v>
      </c>
      <c r="E554" s="724" t="s">
        <v>3</v>
      </c>
      <c r="F554" s="725" t="s">
        <v>7</v>
      </c>
      <c r="G554" s="725" t="s">
        <v>684</v>
      </c>
      <c r="H554" s="726">
        <v>14120</v>
      </c>
      <c r="I554" s="726">
        <v>14120</v>
      </c>
      <c r="J554" s="726">
        <v>0</v>
      </c>
      <c r="K554" s="726">
        <v>0</v>
      </c>
      <c r="L554" s="726">
        <v>14120</v>
      </c>
      <c r="M554" s="726">
        <v>0</v>
      </c>
      <c r="N554" s="726">
        <v>0</v>
      </c>
      <c r="O554" s="726">
        <v>0</v>
      </c>
      <c r="P554" s="726">
        <v>0</v>
      </c>
      <c r="Q554" s="726">
        <v>0</v>
      </c>
      <c r="R554" s="726">
        <v>0</v>
      </c>
      <c r="S554" s="726">
        <v>0</v>
      </c>
      <c r="T554" s="726">
        <v>0</v>
      </c>
      <c r="U554" s="726">
        <v>0</v>
      </c>
      <c r="V554" s="726">
        <v>0</v>
      </c>
      <c r="W554" s="726">
        <v>0</v>
      </c>
      <c r="X554" s="724" t="s">
        <v>674</v>
      </c>
      <c r="Y554" s="724" t="s">
        <v>675</v>
      </c>
      <c r="Z554" s="724" t="s">
        <v>675</v>
      </c>
      <c r="AA554" s="724" t="s">
        <v>675</v>
      </c>
      <c r="AB554" s="724" t="s">
        <v>675</v>
      </c>
      <c r="AC554" s="724"/>
      <c r="AD554" s="724"/>
      <c r="AE554" s="724"/>
      <c r="AF554" s="724"/>
      <c r="AG554" s="725" t="s">
        <v>1069</v>
      </c>
      <c r="AH554" s="724"/>
      <c r="AI554" s="725" t="s">
        <v>1069</v>
      </c>
      <c r="AJ554" s="725" t="s">
        <v>677</v>
      </c>
      <c r="AK554" s="724" t="s">
        <v>677</v>
      </c>
      <c r="AL554" s="724"/>
      <c r="AM554" s="724"/>
      <c r="AN554" s="724"/>
      <c r="AO554" s="724"/>
      <c r="AP554" s="724"/>
      <c r="AQ554" s="724"/>
      <c r="AR554" s="726"/>
      <c r="AS554" s="724"/>
      <c r="AT554" s="726"/>
      <c r="AU554" s="724" t="s">
        <v>678</v>
      </c>
      <c r="AV554" s="724" t="s">
        <v>677</v>
      </c>
      <c r="AW554" s="724" t="s">
        <v>676</v>
      </c>
      <c r="AX554" s="724" t="s">
        <v>674</v>
      </c>
      <c r="AY554" s="724"/>
      <c r="AZ554" s="724"/>
      <c r="BA554" s="724" t="s">
        <v>679</v>
      </c>
      <c r="BB554" s="724"/>
      <c r="BC554" s="724"/>
      <c r="BD554" s="724"/>
      <c r="BE554" s="726"/>
      <c r="BF554" s="724" t="s">
        <v>298</v>
      </c>
      <c r="BG554" s="724" t="s">
        <v>680</v>
      </c>
      <c r="BH554" s="724" t="s">
        <v>681</v>
      </c>
      <c r="BI554" s="724"/>
    </row>
    <row r="555" spans="1:61">
      <c r="A555" s="724" t="s">
        <v>1066</v>
      </c>
      <c r="B555" s="724" t="s">
        <v>1066</v>
      </c>
      <c r="C555" s="724" t="s">
        <v>1067</v>
      </c>
      <c r="D555" s="724" t="s">
        <v>673</v>
      </c>
      <c r="E555" s="724" t="s">
        <v>3</v>
      </c>
      <c r="F555" s="725" t="s">
        <v>7</v>
      </c>
      <c r="G555" s="725" t="s">
        <v>684</v>
      </c>
      <c r="H555" s="726">
        <v>80290</v>
      </c>
      <c r="I555" s="726">
        <v>80290</v>
      </c>
      <c r="J555" s="726">
        <v>0</v>
      </c>
      <c r="K555" s="726">
        <v>0</v>
      </c>
      <c r="L555" s="726">
        <v>80290</v>
      </c>
      <c r="M555" s="726">
        <v>0</v>
      </c>
      <c r="N555" s="726">
        <v>0</v>
      </c>
      <c r="O555" s="726">
        <v>0</v>
      </c>
      <c r="P555" s="726">
        <v>0</v>
      </c>
      <c r="Q555" s="726">
        <v>0</v>
      </c>
      <c r="R555" s="726">
        <v>0</v>
      </c>
      <c r="S555" s="726">
        <v>0</v>
      </c>
      <c r="T555" s="726">
        <v>0</v>
      </c>
      <c r="U555" s="726">
        <v>0</v>
      </c>
      <c r="V555" s="726">
        <v>0</v>
      </c>
      <c r="W555" s="726">
        <v>0</v>
      </c>
      <c r="X555" s="724" t="s">
        <v>674</v>
      </c>
      <c r="Y555" s="724" t="s">
        <v>675</v>
      </c>
      <c r="Z555" s="724" t="s">
        <v>675</v>
      </c>
      <c r="AA555" s="724" t="s">
        <v>675</v>
      </c>
      <c r="AB555" s="724" t="s">
        <v>675</v>
      </c>
      <c r="AC555" s="724"/>
      <c r="AD555" s="724"/>
      <c r="AE555" s="724"/>
      <c r="AF555" s="724"/>
      <c r="AG555" s="725" t="s">
        <v>1070</v>
      </c>
      <c r="AH555" s="724"/>
      <c r="AI555" s="725" t="s">
        <v>1070</v>
      </c>
      <c r="AJ555" s="725" t="s">
        <v>677</v>
      </c>
      <c r="AK555" s="724" t="s">
        <v>677</v>
      </c>
      <c r="AL555" s="724"/>
      <c r="AM555" s="724"/>
      <c r="AN555" s="724"/>
      <c r="AO555" s="724"/>
      <c r="AP555" s="724"/>
      <c r="AQ555" s="724"/>
      <c r="AR555" s="726"/>
      <c r="AS555" s="724"/>
      <c r="AT555" s="726"/>
      <c r="AU555" s="724" t="s">
        <v>678</v>
      </c>
      <c r="AV555" s="724" t="s">
        <v>677</v>
      </c>
      <c r="AW555" s="724" t="s">
        <v>676</v>
      </c>
      <c r="AX555" s="724" t="s">
        <v>674</v>
      </c>
      <c r="AY555" s="724"/>
      <c r="AZ555" s="724"/>
      <c r="BA555" s="724" t="s">
        <v>679</v>
      </c>
      <c r="BB555" s="724"/>
      <c r="BC555" s="724"/>
      <c r="BD555" s="724"/>
      <c r="BE555" s="726"/>
      <c r="BF555" s="724" t="s">
        <v>298</v>
      </c>
      <c r="BG555" s="724" t="s">
        <v>680</v>
      </c>
      <c r="BH555" s="724" t="s">
        <v>681</v>
      </c>
      <c r="BI555" s="724"/>
    </row>
    <row r="556" spans="1:61">
      <c r="A556" s="724" t="s">
        <v>1066</v>
      </c>
      <c r="B556" s="724" t="s">
        <v>1066</v>
      </c>
      <c r="C556" s="724" t="s">
        <v>1067</v>
      </c>
      <c r="D556" s="724" t="s">
        <v>673</v>
      </c>
      <c r="E556" s="724" t="s">
        <v>3</v>
      </c>
      <c r="F556" s="725" t="s">
        <v>7</v>
      </c>
      <c r="G556" s="725" t="s">
        <v>684</v>
      </c>
      <c r="H556" s="726">
        <v>1397850</v>
      </c>
      <c r="I556" s="726">
        <v>1397850</v>
      </c>
      <c r="J556" s="726">
        <v>0</v>
      </c>
      <c r="K556" s="726">
        <v>0</v>
      </c>
      <c r="L556" s="726">
        <v>1397850</v>
      </c>
      <c r="M556" s="726">
        <v>0</v>
      </c>
      <c r="N556" s="726">
        <v>0</v>
      </c>
      <c r="O556" s="726">
        <v>0</v>
      </c>
      <c r="P556" s="726">
        <v>0</v>
      </c>
      <c r="Q556" s="726">
        <v>0</v>
      </c>
      <c r="R556" s="726">
        <v>0</v>
      </c>
      <c r="S556" s="726">
        <v>0</v>
      </c>
      <c r="T556" s="726">
        <v>0</v>
      </c>
      <c r="U556" s="726">
        <v>0</v>
      </c>
      <c r="V556" s="726">
        <v>0</v>
      </c>
      <c r="W556" s="726">
        <v>0</v>
      </c>
      <c r="X556" s="724" t="s">
        <v>674</v>
      </c>
      <c r="Y556" s="724" t="s">
        <v>1226</v>
      </c>
      <c r="Z556" s="724" t="s">
        <v>1226</v>
      </c>
      <c r="AA556" s="724" t="s">
        <v>675</v>
      </c>
      <c r="AB556" s="724" t="s">
        <v>675</v>
      </c>
      <c r="AC556" s="724"/>
      <c r="AD556" s="724"/>
      <c r="AE556" s="724"/>
      <c r="AF556" s="724"/>
      <c r="AG556" s="725" t="s">
        <v>1071</v>
      </c>
      <c r="AH556" s="724"/>
      <c r="AI556" s="725" t="s">
        <v>1071</v>
      </c>
      <c r="AJ556" s="725" t="s">
        <v>677</v>
      </c>
      <c r="AK556" s="724" t="s">
        <v>677</v>
      </c>
      <c r="AL556" s="724"/>
      <c r="AM556" s="724"/>
      <c r="AN556" s="724"/>
      <c r="AO556" s="724"/>
      <c r="AP556" s="724"/>
      <c r="AQ556" s="724"/>
      <c r="AR556" s="726"/>
      <c r="AS556" s="724"/>
      <c r="AT556" s="726"/>
      <c r="AU556" s="724" t="s">
        <v>678</v>
      </c>
      <c r="AV556" s="724" t="s">
        <v>677</v>
      </c>
      <c r="AW556" s="724" t="s">
        <v>676</v>
      </c>
      <c r="AX556" s="724" t="s">
        <v>674</v>
      </c>
      <c r="AY556" s="724"/>
      <c r="AZ556" s="724"/>
      <c r="BA556" s="724" t="s">
        <v>679</v>
      </c>
      <c r="BB556" s="724"/>
      <c r="BC556" s="724"/>
      <c r="BD556" s="724"/>
      <c r="BE556" s="726"/>
      <c r="BF556" s="724" t="s">
        <v>298</v>
      </c>
      <c r="BG556" s="724" t="s">
        <v>680</v>
      </c>
      <c r="BH556" s="724" t="s">
        <v>681</v>
      </c>
      <c r="BI556" s="724"/>
    </row>
    <row r="557" spans="1:61">
      <c r="A557" s="724" t="s">
        <v>1066</v>
      </c>
      <c r="B557" s="724" t="s">
        <v>1066</v>
      </c>
      <c r="C557" s="724" t="s">
        <v>1067</v>
      </c>
      <c r="D557" s="724" t="s">
        <v>673</v>
      </c>
      <c r="E557" s="724" t="s">
        <v>3</v>
      </c>
      <c r="F557" s="725" t="s">
        <v>7</v>
      </c>
      <c r="G557" s="725" t="s">
        <v>684</v>
      </c>
      <c r="H557" s="726">
        <v>91740</v>
      </c>
      <c r="I557" s="726">
        <v>91740</v>
      </c>
      <c r="J557" s="726">
        <v>0</v>
      </c>
      <c r="K557" s="726">
        <v>0</v>
      </c>
      <c r="L557" s="726">
        <v>91740</v>
      </c>
      <c r="M557" s="726">
        <v>0</v>
      </c>
      <c r="N557" s="726">
        <v>0</v>
      </c>
      <c r="O557" s="726">
        <v>0</v>
      </c>
      <c r="P557" s="726">
        <v>0</v>
      </c>
      <c r="Q557" s="726">
        <v>0</v>
      </c>
      <c r="R557" s="726">
        <v>0</v>
      </c>
      <c r="S557" s="726">
        <v>0</v>
      </c>
      <c r="T557" s="726">
        <v>0</v>
      </c>
      <c r="U557" s="726">
        <v>0</v>
      </c>
      <c r="V557" s="726">
        <v>0</v>
      </c>
      <c r="W557" s="726">
        <v>0</v>
      </c>
      <c r="X557" s="724" t="s">
        <v>674</v>
      </c>
      <c r="Y557" s="724" t="s">
        <v>675</v>
      </c>
      <c r="Z557" s="724" t="s">
        <v>675</v>
      </c>
      <c r="AA557" s="724" t="s">
        <v>675</v>
      </c>
      <c r="AB557" s="724" t="s">
        <v>675</v>
      </c>
      <c r="AC557" s="724"/>
      <c r="AD557" s="724"/>
      <c r="AE557" s="724"/>
      <c r="AF557" s="724"/>
      <c r="AG557" s="725" t="s">
        <v>1070</v>
      </c>
      <c r="AH557" s="724"/>
      <c r="AI557" s="725" t="s">
        <v>1070</v>
      </c>
      <c r="AJ557" s="725" t="s">
        <v>677</v>
      </c>
      <c r="AK557" s="724" t="s">
        <v>677</v>
      </c>
      <c r="AL557" s="724"/>
      <c r="AM557" s="724"/>
      <c r="AN557" s="724"/>
      <c r="AO557" s="724"/>
      <c r="AP557" s="724"/>
      <c r="AQ557" s="724"/>
      <c r="AR557" s="726"/>
      <c r="AS557" s="724"/>
      <c r="AT557" s="726"/>
      <c r="AU557" s="724" t="s">
        <v>678</v>
      </c>
      <c r="AV557" s="724" t="s">
        <v>677</v>
      </c>
      <c r="AW557" s="724" t="s">
        <v>676</v>
      </c>
      <c r="AX557" s="724" t="s">
        <v>674</v>
      </c>
      <c r="AY557" s="724"/>
      <c r="AZ557" s="724"/>
      <c r="BA557" s="724" t="s">
        <v>679</v>
      </c>
      <c r="BB557" s="724"/>
      <c r="BC557" s="724"/>
      <c r="BD557" s="724"/>
      <c r="BE557" s="726"/>
      <c r="BF557" s="724" t="s">
        <v>298</v>
      </c>
      <c r="BG557" s="724" t="s">
        <v>680</v>
      </c>
      <c r="BH557" s="724" t="s">
        <v>681</v>
      </c>
      <c r="BI557" s="724"/>
    </row>
    <row r="558" spans="1:61">
      <c r="A558" s="724" t="s">
        <v>1066</v>
      </c>
      <c r="B558" s="724" t="s">
        <v>1066</v>
      </c>
      <c r="C558" s="724" t="s">
        <v>1067</v>
      </c>
      <c r="D558" s="724" t="s">
        <v>673</v>
      </c>
      <c r="E558" s="724" t="s">
        <v>3</v>
      </c>
      <c r="F558" s="725" t="s">
        <v>7</v>
      </c>
      <c r="G558" s="725" t="s">
        <v>684</v>
      </c>
      <c r="H558" s="726">
        <v>1593430</v>
      </c>
      <c r="I558" s="726">
        <v>1593430</v>
      </c>
      <c r="J558" s="726">
        <v>0</v>
      </c>
      <c r="K558" s="726">
        <v>0</v>
      </c>
      <c r="L558" s="726">
        <v>1593430</v>
      </c>
      <c r="M558" s="726">
        <v>0</v>
      </c>
      <c r="N558" s="726">
        <v>0</v>
      </c>
      <c r="O558" s="726">
        <v>0</v>
      </c>
      <c r="P558" s="726">
        <v>0</v>
      </c>
      <c r="Q558" s="726">
        <v>0</v>
      </c>
      <c r="R558" s="726">
        <v>0</v>
      </c>
      <c r="S558" s="726">
        <v>0</v>
      </c>
      <c r="T558" s="726">
        <v>0</v>
      </c>
      <c r="U558" s="726">
        <v>0</v>
      </c>
      <c r="V558" s="726">
        <v>0</v>
      </c>
      <c r="W558" s="726">
        <v>0</v>
      </c>
      <c r="X558" s="724" t="s">
        <v>674</v>
      </c>
      <c r="Y558" s="724" t="s">
        <v>1226</v>
      </c>
      <c r="Z558" s="724" t="s">
        <v>1226</v>
      </c>
      <c r="AA558" s="724" t="s">
        <v>675</v>
      </c>
      <c r="AB558" s="724" t="s">
        <v>675</v>
      </c>
      <c r="AC558" s="724"/>
      <c r="AD558" s="724"/>
      <c r="AE558" s="724"/>
      <c r="AF558" s="724"/>
      <c r="AG558" s="725" t="s">
        <v>1071</v>
      </c>
      <c r="AH558" s="724"/>
      <c r="AI558" s="725" t="s">
        <v>1071</v>
      </c>
      <c r="AJ558" s="725" t="s">
        <v>677</v>
      </c>
      <c r="AK558" s="724" t="s">
        <v>677</v>
      </c>
      <c r="AL558" s="724"/>
      <c r="AM558" s="724"/>
      <c r="AN558" s="724"/>
      <c r="AO558" s="724"/>
      <c r="AP558" s="724"/>
      <c r="AQ558" s="724"/>
      <c r="AR558" s="726"/>
      <c r="AS558" s="724"/>
      <c r="AT558" s="726"/>
      <c r="AU558" s="724" t="s">
        <v>678</v>
      </c>
      <c r="AV558" s="724" t="s">
        <v>677</v>
      </c>
      <c r="AW558" s="724" t="s">
        <v>676</v>
      </c>
      <c r="AX558" s="724" t="s">
        <v>674</v>
      </c>
      <c r="AY558" s="724"/>
      <c r="AZ558" s="724"/>
      <c r="BA558" s="724" t="s">
        <v>679</v>
      </c>
      <c r="BB558" s="724"/>
      <c r="BC558" s="724"/>
      <c r="BD558" s="724"/>
      <c r="BE558" s="726"/>
      <c r="BF558" s="724" t="s">
        <v>298</v>
      </c>
      <c r="BG558" s="724" t="s">
        <v>680</v>
      </c>
      <c r="BH558" s="724" t="s">
        <v>681</v>
      </c>
      <c r="BI558" s="724"/>
    </row>
    <row r="559" spans="1:61">
      <c r="A559" s="724" t="s">
        <v>1066</v>
      </c>
      <c r="B559" s="724" t="s">
        <v>1066</v>
      </c>
      <c r="C559" s="724" t="s">
        <v>1067</v>
      </c>
      <c r="D559" s="724" t="s">
        <v>673</v>
      </c>
      <c r="E559" s="724" t="s">
        <v>3</v>
      </c>
      <c r="F559" s="725" t="s">
        <v>7</v>
      </c>
      <c r="G559" s="725" t="s">
        <v>684</v>
      </c>
      <c r="H559" s="726">
        <v>101950</v>
      </c>
      <c r="I559" s="726">
        <v>101950</v>
      </c>
      <c r="J559" s="726">
        <v>0</v>
      </c>
      <c r="K559" s="726">
        <v>0</v>
      </c>
      <c r="L559" s="726">
        <v>101950</v>
      </c>
      <c r="M559" s="726">
        <v>0</v>
      </c>
      <c r="N559" s="726">
        <v>0</v>
      </c>
      <c r="O559" s="726">
        <v>0</v>
      </c>
      <c r="P559" s="726">
        <v>0</v>
      </c>
      <c r="Q559" s="726">
        <v>0</v>
      </c>
      <c r="R559" s="726">
        <v>0</v>
      </c>
      <c r="S559" s="726">
        <v>0</v>
      </c>
      <c r="T559" s="726">
        <v>0</v>
      </c>
      <c r="U559" s="726">
        <v>0</v>
      </c>
      <c r="V559" s="726">
        <v>0</v>
      </c>
      <c r="W559" s="726">
        <v>0</v>
      </c>
      <c r="X559" s="724" t="s">
        <v>674</v>
      </c>
      <c r="Y559" s="724" t="s">
        <v>1226</v>
      </c>
      <c r="Z559" s="724" t="s">
        <v>1226</v>
      </c>
      <c r="AA559" s="724" t="s">
        <v>675</v>
      </c>
      <c r="AB559" s="724" t="s">
        <v>675</v>
      </c>
      <c r="AC559" s="724"/>
      <c r="AD559" s="724"/>
      <c r="AE559" s="724"/>
      <c r="AF559" s="724"/>
      <c r="AG559" s="725" t="s">
        <v>1068</v>
      </c>
      <c r="AH559" s="724"/>
      <c r="AI559" s="725" t="s">
        <v>1068</v>
      </c>
      <c r="AJ559" s="725" t="s">
        <v>677</v>
      </c>
      <c r="AK559" s="724" t="s">
        <v>677</v>
      </c>
      <c r="AL559" s="724"/>
      <c r="AM559" s="724"/>
      <c r="AN559" s="724"/>
      <c r="AO559" s="724"/>
      <c r="AP559" s="724"/>
      <c r="AQ559" s="724"/>
      <c r="AR559" s="726"/>
      <c r="AS559" s="724"/>
      <c r="AT559" s="726"/>
      <c r="AU559" s="724" t="s">
        <v>678</v>
      </c>
      <c r="AV559" s="724" t="s">
        <v>677</v>
      </c>
      <c r="AW559" s="724" t="s">
        <v>676</v>
      </c>
      <c r="AX559" s="724" t="s">
        <v>674</v>
      </c>
      <c r="AY559" s="724"/>
      <c r="AZ559" s="724"/>
      <c r="BA559" s="724" t="s">
        <v>679</v>
      </c>
      <c r="BB559" s="724"/>
      <c r="BC559" s="724"/>
      <c r="BD559" s="724"/>
      <c r="BE559" s="726"/>
      <c r="BF559" s="724" t="s">
        <v>298</v>
      </c>
      <c r="BG559" s="724" t="s">
        <v>680</v>
      </c>
      <c r="BH559" s="724" t="s">
        <v>681</v>
      </c>
      <c r="BI559" s="724"/>
    </row>
    <row r="560" spans="1:61">
      <c r="A560" s="724" t="s">
        <v>1066</v>
      </c>
      <c r="B560" s="724" t="s">
        <v>1066</v>
      </c>
      <c r="C560" s="724" t="s">
        <v>1067</v>
      </c>
      <c r="D560" s="724" t="s">
        <v>673</v>
      </c>
      <c r="E560" s="724" t="s">
        <v>3</v>
      </c>
      <c r="F560" s="725" t="s">
        <v>7</v>
      </c>
      <c r="G560" s="725" t="s">
        <v>684</v>
      </c>
      <c r="H560" s="726">
        <v>9410</v>
      </c>
      <c r="I560" s="726">
        <v>9410</v>
      </c>
      <c r="J560" s="726">
        <v>0</v>
      </c>
      <c r="K560" s="726">
        <v>0</v>
      </c>
      <c r="L560" s="726">
        <v>9410</v>
      </c>
      <c r="M560" s="726">
        <v>0</v>
      </c>
      <c r="N560" s="726">
        <v>0</v>
      </c>
      <c r="O560" s="726">
        <v>0</v>
      </c>
      <c r="P560" s="726">
        <v>0</v>
      </c>
      <c r="Q560" s="726">
        <v>0</v>
      </c>
      <c r="R560" s="726">
        <v>0</v>
      </c>
      <c r="S560" s="726">
        <v>0</v>
      </c>
      <c r="T560" s="726">
        <v>0</v>
      </c>
      <c r="U560" s="726">
        <v>0</v>
      </c>
      <c r="V560" s="726">
        <v>0</v>
      </c>
      <c r="W560" s="726">
        <v>0</v>
      </c>
      <c r="X560" s="724" t="s">
        <v>674</v>
      </c>
      <c r="Y560" s="724" t="s">
        <v>675</v>
      </c>
      <c r="Z560" s="724" t="s">
        <v>675</v>
      </c>
      <c r="AA560" s="724" t="s">
        <v>675</v>
      </c>
      <c r="AB560" s="724" t="s">
        <v>675</v>
      </c>
      <c r="AC560" s="724"/>
      <c r="AD560" s="724"/>
      <c r="AE560" s="724"/>
      <c r="AF560" s="724"/>
      <c r="AG560" s="725" t="s">
        <v>1069</v>
      </c>
      <c r="AH560" s="724"/>
      <c r="AI560" s="725" t="s">
        <v>1069</v>
      </c>
      <c r="AJ560" s="725" t="s">
        <v>677</v>
      </c>
      <c r="AK560" s="724" t="s">
        <v>677</v>
      </c>
      <c r="AL560" s="724"/>
      <c r="AM560" s="724"/>
      <c r="AN560" s="724"/>
      <c r="AO560" s="724"/>
      <c r="AP560" s="724"/>
      <c r="AQ560" s="724"/>
      <c r="AR560" s="726"/>
      <c r="AS560" s="724"/>
      <c r="AT560" s="726"/>
      <c r="AU560" s="724" t="s">
        <v>678</v>
      </c>
      <c r="AV560" s="724" t="s">
        <v>677</v>
      </c>
      <c r="AW560" s="724" t="s">
        <v>676</v>
      </c>
      <c r="AX560" s="724" t="s">
        <v>674</v>
      </c>
      <c r="AY560" s="724"/>
      <c r="AZ560" s="724"/>
      <c r="BA560" s="724" t="s">
        <v>679</v>
      </c>
      <c r="BB560" s="724"/>
      <c r="BC560" s="724"/>
      <c r="BD560" s="724"/>
      <c r="BE560" s="726"/>
      <c r="BF560" s="724" t="s">
        <v>298</v>
      </c>
      <c r="BG560" s="724" t="s">
        <v>680</v>
      </c>
      <c r="BH560" s="724" t="s">
        <v>681</v>
      </c>
      <c r="BI560" s="724"/>
    </row>
    <row r="561" spans="1:61">
      <c r="A561" s="724" t="s">
        <v>1072</v>
      </c>
      <c r="B561" s="724" t="s">
        <v>1072</v>
      </c>
      <c r="C561" s="724" t="s">
        <v>1072</v>
      </c>
      <c r="D561" s="724" t="s">
        <v>673</v>
      </c>
      <c r="E561" s="724" t="s">
        <v>3</v>
      </c>
      <c r="F561" s="725" t="s">
        <v>7</v>
      </c>
      <c r="G561" s="725" t="s">
        <v>684</v>
      </c>
      <c r="H561" s="726">
        <v>116470</v>
      </c>
      <c r="I561" s="726">
        <v>0</v>
      </c>
      <c r="J561" s="726">
        <v>0</v>
      </c>
      <c r="K561" s="726">
        <v>116470</v>
      </c>
      <c r="L561" s="726">
        <v>0</v>
      </c>
      <c r="M561" s="726">
        <v>0</v>
      </c>
      <c r="N561" s="726">
        <v>116470</v>
      </c>
      <c r="O561" s="726">
        <v>0</v>
      </c>
      <c r="P561" s="726">
        <v>0</v>
      </c>
      <c r="Q561" s="726">
        <v>0</v>
      </c>
      <c r="R561" s="726">
        <v>0</v>
      </c>
      <c r="S561" s="726">
        <v>0</v>
      </c>
      <c r="T561" s="726">
        <v>0</v>
      </c>
      <c r="U561" s="726">
        <v>0</v>
      </c>
      <c r="V561" s="726">
        <v>0</v>
      </c>
      <c r="W561" s="726">
        <v>0</v>
      </c>
      <c r="X561" s="724" t="s">
        <v>674</v>
      </c>
      <c r="Y561" s="724" t="s">
        <v>1226</v>
      </c>
      <c r="Z561" s="724" t="s">
        <v>1226</v>
      </c>
      <c r="AA561" s="724" t="s">
        <v>675</v>
      </c>
      <c r="AB561" s="724" t="s">
        <v>675</v>
      </c>
      <c r="AC561" s="724"/>
      <c r="AD561" s="724"/>
      <c r="AE561" s="724"/>
      <c r="AF561" s="724"/>
      <c r="AG561" s="725" t="s">
        <v>1073</v>
      </c>
      <c r="AH561" s="724"/>
      <c r="AI561" s="725" t="s">
        <v>1073</v>
      </c>
      <c r="AJ561" s="725" t="s">
        <v>677</v>
      </c>
      <c r="AK561" s="724" t="s">
        <v>677</v>
      </c>
      <c r="AL561" s="724"/>
      <c r="AM561" s="724"/>
      <c r="AN561" s="724"/>
      <c r="AO561" s="724"/>
      <c r="AP561" s="724"/>
      <c r="AQ561" s="724"/>
      <c r="AR561" s="726"/>
      <c r="AS561" s="724"/>
      <c r="AT561" s="726"/>
      <c r="AU561" s="724" t="s">
        <v>678</v>
      </c>
      <c r="AV561" s="724" t="s">
        <v>677</v>
      </c>
      <c r="AW561" s="724" t="s">
        <v>676</v>
      </c>
      <c r="AX561" s="724" t="s">
        <v>674</v>
      </c>
      <c r="AY561" s="724"/>
      <c r="AZ561" s="724"/>
      <c r="BA561" s="724" t="s">
        <v>679</v>
      </c>
      <c r="BB561" s="724"/>
      <c r="BC561" s="724"/>
      <c r="BD561" s="724"/>
      <c r="BE561" s="726"/>
      <c r="BF561" s="724" t="s">
        <v>298</v>
      </c>
      <c r="BG561" s="724" t="s">
        <v>680</v>
      </c>
      <c r="BH561" s="724" t="s">
        <v>681</v>
      </c>
      <c r="BI561" s="724"/>
    </row>
    <row r="562" spans="1:61">
      <c r="A562" s="724" t="s">
        <v>1072</v>
      </c>
      <c r="B562" s="724" t="s">
        <v>1072</v>
      </c>
      <c r="C562" s="724" t="s">
        <v>1072</v>
      </c>
      <c r="D562" s="724" t="s">
        <v>673</v>
      </c>
      <c r="E562" s="724" t="s">
        <v>3</v>
      </c>
      <c r="F562" s="725" t="s">
        <v>7</v>
      </c>
      <c r="G562" s="725" t="s">
        <v>684</v>
      </c>
      <c r="H562" s="726">
        <v>91740</v>
      </c>
      <c r="I562" s="726">
        <v>0</v>
      </c>
      <c r="J562" s="726">
        <v>0</v>
      </c>
      <c r="K562" s="726">
        <v>91740</v>
      </c>
      <c r="L562" s="726">
        <v>0</v>
      </c>
      <c r="M562" s="726">
        <v>0</v>
      </c>
      <c r="N562" s="726">
        <v>91740</v>
      </c>
      <c r="O562" s="726">
        <v>0</v>
      </c>
      <c r="P562" s="726">
        <v>0</v>
      </c>
      <c r="Q562" s="726">
        <v>0</v>
      </c>
      <c r="R562" s="726">
        <v>0</v>
      </c>
      <c r="S562" s="726">
        <v>0</v>
      </c>
      <c r="T562" s="726">
        <v>0</v>
      </c>
      <c r="U562" s="726">
        <v>0</v>
      </c>
      <c r="V562" s="726">
        <v>0</v>
      </c>
      <c r="W562" s="726">
        <v>0</v>
      </c>
      <c r="X562" s="724" t="s">
        <v>674</v>
      </c>
      <c r="Y562" s="724" t="s">
        <v>675</v>
      </c>
      <c r="Z562" s="724" t="s">
        <v>675</v>
      </c>
      <c r="AA562" s="724" t="s">
        <v>675</v>
      </c>
      <c r="AB562" s="724" t="s">
        <v>675</v>
      </c>
      <c r="AC562" s="724"/>
      <c r="AD562" s="724"/>
      <c r="AE562" s="724"/>
      <c r="AF562" s="724"/>
      <c r="AG562" s="725" t="s">
        <v>1074</v>
      </c>
      <c r="AH562" s="724"/>
      <c r="AI562" s="725" t="s">
        <v>1074</v>
      </c>
      <c r="AJ562" s="725" t="s">
        <v>677</v>
      </c>
      <c r="AK562" s="724" t="s">
        <v>677</v>
      </c>
      <c r="AL562" s="724"/>
      <c r="AM562" s="724"/>
      <c r="AN562" s="724"/>
      <c r="AO562" s="724"/>
      <c r="AP562" s="724"/>
      <c r="AQ562" s="724"/>
      <c r="AR562" s="726"/>
      <c r="AS562" s="724"/>
      <c r="AT562" s="726"/>
      <c r="AU562" s="724" t="s">
        <v>678</v>
      </c>
      <c r="AV562" s="724" t="s">
        <v>677</v>
      </c>
      <c r="AW562" s="724" t="s">
        <v>676</v>
      </c>
      <c r="AX562" s="724" t="s">
        <v>674</v>
      </c>
      <c r="AY562" s="724"/>
      <c r="AZ562" s="724"/>
      <c r="BA562" s="724" t="s">
        <v>679</v>
      </c>
      <c r="BB562" s="724"/>
      <c r="BC562" s="724"/>
      <c r="BD562" s="724"/>
      <c r="BE562" s="726"/>
      <c r="BF562" s="724" t="s">
        <v>298</v>
      </c>
      <c r="BG562" s="724" t="s">
        <v>680</v>
      </c>
      <c r="BH562" s="724" t="s">
        <v>681</v>
      </c>
      <c r="BI562" s="724"/>
    </row>
    <row r="563" spans="1:61">
      <c r="A563" s="724" t="s">
        <v>1072</v>
      </c>
      <c r="B563" s="724" t="s">
        <v>1072</v>
      </c>
      <c r="C563" s="724" t="s">
        <v>1072</v>
      </c>
      <c r="D563" s="724" t="s">
        <v>673</v>
      </c>
      <c r="E563" s="724" t="s">
        <v>3</v>
      </c>
      <c r="F563" s="725" t="s">
        <v>7</v>
      </c>
      <c r="G563" s="725" t="s">
        <v>684</v>
      </c>
      <c r="H563" s="726">
        <v>14120</v>
      </c>
      <c r="I563" s="726">
        <v>0</v>
      </c>
      <c r="J563" s="726">
        <v>0</v>
      </c>
      <c r="K563" s="726">
        <v>14120</v>
      </c>
      <c r="L563" s="726">
        <v>0</v>
      </c>
      <c r="M563" s="726">
        <v>0</v>
      </c>
      <c r="N563" s="726">
        <v>14120</v>
      </c>
      <c r="O563" s="726">
        <v>0</v>
      </c>
      <c r="P563" s="726">
        <v>0</v>
      </c>
      <c r="Q563" s="726">
        <v>0</v>
      </c>
      <c r="R563" s="726">
        <v>0</v>
      </c>
      <c r="S563" s="726">
        <v>0</v>
      </c>
      <c r="T563" s="726">
        <v>0</v>
      </c>
      <c r="U563" s="726">
        <v>0</v>
      </c>
      <c r="V563" s="726">
        <v>0</v>
      </c>
      <c r="W563" s="726">
        <v>0</v>
      </c>
      <c r="X563" s="724" t="s">
        <v>674</v>
      </c>
      <c r="Y563" s="724" t="s">
        <v>675</v>
      </c>
      <c r="Z563" s="724" t="s">
        <v>675</v>
      </c>
      <c r="AA563" s="724" t="s">
        <v>675</v>
      </c>
      <c r="AB563" s="724" t="s">
        <v>675</v>
      </c>
      <c r="AC563" s="724"/>
      <c r="AD563" s="724"/>
      <c r="AE563" s="724"/>
      <c r="AF563" s="724"/>
      <c r="AG563" s="725" t="s">
        <v>1075</v>
      </c>
      <c r="AH563" s="724"/>
      <c r="AI563" s="725" t="s">
        <v>1075</v>
      </c>
      <c r="AJ563" s="725" t="s">
        <v>677</v>
      </c>
      <c r="AK563" s="724" t="s">
        <v>677</v>
      </c>
      <c r="AL563" s="724"/>
      <c r="AM563" s="724"/>
      <c r="AN563" s="724"/>
      <c r="AO563" s="724"/>
      <c r="AP563" s="724"/>
      <c r="AQ563" s="724"/>
      <c r="AR563" s="726"/>
      <c r="AS563" s="724"/>
      <c r="AT563" s="726"/>
      <c r="AU563" s="724" t="s">
        <v>678</v>
      </c>
      <c r="AV563" s="724" t="s">
        <v>677</v>
      </c>
      <c r="AW563" s="724" t="s">
        <v>676</v>
      </c>
      <c r="AX563" s="724" t="s">
        <v>674</v>
      </c>
      <c r="AY563" s="724"/>
      <c r="AZ563" s="724"/>
      <c r="BA563" s="724" t="s">
        <v>679</v>
      </c>
      <c r="BB563" s="724"/>
      <c r="BC563" s="724"/>
      <c r="BD563" s="724"/>
      <c r="BE563" s="726"/>
      <c r="BF563" s="724" t="s">
        <v>298</v>
      </c>
      <c r="BG563" s="724" t="s">
        <v>680</v>
      </c>
      <c r="BH563" s="724" t="s">
        <v>681</v>
      </c>
      <c r="BI563" s="724"/>
    </row>
    <row r="564" spans="1:61">
      <c r="A564" s="724" t="s">
        <v>1072</v>
      </c>
      <c r="B564" s="724" t="s">
        <v>1072</v>
      </c>
      <c r="C564" s="724" t="s">
        <v>1072</v>
      </c>
      <c r="D564" s="724" t="s">
        <v>673</v>
      </c>
      <c r="E564" s="724" t="s">
        <v>3</v>
      </c>
      <c r="F564" s="725" t="s">
        <v>7</v>
      </c>
      <c r="G564" s="725" t="s">
        <v>684</v>
      </c>
      <c r="H564" s="726">
        <v>101950</v>
      </c>
      <c r="I564" s="726">
        <v>0</v>
      </c>
      <c r="J564" s="726">
        <v>0</v>
      </c>
      <c r="K564" s="726">
        <v>101950</v>
      </c>
      <c r="L564" s="726">
        <v>0</v>
      </c>
      <c r="M564" s="726">
        <v>0</v>
      </c>
      <c r="N564" s="726">
        <v>101950</v>
      </c>
      <c r="O564" s="726">
        <v>0</v>
      </c>
      <c r="P564" s="726">
        <v>0</v>
      </c>
      <c r="Q564" s="726">
        <v>0</v>
      </c>
      <c r="R564" s="726">
        <v>0</v>
      </c>
      <c r="S564" s="726">
        <v>0</v>
      </c>
      <c r="T564" s="726">
        <v>0</v>
      </c>
      <c r="U564" s="726">
        <v>0</v>
      </c>
      <c r="V564" s="726">
        <v>0</v>
      </c>
      <c r="W564" s="726">
        <v>0</v>
      </c>
      <c r="X564" s="724" t="s">
        <v>674</v>
      </c>
      <c r="Y564" s="724" t="s">
        <v>1226</v>
      </c>
      <c r="Z564" s="724" t="s">
        <v>1226</v>
      </c>
      <c r="AA564" s="724" t="s">
        <v>675</v>
      </c>
      <c r="AB564" s="724" t="s">
        <v>675</v>
      </c>
      <c r="AC564" s="724"/>
      <c r="AD564" s="724"/>
      <c r="AE564" s="724"/>
      <c r="AF564" s="724"/>
      <c r="AG564" s="725" t="s">
        <v>1073</v>
      </c>
      <c r="AH564" s="724"/>
      <c r="AI564" s="725" t="s">
        <v>1073</v>
      </c>
      <c r="AJ564" s="725" t="s">
        <v>677</v>
      </c>
      <c r="AK564" s="724" t="s">
        <v>677</v>
      </c>
      <c r="AL564" s="724"/>
      <c r="AM564" s="724"/>
      <c r="AN564" s="724"/>
      <c r="AO564" s="724"/>
      <c r="AP564" s="724"/>
      <c r="AQ564" s="724"/>
      <c r="AR564" s="726"/>
      <c r="AS564" s="724"/>
      <c r="AT564" s="726"/>
      <c r="AU564" s="724" t="s">
        <v>678</v>
      </c>
      <c r="AV564" s="724" t="s">
        <v>677</v>
      </c>
      <c r="AW564" s="724" t="s">
        <v>676</v>
      </c>
      <c r="AX564" s="724" t="s">
        <v>674</v>
      </c>
      <c r="AY564" s="724"/>
      <c r="AZ564" s="724"/>
      <c r="BA564" s="724" t="s">
        <v>679</v>
      </c>
      <c r="BB564" s="724"/>
      <c r="BC564" s="724"/>
      <c r="BD564" s="724"/>
      <c r="BE564" s="726"/>
      <c r="BF564" s="724" t="s">
        <v>298</v>
      </c>
      <c r="BG564" s="724" t="s">
        <v>680</v>
      </c>
      <c r="BH564" s="724" t="s">
        <v>681</v>
      </c>
      <c r="BI564" s="724"/>
    </row>
    <row r="565" spans="1:61">
      <c r="A565" s="724" t="s">
        <v>1072</v>
      </c>
      <c r="B565" s="724" t="s">
        <v>1072</v>
      </c>
      <c r="C565" s="724" t="s">
        <v>1072</v>
      </c>
      <c r="D565" s="724" t="s">
        <v>673</v>
      </c>
      <c r="E565" s="724" t="s">
        <v>3</v>
      </c>
      <c r="F565" s="725" t="s">
        <v>7</v>
      </c>
      <c r="G565" s="725" t="s">
        <v>684</v>
      </c>
      <c r="H565" s="726">
        <v>80290</v>
      </c>
      <c r="I565" s="726">
        <v>0</v>
      </c>
      <c r="J565" s="726">
        <v>0</v>
      </c>
      <c r="K565" s="726">
        <v>80290</v>
      </c>
      <c r="L565" s="726">
        <v>0</v>
      </c>
      <c r="M565" s="726">
        <v>0</v>
      </c>
      <c r="N565" s="726">
        <v>80290</v>
      </c>
      <c r="O565" s="726">
        <v>0</v>
      </c>
      <c r="P565" s="726">
        <v>0</v>
      </c>
      <c r="Q565" s="726">
        <v>0</v>
      </c>
      <c r="R565" s="726">
        <v>0</v>
      </c>
      <c r="S565" s="726">
        <v>0</v>
      </c>
      <c r="T565" s="726">
        <v>0</v>
      </c>
      <c r="U565" s="726">
        <v>0</v>
      </c>
      <c r="V565" s="726">
        <v>0</v>
      </c>
      <c r="W565" s="726">
        <v>0</v>
      </c>
      <c r="X565" s="724" t="s">
        <v>674</v>
      </c>
      <c r="Y565" s="724" t="s">
        <v>675</v>
      </c>
      <c r="Z565" s="724" t="s">
        <v>675</v>
      </c>
      <c r="AA565" s="724" t="s">
        <v>675</v>
      </c>
      <c r="AB565" s="724" t="s">
        <v>675</v>
      </c>
      <c r="AC565" s="724"/>
      <c r="AD565" s="724"/>
      <c r="AE565" s="724"/>
      <c r="AF565" s="724"/>
      <c r="AG565" s="725" t="s">
        <v>1074</v>
      </c>
      <c r="AH565" s="724"/>
      <c r="AI565" s="725" t="s">
        <v>1074</v>
      </c>
      <c r="AJ565" s="725" t="s">
        <v>677</v>
      </c>
      <c r="AK565" s="724" t="s">
        <v>677</v>
      </c>
      <c r="AL565" s="724"/>
      <c r="AM565" s="724"/>
      <c r="AN565" s="724"/>
      <c r="AO565" s="724"/>
      <c r="AP565" s="724"/>
      <c r="AQ565" s="724"/>
      <c r="AR565" s="726"/>
      <c r="AS565" s="724"/>
      <c r="AT565" s="726"/>
      <c r="AU565" s="724" t="s">
        <v>678</v>
      </c>
      <c r="AV565" s="724" t="s">
        <v>677</v>
      </c>
      <c r="AW565" s="724" t="s">
        <v>676</v>
      </c>
      <c r="AX565" s="724" t="s">
        <v>674</v>
      </c>
      <c r="AY565" s="724"/>
      <c r="AZ565" s="724"/>
      <c r="BA565" s="724" t="s">
        <v>679</v>
      </c>
      <c r="BB565" s="724"/>
      <c r="BC565" s="724"/>
      <c r="BD565" s="724"/>
      <c r="BE565" s="726"/>
      <c r="BF565" s="724" t="s">
        <v>298</v>
      </c>
      <c r="BG565" s="724" t="s">
        <v>680</v>
      </c>
      <c r="BH565" s="724" t="s">
        <v>681</v>
      </c>
      <c r="BI565" s="724"/>
    </row>
    <row r="566" spans="1:61">
      <c r="A566" s="724" t="s">
        <v>1072</v>
      </c>
      <c r="B566" s="724" t="s">
        <v>1072</v>
      </c>
      <c r="C566" s="724" t="s">
        <v>1072</v>
      </c>
      <c r="D566" s="724" t="s">
        <v>673</v>
      </c>
      <c r="E566" s="724" t="s">
        <v>3</v>
      </c>
      <c r="F566" s="725" t="s">
        <v>7</v>
      </c>
      <c r="G566" s="725" t="s">
        <v>684</v>
      </c>
      <c r="H566" s="726">
        <v>1593430</v>
      </c>
      <c r="I566" s="726">
        <v>0</v>
      </c>
      <c r="J566" s="726">
        <v>0</v>
      </c>
      <c r="K566" s="726">
        <v>1593430</v>
      </c>
      <c r="L566" s="726">
        <v>0</v>
      </c>
      <c r="M566" s="726">
        <v>0</v>
      </c>
      <c r="N566" s="726">
        <v>1593430</v>
      </c>
      <c r="O566" s="726">
        <v>0</v>
      </c>
      <c r="P566" s="726">
        <v>0</v>
      </c>
      <c r="Q566" s="726">
        <v>0</v>
      </c>
      <c r="R566" s="726">
        <v>0</v>
      </c>
      <c r="S566" s="726">
        <v>0</v>
      </c>
      <c r="T566" s="726">
        <v>0</v>
      </c>
      <c r="U566" s="726">
        <v>0</v>
      </c>
      <c r="V566" s="726">
        <v>0</v>
      </c>
      <c r="W566" s="726">
        <v>0</v>
      </c>
      <c r="X566" s="724" t="s">
        <v>674</v>
      </c>
      <c r="Y566" s="724" t="s">
        <v>1226</v>
      </c>
      <c r="Z566" s="724" t="s">
        <v>1226</v>
      </c>
      <c r="AA566" s="724" t="s">
        <v>675</v>
      </c>
      <c r="AB566" s="724" t="s">
        <v>675</v>
      </c>
      <c r="AC566" s="724"/>
      <c r="AD566" s="724"/>
      <c r="AE566" s="724"/>
      <c r="AF566" s="724"/>
      <c r="AG566" s="725" t="s">
        <v>1076</v>
      </c>
      <c r="AH566" s="724"/>
      <c r="AI566" s="725" t="s">
        <v>1076</v>
      </c>
      <c r="AJ566" s="725" t="s">
        <v>677</v>
      </c>
      <c r="AK566" s="724" t="s">
        <v>677</v>
      </c>
      <c r="AL566" s="724"/>
      <c r="AM566" s="724"/>
      <c r="AN566" s="724"/>
      <c r="AO566" s="724"/>
      <c r="AP566" s="724"/>
      <c r="AQ566" s="724"/>
      <c r="AR566" s="726"/>
      <c r="AS566" s="724"/>
      <c r="AT566" s="726"/>
      <c r="AU566" s="724" t="s">
        <v>678</v>
      </c>
      <c r="AV566" s="724" t="s">
        <v>677</v>
      </c>
      <c r="AW566" s="724" t="s">
        <v>676</v>
      </c>
      <c r="AX566" s="724" t="s">
        <v>674</v>
      </c>
      <c r="AY566" s="724"/>
      <c r="AZ566" s="724"/>
      <c r="BA566" s="724" t="s">
        <v>679</v>
      </c>
      <c r="BB566" s="724"/>
      <c r="BC566" s="724"/>
      <c r="BD566" s="724"/>
      <c r="BE566" s="726"/>
      <c r="BF566" s="724" t="s">
        <v>298</v>
      </c>
      <c r="BG566" s="724" t="s">
        <v>680</v>
      </c>
      <c r="BH566" s="724" t="s">
        <v>681</v>
      </c>
      <c r="BI566" s="724"/>
    </row>
    <row r="567" spans="1:61">
      <c r="A567" s="724" t="s">
        <v>1072</v>
      </c>
      <c r="B567" s="724" t="s">
        <v>1072</v>
      </c>
      <c r="C567" s="724" t="s">
        <v>1072</v>
      </c>
      <c r="D567" s="724" t="s">
        <v>673</v>
      </c>
      <c r="E567" s="724" t="s">
        <v>3</v>
      </c>
      <c r="F567" s="725" t="s">
        <v>7</v>
      </c>
      <c r="G567" s="725" t="s">
        <v>684</v>
      </c>
      <c r="H567" s="726">
        <v>1397850</v>
      </c>
      <c r="I567" s="726">
        <v>0</v>
      </c>
      <c r="J567" s="726">
        <v>0</v>
      </c>
      <c r="K567" s="726">
        <v>1397850</v>
      </c>
      <c r="L567" s="726">
        <v>0</v>
      </c>
      <c r="M567" s="726">
        <v>0</v>
      </c>
      <c r="N567" s="726">
        <v>1397850</v>
      </c>
      <c r="O567" s="726">
        <v>0</v>
      </c>
      <c r="P567" s="726">
        <v>0</v>
      </c>
      <c r="Q567" s="726">
        <v>0</v>
      </c>
      <c r="R567" s="726">
        <v>0</v>
      </c>
      <c r="S567" s="726">
        <v>0</v>
      </c>
      <c r="T567" s="726">
        <v>0</v>
      </c>
      <c r="U567" s="726">
        <v>0</v>
      </c>
      <c r="V567" s="726">
        <v>0</v>
      </c>
      <c r="W567" s="726">
        <v>0</v>
      </c>
      <c r="X567" s="724" t="s">
        <v>674</v>
      </c>
      <c r="Y567" s="724" t="s">
        <v>1226</v>
      </c>
      <c r="Z567" s="724" t="s">
        <v>1226</v>
      </c>
      <c r="AA567" s="724" t="s">
        <v>675</v>
      </c>
      <c r="AB567" s="724" t="s">
        <v>675</v>
      </c>
      <c r="AC567" s="724"/>
      <c r="AD567" s="724"/>
      <c r="AE567" s="724"/>
      <c r="AF567" s="724"/>
      <c r="AG567" s="725" t="s">
        <v>1076</v>
      </c>
      <c r="AH567" s="724"/>
      <c r="AI567" s="725" t="s">
        <v>1076</v>
      </c>
      <c r="AJ567" s="725" t="s">
        <v>677</v>
      </c>
      <c r="AK567" s="724" t="s">
        <v>677</v>
      </c>
      <c r="AL567" s="724"/>
      <c r="AM567" s="724"/>
      <c r="AN567" s="724"/>
      <c r="AO567" s="724"/>
      <c r="AP567" s="724"/>
      <c r="AQ567" s="724"/>
      <c r="AR567" s="726"/>
      <c r="AS567" s="724"/>
      <c r="AT567" s="726"/>
      <c r="AU567" s="724" t="s">
        <v>678</v>
      </c>
      <c r="AV567" s="724" t="s">
        <v>677</v>
      </c>
      <c r="AW567" s="724" t="s">
        <v>676</v>
      </c>
      <c r="AX567" s="724" t="s">
        <v>674</v>
      </c>
      <c r="AY567" s="724"/>
      <c r="AZ567" s="724"/>
      <c r="BA567" s="724" t="s">
        <v>679</v>
      </c>
      <c r="BB567" s="724"/>
      <c r="BC567" s="724"/>
      <c r="BD567" s="724"/>
      <c r="BE567" s="726"/>
      <c r="BF567" s="724" t="s">
        <v>298</v>
      </c>
      <c r="BG567" s="724" t="s">
        <v>680</v>
      </c>
      <c r="BH567" s="724" t="s">
        <v>681</v>
      </c>
      <c r="BI567" s="724"/>
    </row>
    <row r="568" spans="1:61">
      <c r="A568" s="724" t="s">
        <v>1072</v>
      </c>
      <c r="B568" s="724" t="s">
        <v>1072</v>
      </c>
      <c r="C568" s="724" t="s">
        <v>1072</v>
      </c>
      <c r="D568" s="724" t="s">
        <v>673</v>
      </c>
      <c r="E568" s="724" t="s">
        <v>3</v>
      </c>
      <c r="F568" s="725" t="s">
        <v>7</v>
      </c>
      <c r="G568" s="725" t="s">
        <v>684</v>
      </c>
      <c r="H568" s="726">
        <v>9410</v>
      </c>
      <c r="I568" s="726">
        <v>0</v>
      </c>
      <c r="J568" s="726">
        <v>0</v>
      </c>
      <c r="K568" s="726">
        <v>9410</v>
      </c>
      <c r="L568" s="726">
        <v>0</v>
      </c>
      <c r="M568" s="726">
        <v>0</v>
      </c>
      <c r="N568" s="726">
        <v>9410</v>
      </c>
      <c r="O568" s="726">
        <v>0</v>
      </c>
      <c r="P568" s="726">
        <v>0</v>
      </c>
      <c r="Q568" s="726">
        <v>0</v>
      </c>
      <c r="R568" s="726">
        <v>0</v>
      </c>
      <c r="S568" s="726">
        <v>0</v>
      </c>
      <c r="T568" s="726">
        <v>0</v>
      </c>
      <c r="U568" s="726">
        <v>0</v>
      </c>
      <c r="V568" s="726">
        <v>0</v>
      </c>
      <c r="W568" s="726">
        <v>0</v>
      </c>
      <c r="X568" s="724" t="s">
        <v>674</v>
      </c>
      <c r="Y568" s="724" t="s">
        <v>675</v>
      </c>
      <c r="Z568" s="724" t="s">
        <v>675</v>
      </c>
      <c r="AA568" s="724" t="s">
        <v>675</v>
      </c>
      <c r="AB568" s="724" t="s">
        <v>675</v>
      </c>
      <c r="AC568" s="724"/>
      <c r="AD568" s="724"/>
      <c r="AE568" s="724"/>
      <c r="AF568" s="724"/>
      <c r="AG568" s="725" t="s">
        <v>1075</v>
      </c>
      <c r="AH568" s="724"/>
      <c r="AI568" s="725" t="s">
        <v>1075</v>
      </c>
      <c r="AJ568" s="725" t="s">
        <v>677</v>
      </c>
      <c r="AK568" s="724" t="s">
        <v>677</v>
      </c>
      <c r="AL568" s="724"/>
      <c r="AM568" s="724"/>
      <c r="AN568" s="724"/>
      <c r="AO568" s="724"/>
      <c r="AP568" s="724"/>
      <c r="AQ568" s="724"/>
      <c r="AR568" s="726"/>
      <c r="AS568" s="724"/>
      <c r="AT568" s="726"/>
      <c r="AU568" s="724" t="s">
        <v>678</v>
      </c>
      <c r="AV568" s="724" t="s">
        <v>677</v>
      </c>
      <c r="AW568" s="724" t="s">
        <v>676</v>
      </c>
      <c r="AX568" s="724" t="s">
        <v>674</v>
      </c>
      <c r="AY568" s="724"/>
      <c r="AZ568" s="724"/>
      <c r="BA568" s="724" t="s">
        <v>679</v>
      </c>
      <c r="BB568" s="724"/>
      <c r="BC568" s="724"/>
      <c r="BD568" s="724"/>
      <c r="BE568" s="726"/>
      <c r="BF568" s="724" t="s">
        <v>298</v>
      </c>
      <c r="BG568" s="724" t="s">
        <v>680</v>
      </c>
      <c r="BH568" s="724" t="s">
        <v>681</v>
      </c>
      <c r="BI568" s="724"/>
    </row>
    <row r="569" spans="1:61">
      <c r="A569" s="724" t="s">
        <v>1077</v>
      </c>
      <c r="B569" s="724" t="s">
        <v>1077</v>
      </c>
      <c r="C569" s="724" t="s">
        <v>1077</v>
      </c>
      <c r="D569" s="724" t="s">
        <v>716</v>
      </c>
      <c r="E569" s="724" t="s">
        <v>3</v>
      </c>
      <c r="F569" s="725" t="s">
        <v>308</v>
      </c>
      <c r="G569" s="725" t="s">
        <v>780</v>
      </c>
      <c r="H569" s="726">
        <v>186410400</v>
      </c>
      <c r="I569" s="726">
        <v>0</v>
      </c>
      <c r="J569" s="726">
        <v>0</v>
      </c>
      <c r="K569" s="726">
        <v>186410400</v>
      </c>
      <c r="L569" s="726">
        <v>0</v>
      </c>
      <c r="M569" s="726">
        <v>0</v>
      </c>
      <c r="N569" s="726">
        <v>169464000</v>
      </c>
      <c r="O569" s="726">
        <v>0</v>
      </c>
      <c r="P569" s="726">
        <v>0</v>
      </c>
      <c r="Q569" s="726">
        <v>16946400</v>
      </c>
      <c r="R569" s="726">
        <v>0</v>
      </c>
      <c r="S569" s="726">
        <v>0</v>
      </c>
      <c r="T569" s="726">
        <v>0</v>
      </c>
      <c r="U569" s="726">
        <v>0</v>
      </c>
      <c r="V569" s="726">
        <v>0</v>
      </c>
      <c r="W569" s="726">
        <v>0</v>
      </c>
      <c r="X569" s="724" t="s">
        <v>674</v>
      </c>
      <c r="Y569" s="724" t="s">
        <v>1226</v>
      </c>
      <c r="Z569" s="724" t="s">
        <v>1226</v>
      </c>
      <c r="AA569" s="724" t="s">
        <v>675</v>
      </c>
      <c r="AB569" s="724" t="s">
        <v>675</v>
      </c>
      <c r="AC569" s="724"/>
      <c r="AD569" s="724" t="s">
        <v>781</v>
      </c>
      <c r="AE569" s="724"/>
      <c r="AF569" s="724"/>
      <c r="AG569" s="725" t="s">
        <v>1078</v>
      </c>
      <c r="AH569" s="724"/>
      <c r="AI569" s="725" t="s">
        <v>1078</v>
      </c>
      <c r="AJ569" s="725" t="s">
        <v>1079</v>
      </c>
      <c r="AK569" s="724" t="s">
        <v>677</v>
      </c>
      <c r="AL569" s="724"/>
      <c r="AM569" s="724"/>
      <c r="AN569" s="724"/>
      <c r="AO569" s="724"/>
      <c r="AP569" s="724"/>
      <c r="AQ569" s="724"/>
      <c r="AR569" s="726"/>
      <c r="AS569" s="724"/>
      <c r="AT569" s="726"/>
      <c r="AU569" s="724" t="s">
        <v>678</v>
      </c>
      <c r="AV569" s="724" t="s">
        <v>677</v>
      </c>
      <c r="AW569" s="724" t="s">
        <v>676</v>
      </c>
      <c r="AX569" s="724" t="s">
        <v>784</v>
      </c>
      <c r="AY569" s="724" t="s">
        <v>785</v>
      </c>
      <c r="AZ569" s="724" t="s">
        <v>1080</v>
      </c>
      <c r="BA569" s="724" t="s">
        <v>679</v>
      </c>
      <c r="BB569" s="724"/>
      <c r="BC569" s="724"/>
      <c r="BD569" s="724"/>
      <c r="BE569" s="726"/>
      <c r="BF569" s="724" t="s">
        <v>298</v>
      </c>
      <c r="BG569" s="724" t="s">
        <v>680</v>
      </c>
      <c r="BH569" s="724" t="s">
        <v>681</v>
      </c>
      <c r="BI569" s="724"/>
    </row>
  </sheetData>
  <autoFilter ref="A1:BI569" xr:uid="{01CAFD71-3C71-426C-A5C2-F4B70ED198BD}"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4" showButton="0"/>
    <filterColumn colId="25" showButton="0"/>
    <filterColumn colId="26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9" showButton="0"/>
    <filterColumn colId="50" showButton="0"/>
    <filterColumn colId="52" showButton="0"/>
    <filterColumn colId="53" showButton="0"/>
    <filterColumn colId="54" showButton="0"/>
    <filterColumn colId="55" showButton="0"/>
  </autoFilter>
  <mergeCells count="35">
    <mergeCell ref="A1:A2"/>
    <mergeCell ref="B1:B2"/>
    <mergeCell ref="C1:C2"/>
    <mergeCell ref="D1:D2"/>
    <mergeCell ref="E1:E2"/>
    <mergeCell ref="F1:F2"/>
    <mergeCell ref="G1:G2"/>
    <mergeCell ref="H1:H2"/>
    <mergeCell ref="I1:K1"/>
    <mergeCell ref="L1:N1"/>
    <mergeCell ref="O1:Q1"/>
    <mergeCell ref="R1:T1"/>
    <mergeCell ref="U1:W1"/>
    <mergeCell ref="X1:X2"/>
    <mergeCell ref="Y1:AB1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S1"/>
    <mergeCell ref="AU1:AU2"/>
    <mergeCell ref="AV1:AV2"/>
    <mergeCell ref="AW1:AW2"/>
    <mergeCell ref="AX1:AZ1"/>
    <mergeCell ref="BA1:BE1"/>
    <mergeCell ref="BF1:BF2"/>
    <mergeCell ref="BG1:BG2"/>
    <mergeCell ref="BH1:BH2"/>
    <mergeCell ref="BI1:BI2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3차년도 전체요약</vt:lpstr>
      <vt:lpstr>RCMS기준사용현황</vt:lpstr>
      <vt:lpstr>예산</vt:lpstr>
      <vt:lpstr>소진일정</vt:lpstr>
      <vt:lpstr>재정투자 계획 총괄표, 대응자금</vt:lpstr>
      <vt:lpstr>3차년도 사업비 편성 총괄표</vt:lpstr>
      <vt:lpstr>3차년도 사업비 소진현황 (지출)</vt:lpstr>
      <vt:lpstr>이월금일정</vt:lpstr>
      <vt:lpstr>RCMS.260102</vt:lpstr>
      <vt:lpstr>RCMS.260112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Donghyuk So</dc:creator>
  <cp:lastModifiedBy>MYUNG JIN</cp:lastModifiedBy>
  <dcterms:created xsi:type="dcterms:W3CDTF">2024-08-14T12:20:08Z</dcterms:created>
  <dcterms:modified xsi:type="dcterms:W3CDTF">2026-01-12T06:55:08Z</dcterms:modified>
</cp:coreProperties>
</file>