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D10C244B-60E0-40BE-8DC2-EF875CD7DBF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J10" i="7" l="1"/>
  <c r="H153" i="3"/>
  <c r="H152" i="3"/>
  <c r="I6" i="7"/>
  <c r="I10" i="7"/>
  <c r="E153" i="3"/>
  <c r="H196" i="3"/>
  <c r="H191" i="3"/>
  <c r="H192" i="3"/>
  <c r="H193" i="3"/>
  <c r="H194" i="3"/>
  <c r="E193" i="3"/>
  <c r="E194" i="3"/>
  <c r="E192" i="3"/>
  <c r="E188" i="3"/>
  <c r="H188" i="3" s="1"/>
  <c r="E189" i="3"/>
  <c r="H189" i="3" s="1"/>
  <c r="E190" i="3"/>
  <c r="H190" i="3" s="1"/>
  <c r="E187" i="3"/>
  <c r="E125" i="3"/>
  <c r="H125" i="3" s="1"/>
  <c r="H127" i="3" s="1"/>
  <c r="H177" i="2"/>
  <c r="H76" i="2"/>
  <c r="H51" i="2"/>
  <c r="F221" i="1"/>
  <c r="G190" i="1"/>
  <c r="G195" i="1"/>
  <c r="F220" i="1"/>
  <c r="E159" i="1"/>
  <c r="G159" i="1" s="1"/>
  <c r="G185" i="1"/>
  <c r="G194" i="1"/>
  <c r="E220" i="1"/>
  <c r="G252" i="1"/>
  <c r="G253" i="1"/>
  <c r="G256" i="1"/>
  <c r="G251" i="1"/>
  <c r="G257" i="1"/>
  <c r="G255" i="1"/>
  <c r="G250" i="1"/>
  <c r="E12" i="7"/>
  <c r="F151" i="1"/>
  <c r="F171" i="1"/>
  <c r="F150" i="1"/>
  <c r="F149" i="1"/>
  <c r="G220" i="1" l="1"/>
  <c r="H140" i="3"/>
  <c r="H141" i="3"/>
  <c r="E13" i="7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H101" i="3"/>
  <c r="H100" i="3"/>
  <c r="E109" i="3"/>
  <c r="H109" i="3" s="1"/>
  <c r="E135" i="1"/>
  <c r="G135" i="1" s="1"/>
  <c r="H77" i="3"/>
  <c r="AN7" i="3" s="1"/>
  <c r="G171" i="1"/>
  <c r="H107" i="3"/>
  <c r="G81" i="1"/>
  <c r="G80" i="1"/>
  <c r="L126" i="1"/>
  <c r="P126" i="1" s="1"/>
  <c r="R126" i="1" s="1"/>
  <c r="C226" i="1" s="1"/>
  <c r="G226" i="1" s="1"/>
  <c r="G192" i="1"/>
  <c r="E84" i="3"/>
  <c r="G79" i="1"/>
  <c r="G242" i="1"/>
  <c r="G243" i="1"/>
  <c r="G244" i="1"/>
  <c r="G246" i="1"/>
  <c r="G247" i="1"/>
  <c r="G248" i="1"/>
  <c r="G249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0" i="1"/>
  <c r="G229" i="1"/>
  <c r="E9" i="1"/>
  <c r="Q8" i="1"/>
  <c r="G237" i="1"/>
  <c r="C16" i="6" s="1"/>
  <c r="G241" i="1"/>
  <c r="G7" i="1"/>
  <c r="G138" i="1"/>
  <c r="H4" i="3"/>
  <c r="G78" i="1"/>
  <c r="F148" i="1"/>
  <c r="G148" i="1" s="1"/>
  <c r="F147" i="1"/>
  <c r="G147" i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24" i="3"/>
  <c r="H23" i="3"/>
  <c r="H22" i="3"/>
  <c r="H21" i="3"/>
  <c r="H20" i="3"/>
  <c r="H19" i="3"/>
  <c r="AD2" i="3" s="1"/>
  <c r="H5" i="3"/>
  <c r="G245" i="1"/>
  <c r="G228" i="1"/>
  <c r="G221" i="1"/>
  <c r="H177" i="3" s="1"/>
  <c r="G215" i="1"/>
  <c r="G214" i="1"/>
  <c r="H173" i="3" s="1"/>
  <c r="G209" i="1"/>
  <c r="Z3" i="2" s="1"/>
  <c r="G208" i="1"/>
  <c r="E165" i="3" s="1"/>
  <c r="G207" i="1"/>
  <c r="E164" i="3" s="1"/>
  <c r="G206" i="1"/>
  <c r="E163" i="3" s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27" i="6"/>
  <c r="T3" i="4"/>
  <c r="F24" i="5"/>
  <c r="R3" i="2"/>
  <c r="AA3" i="2"/>
  <c r="Y3" i="2"/>
  <c r="G186" i="1" l="1"/>
  <c r="G258" i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AK7" i="3"/>
  <c r="AH7" i="3"/>
  <c r="AL7" i="3"/>
  <c r="AE2" i="3"/>
  <c r="H31" i="3"/>
  <c r="R3" i="3" s="1"/>
  <c r="H114" i="3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8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C18" i="6" s="1"/>
  <c r="G9" i="1"/>
  <c r="E6" i="3" s="1"/>
  <c r="H9" i="3"/>
  <c r="H78" i="1"/>
  <c r="H14" i="3"/>
  <c r="C14" i="6"/>
  <c r="E127" i="3"/>
  <c r="K127" i="3" s="1"/>
  <c r="R26" i="1"/>
  <c r="C31" i="4"/>
  <c r="C41" i="4"/>
  <c r="K41" i="4" s="1"/>
  <c r="U3" i="4" s="1"/>
  <c r="E61" i="4"/>
  <c r="R127" i="1"/>
  <c r="C227" i="1" s="1"/>
  <c r="G227" i="1" s="1"/>
  <c r="P128" i="1"/>
  <c r="C60" i="4" s="1"/>
  <c r="E120" i="3"/>
  <c r="H120" i="3"/>
  <c r="E60" i="4"/>
  <c r="G210" i="1"/>
  <c r="C19" i="6" s="1"/>
  <c r="H55" i="2"/>
  <c r="E15" i="4"/>
  <c r="E130" i="3"/>
  <c r="H130" i="3" s="1"/>
  <c r="E118" i="3"/>
  <c r="H165" i="3"/>
  <c r="C261" i="1"/>
  <c r="H118" i="3"/>
  <c r="X3" i="2"/>
  <c r="E173" i="3"/>
  <c r="G54" i="1"/>
  <c r="E174" i="3"/>
  <c r="G141" i="1"/>
  <c r="E114" i="3" s="1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C5" i="6" s="1"/>
  <c r="H180" i="3"/>
  <c r="E180" i="3"/>
  <c r="P96" i="1"/>
  <c r="E74" i="4"/>
  <c r="E77" i="4" s="1"/>
  <c r="G106" i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G197" i="1"/>
  <c r="P11" i="1"/>
  <c r="P13" i="1" s="1"/>
  <c r="P5" i="1" s="1"/>
  <c r="E49" i="3"/>
  <c r="G63" i="1"/>
  <c r="E176" i="3"/>
  <c r="G216" i="1"/>
  <c r="G154" i="1"/>
  <c r="E32" i="3"/>
  <c r="H32" i="3" s="1"/>
  <c r="H176" i="3"/>
  <c r="H179" i="3" s="1"/>
  <c r="G222" i="1"/>
  <c r="G5" i="7"/>
  <c r="H164" i="3"/>
  <c r="H117" i="3"/>
  <c r="H184" i="3"/>
  <c r="E145" i="3"/>
  <c r="H145" i="3" s="1"/>
  <c r="E147" i="3"/>
  <c r="H147" i="3" s="1"/>
  <c r="G82" i="1"/>
  <c r="C26" i="1"/>
  <c r="H155" i="3"/>
  <c r="E155" i="3"/>
  <c r="AL8" i="3" l="1"/>
  <c r="AM8" i="3" s="1"/>
  <c r="AN8" i="3" s="1"/>
  <c r="AO8" i="3" s="1"/>
  <c r="AK2" i="3"/>
  <c r="AF2" i="2"/>
  <c r="AF3" i="2" s="1"/>
  <c r="AM2" i="2"/>
  <c r="AM3" i="2" s="1"/>
  <c r="C9" i="6"/>
  <c r="G83" i="1"/>
  <c r="AP7" i="3"/>
  <c r="AP9" i="3" s="1"/>
  <c r="H154" i="3"/>
  <c r="AE3" i="3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1" i="1"/>
  <c r="G11" i="7" s="1"/>
  <c r="H23" i="2"/>
  <c r="AG2" i="2"/>
  <c r="AG3" i="2" s="1"/>
  <c r="AO2" i="2"/>
  <c r="AO3" i="2" s="1"/>
  <c r="G64" i="1"/>
  <c r="C12" i="6"/>
  <c r="G10" i="7"/>
  <c r="G13" i="1"/>
  <c r="G14" i="1" s="1"/>
  <c r="G5" i="1" s="1"/>
  <c r="F7" i="5" s="1"/>
  <c r="G7" i="5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C15" i="6"/>
  <c r="J145" i="3"/>
  <c r="F13" i="5"/>
  <c r="C25" i="6"/>
  <c r="C26" i="6" s="1"/>
  <c r="C17" i="6"/>
  <c r="E160" i="3"/>
  <c r="C13" i="6"/>
  <c r="E123" i="3"/>
  <c r="C20" i="6"/>
  <c r="E175" i="3"/>
  <c r="K175" i="3" s="1"/>
  <c r="H56" i="2"/>
  <c r="T3" i="2" s="1"/>
  <c r="K109" i="3"/>
  <c r="K38" i="3"/>
  <c r="K36" i="3"/>
  <c r="K136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45" i="2"/>
  <c r="K43" i="2"/>
  <c r="G126" i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C48" i="3" s="1"/>
  <c r="K114" i="3"/>
  <c r="AI3" i="2"/>
  <c r="E196" i="3"/>
  <c r="C23" i="6"/>
  <c r="Z3" i="4"/>
  <c r="E179" i="3"/>
  <c r="K179" i="3" s="1"/>
  <c r="C22" i="6"/>
  <c r="AH2" i="2"/>
  <c r="AH3" i="2" s="1"/>
  <c r="AN3" i="2"/>
  <c r="H160" i="3"/>
  <c r="AJ2" i="3" l="1"/>
  <c r="C87" i="4"/>
  <c r="P3" i="1"/>
  <c r="R3" i="1" s="1"/>
  <c r="C21" i="6"/>
  <c r="K196" i="3"/>
  <c r="E183" i="3"/>
  <c r="E197" i="3" s="1"/>
  <c r="AF3" i="3"/>
  <c r="AG3" i="3" s="1"/>
  <c r="AH3" i="3" s="1"/>
  <c r="AI3" i="3" s="1"/>
  <c r="G129" i="1"/>
  <c r="C177" i="2" s="1"/>
  <c r="K171" i="3"/>
  <c r="K48" i="3"/>
  <c r="U3" i="3" s="1"/>
  <c r="C4" i="6"/>
  <c r="C6" i="6" s="1"/>
  <c r="C4" i="3"/>
  <c r="C18" i="3" s="1"/>
  <c r="E18" i="3" s="1"/>
  <c r="G26" i="1"/>
  <c r="G4" i="7" s="1"/>
  <c r="C7" i="6"/>
  <c r="C8" i="6" s="1"/>
  <c r="E177" i="2"/>
  <c r="C4" i="2"/>
  <c r="C26" i="2" s="1"/>
  <c r="E26" i="2" s="1"/>
  <c r="V3" i="2"/>
  <c r="E17" i="3"/>
  <c r="H24" i="2"/>
  <c r="H25" i="2" s="1"/>
  <c r="H26" i="2" s="1"/>
  <c r="AL2" i="3"/>
  <c r="F14" i="5"/>
  <c r="G14" i="5" s="1"/>
  <c r="G13" i="5"/>
  <c r="K154" i="3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56" i="2"/>
  <c r="K56" i="2" s="1"/>
  <c r="U3" i="2" s="1"/>
  <c r="F9" i="5"/>
  <c r="G9" i="5" s="1"/>
  <c r="E18" i="4"/>
  <c r="K18" i="4"/>
  <c r="Q3" i="4" s="1"/>
  <c r="K160" i="3"/>
  <c r="H197" i="3"/>
  <c r="AJ3" i="3" l="1"/>
  <c r="AK3" i="3" s="1"/>
  <c r="AL3" i="3" s="1"/>
  <c r="AM3" i="3" s="1"/>
  <c r="AN3" i="3" s="1"/>
  <c r="AO3" i="3" s="1"/>
  <c r="K177" i="2"/>
  <c r="K26" i="2"/>
  <c r="Q3" i="2" s="1"/>
  <c r="K183" i="3"/>
  <c r="F197" i="3"/>
  <c r="I11" i="7" s="1"/>
  <c r="F11" i="5"/>
  <c r="G11" i="5" s="1"/>
  <c r="C197" i="3"/>
  <c r="K197" i="3" s="1"/>
  <c r="Y3" i="3" s="1"/>
  <c r="C27" i="6"/>
  <c r="D17" i="6" s="1"/>
  <c r="P3" i="2"/>
  <c r="H178" i="2"/>
  <c r="AP2" i="3"/>
  <c r="AP3" i="3" s="1"/>
  <c r="C27" i="2"/>
  <c r="C39" i="2" s="1"/>
  <c r="F8" i="5"/>
  <c r="G8" i="5" s="1"/>
  <c r="C19" i="3"/>
  <c r="C31" i="3" s="1"/>
  <c r="AP3" i="2"/>
  <c r="K18" i="3"/>
  <c r="Q3" i="3" s="1"/>
  <c r="P3" i="3"/>
  <c r="I9" i="7"/>
  <c r="F10" i="5"/>
  <c r="G9" i="7"/>
  <c r="C68" i="3"/>
  <c r="C76" i="2"/>
  <c r="G3" i="1"/>
  <c r="H198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9" i="2"/>
  <c r="S3" i="2" s="1"/>
  <c r="E39" i="2"/>
  <c r="E31" i="3"/>
  <c r="K31" i="3"/>
  <c r="S3" i="3" s="1"/>
  <c r="AQ2" i="3"/>
  <c r="AQ3" i="3" s="1"/>
  <c r="C178" i="2"/>
  <c r="K178" i="2" s="1"/>
  <c r="K76" i="2"/>
  <c r="W3" i="2" s="1"/>
  <c r="G12" i="7"/>
  <c r="G13" i="7" s="1"/>
  <c r="H3" i="1"/>
  <c r="K68" i="3"/>
  <c r="W3" i="3" s="1"/>
  <c r="C198" i="3"/>
  <c r="K198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<sst xmlns="http://schemas.openxmlformats.org/spreadsheetml/2006/main" count="1426" uniqueCount="637">
  <si>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</si>
  <si>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</si>
  <si>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</si>
  <si>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</si>
  <si>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</si>
  <si>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</si>
  <si>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</si>
  <si>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</si>
  <si>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</si>
  <si>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</si>
  <si>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</si>
  <si>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</si>
  <si>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</si>
  <si>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</si>
  <si>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</si>
  <si>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</si>
  <si>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</si>
  <si>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</si>
  <si>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</si>
  <si>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</si>
  <si>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</si>
  <si>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</si>
  <si>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</si>
  <si>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</si>
  <si>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</si>
  <si>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</si>
  <si>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</si>
  <si>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</si>
  <si>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</si>
  <si>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</si>
  <si>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</si>
  <si>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</si>
  <si>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</si>
  <si>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</si>
  <si>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</si>
  <si>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</si>
  <si>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</si>
  <si>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</si>
  <si>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</si>
  <si>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</si>
  <si>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</si>
  <si>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</si>
  <si>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</si>
  <si>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</si>
  <si>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</si>
  <si>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</si>
  <si>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</si>
  <si>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</si>
  <si>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</si>
  <si>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</si>
  <si>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</si>
  <si>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</si>
  <si>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</si>
  <si>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</si>
  <si>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</si>
  <si>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</si>
  <si>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</si>
  <si>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</si>
  <si>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</si>
  <si>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</si>
  <si>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</si>
  <si>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</si>
  <si>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</si>
  <si>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</si>
  <si>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</si>
  <si>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</si>
  <si>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</si>
  <si>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</si>
  <si>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</si>
  <si>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</si>
  <si>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</si>
  <si>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</si>
  <si>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</si>
  <si>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</si>
  <si>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</si>
  <si>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</si>
  <si>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</si>
  <si>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</si>
  <si>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</si>
  <si>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</si>
  <si>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</si>
  <si>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</si>
  <si>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</si>
  <si>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</si>
  <si>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</si>
  <si>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</si>
  <si>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</si>
  <si>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</si>
  <si>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</si>
  <si>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</si>
  <si>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</si>
  <si>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</si>
  <si>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</si>
  <si>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</si>
  <si>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</si>
  <si>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</si>
  <si>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</si>
  <si>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</si>
  <si>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</si>
  <si>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</si>
  <si>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</si>
  <si>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</si>
  <si>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</si>
  <si>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</si>
  <si>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</si>
  <si>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</si>
  <si>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</si>
  <si>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</si>
  <si>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</si>
  <si>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</si>
  <si>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</si>
  <si>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</si>
  <si>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</si>
  <si>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</si>
  <si>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</si>
  <si>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</si>
  <si>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</si>
  <si>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</si>
  <si>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</si>
  <si>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</si>
  <si>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</si>
  <si>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</si>
  <si>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</si>
  <si>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</si>
  <si>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</si>
  <si>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</si>
  <si>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</si>
  <si>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</si>
  <si>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</si>
  <si>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</si>
  <si>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</si>
  <si>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</si>
  <si>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</si>
  <si>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</si>
  <si>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</si>
  <si>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</si>
  <si>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</si>
  <si>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</si>
  <si>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</si>
  <si>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</si>
  <si>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</si>
  <si>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</si>
  <si>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</si>
  <si>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</si>
  <si>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</si>
  <si>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</si>
  <si>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</si>
  <si>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</si>
  <si>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</si>
  <si>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</si>
  <si>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</si>
  <si>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</si>
  <si>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</si>
  <si>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</si>
  <si>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</si>
  <si>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</si>
  <si>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</si>
  <si>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</si>
  <si>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</si>
  <si>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</si>
  <si>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</si>
  <si>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</si>
  <si>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</si>
  <si>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</si>
  <si>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</si>
  <si>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</si>
  <si>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</si>
  <si>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</si>
  <si>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</si>
  <si>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</si>
  <si>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</si>
  <si>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</si>
  <si>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</si>
  <si>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</si>
  <si>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</si>
  <si>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</si>
  <si>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</si>
  <si>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</si>
  <si>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</si>
  <si>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</si>
  <si>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</si>
  <si>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</si>
  <si>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</si>
  <si>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</si>
  <si>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</si>
  <si>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</si>
  <si>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</si>
  <si>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</si>
  <si>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</si>
  <si>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</si>
  <si>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</si>
  <si>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</si>
  <si>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</si>
  <si>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</si>
  <si>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</si>
  <si>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</si>
  <si>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</si>
  <si>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</si>
  <si>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</si>
  <si>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</si>
  <si>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</si>
  <si>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</si>
  <si>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</si>
  <si>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</si>
  <si>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</si>
  <si>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</si>
  <si>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</si>
  <si>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</si>
  <si>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</si>
  <si>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</si>
  <si>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</si>
  <si>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</si>
  <si>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</si>
  <si>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</si>
  <si>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</si>
  <si>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</si>
  <si>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</si>
  <si>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</si>
  <si>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</si>
  <si>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</si>
  <si>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</si>
  <si>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</si>
  <si>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</si>
  <si>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</si>
  <si>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</si>
  <si>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</si>
  <si>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</si>
  <si>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</si>
  <si>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</si>
  <si>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</si>
  <si>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</si>
  <si>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</si>
  <si>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</si>
  <si>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</si>
  <si>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</si>
  <si>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</si>
  <si>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</si>
  <si>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</si>
  <si>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</si>
  <si>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</si>
  <si>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</si>
  <si>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</si>
  <si>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</si>
  <si>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</si>
  <si>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</si>
  <si>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</si>
  <si>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</si>
  <si>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</si>
  <si>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</si>
  <si>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</si>
  <si>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</si>
  <si>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</si>
  <si>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</si>
  <si>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</si>
  <si>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</si>
  <si>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</si>
  <si>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</si>
  <si>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</si>
  <si>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</si>
  <si>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</si>
  <si>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</si>
  <si>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</si>
  <si>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</si>
  <si>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</si>
  <si>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</si>
  <si>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</si>
  <si>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</si>
  <si>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</si>
  <si>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</si>
  <si>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</si>
  <si>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</si>
  <si>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</si>
  <si>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</si>
  <si>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</si>
  <si>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</si>
  <si>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</si>
  <si>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</si>
  <si>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</si>
  <si>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</si>
  <si>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</si>
  <si>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</si>
  <si>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</si>
  <si>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</si>
  <si>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</si>
  <si>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</si>
  <si>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</si>
  <si>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</si>
  <si>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</si>
  <si>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</si>
  <si>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</si>
  <si>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</si>
  <si>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</si>
  <si>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</si>
  <si>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</si>
  <si>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</si>
  <si>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</si>
  <si>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</si>
  <si>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</si>
  <si>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</si>
  <si>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</si>
  <si>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</si>
  <si>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</si>
  <si>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</si>
  <si>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</si>
  <si>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</si>
  <si>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</si>
  <si>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</si>
  <si>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</si>
  <si>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</si>
  <si>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</si>
  <si>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</si>
  <si>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</si>
  <si>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</si>
  <si>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</si>
  <si>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</si>
  <si>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</si>
  <si>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</si>
  <si>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</si>
  <si>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</si>
  <si>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</si>
  <si>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</si>
  <si>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</si>
  <si>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</si>
  <si>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</si>
  <si>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</si>
  <si>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</si>
  <si>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</si>
  <si>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</si>
  <si>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</si>
  <si>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</si>
  <si>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</si>
  <si>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</si>
  <si>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</si>
  <si>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</si>
  <si>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</si>
  <si>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</si>
  <si>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</si>
  <si>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</si>
  <si>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</si>
  <si>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</si>
  <si>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</si>
  <si>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</si>
  <si>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</si>
  <si>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</si>
  <si>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</si>
  <si>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</si>
  <si>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</si>
  <si>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</si>
  <si>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</si>
  <si>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</si>
  <si>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</si>
  <si>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</si>
  <si>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</si>
  <si>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</si>
  <si>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</si>
  <si>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</si>
  <si>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</si>
  <si>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</si>
  <si>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</si>
  <si>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</si>
  <si>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</si>
  <si>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</si>
  <si>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</si>
  <si>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</si>
  <si>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</si>
  <si>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</si>
  <si>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</si>
  <si>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</si>
  <si>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</si>
  <si>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</si>
  <si>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</si>
  <si>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</si>
  <si>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</si>
  <si>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</si>
  <si>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</si>
  <si>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</si>
  <si>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</si>
  <si>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</si>
  <si>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</si>
  <si>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</si>
  <si>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</si>
  <si>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</si>
  <si>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</si>
  <si>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</si>
  <si>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</si>
  <si>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</si>
  <si>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</si>
  <si>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</si>
  <si>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</si>
  <si>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</si>
  <si>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</si>
  <si>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</si>
  <si>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</si>
  <si>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</si>
  <si>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</si>
  <si>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</si>
  <si>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</si>
  <si>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</si>
  <si>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</si>
  <si>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</si>
  <si>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</si>
  <si>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</si>
  <si>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</si>
  <si>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</si>
  <si>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</si>
  <si>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</si>
  <si>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</si>
  <si>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</si>
  <si>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</si>
  <si>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</si>
  <si>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</si>
  <si>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</si>
  <si>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</si>
  <si>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</si>
  <si>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</si>
  <si>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</si>
  <si>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</si>
  <si>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</si>
  <si>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</si>
  <si>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</si>
  <si>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</si>
  <si>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</si>
  <si>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</si>
  <si>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</si>
  <si>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</si>
  <si>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</si>
  <si>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</si>
  <si>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</si>
  <si>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</si>
  <si>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</si>
  <si>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</si>
  <si>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</si>
  <si>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</si>
  <si>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</si>
  <si>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</si>
  <si>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</si>
  <si>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</si>
  <si>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</si>
  <si>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</si>
  <si>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</si>
  <si>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</si>
  <si>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</si>
  <si>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</si>
  <si>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</si>
  <si>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</si>
  <si>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</si>
  <si>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</si>
  <si>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</si>
  <si>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</si>
  <si>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</si>
  <si>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</si>
  <si>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</si>
  <si>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</si>
  <si>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</si>
  <si>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</si>
  <si>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</si>
  <si>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</si>
  <si>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</si>
  <si>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</si>
  <si>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</si>
  <si>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</si>
  <si>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</si>
  <si>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</si>
  <si>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</si>
  <si>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</si>
  <si>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</si>
  <si>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</si>
  <si>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</si>
  <si>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</si>
  <si>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</si>
  <si>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</si>
  <si>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</si>
  <si>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</si>
  <si>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</si>
  <si>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</si>
  <si>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</si>
  <si>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</si>
  <si>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</si>
  <si>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</si>
  <si>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</si>
  <si>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</si>
  <si>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</si>
  <si>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</si>
  <si>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</si>
  <si>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</si>
  <si>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</si>
  <si>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</si>
  <si>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</si>
  <si>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</si>
  <si>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</si>
  <si>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</si>
  <si>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</si>
  <si>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</si>
  <si>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</si>
  <si>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</si>
  <si>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</si>
  <si>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</si>
  <si>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</si>
  <si>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</si>
  <si>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</si>
  <si>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</si>
  <si>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</si>
  <si>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</si>
  <si>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</si>
  <si>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</si>
  <si>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</si>
  <si>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</si>
  <si>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</si>
  <si>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</si>
  <si>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</si>
  <si>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</si>
  <si>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</si>
  <si>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</si>
  <si>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</si>
  <si>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</si>
  <si>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</si>
  <si>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</si>
  <si>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</si>
  <si>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</si>
  <si>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</si>
  <si>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</si>
  <si>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</si>
  <si>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</si>
  <si>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</si>
  <si>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</si>
  <si>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</si>
  <si>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</si>
  <si>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</si>
  <si>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</si>
  <si>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</si>
  <si>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</si>
  <si>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</si>
  <si>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</si>
  <si>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</si>
  <si>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</si>
  <si>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</si>
  <si>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</si>
  <si>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11월 18일 첨융 GPU 3대 + 11월 14일 프로브 스테이션, B1500 도입 완료 (42%)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</si>
  <si>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</si>
  <si>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</si>
  <si>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</si>
  <si>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t>스위치매트릭스 : 11월 14일 도입 완료 (10%)</t>
    <phoneticPr fontId="27" type="noConversion"/>
  </si>
  <si>
    <t>ALD : 3.52억 최종계약 완료, 도입 진행 중 (37%)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</si>
  <si>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</si>
  <si>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</si>
  <si>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</si>
  <si>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</si>
  <si>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</si>
  <si>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</si>
  <si>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</si>
  <si>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</si>
  <si>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</si>
  <si>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</si>
  <si>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</si>
  <si>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</si>
  <si>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</si>
  <si>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</si>
  <si>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</si>
  <si>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</si>
  <si>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</si>
  <si>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</si>
  <si>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</si>
  <si>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</si>
  <si>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</si>
  <si>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</si>
  <si>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</si>
  <si>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</si>
  <si>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</si>
  <si>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</si>
  <si>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</si>
  <si>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</si>
  <si>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</si>
  <si>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</si>
  <si>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</si>
  <si>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</si>
  <si>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</si>
  <si>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</si>
  <si>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</si>
  <si>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</si>
  <si>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</si>
  <si>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</si>
  <si>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</si>
  <si>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</si>
  <si>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</si>
  <si>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</si>
  <si>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</si>
  <si>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</si>
  <si>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</si>
  <si>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</si>
  <si>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</si>
  <si>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</si>
  <si>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</si>
  <si>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</si>
  <si>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</si>
  <si>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</si>
  <si>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</si>
  <si>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</si>
  <si>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</si>
  <si>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</si>
  <si>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</si>
  <si>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</si>
  <si>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</si>
  <si>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</si>
  <si>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</si>
  <si>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</si>
  <si>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</si>
  <si>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</si>
  <si>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</si>
  <si>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</si>
  <si>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</si>
  <si>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</si>
  <si>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</si>
  <si>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</si>
  <si>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</si>
  <si>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</si>
  <si>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</si>
  <si>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</si>
  <si>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</si>
  <si>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</si>
  <si>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</si>
  <si>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</si>
  <si>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(Δ: 0)</t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</si>
  <si>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</si>
  <si>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</si>
  <si>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</si>
  <si>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</si>
  <si>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</si>
  <si>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</si>
  <si>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</si>
  <si>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one-day 공정특강, 소모성 비용 (인쇄비, 수료증 등) (8%)</t>
    <phoneticPr fontId="27" type="noConversion"/>
  </si>
  <si>
    <t>↓</t>
  </si>
  <si>
    <t>(Δ: -9,850)</t>
    <phoneticPr fontId="27" type="noConversion"/>
  </si>
  <si>
    <t xml:space="preserve">(Δ: +9,850) </t>
    <phoneticPr fontId="27" type="noConversion"/>
  </si>
  <si>
    <t>(현시점 25.12.01 기준)</t>
    <phoneticPr fontId="27" type="noConversion"/>
  </si>
  <si>
    <t>(25.11.26 기준)</t>
    <phoneticPr fontId="27" type="noConversion"/>
  </si>
  <si>
    <t>한호철 연구원 자료 반영 (25.12.01)</t>
    <phoneticPr fontId="27" type="noConversion"/>
  </si>
  <si>
    <r>
      <t xml:space="preserve">(Δ: -9,850) </t>
    </r>
    <r>
      <rPr>
        <vertAlign val="superscript"/>
        <sz val="15"/>
        <color rgb="FF292929"/>
        <rFont val="함초롬돋움"/>
        <family val="3"/>
        <charset val="129"/>
      </rPr>
      <t>1) 2) 3)</t>
    </r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</si>
</sst>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1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</fills>
  <borders count="184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647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7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2" fillId="0" borderId="157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0" xfId="0" applyFont="1" applyBorder="1" applyAlignment="1">
      <alignment vertical="center" wrapText="1" readingOrder="1"/>
    </xf>
    <xf numFmtId="0" fontId="46" fillId="0" borderId="168" xfId="0" applyFont="1" applyBorder="1" applyAlignment="1">
      <alignment horizontal="center" vertical="center" wrapText="1" readingOrder="1"/>
    </xf>
    <xf numFmtId="0" fontId="45" fillId="0" borderId="176" xfId="0" applyFont="1" applyBorder="1" applyAlignment="1">
      <alignment vertical="center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1" xfId="0" applyNumberFormat="1" applyFont="1" applyBorder="1" applyAlignment="1">
      <alignment horizontal="right" vertical="center" wrapText="1" readingOrder="1"/>
    </xf>
    <xf numFmtId="9" fontId="47" fillId="0" borderId="172" xfId="0" applyNumberFormat="1" applyFont="1" applyBorder="1" applyAlignment="1">
      <alignment vertical="top" wrapText="1"/>
    </xf>
    <xf numFmtId="178" fontId="48" fillId="0" borderId="172" xfId="0" applyNumberFormat="1" applyFont="1" applyBorder="1" applyAlignment="1">
      <alignment horizontal="left" vertical="top" wrapText="1"/>
    </xf>
    <xf numFmtId="0" fontId="47" fillId="0" borderId="172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0" borderId="30" xfId="0" applyNumberFormat="1" applyFont="1" applyFill="1" applyBorder="1" applyAlignment="1">
      <alignment horizontal="center" vertical="center"/>
    </xf>
    <xf numFmtId="176" fontId="2" fillId="20" borderId="31" xfId="0" applyNumberFormat="1" applyFont="1" applyFill="1" applyBorder="1" applyAlignment="1">
      <alignment vertical="center"/>
    </xf>
    <xf numFmtId="176" fontId="2" fillId="22" borderId="37" xfId="0" applyNumberFormat="1" applyFont="1" applyFill="1" applyBorder="1" applyAlignment="1">
      <alignment vertical="center"/>
    </xf>
    <xf numFmtId="176" fontId="2" fillId="20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3" borderId="103" xfId="0" applyFont="1" applyFill="1" applyBorder="1" applyAlignment="1">
      <alignment horizontal="center" vertical="center" wrapText="1"/>
    </xf>
    <xf numFmtId="176" fontId="2" fillId="20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4" borderId="0" xfId="0" applyNumberFormat="1" applyFont="1" applyFill="1" applyAlignment="1">
      <alignment horizontal="right" vertical="center" wrapText="1"/>
    </xf>
    <xf numFmtId="177" fontId="50" fillId="24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2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3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4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4" fillId="0" borderId="115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1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176" fontId="2" fillId="0" borderId="5" xfId="0" applyNumberFormat="1" applyFont="1" applyFill="1" applyBorder="1" applyAlignment="1">
      <alignment horizontal="center" vertical="center"/>
    </xf>
    <xf numFmtId="176" fontId="2" fillId="0" borderId="5" xfId="0" applyNumberFormat="1" applyFont="1" applyFill="1" applyBorder="1" applyAlignment="1">
      <alignment vertical="center"/>
    </xf>
    <xf numFmtId="176" fontId="3" fillId="0" borderId="5" xfId="0" applyNumberFormat="1" applyFont="1" applyFill="1" applyBorder="1" applyAlignment="1">
      <alignment horizontal="center" vertical="center"/>
    </xf>
    <xf numFmtId="38" fontId="2" fillId="0" borderId="31" xfId="0" applyNumberFormat="1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0.63260305595487765</c:v>
                </c:pt>
                <c:pt idx="9">
                  <c:v>0.64720530325734005</c:v>
                </c:pt>
                <c:pt idx="10">
                  <c:v>0.81577690518028689</c:v>
                </c:pt>
                <c:pt idx="11">
                  <c:v>0.96246648843187665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259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I12" sqref="I12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57" t="s">
        <v>486</v>
      </c>
      <c r="B1" s="458"/>
      <c r="C1" s="458"/>
      <c r="D1" s="458"/>
      <c r="E1" s="458"/>
      <c r="F1" s="458"/>
      <c r="G1" s="458"/>
      <c r="H1" s="458"/>
      <c r="I1" s="458"/>
      <c r="J1" s="458"/>
      <c r="K1" s="458"/>
      <c r="L1" s="458"/>
      <c r="M1" s="458"/>
    </row>
    <row r="2" spans="1:13" ht="20.25" customHeight="1" thickBot="1">
      <c r="A2" s="332"/>
      <c r="B2" s="468" t="s">
        <v>242</v>
      </c>
      <c r="C2" s="470" t="s">
        <v>515</v>
      </c>
      <c r="D2" s="471"/>
      <c r="E2" s="471"/>
      <c r="F2" s="479" t="s">
        <v>516</v>
      </c>
      <c r="G2" s="480"/>
      <c r="H2" s="349" t="s">
        <v>483</v>
      </c>
      <c r="I2" s="350" t="s">
        <v>476</v>
      </c>
      <c r="J2" s="348" t="s">
        <v>477</v>
      </c>
      <c r="K2" s="472"/>
      <c r="L2" s="474" t="s">
        <v>518</v>
      </c>
      <c r="M2" s="254"/>
    </row>
    <row r="3" spans="1:13" ht="22.5" thickBot="1">
      <c r="A3" s="320"/>
      <c r="B3" s="469"/>
      <c r="C3" s="476" t="s">
        <v>634</v>
      </c>
      <c r="D3" s="477"/>
      <c r="E3" s="478"/>
      <c r="F3" s="481" t="s">
        <v>633</v>
      </c>
      <c r="G3" s="482"/>
      <c r="H3" s="351" t="s">
        <v>509</v>
      </c>
      <c r="I3" s="345" t="s">
        <v>633</v>
      </c>
      <c r="J3" s="345" t="s">
        <v>491</v>
      </c>
      <c r="K3" s="473"/>
      <c r="L3" s="475"/>
      <c r="M3" s="324"/>
    </row>
    <row r="4" spans="1:13" ht="53.25" customHeight="1" thickBot="1">
      <c r="A4" s="322"/>
      <c r="B4" s="352" t="s">
        <v>7</v>
      </c>
      <c r="C4" s="353"/>
      <c r="D4" s="354"/>
      <c r="E4" s="355">
        <v>401299</v>
      </c>
      <c r="F4" s="356" t="s">
        <v>480</v>
      </c>
      <c r="G4" s="357">
        <f>ROUND((예산!G5+예산!G26)/1000,0)</f>
        <v>401299</v>
      </c>
      <c r="H4" s="346" t="s">
        <v>508</v>
      </c>
      <c r="I4" s="358">
        <f>SUM(소진일정!H4:H11,소진일정!H19:H26)/SUM(소진일정!H18,소진일정!H31)</f>
        <v>0.49873941156205681</v>
      </c>
      <c r="J4" s="359">
        <v>1</v>
      </c>
      <c r="K4" s="360" t="s">
        <v>504</v>
      </c>
      <c r="L4" s="361" t="s">
        <v>519</v>
      </c>
      <c r="M4" s="327"/>
    </row>
    <row r="5" spans="1:13" ht="62.25" customHeight="1" thickBot="1">
      <c r="A5" s="323"/>
      <c r="B5" s="445" t="s">
        <v>478</v>
      </c>
      <c r="C5" s="486">
        <f>SUM(E5:E8)</f>
        <v>1250357</v>
      </c>
      <c r="D5" s="362" t="s">
        <v>481</v>
      </c>
      <c r="E5" s="363">
        <v>300225</v>
      </c>
      <c r="F5" s="356" t="s">
        <v>480</v>
      </c>
      <c r="G5" s="363">
        <f>ROUND((SUM(예산!G69,예산!G79:G80))/1000,0)</f>
        <v>300225</v>
      </c>
      <c r="H5" s="346" t="s">
        <v>508</v>
      </c>
      <c r="I5" s="364">
        <v>0</v>
      </c>
      <c r="J5" s="365">
        <v>1</v>
      </c>
      <c r="K5" s="407" t="s">
        <v>533</v>
      </c>
      <c r="L5" s="366" t="s">
        <v>536</v>
      </c>
      <c r="M5" s="326"/>
    </row>
    <row r="6" spans="1:13" ht="35.25" thickBot="1">
      <c r="A6" s="322"/>
      <c r="B6" s="468"/>
      <c r="C6" s="487"/>
      <c r="D6" s="483" t="s">
        <v>482</v>
      </c>
      <c r="E6" s="459">
        <v>950132</v>
      </c>
      <c r="F6" s="465" t="s">
        <v>480</v>
      </c>
      <c r="G6" s="459">
        <f>ROUND((SUM(예산!G70:G78,예산!G89))/1000,0)</f>
        <v>950132</v>
      </c>
      <c r="H6" s="462" t="s">
        <v>621</v>
      </c>
      <c r="I6" s="450">
        <f>SUM(소진일정!H34,소진일정!H39,소진일정!H40,소진일정!H41)/SUM(소진일정!H33:H41)</f>
        <v>0.10841568601044735</v>
      </c>
      <c r="J6" s="453">
        <v>1</v>
      </c>
      <c r="K6" s="407" t="s">
        <v>533</v>
      </c>
      <c r="L6" s="367" t="s">
        <v>537</v>
      </c>
      <c r="M6" s="327"/>
    </row>
    <row r="7" spans="1:13" ht="27" thickBot="1">
      <c r="A7" s="254"/>
      <c r="B7" s="468"/>
      <c r="C7" s="487"/>
      <c r="D7" s="484"/>
      <c r="E7" s="460"/>
      <c r="F7" s="466"/>
      <c r="G7" s="460"/>
      <c r="H7" s="463"/>
      <c r="I7" s="451"/>
      <c r="J7" s="451"/>
      <c r="K7" s="407" t="s">
        <v>533</v>
      </c>
      <c r="L7" s="343" t="s">
        <v>541</v>
      </c>
      <c r="M7" s="327"/>
    </row>
    <row r="8" spans="1:13" ht="27" thickBot="1">
      <c r="A8" s="322"/>
      <c r="B8" s="446"/>
      <c r="C8" s="488"/>
      <c r="D8" s="485"/>
      <c r="E8" s="461"/>
      <c r="F8" s="467"/>
      <c r="G8" s="461"/>
      <c r="H8" s="464"/>
      <c r="I8" s="452"/>
      <c r="J8" s="454"/>
      <c r="K8" s="374" t="s">
        <v>504</v>
      </c>
      <c r="L8" s="368" t="s">
        <v>542</v>
      </c>
      <c r="M8" s="327"/>
    </row>
    <row r="9" spans="1:13" ht="59.25" customHeight="1" thickBot="1">
      <c r="A9" s="320"/>
      <c r="B9" s="369" t="s">
        <v>72</v>
      </c>
      <c r="C9" s="370"/>
      <c r="D9" s="371"/>
      <c r="E9" s="372">
        <v>108040</v>
      </c>
      <c r="F9" s="356" t="s">
        <v>480</v>
      </c>
      <c r="G9" s="363">
        <f>ROUND(예산!G97/1000,0)</f>
        <v>108040</v>
      </c>
      <c r="H9" s="346" t="s">
        <v>508</v>
      </c>
      <c r="I9" s="364">
        <f>SUM(예산!G100,예산!G104,예산!G105,예산!G107:G120)/예산!G97</f>
        <v>0.58716940563405051</v>
      </c>
      <c r="J9" s="373">
        <v>1</v>
      </c>
      <c r="K9" s="374" t="s">
        <v>504</v>
      </c>
      <c r="L9" s="368" t="s">
        <v>503</v>
      </c>
      <c r="M9" s="324"/>
    </row>
    <row r="10" spans="1:13" ht="44.25" customHeight="1" thickBot="1">
      <c r="A10" s="324"/>
      <c r="B10" s="445" t="s">
        <v>84</v>
      </c>
      <c r="C10" s="455">
        <f>SUM(E10:E11)</f>
        <v>1162241</v>
      </c>
      <c r="D10" s="375" t="s">
        <v>484</v>
      </c>
      <c r="E10" s="376">
        <v>683000</v>
      </c>
      <c r="F10" s="356" t="s">
        <v>480</v>
      </c>
      <c r="G10" s="363">
        <f>ROUND(예산!G141/1000,0)</f>
        <v>683000</v>
      </c>
      <c r="H10" s="346" t="s">
        <v>508</v>
      </c>
      <c r="I10" s="364">
        <f>283287/683000</f>
        <v>0.41476866764275255</v>
      </c>
      <c r="J10" s="365">
        <f>639287/683000</f>
        <v>0.93599853587115667</v>
      </c>
      <c r="K10" s="374" t="s">
        <v>504</v>
      </c>
      <c r="L10" s="347" t="s">
        <v>635</v>
      </c>
    </row>
    <row r="11" spans="1:13" ht="51.75" customHeight="1" thickBot="1">
      <c r="B11" s="446"/>
      <c r="C11" s="456"/>
      <c r="D11" s="377" t="s">
        <v>485</v>
      </c>
      <c r="E11" s="372">
        <v>479241</v>
      </c>
      <c r="F11" s="356" t="s">
        <v>517</v>
      </c>
      <c r="G11" s="363">
        <f>ROUND(SUM(예산!G154,예산!G160,예산!G186,예산!G197,예산!G202,예산!G210,예산!G216,예산!G222,예산!G231,예산!G258)/1000,0)</f>
        <v>469391</v>
      </c>
      <c r="H11" s="346" t="s">
        <v>636</v>
      </c>
      <c r="I11" s="344">
        <f>SUM(소진일정!E117:E120,소진일정!E128:E132,소진일정!E137:E141,소진일정!E148:E151,소진일정!E174,소진일정!E177,소진일정!E180:E182,소진일정!H184:H187, 소진일정!H145,소진일정!H125)/소진일정!F197</f>
        <v>0.93394872610024837</v>
      </c>
      <c r="J11" s="365">
        <v>1</v>
      </c>
      <c r="K11" s="374" t="s">
        <v>504</v>
      </c>
      <c r="L11" s="378" t="s">
        <v>629</v>
      </c>
      <c r="M11" s="325"/>
    </row>
    <row r="12" spans="1:13" ht="51" customHeight="1" thickBot="1">
      <c r="A12" s="321"/>
      <c r="B12" s="369" t="s">
        <v>183</v>
      </c>
      <c r="C12" s="379"/>
      <c r="D12" s="380"/>
      <c r="E12" s="376">
        <f>SUM(E4:E11)</f>
        <v>2921937</v>
      </c>
      <c r="F12" s="356" t="s">
        <v>630</v>
      </c>
      <c r="G12" s="363">
        <f>ROUND(예산!G3/1000,0)</f>
        <v>2912087</v>
      </c>
      <c r="H12" s="346" t="s">
        <v>631</v>
      </c>
      <c r="I12" s="344">
        <f>SUM(I4*G4,I5*G5,I6*G6,I9*G9,I10*G10,I11*G11)/2956400</f>
        <v>0.36810470463352213</v>
      </c>
      <c r="J12" s="365">
        <f>G12/C18</f>
        <v>0.98501116222432683</v>
      </c>
      <c r="K12" s="381"/>
      <c r="L12" s="382"/>
      <c r="M12" s="324"/>
    </row>
    <row r="13" spans="1:13" ht="27" thickBot="1">
      <c r="A13" s="320"/>
      <c r="B13" s="383" t="s">
        <v>479</v>
      </c>
      <c r="C13" s="384"/>
      <c r="D13" s="385"/>
      <c r="E13" s="386">
        <f>2956400-E12</f>
        <v>34463</v>
      </c>
      <c r="F13" s="387"/>
      <c r="G13" s="388">
        <f>2956400-G12</f>
        <v>44313</v>
      </c>
      <c r="H13" s="346" t="s">
        <v>632</v>
      </c>
      <c r="I13" s="389"/>
      <c r="J13" s="390">
        <f>G13/C18</f>
        <v>1.4988837775673116E-2</v>
      </c>
      <c r="K13" s="391"/>
      <c r="L13" s="378"/>
      <c r="M13" s="325"/>
    </row>
    <row r="14" spans="1:13" ht="15.75" customHeight="1" thickBot="1">
      <c r="A14" s="320"/>
      <c r="B14" s="335"/>
      <c r="C14" s="335"/>
      <c r="D14" s="339"/>
      <c r="E14" s="336"/>
      <c r="F14" s="337"/>
      <c r="G14" s="337"/>
      <c r="H14" s="254"/>
      <c r="I14" s="335"/>
      <c r="J14" s="335"/>
      <c r="K14" s="335"/>
      <c r="L14" s="339"/>
      <c r="M14" s="325"/>
    </row>
    <row r="18" spans="2:17" ht="16.5">
      <c r="B18" s="329" t="s">
        <v>490</v>
      </c>
      <c r="C18" s="330">
        <v>2956400</v>
      </c>
    </row>
    <row r="20" spans="2:17" ht="15.75" thickBot="1"/>
    <row r="21" spans="2:17" ht="25.5" thickBot="1">
      <c r="O21" s="331" t="s">
        <v>529</v>
      </c>
    </row>
    <row r="22" spans="2:17" ht="25.5" thickBot="1">
      <c r="O22" s="331" t="s">
        <v>480</v>
      </c>
      <c r="Q22" s="338" t="s">
        <v>513</v>
      </c>
    </row>
    <row r="23" spans="2:17">
      <c r="O23" s="447" t="s">
        <v>480</v>
      </c>
    </row>
    <row r="24" spans="2:17">
      <c r="O24" s="448"/>
    </row>
    <row r="25" spans="2:17" ht="15.75" thickBot="1">
      <c r="O25" s="449"/>
    </row>
    <row r="26" spans="2:17" ht="25.5" thickBot="1">
      <c r="O26" s="331" t="s">
        <v>480</v>
      </c>
    </row>
    <row r="27" spans="2:17" ht="25.5" thickBot="1">
      <c r="O27" s="331" t="s">
        <v>480</v>
      </c>
    </row>
    <row r="28" spans="2:17" ht="27" thickBot="1">
      <c r="O28" s="331" t="s">
        <v>512</v>
      </c>
      <c r="P28" s="228" t="s">
        <v>517</v>
      </c>
    </row>
    <row r="29" spans="2:17" ht="15" customHeight="1">
      <c r="O29" s="396" t="s">
        <v>517</v>
      </c>
    </row>
    <row r="30" spans="2:17" ht="15" customHeight="1">
      <c r="O30" s="397"/>
    </row>
    <row r="31" spans="2:17" ht="15.75" customHeight="1" thickBot="1">
      <c r="O31" s="398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5"/>
  <sheetViews>
    <sheetView topLeftCell="A214" workbookViewId="0">
      <selection activeCell="E185" sqref="E185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15" t="s">
        <v>0</v>
      </c>
      <c r="B1" s="510"/>
      <c r="C1" s="510"/>
      <c r="D1" s="510"/>
      <c r="E1" s="510"/>
      <c r="F1" s="510"/>
      <c r="G1" s="510"/>
      <c r="H1" s="510"/>
      <c r="I1" s="2"/>
      <c r="J1" s="515" t="s">
        <v>1</v>
      </c>
      <c r="K1" s="510"/>
      <c r="L1" s="510"/>
      <c r="M1" s="510"/>
      <c r="N1" s="510"/>
      <c r="O1" s="510"/>
      <c r="P1" s="510"/>
      <c r="Q1" s="510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2912086822.4000001</v>
      </c>
      <c r="H3" s="3">
        <f>C3-G3</f>
        <v>44313177.599999905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91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16" t="s">
        <v>17</v>
      </c>
      <c r="I7" s="4"/>
      <c r="J7" s="3"/>
      <c r="K7" s="517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92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10"/>
      <c r="I8" s="4"/>
      <c r="J8" s="3"/>
      <c r="K8" s="492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05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05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90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92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90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93"/>
      <c r="L11" s="494" t="s">
        <v>21</v>
      </c>
      <c r="M11" s="495"/>
      <c r="N11" s="495"/>
      <c r="O11" s="496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90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04"/>
      <c r="C13" s="507" t="s">
        <v>21</v>
      </c>
      <c r="D13" s="518"/>
      <c r="E13" s="518"/>
      <c r="F13" s="518"/>
      <c r="G13" s="218">
        <f>SUM(G7:G12)</f>
        <v>121138758.40000001</v>
      </c>
      <c r="H13" s="3"/>
      <c r="I13" s="4"/>
      <c r="J13" s="3"/>
      <c r="K13" s="500" t="s">
        <v>22</v>
      </c>
      <c r="L13" s="495"/>
      <c r="M13" s="495"/>
      <c r="N13" s="495"/>
      <c r="O13" s="496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94" t="s">
        <v>22</v>
      </c>
      <c r="C14" s="498"/>
      <c r="D14" s="498"/>
      <c r="E14" s="498"/>
      <c r="F14" s="499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94" t="s">
        <v>28</v>
      </c>
      <c r="D17" s="495"/>
      <c r="E17" s="495"/>
      <c r="F17" s="496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94" t="s">
        <v>22</v>
      </c>
      <c r="C19" s="495"/>
      <c r="D19" s="495"/>
      <c r="E19" s="495"/>
      <c r="F19" s="496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444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94" t="s">
        <v>28</v>
      </c>
      <c r="D22" s="495"/>
      <c r="E22" s="495"/>
      <c r="F22" s="496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94" t="s">
        <v>22</v>
      </c>
      <c r="C24" s="495"/>
      <c r="D24" s="495"/>
      <c r="E24" s="495"/>
      <c r="F24" s="496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91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89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92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90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92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92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97" t="s">
        <v>52</v>
      </c>
      <c r="I31" s="4"/>
      <c r="J31" s="3"/>
      <c r="K31" s="519" t="s">
        <v>22</v>
      </c>
      <c r="L31" s="498"/>
      <c r="M31" s="498"/>
      <c r="N31" s="498"/>
      <c r="O31" s="499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92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90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92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92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92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89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92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90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92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97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92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90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92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92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92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97" t="s">
        <v>68</v>
      </c>
      <c r="I41" s="4"/>
      <c r="J41" s="3"/>
      <c r="K41" s="500" t="s">
        <v>22</v>
      </c>
      <c r="L41" s="495"/>
      <c r="M41" s="495"/>
      <c r="N41" s="495"/>
      <c r="O41" s="496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92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90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92"/>
      <c r="C43" s="11" t="s">
        <v>457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90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92"/>
      <c r="C44" s="11" t="s">
        <v>458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90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92"/>
      <c r="C45" s="11" t="s">
        <v>459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90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92"/>
      <c r="C46" s="11" t="s">
        <v>460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90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92"/>
      <c r="C47" s="11" t="s">
        <v>461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90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92"/>
      <c r="C48" s="11" t="s">
        <v>462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90"/>
      <c r="I48" s="4"/>
      <c r="J48" s="3"/>
      <c r="K48" s="500" t="s">
        <v>22</v>
      </c>
      <c r="L48" s="495"/>
      <c r="M48" s="495"/>
      <c r="N48" s="495"/>
      <c r="O48" s="496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92"/>
      <c r="C49" s="11" t="s">
        <v>463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90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92"/>
      <c r="C50" s="11" t="s">
        <v>464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90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92"/>
      <c r="C51" s="11" t="s">
        <v>465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90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92"/>
      <c r="C52" s="11" t="s">
        <v>466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90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92"/>
      <c r="C53" s="11" t="s">
        <v>467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90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93"/>
      <c r="C54" s="494" t="s">
        <v>21</v>
      </c>
      <c r="D54" s="495"/>
      <c r="E54" s="495"/>
      <c r="F54" s="496"/>
      <c r="G54" s="11">
        <f>SUM(G28:G53)</f>
        <v>108800000</v>
      </c>
      <c r="H54" s="3"/>
      <c r="I54" s="4"/>
      <c r="J54" s="3"/>
      <c r="K54" s="500" t="s">
        <v>22</v>
      </c>
      <c r="L54" s="495"/>
      <c r="M54" s="495"/>
      <c r="N54" s="495"/>
      <c r="O54" s="496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91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92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92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92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92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97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92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90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92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500" t="s">
        <v>22</v>
      </c>
      <c r="L61" s="495"/>
      <c r="M61" s="495"/>
      <c r="N61" s="495"/>
      <c r="O61" s="496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92"/>
      <c r="C62" s="11" t="s">
        <v>510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93"/>
      <c r="C63" s="494" t="s">
        <v>21</v>
      </c>
      <c r="D63" s="495"/>
      <c r="E63" s="495"/>
      <c r="F63" s="496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94" t="s">
        <v>22</v>
      </c>
      <c r="C64" s="495"/>
      <c r="D64" s="495"/>
      <c r="E64" s="495"/>
      <c r="F64" s="496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91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92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92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93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500" t="s">
        <v>22</v>
      </c>
      <c r="L69" s="495"/>
      <c r="M69" s="495"/>
      <c r="N69" s="495"/>
      <c r="O69" s="496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506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89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97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90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97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89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97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90"/>
      <c r="I73" s="4"/>
      <c r="J73" s="3"/>
      <c r="K73" s="501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97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14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97"/>
      <c r="C75" s="285" t="s">
        <v>337</v>
      </c>
      <c r="D75" s="285"/>
      <c r="E75" s="285">
        <v>1</v>
      </c>
      <c r="F75" s="285">
        <v>352000000</v>
      </c>
      <c r="G75" s="285">
        <f t="shared" si="5"/>
        <v>352000000</v>
      </c>
      <c r="H75" s="119" t="s">
        <v>507</v>
      </c>
      <c r="I75" s="212"/>
      <c r="J75" s="3"/>
      <c r="K75" s="514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97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514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97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514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97"/>
      <c r="C78" s="268" t="s">
        <v>353</v>
      </c>
      <c r="D78" s="268"/>
      <c r="E78" s="268">
        <v>1</v>
      </c>
      <c r="F78" s="268">
        <v>42988000</v>
      </c>
      <c r="G78" s="268">
        <f t="shared" si="5"/>
        <v>42988000</v>
      </c>
      <c r="H78" s="234">
        <f>SUM(G74:G78)</f>
        <v>518593000</v>
      </c>
      <c r="I78" s="212"/>
      <c r="J78" s="3"/>
      <c r="K78" s="514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441</v>
      </c>
      <c r="C79" s="218" t="s">
        <v>442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14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22" t="s">
        <v>452</v>
      </c>
      <c r="C80" s="218" t="s">
        <v>453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14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23"/>
      <c r="C81" s="218" t="s">
        <v>454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514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9"/>
      <c r="D82" s="269"/>
      <c r="E82" s="269"/>
      <c r="F82" s="269"/>
      <c r="G82" s="270">
        <f>SUM(G69:G81)</f>
        <v>1248357390</v>
      </c>
      <c r="H82" s="251" t="s">
        <v>359</v>
      </c>
      <c r="I82" s="4"/>
      <c r="J82" s="3"/>
      <c r="K82" s="502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500" t="s">
        <v>22</v>
      </c>
      <c r="L83" s="495"/>
      <c r="M83" s="495"/>
      <c r="N83" s="495"/>
      <c r="O83" s="496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09"/>
      <c r="X85" s="510"/>
      <c r="Y85" s="510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09"/>
      <c r="X86" s="510"/>
      <c r="Y86" s="510"/>
      <c r="Z86" s="21"/>
    </row>
    <row r="87" spans="1:26" ht="16.5" customHeight="1">
      <c r="A87" s="3"/>
      <c r="B87" s="12" t="s">
        <v>106</v>
      </c>
      <c r="C87" s="286" t="s">
        <v>107</v>
      </c>
      <c r="D87" s="287"/>
      <c r="E87" s="287">
        <v>0</v>
      </c>
      <c r="F87" s="288">
        <v>20000000</v>
      </c>
      <c r="G87" s="287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513" t="s">
        <v>109</v>
      </c>
      <c r="R87" s="516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03" t="s">
        <v>111</v>
      </c>
      <c r="C88" s="287" t="s">
        <v>112</v>
      </c>
      <c r="D88" s="287"/>
      <c r="E88" s="287">
        <v>0</v>
      </c>
      <c r="F88" s="288">
        <v>8000000</v>
      </c>
      <c r="G88" s="287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90"/>
      <c r="R88" s="510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04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89" t="s">
        <v>115</v>
      </c>
      <c r="I89" s="4"/>
      <c r="J89" s="3"/>
      <c r="K89" s="500" t="s">
        <v>22</v>
      </c>
      <c r="L89" s="495"/>
      <c r="M89" s="495"/>
      <c r="N89" s="495"/>
      <c r="O89" s="496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90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91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92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93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00" t="s">
        <v>22</v>
      </c>
      <c r="L96" s="495"/>
      <c r="M96" s="495"/>
      <c r="N96" s="495"/>
      <c r="O96" s="496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2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91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2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92"/>
      <c r="C102" s="16" t="s">
        <v>128</v>
      </c>
      <c r="D102" s="16" t="s">
        <v>122</v>
      </c>
      <c r="E102" s="16">
        <v>0</v>
      </c>
      <c r="F102" s="53">
        <v>152000</v>
      </c>
      <c r="G102" s="292">
        <f t="shared" si="8"/>
        <v>0</v>
      </c>
      <c r="H102" s="41"/>
      <c r="I102" s="4"/>
      <c r="J102" s="3"/>
      <c r="K102" s="500" t="s">
        <v>22</v>
      </c>
      <c r="L102" s="495"/>
      <c r="M102" s="495"/>
      <c r="N102" s="495"/>
      <c r="O102" s="496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92"/>
      <c r="C103" s="16" t="s">
        <v>129</v>
      </c>
      <c r="D103" s="16" t="s">
        <v>122</v>
      </c>
      <c r="E103" s="16">
        <v>0</v>
      </c>
      <c r="F103" s="53">
        <v>20000</v>
      </c>
      <c r="G103" s="292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92"/>
      <c r="C104" s="16" t="s">
        <v>130</v>
      </c>
      <c r="D104" s="16" t="s">
        <v>122</v>
      </c>
      <c r="E104" s="216">
        <v>55</v>
      </c>
      <c r="F104" s="216">
        <v>150700</v>
      </c>
      <c r="G104" s="292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93"/>
      <c r="C105" s="11" t="s">
        <v>131</v>
      </c>
      <c r="D105" s="219" t="s">
        <v>122</v>
      </c>
      <c r="E105" s="218">
        <v>10</v>
      </c>
      <c r="F105" s="218">
        <v>132000</v>
      </c>
      <c r="G105" s="341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01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02"/>
      <c r="C107" s="211" t="s">
        <v>502</v>
      </c>
      <c r="D107" s="24"/>
      <c r="E107" s="242">
        <v>8</v>
      </c>
      <c r="F107" s="333">
        <f>10640000/8</f>
        <v>1330000</v>
      </c>
      <c r="G107" s="342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2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07" t="s">
        <v>448</v>
      </c>
      <c r="C109" s="229" t="s">
        <v>492</v>
      </c>
      <c r="D109" s="16"/>
      <c r="E109" s="16">
        <v>1</v>
      </c>
      <c r="F109" s="16">
        <v>5676000</v>
      </c>
      <c r="G109" s="292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07"/>
      <c r="C110" s="229" t="s">
        <v>494</v>
      </c>
      <c r="D110" s="211"/>
      <c r="E110" s="16">
        <v>1</v>
      </c>
      <c r="F110" s="211">
        <v>1531200</v>
      </c>
      <c r="G110" s="292">
        <f t="shared" si="8"/>
        <v>1531200</v>
      </c>
      <c r="H110" s="3"/>
      <c r="I110" s="212"/>
      <c r="J110" s="3"/>
      <c r="K110" s="26"/>
      <c r="L110" s="289"/>
      <c r="M110" s="290"/>
      <c r="N110" s="290"/>
      <c r="O110" s="290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07"/>
      <c r="C111" s="229" t="s">
        <v>495</v>
      </c>
      <c r="D111" s="211"/>
      <c r="E111" s="16">
        <v>1</v>
      </c>
      <c r="F111" s="211">
        <v>935000</v>
      </c>
      <c r="G111" s="292">
        <f t="shared" si="8"/>
        <v>935000</v>
      </c>
      <c r="H111" s="3"/>
      <c r="I111" s="212"/>
      <c r="J111" s="3"/>
      <c r="K111" s="26"/>
      <c r="L111" s="289"/>
      <c r="M111" s="290"/>
      <c r="N111" s="290"/>
      <c r="O111" s="290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07"/>
      <c r="C112" s="229" t="s">
        <v>496</v>
      </c>
      <c r="D112" s="211"/>
      <c r="E112" s="16">
        <v>1</v>
      </c>
      <c r="F112" s="211">
        <v>1873300</v>
      </c>
      <c r="G112" s="292">
        <f t="shared" si="8"/>
        <v>1873300</v>
      </c>
      <c r="H112" s="3"/>
      <c r="I112" s="212"/>
      <c r="J112" s="3"/>
      <c r="K112" s="26"/>
      <c r="L112" s="289"/>
      <c r="M112" s="290"/>
      <c r="N112" s="290"/>
      <c r="O112" s="290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07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9"/>
      <c r="M113" s="290"/>
      <c r="N113" s="290"/>
      <c r="O113" s="290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22" t="s">
        <v>449</v>
      </c>
      <c r="C114" s="229" t="s">
        <v>500</v>
      </c>
      <c r="D114" s="211"/>
      <c r="E114" s="16">
        <v>2</v>
      </c>
      <c r="F114" s="211">
        <v>2332000</v>
      </c>
      <c r="G114" s="292">
        <f t="shared" si="8"/>
        <v>4664000</v>
      </c>
      <c r="H114" s="3"/>
      <c r="I114" s="212"/>
      <c r="J114" s="3"/>
      <c r="K114" s="26"/>
      <c r="L114" s="289"/>
      <c r="M114" s="290"/>
      <c r="N114" s="290"/>
      <c r="O114" s="290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33"/>
      <c r="C115" s="229" t="s">
        <v>501</v>
      </c>
      <c r="D115" s="211"/>
      <c r="E115" s="211">
        <v>1</v>
      </c>
      <c r="F115" s="211">
        <v>1496000</v>
      </c>
      <c r="G115" s="292">
        <f t="shared" si="8"/>
        <v>1496000</v>
      </c>
      <c r="H115" s="3"/>
      <c r="I115" s="212"/>
      <c r="J115" s="3"/>
      <c r="K115" s="26"/>
      <c r="L115" s="289"/>
      <c r="M115" s="290"/>
      <c r="N115" s="290"/>
      <c r="O115" s="290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33"/>
      <c r="C116" s="229" t="s">
        <v>497</v>
      </c>
      <c r="D116" s="211"/>
      <c r="E116" s="16">
        <v>1</v>
      </c>
      <c r="F116" s="211">
        <v>643500</v>
      </c>
      <c r="G116" s="292">
        <f t="shared" si="8"/>
        <v>643500</v>
      </c>
      <c r="H116" s="3"/>
      <c r="I116" s="212"/>
      <c r="J116" s="3"/>
      <c r="K116" s="26"/>
      <c r="L116" s="289"/>
      <c r="M116" s="290"/>
      <c r="N116" s="290"/>
      <c r="O116" s="290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33"/>
      <c r="C117" s="229" t="s">
        <v>498</v>
      </c>
      <c r="D117" s="211"/>
      <c r="E117" s="16">
        <v>1</v>
      </c>
      <c r="F117" s="211">
        <v>1155000</v>
      </c>
      <c r="G117" s="292">
        <f t="shared" si="8"/>
        <v>1155000</v>
      </c>
      <c r="H117" s="3"/>
      <c r="I117" s="212"/>
      <c r="J117" s="3"/>
      <c r="K117" s="26"/>
      <c r="L117" s="289"/>
      <c r="M117" s="290"/>
      <c r="N117" s="290"/>
      <c r="O117" s="290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33"/>
      <c r="C118" s="229" t="s">
        <v>499</v>
      </c>
      <c r="D118" s="211"/>
      <c r="E118" s="16">
        <v>1</v>
      </c>
      <c r="F118" s="211">
        <v>1925000</v>
      </c>
      <c r="G118" s="292">
        <f t="shared" si="8"/>
        <v>1925000</v>
      </c>
      <c r="H118" s="3"/>
      <c r="I118" s="212"/>
      <c r="J118" s="3"/>
      <c r="K118" s="26"/>
      <c r="L118" s="289"/>
      <c r="M118" s="290"/>
      <c r="N118" s="290"/>
      <c r="O118" s="290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23"/>
      <c r="C119" s="229"/>
      <c r="D119" s="211"/>
      <c r="E119" s="211"/>
      <c r="F119" s="211"/>
      <c r="G119" s="292"/>
      <c r="H119" s="3"/>
      <c r="I119" s="212"/>
      <c r="J119" s="3"/>
      <c r="K119" s="26"/>
      <c r="L119" s="289"/>
      <c r="M119" s="290"/>
      <c r="N119" s="290"/>
      <c r="O119" s="290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07" t="s">
        <v>450</v>
      </c>
      <c r="C120" s="229" t="s">
        <v>493</v>
      </c>
      <c r="D120" s="211"/>
      <c r="E120" s="16">
        <v>1</v>
      </c>
      <c r="F120" s="211">
        <v>964480</v>
      </c>
      <c r="G120" s="292">
        <f t="shared" si="8"/>
        <v>964480</v>
      </c>
      <c r="H120" s="3"/>
      <c r="I120" s="212"/>
      <c r="J120" s="3"/>
      <c r="K120" s="26"/>
      <c r="L120" s="289"/>
      <c r="M120" s="290"/>
      <c r="N120" s="290"/>
      <c r="O120" s="290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07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9"/>
      <c r="M121" s="290"/>
      <c r="N121" s="290"/>
      <c r="O121" s="290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07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9"/>
      <c r="M122" s="290"/>
      <c r="N122" s="290"/>
      <c r="O122" s="290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07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9"/>
      <c r="M123" s="290"/>
      <c r="N123" s="290"/>
      <c r="O123" s="290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07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9"/>
      <c r="M124" s="290"/>
      <c r="N124" s="290"/>
      <c r="O124" s="290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07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9"/>
      <c r="M125" s="290"/>
      <c r="N125" s="290"/>
      <c r="O125" s="290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SUM(G141,G154,G160,G186,G197,G202,G210,G216,G222,G231,G237,G258)</f>
        <v>1152391174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91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97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93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90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500" t="s">
        <v>22</v>
      </c>
      <c r="L135" s="495"/>
      <c r="M135" s="495"/>
      <c r="N135" s="495"/>
      <c r="O135" s="496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2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01" t="s">
        <v>356</v>
      </c>
      <c r="C138" s="11" t="s">
        <v>357</v>
      </c>
      <c r="D138" s="501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02"/>
      <c r="C139" s="11" t="s">
        <v>361</v>
      </c>
      <c r="D139" s="502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7">
        <f>SUM(G132:G140)</f>
        <v>683000000</v>
      </c>
      <c r="H141" s="318" t="s">
        <v>468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511" t="s">
        <v>157</v>
      </c>
      <c r="L142" s="56" t="s">
        <v>158</v>
      </c>
      <c r="M142" s="56">
        <v>12000000</v>
      </c>
      <c r="N142" s="497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93"/>
      <c r="L143" s="11" t="s">
        <v>159</v>
      </c>
      <c r="M143" s="11">
        <v>100000000</v>
      </c>
      <c r="N143" s="490"/>
      <c r="O143" s="509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91" t="s">
        <v>161</v>
      </c>
      <c r="L144" s="11" t="s">
        <v>162</v>
      </c>
      <c r="M144" s="11">
        <v>40000000</v>
      </c>
      <c r="N144" s="497" t="s">
        <v>163</v>
      </c>
      <c r="O144" s="510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03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93"/>
      <c r="L145" s="11" t="s">
        <v>165</v>
      </c>
      <c r="M145" s="11">
        <v>20000000</v>
      </c>
      <c r="N145" s="490"/>
      <c r="O145" s="510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90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90"/>
      <c r="C147" s="292" t="s">
        <v>170</v>
      </c>
      <c r="D147" s="293"/>
      <c r="E147" s="293">
        <v>1</v>
      </c>
      <c r="F147" s="293">
        <f>486205+66667+120000</f>
        <v>672872</v>
      </c>
      <c r="G147" s="292">
        <f t="shared" si="14"/>
        <v>672872</v>
      </c>
      <c r="H147" s="489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90"/>
      <c r="C148" s="292" t="s">
        <v>171</v>
      </c>
      <c r="D148" s="293"/>
      <c r="E148" s="293">
        <v>1</v>
      </c>
      <c r="F148" s="293">
        <f>486205+66667+120000</f>
        <v>672872</v>
      </c>
      <c r="G148" s="292">
        <f t="shared" si="14"/>
        <v>672872</v>
      </c>
      <c r="H148" s="490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90"/>
      <c r="C149" s="294" t="s">
        <v>346</v>
      </c>
      <c r="D149" s="299"/>
      <c r="E149" s="297">
        <v>1</v>
      </c>
      <c r="F149" s="292">
        <f>6468000/25+46667+30000*3+1452600*2/25</f>
        <v>511595</v>
      </c>
      <c r="G149" s="292">
        <f t="shared" si="14"/>
        <v>511595</v>
      </c>
      <c r="H149" s="489" t="s">
        <v>523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90"/>
      <c r="C150" s="294" t="s">
        <v>347</v>
      </c>
      <c r="D150" s="299"/>
      <c r="E150" s="297">
        <v>1</v>
      </c>
      <c r="F150" s="292">
        <f>6468000/25+46667+30000*3+1452600*2/25</f>
        <v>511595</v>
      </c>
      <c r="G150" s="292">
        <f t="shared" si="14"/>
        <v>511595</v>
      </c>
      <c r="H150" s="490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90"/>
      <c r="C151" s="216" t="s">
        <v>505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4" t="s">
        <v>526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90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89" t="s">
        <v>524</v>
      </c>
      <c r="I152" s="4"/>
      <c r="J152" s="3"/>
      <c r="K152" s="521" t="s">
        <v>151</v>
      </c>
      <c r="L152" s="498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04"/>
      <c r="C153" s="3"/>
      <c r="D153" s="3"/>
      <c r="E153" s="3"/>
      <c r="F153" s="3"/>
      <c r="G153" s="3"/>
      <c r="H153" s="490"/>
      <c r="I153" s="4"/>
      <c r="J153" s="3"/>
      <c r="K153" s="57" t="s">
        <v>172</v>
      </c>
      <c r="L153" s="58">
        <f>500+400+300+200</f>
        <v>1400</v>
      </c>
      <c r="M153" s="513" t="s">
        <v>173</v>
      </c>
      <c r="N153" s="510"/>
      <c r="O153" s="510"/>
      <c r="P153" s="510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513" t="s">
        <v>175</v>
      </c>
      <c r="N154" s="510"/>
      <c r="O154" s="510"/>
      <c r="P154" s="510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97" t="s">
        <v>177</v>
      </c>
      <c r="N155" s="510"/>
      <c r="O155" s="510"/>
      <c r="P155" s="510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97" t="s">
        <v>180</v>
      </c>
      <c r="N156" s="510"/>
      <c r="O156" s="510"/>
      <c r="P156" s="510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513" t="s">
        <v>182</v>
      </c>
      <c r="N157" s="510"/>
      <c r="O157" s="510"/>
      <c r="P157" s="510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513" t="s">
        <v>184</v>
      </c>
      <c r="N158" s="510"/>
      <c r="O158" s="510"/>
      <c r="P158" s="510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400" t="s">
        <v>530</v>
      </c>
      <c r="C159" s="401"/>
      <c r="D159" s="401"/>
      <c r="E159" s="401">
        <f>52+6+1</f>
        <v>59</v>
      </c>
      <c r="F159" s="401">
        <v>19900</v>
      </c>
      <c r="G159" s="317">
        <f t="shared" si="15"/>
        <v>1174100</v>
      </c>
      <c r="H159" s="41" t="s">
        <v>539</v>
      </c>
      <c r="I159" s="212"/>
      <c r="J159" s="3"/>
      <c r="K159" s="399"/>
      <c r="L159" s="399"/>
      <c r="M159" s="252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185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91" t="s">
        <v>186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92"/>
      <c r="C165" s="292" t="s">
        <v>187</v>
      </c>
      <c r="D165" s="293"/>
      <c r="E165" s="293">
        <v>1</v>
      </c>
      <c r="F165" s="293">
        <v>230000</v>
      </c>
      <c r="G165" s="292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92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92"/>
      <c r="C167" s="294" t="s">
        <v>188</v>
      </c>
      <c r="D167" s="295"/>
      <c r="E167" s="295">
        <v>1</v>
      </c>
      <c r="F167" s="293">
        <v>230000</v>
      </c>
      <c r="G167" s="292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05"/>
      <c r="C168" s="294" t="s">
        <v>342</v>
      </c>
      <c r="D168" s="402"/>
      <c r="E168" s="295">
        <v>1</v>
      </c>
      <c r="F168" s="293">
        <v>990000</v>
      </c>
      <c r="G168" s="292">
        <f t="shared" si="16"/>
        <v>990000</v>
      </c>
      <c r="H168" s="30" t="s">
        <v>343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05"/>
      <c r="C169" s="294" t="s">
        <v>344</v>
      </c>
      <c r="D169" s="402"/>
      <c r="E169" s="295">
        <v>1</v>
      </c>
      <c r="F169" s="293">
        <v>700000</v>
      </c>
      <c r="G169" s="292">
        <f t="shared" si="16"/>
        <v>700000</v>
      </c>
      <c r="H169" s="30" t="s">
        <v>345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92"/>
      <c r="C170" s="294" t="s">
        <v>349</v>
      </c>
      <c r="D170" s="296"/>
      <c r="E170" s="297">
        <v>20</v>
      </c>
      <c r="F170" s="292">
        <f>486205-0.5+66667</f>
        <v>552871.5</v>
      </c>
      <c r="G170" s="292">
        <f>E170*F170</f>
        <v>11057430</v>
      </c>
      <c r="H170" s="225" t="s">
        <v>348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92"/>
      <c r="C171" s="294" t="s">
        <v>351</v>
      </c>
      <c r="D171" s="296"/>
      <c r="E171" s="297">
        <v>23</v>
      </c>
      <c r="F171" s="292">
        <f>(6468000/25)+46667+1452600*2/25</f>
        <v>421595</v>
      </c>
      <c r="G171" s="292">
        <f t="shared" si="16"/>
        <v>9696685</v>
      </c>
      <c r="H171" s="226" t="s">
        <v>525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92"/>
      <c r="C172" s="298" t="s">
        <v>190</v>
      </c>
      <c r="D172" s="299"/>
      <c r="E172" s="297">
        <v>20</v>
      </c>
      <c r="F172" s="292">
        <v>140000</v>
      </c>
      <c r="G172" s="292">
        <f t="shared" si="16"/>
        <v>2800000</v>
      </c>
      <c r="H172" s="227" t="s">
        <v>191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93"/>
      <c r="C173" s="298" t="s">
        <v>340</v>
      </c>
      <c r="D173" s="299"/>
      <c r="E173" s="297">
        <v>25</v>
      </c>
      <c r="F173" s="292">
        <v>350000</v>
      </c>
      <c r="G173" s="292">
        <f t="shared" si="16"/>
        <v>8750000</v>
      </c>
      <c r="H173" s="228" t="s">
        <v>355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30" t="s">
        <v>400</v>
      </c>
      <c r="C174" s="216" t="s">
        <v>405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31"/>
      <c r="C175" s="216" t="s">
        <v>406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31"/>
      <c r="C176" s="294" t="s">
        <v>407</v>
      </c>
      <c r="D176" s="296"/>
      <c r="E176" s="297">
        <v>5</v>
      </c>
      <c r="F176" s="292">
        <f>11062500/5</f>
        <v>2212500</v>
      </c>
      <c r="G176" s="292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31"/>
      <c r="C177" s="294" t="s">
        <v>417</v>
      </c>
      <c r="D177" s="296"/>
      <c r="E177" s="297">
        <v>5</v>
      </c>
      <c r="F177" s="292">
        <f>128*1400*4</f>
        <v>716800</v>
      </c>
      <c r="G177" s="292">
        <f t="shared" si="16"/>
        <v>3584000</v>
      </c>
      <c r="H177" s="228" t="s">
        <v>506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31"/>
      <c r="C178" s="294" t="s">
        <v>472</v>
      </c>
      <c r="D178" s="296"/>
      <c r="E178" s="297">
        <v>4</v>
      </c>
      <c r="F178" s="292">
        <f>504669</f>
        <v>504669</v>
      </c>
      <c r="G178" s="292">
        <f t="shared" si="16"/>
        <v>2018676</v>
      </c>
      <c r="H178" s="228" t="s">
        <v>473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31"/>
      <c r="C179" s="294" t="s">
        <v>472</v>
      </c>
      <c r="D179" s="296"/>
      <c r="E179" s="297">
        <v>2</v>
      </c>
      <c r="F179" s="292">
        <v>501199</v>
      </c>
      <c r="G179" s="292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32"/>
      <c r="C180" s="294" t="s">
        <v>474</v>
      </c>
      <c r="D180" s="296"/>
      <c r="E180" s="297">
        <v>3</v>
      </c>
      <c r="F180" s="292">
        <v>30279</v>
      </c>
      <c r="G180" s="292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506" t="s">
        <v>192</v>
      </c>
      <c r="C181" s="11" t="s">
        <v>193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97"/>
      <c r="C182" s="14" t="s">
        <v>194</v>
      </c>
      <c r="D182" s="43"/>
      <c r="E182" s="27">
        <v>0</v>
      </c>
      <c r="F182" s="31">
        <v>1000000</v>
      </c>
      <c r="G182" s="11">
        <f t="shared" si="16"/>
        <v>0</v>
      </c>
      <c r="H182" s="489" t="s">
        <v>195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97"/>
      <c r="C183" s="300" t="s">
        <v>341</v>
      </c>
      <c r="D183" s="301"/>
      <c r="E183" s="293">
        <v>1</v>
      </c>
      <c r="F183" s="297">
        <v>516000</v>
      </c>
      <c r="G183" s="292">
        <f t="shared" si="16"/>
        <v>516000</v>
      </c>
      <c r="H183" s="489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497"/>
      <c r="C184" s="216" t="s">
        <v>196</v>
      </c>
      <c r="D184" s="404"/>
      <c r="E184" s="240">
        <v>0</v>
      </c>
      <c r="F184" s="405">
        <v>10000000</v>
      </c>
      <c r="G184" s="216">
        <f t="shared" si="16"/>
        <v>0</v>
      </c>
      <c r="H184" s="490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08"/>
      <c r="C185" s="218" t="s">
        <v>532</v>
      </c>
      <c r="D185" s="231"/>
      <c r="E185" s="269">
        <v>5</v>
      </c>
      <c r="F185" s="231">
        <v>600000</v>
      </c>
      <c r="G185" s="218">
        <f t="shared" si="16"/>
        <v>3000000</v>
      </c>
      <c r="H185" s="520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06"/>
      <c r="D186" s="406"/>
      <c r="E186" s="406"/>
      <c r="F186" s="229"/>
      <c r="G186" s="211">
        <f>SUM(G164:G185)</f>
        <v>75728526</v>
      </c>
      <c r="H186" s="490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116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91" t="s">
        <v>117</v>
      </c>
      <c r="C190" s="317" t="s">
        <v>118</v>
      </c>
      <c r="D190" s="403"/>
      <c r="E190" s="408">
        <v>500000</v>
      </c>
      <c r="F190" s="317">
        <v>2</v>
      </c>
      <c r="G190" s="317">
        <f>E190*F190-G194-G195</f>
        <v>805000</v>
      </c>
      <c r="H190" s="3" t="s">
        <v>534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92"/>
      <c r="C191" s="11" t="s">
        <v>119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05"/>
      <c r="C192" s="292" t="s">
        <v>447</v>
      </c>
      <c r="D192" s="293"/>
      <c r="E192" s="297">
        <v>371600</v>
      </c>
      <c r="F192" s="292">
        <v>1</v>
      </c>
      <c r="G192" s="292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05"/>
      <c r="C193" s="292" t="s">
        <v>475</v>
      </c>
      <c r="D193" s="293"/>
      <c r="E193" s="297">
        <v>52500</v>
      </c>
      <c r="F193" s="292">
        <v>1</v>
      </c>
      <c r="G193" s="292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05"/>
      <c r="C194" s="292" t="s">
        <v>447</v>
      </c>
      <c r="D194" s="293"/>
      <c r="E194" s="297">
        <v>96000</v>
      </c>
      <c r="F194" s="292">
        <v>1</v>
      </c>
      <c r="G194" s="292">
        <f t="shared" si="17"/>
        <v>96000</v>
      </c>
      <c r="H194" s="3" t="s">
        <v>531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05"/>
      <c r="C195" s="292" t="s">
        <v>538</v>
      </c>
      <c r="D195" s="293"/>
      <c r="E195" s="297">
        <v>99000</v>
      </c>
      <c r="F195" s="292">
        <v>1</v>
      </c>
      <c r="G195" s="292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493"/>
      <c r="C196" s="26" t="s">
        <v>120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197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197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121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124</v>
      </c>
      <c r="C206" s="11" t="s">
        <v>198</v>
      </c>
      <c r="D206" s="27"/>
      <c r="E206" s="27">
        <v>180</v>
      </c>
      <c r="F206" s="11">
        <v>5000</v>
      </c>
      <c r="G206" s="11">
        <f t="shared" ref="G206:G209" si="18">E206*F206</f>
        <v>900000</v>
      </c>
      <c r="H206" s="8" t="s">
        <v>470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199</v>
      </c>
      <c r="C207" s="11" t="s">
        <v>200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512"/>
      <c r="M207" s="510"/>
      <c r="N207" s="510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201</v>
      </c>
      <c r="C208" s="11" t="s">
        <v>202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10"/>
      <c r="M208" s="510"/>
      <c r="N208" s="510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203</v>
      </c>
      <c r="C209" s="11" t="s">
        <v>204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156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5" t="s">
        <v>22</v>
      </c>
      <c r="C210" s="18"/>
      <c r="D210" s="18"/>
      <c r="E210" s="18"/>
      <c r="F210" s="29"/>
      <c r="G210" s="11">
        <f>SUM(G206:G209)</f>
        <v>11659000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/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 t="s">
        <v>205</v>
      </c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 t="s">
        <v>8</v>
      </c>
      <c r="C213" s="15" t="s">
        <v>28</v>
      </c>
      <c r="D213" s="18"/>
      <c r="E213" s="18"/>
      <c r="F213" s="29"/>
      <c r="G213" s="11" t="s">
        <v>13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7" t="s">
        <v>206</v>
      </c>
      <c r="D214" s="27"/>
      <c r="E214" s="27">
        <v>5</v>
      </c>
      <c r="F214" s="11">
        <v>5000</v>
      </c>
      <c r="G214" s="11">
        <f t="shared" ref="G214:G215" si="19">E214*F214</f>
        <v>25000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93" t="s">
        <v>207</v>
      </c>
      <c r="D215" s="293"/>
      <c r="E215" s="293">
        <v>1</v>
      </c>
      <c r="F215" s="292">
        <v>2043000</v>
      </c>
      <c r="G215" s="292">
        <f t="shared" si="19"/>
        <v>2043000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5" t="s">
        <v>22</v>
      </c>
      <c r="C216" s="18"/>
      <c r="D216" s="18"/>
      <c r="E216" s="18"/>
      <c r="F216" s="29"/>
      <c r="G216" s="11">
        <f>SUM(G214:G215)</f>
        <v>2068000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/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 t="s">
        <v>208</v>
      </c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11" t="s">
        <v>8</v>
      </c>
      <c r="C219" s="15" t="s">
        <v>28</v>
      </c>
      <c r="D219" s="18"/>
      <c r="E219" s="18"/>
      <c r="F219" s="29"/>
      <c r="G219" s="11" t="s">
        <v>13</v>
      </c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2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643" t="s">
        <v>209</v>
      </c>
      <c r="C220" s="643" t="s">
        <v>210</v>
      </c>
      <c r="D220" s="644"/>
      <c r="E220" s="643">
        <f>20</f>
        <v>20</v>
      </c>
      <c r="F220" s="643">
        <f>696000/20</f>
        <v>34800</v>
      </c>
      <c r="G220" s="643">
        <f>E220*F220</f>
        <v>696000</v>
      </c>
      <c r="H220" s="3" t="s">
        <v>535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645" t="s">
        <v>211</v>
      </c>
      <c r="C221" s="643" t="s">
        <v>212</v>
      </c>
      <c r="D221" s="643"/>
      <c r="E221" s="643">
        <v>45</v>
      </c>
      <c r="F221" s="643">
        <f>1194800/45</f>
        <v>26551.111111111109</v>
      </c>
      <c r="G221" s="643">
        <f>E221*F221</f>
        <v>1194800</v>
      </c>
      <c r="H221" s="8" t="s">
        <v>540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15" t="s">
        <v>22</v>
      </c>
      <c r="C222" s="18"/>
      <c r="D222" s="18"/>
      <c r="E222" s="18"/>
      <c r="F222" s="29"/>
      <c r="G222" s="11">
        <f>SUM(G220:G221)</f>
        <v>1890800</v>
      </c>
      <c r="H222" s="8" t="s">
        <v>213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"/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7" t="s">
        <v>135</v>
      </c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8</v>
      </c>
      <c r="C225" s="28" t="s">
        <v>28</v>
      </c>
      <c r="D225" s="42"/>
      <c r="E225" s="42"/>
      <c r="F225" s="42"/>
      <c r="G225" s="11" t="s">
        <v>13</v>
      </c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292" t="s">
        <v>140</v>
      </c>
      <c r="C226" s="297">
        <f>R126</f>
        <v>151120240</v>
      </c>
      <c r="D226" s="293"/>
      <c r="E226" s="293"/>
      <c r="F226" s="293"/>
      <c r="G226" s="292">
        <f t="shared" ref="G226:G228" si="20">C226</f>
        <v>151120240</v>
      </c>
      <c r="H226" s="3" t="s">
        <v>214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7.25" customHeight="1">
      <c r="A227" s="3"/>
      <c r="B227" s="292" t="s">
        <v>142</v>
      </c>
      <c r="C227" s="302">
        <f>R127</f>
        <v>186772440</v>
      </c>
      <c r="D227" s="295"/>
      <c r="E227" s="295"/>
      <c r="F227" s="295"/>
      <c r="G227" s="294">
        <f t="shared" si="20"/>
        <v>186772440</v>
      </c>
      <c r="H227" s="3" t="s">
        <v>451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303" t="s">
        <v>158</v>
      </c>
      <c r="C228" s="304">
        <v>12743500</v>
      </c>
      <c r="D228" s="305"/>
      <c r="E228" s="305"/>
      <c r="F228" s="305"/>
      <c r="G228" s="306">
        <f t="shared" si="20"/>
        <v>12743500</v>
      </c>
      <c r="H228" s="220" t="s">
        <v>215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363</v>
      </c>
      <c r="C229" s="230">
        <v>0</v>
      </c>
      <c r="D229" s="291"/>
      <c r="E229" s="291"/>
      <c r="F229" s="291"/>
      <c r="G229" s="211">
        <f t="shared" ref="G229:G230" si="21">C229</f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364</v>
      </c>
      <c r="C230" s="31">
        <v>0</v>
      </c>
      <c r="D230" s="27"/>
      <c r="E230" s="27"/>
      <c r="F230" s="27"/>
      <c r="G230" s="11">
        <f t="shared" si="21"/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5" t="s">
        <v>22</v>
      </c>
      <c r="C231" s="18"/>
      <c r="D231" s="18"/>
      <c r="E231" s="18"/>
      <c r="F231" s="29"/>
      <c r="G231" s="11">
        <f>SUM(G226:G230)</f>
        <v>350636180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242"/>
      <c r="C232" s="242"/>
      <c r="D232" s="242"/>
      <c r="E232" s="242"/>
      <c r="F232" s="242"/>
      <c r="G232" s="242"/>
      <c r="H232" s="3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 t="s">
        <v>105</v>
      </c>
      <c r="C233" s="3"/>
      <c r="D233" s="3"/>
      <c r="E233" s="3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" customHeight="1">
      <c r="A234" s="3"/>
      <c r="B234" s="11" t="s">
        <v>8</v>
      </c>
      <c r="C234" s="11" t="s">
        <v>28</v>
      </c>
      <c r="D234" s="11"/>
      <c r="E234" s="11"/>
      <c r="F234" s="11"/>
      <c r="G234" s="11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7.25" customHeight="1">
      <c r="A235" s="3"/>
      <c r="B235" s="11" t="s">
        <v>108</v>
      </c>
      <c r="C235" s="11">
        <v>18480000</v>
      </c>
      <c r="D235" s="11"/>
      <c r="E235" s="11"/>
      <c r="F235" s="11"/>
      <c r="G235" s="11">
        <v>0</v>
      </c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11" t="s">
        <v>113</v>
      </c>
      <c r="C236" s="11">
        <v>21120000</v>
      </c>
      <c r="D236" s="11"/>
      <c r="E236" s="11"/>
      <c r="F236" s="11"/>
      <c r="G236" s="11">
        <v>0</v>
      </c>
      <c r="H236" s="8">
        <v>0</v>
      </c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500" t="s">
        <v>22</v>
      </c>
      <c r="C237" s="495"/>
      <c r="D237" s="495"/>
      <c r="E237" s="495"/>
      <c r="F237" s="496"/>
      <c r="G237" s="11">
        <f>SUM(G235,G236)</f>
        <v>0</v>
      </c>
      <c r="H237" s="8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3"/>
      <c r="B238" s="3"/>
      <c r="C238" s="3"/>
      <c r="D238" s="3"/>
      <c r="E238" s="3"/>
      <c r="F238" s="3"/>
      <c r="G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3" t="s">
        <v>143</v>
      </c>
      <c r="C239" s="3"/>
      <c r="D239" s="3"/>
      <c r="E239" s="3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216" t="s">
        <v>8</v>
      </c>
      <c r="C240" s="217" t="s">
        <v>28</v>
      </c>
      <c r="D240" s="265"/>
      <c r="E240" s="265"/>
      <c r="F240" s="266"/>
      <c r="G240" s="216" t="s">
        <v>13</v>
      </c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527" t="s">
        <v>216</v>
      </c>
      <c r="C241" s="306" t="s">
        <v>437</v>
      </c>
      <c r="D241" s="306"/>
      <c r="E241" s="306">
        <v>1</v>
      </c>
      <c r="F241" s="306">
        <v>290000</v>
      </c>
      <c r="G241" s="306">
        <f t="shared" ref="G241:G253" si="22">E241*F241</f>
        <v>290000</v>
      </c>
      <c r="H241" s="220" t="s">
        <v>220</v>
      </c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528"/>
      <c r="C242" s="306" t="s">
        <v>438</v>
      </c>
      <c r="D242" s="306"/>
      <c r="E242" s="306">
        <v>1</v>
      </c>
      <c r="F242" s="306">
        <v>290000</v>
      </c>
      <c r="G242" s="306">
        <f t="shared" si="22"/>
        <v>290000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28"/>
      <c r="C243" s="306" t="s">
        <v>439</v>
      </c>
      <c r="D243" s="306"/>
      <c r="E243" s="306">
        <v>1</v>
      </c>
      <c r="F243" s="306">
        <v>210000</v>
      </c>
      <c r="G243" s="306">
        <f t="shared" si="22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29"/>
      <c r="C244" s="306" t="s">
        <v>440</v>
      </c>
      <c r="D244" s="306"/>
      <c r="E244" s="306">
        <v>1</v>
      </c>
      <c r="F244" s="306">
        <v>210000</v>
      </c>
      <c r="G244" s="306">
        <f t="shared" si="22"/>
        <v>210000</v>
      </c>
      <c r="H244" s="220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24" t="s">
        <v>430</v>
      </c>
      <c r="C245" s="308" t="s">
        <v>431</v>
      </c>
      <c r="D245" s="308"/>
      <c r="E245" s="308">
        <v>1</v>
      </c>
      <c r="F245" s="308">
        <v>540000</v>
      </c>
      <c r="G245" s="308">
        <f t="shared" si="22"/>
        <v>540000</v>
      </c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25"/>
      <c r="C246" s="292" t="s">
        <v>432</v>
      </c>
      <c r="D246" s="292"/>
      <c r="E246" s="292">
        <v>1</v>
      </c>
      <c r="F246" s="292">
        <v>540000</v>
      </c>
      <c r="G246" s="292">
        <f t="shared" si="22"/>
        <v>540000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25"/>
      <c r="C247" s="292" t="s">
        <v>433</v>
      </c>
      <c r="D247" s="292"/>
      <c r="E247" s="292">
        <v>1</v>
      </c>
      <c r="F247" s="292">
        <v>1260000</v>
      </c>
      <c r="G247" s="292">
        <f t="shared" si="22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26"/>
      <c r="C248" s="292" t="s">
        <v>436</v>
      </c>
      <c r="D248" s="292"/>
      <c r="E248" s="292">
        <v>1</v>
      </c>
      <c r="F248" s="292">
        <v>1260000</v>
      </c>
      <c r="G248" s="292">
        <f t="shared" si="22"/>
        <v>1260000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308" t="s">
        <v>434</v>
      </c>
      <c r="C249" s="292" t="s">
        <v>435</v>
      </c>
      <c r="D249" s="292"/>
      <c r="E249" s="292">
        <v>1</v>
      </c>
      <c r="F249" s="292">
        <v>2700000</v>
      </c>
      <c r="G249" s="292">
        <f t="shared" si="22"/>
        <v>2700000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501" t="s">
        <v>511</v>
      </c>
      <c r="C250" s="11"/>
      <c r="D250" s="11"/>
      <c r="E250" s="643">
        <v>24</v>
      </c>
      <c r="F250" s="643">
        <v>30000</v>
      </c>
      <c r="G250" s="643">
        <f t="shared" si="22"/>
        <v>720000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14"/>
      <c r="C251" s="11"/>
      <c r="D251" s="11"/>
      <c r="E251" s="317">
        <v>105</v>
      </c>
      <c r="F251" s="317">
        <v>30000</v>
      </c>
      <c r="G251" s="317">
        <f t="shared" si="22"/>
        <v>3150000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14"/>
      <c r="C252" s="11"/>
      <c r="D252" s="11"/>
      <c r="E252" s="643">
        <v>50</v>
      </c>
      <c r="F252" s="643">
        <v>30000</v>
      </c>
      <c r="G252" s="643">
        <f t="shared" si="22"/>
        <v>1500000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14"/>
      <c r="C253" s="11"/>
      <c r="D253" s="11"/>
      <c r="E253" s="643">
        <v>200</v>
      </c>
      <c r="F253" s="643">
        <v>30000</v>
      </c>
      <c r="G253" s="643">
        <f t="shared" si="22"/>
        <v>6000000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02"/>
      <c r="C254" s="11"/>
      <c r="D254" s="11"/>
      <c r="E254" s="643"/>
      <c r="F254" s="643"/>
      <c r="G254" s="643"/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01" t="s">
        <v>527</v>
      </c>
      <c r="C255" s="11"/>
      <c r="D255" s="11"/>
      <c r="E255" s="643">
        <v>1</v>
      </c>
      <c r="F255" s="643">
        <v>370000</v>
      </c>
      <c r="G255" s="643">
        <f t="shared" ref="G255:G257" si="23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02"/>
      <c r="C256" s="11"/>
      <c r="D256" s="11"/>
      <c r="E256" s="643">
        <v>1</v>
      </c>
      <c r="F256" s="643">
        <v>370000</v>
      </c>
      <c r="G256" s="643">
        <f t="shared" ref="G256" si="24">E256*F256</f>
        <v>370000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11" t="s">
        <v>528</v>
      </c>
      <c r="C257" s="11"/>
      <c r="D257" s="11"/>
      <c r="E257" s="643">
        <v>1</v>
      </c>
      <c r="F257" s="643">
        <v>2220000</v>
      </c>
      <c r="G257" s="643">
        <f t="shared" si="23"/>
        <v>2220000</v>
      </c>
      <c r="H257" s="3"/>
      <c r="I257" s="2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11" t="s">
        <v>22</v>
      </c>
      <c r="C258" s="11"/>
      <c r="D258" s="11"/>
      <c r="E258" s="11"/>
      <c r="F258" s="11"/>
      <c r="G258" s="11">
        <f>SUM(G241:G257)</f>
        <v>21630000</v>
      </c>
      <c r="H258" s="3"/>
      <c r="I258" s="4"/>
      <c r="J258" s="512"/>
      <c r="K258" s="510"/>
      <c r="L258" s="510"/>
      <c r="M258" s="510"/>
      <c r="N258" s="510"/>
      <c r="O258" s="510"/>
      <c r="P258" s="510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23"/>
      <c r="C259" s="23"/>
      <c r="D259" s="23"/>
      <c r="E259" s="23"/>
      <c r="F259" s="23"/>
      <c r="G259" s="3"/>
      <c r="H259" s="3"/>
      <c r="I259" s="4"/>
      <c r="J259" s="510"/>
      <c r="K259" s="510"/>
      <c r="L259" s="510"/>
      <c r="M259" s="510"/>
      <c r="N259" s="510"/>
      <c r="O259" s="510"/>
      <c r="P259" s="510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 t="s">
        <v>221</v>
      </c>
      <c r="C261" s="3">
        <f>C2*0.05</f>
        <v>155600000</v>
      </c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23"/>
      <c r="L263" s="2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2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2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23"/>
      <c r="D274" s="23"/>
      <c r="E274" s="23"/>
      <c r="F274" s="2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23"/>
      <c r="C277" s="23"/>
      <c r="D277" s="23"/>
      <c r="E277" s="23"/>
      <c r="F277" s="2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2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7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</sheetData>
  <mergeCells count="85">
    <mergeCell ref="B255:B256"/>
    <mergeCell ref="B250:B254"/>
    <mergeCell ref="B120:B125"/>
    <mergeCell ref="B80:B81"/>
    <mergeCell ref="B245:B248"/>
    <mergeCell ref="B241:B244"/>
    <mergeCell ref="B190:B196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8:P259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7:F237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120" activePane="bottomLeft" state="frozen"/>
      <selection pane="bottomLeft" activeCell="E147" sqref="E147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51" t="s">
        <v>273</v>
      </c>
      <c r="B1" s="520"/>
      <c r="C1" s="520"/>
      <c r="D1" s="520"/>
      <c r="E1" s="520"/>
      <c r="F1" s="520"/>
      <c r="G1" s="520"/>
      <c r="H1" s="520"/>
      <c r="I1" s="520"/>
      <c r="J1" s="520"/>
      <c r="K1" s="520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224</v>
      </c>
      <c r="AE1" s="246" t="s">
        <v>225</v>
      </c>
      <c r="AF1" s="246" t="s">
        <v>226</v>
      </c>
      <c r="AG1" s="246" t="s">
        <v>227</v>
      </c>
      <c r="AH1" s="246" t="s">
        <v>228</v>
      </c>
      <c r="AI1" s="246" t="s">
        <v>229</v>
      </c>
      <c r="AJ1" s="246" t="s">
        <v>230</v>
      </c>
      <c r="AK1" s="246" t="s">
        <v>231</v>
      </c>
      <c r="AL1" s="246" t="s">
        <v>232</v>
      </c>
      <c r="AM1" s="246" t="s">
        <v>233</v>
      </c>
      <c r="AN1" s="246" t="s">
        <v>234</v>
      </c>
      <c r="AO1" s="246" t="s">
        <v>235</v>
      </c>
      <c r="AP1" s="246" t="s">
        <v>236</v>
      </c>
      <c r="AQ1" s="246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4" t="s">
        <v>7</v>
      </c>
      <c r="Q2" s="496"/>
      <c r="R2" s="534" t="s">
        <v>240</v>
      </c>
      <c r="S2" s="496"/>
      <c r="T2" s="534" t="s">
        <v>31</v>
      </c>
      <c r="U2" s="496"/>
      <c r="V2" s="534" t="s">
        <v>72</v>
      </c>
      <c r="W2" s="496"/>
      <c r="X2" s="534" t="s">
        <v>84</v>
      </c>
      <c r="Y2" s="496"/>
      <c r="Z2" s="534" t="s">
        <v>241</v>
      </c>
      <c r="AA2" s="496"/>
      <c r="AD2" s="247">
        <f>SUMIF($G4:$G187, AD1, $H4:$H187)</f>
        <v>14600000</v>
      </c>
      <c r="AE2" s="247">
        <f>SUMIF($G4:$G187, AE1, $H4:$H187)</f>
        <v>17381628</v>
      </c>
      <c r="AF2" s="247">
        <f>SUMIF($G4:$G187, AF1, $H4:$H187)</f>
        <v>75237443</v>
      </c>
      <c r="AG2" s="247">
        <f>SUMIF($G4:$G187, AG1, $H4:$H187)</f>
        <v>31124560</v>
      </c>
      <c r="AH2" s="247">
        <f>SUMIF($G4:$G187, AH1, $H4:$H187)</f>
        <v>425800124.92500001</v>
      </c>
      <c r="AI2" s="247">
        <f>SUMIF($G4:$G187, AI1, $H4:$H187)</f>
        <v>32766221.925000001</v>
      </c>
      <c r="AJ2" s="247">
        <f>SUMIF($G4:$G187, AJ1, $H4:$H187)</f>
        <v>254763523.92500001</v>
      </c>
      <c r="AK2" s="247">
        <f>SUMIF($G4:$G187, AK1, $H4:$H187)</f>
        <v>228006017.92500001</v>
      </c>
      <c r="AL2" s="247">
        <f>SUMIF($G4:$G187, AL1, $H4:$H187)</f>
        <v>790548154.92499995</v>
      </c>
      <c r="AM2" s="247">
        <f>SUMIF($G4:$G187, AM1, $H4:$H187)</f>
        <v>43170083.924999997</v>
      </c>
      <c r="AN2" s="247">
        <f>SUMIF($G4:$G187, AN1, $H4:$H187)</f>
        <v>498365083.92500001</v>
      </c>
      <c r="AO2" s="247">
        <f>SUMIF($G4:$G187, AO1, $H4:$H187)</f>
        <v>433673083.92500001</v>
      </c>
      <c r="AP2" s="247">
        <f>SUM(AD2:AO2)</f>
        <v>2845435926.4000001</v>
      </c>
      <c r="AQ2" s="248">
        <f>$A$2-$AP$2</f>
        <v>110964073.5999999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48" t="s">
        <v>244</v>
      </c>
      <c r="E3" s="549"/>
      <c r="F3" s="550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H197</f>
        <v>1149270289</v>
      </c>
      <c r="Y3" s="81">
        <f>K197</f>
        <v>0.99729181802983857</v>
      </c>
      <c r="Z3" s="82">
        <f>H198</f>
        <v>2875331937.4000001</v>
      </c>
      <c r="AA3" s="83">
        <f>K198</f>
        <v>0.98737850646578307</v>
      </c>
      <c r="AD3" s="249">
        <f>AD2/$A$2</f>
        <v>4.9384386415911247E-3</v>
      </c>
      <c r="AE3" s="249">
        <f t="shared" ref="AE3:AO3" si="0">AE2/$A$2+AD3</f>
        <v>1.0817760790150184E-2</v>
      </c>
      <c r="AF3" s="249">
        <f t="shared" si="0"/>
        <v>3.6266767352185092E-2</v>
      </c>
      <c r="AG3" s="249">
        <f t="shared" si="0"/>
        <v>4.6794625558111216E-2</v>
      </c>
      <c r="AH3" s="249">
        <f t="shared" si="0"/>
        <v>0.1908211865529022</v>
      </c>
      <c r="AI3" s="249">
        <f t="shared" si="0"/>
        <v>0.20190433562779059</v>
      </c>
      <c r="AJ3" s="249">
        <f t="shared" si="0"/>
        <v>0.28807789939622519</v>
      </c>
      <c r="AK3" s="249">
        <f t="shared" si="0"/>
        <v>0.36520075757678261</v>
      </c>
      <c r="AL3" s="249">
        <f t="shared" si="0"/>
        <v>0.63260305595487765</v>
      </c>
      <c r="AM3" s="249">
        <f t="shared" si="0"/>
        <v>0.64720530325734005</v>
      </c>
      <c r="AN3" s="249">
        <f t="shared" si="0"/>
        <v>0.81577690518028689</v>
      </c>
      <c r="AO3" s="249">
        <f t="shared" si="0"/>
        <v>0.96246648843187665</v>
      </c>
      <c r="AP3" s="249">
        <f t="shared" ref="AP3:AQ3" si="1">AP2/$A$2</f>
        <v>0.96246648843187665</v>
      </c>
      <c r="AQ3" s="249">
        <f t="shared" si="1"/>
        <v>3.7533511568123359E-2</v>
      </c>
    </row>
    <row r="4" spans="1:43" ht="16.5" customHeight="1">
      <c r="A4" s="558" t="s">
        <v>7</v>
      </c>
      <c r="B4" s="552" t="s">
        <v>251</v>
      </c>
      <c r="C4" s="555">
        <f>예산!G14</f>
        <v>121138758.40000001</v>
      </c>
      <c r="D4" s="85" t="s">
        <v>15</v>
      </c>
      <c r="E4" s="545">
        <f>예산!G7</f>
        <v>5871208</v>
      </c>
      <c r="F4" s="496"/>
      <c r="G4" s="85" t="s">
        <v>225</v>
      </c>
      <c r="H4" s="86">
        <f>1192128+예산!E8</f>
        <v>2781628</v>
      </c>
      <c r="I4" s="87">
        <v>45776</v>
      </c>
      <c r="J4" s="85"/>
      <c r="K4" s="536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92"/>
      <c r="B5" s="492"/>
      <c r="C5" s="492"/>
      <c r="D5" s="236" t="s">
        <v>19</v>
      </c>
      <c r="E5" s="546">
        <f>예산!G8</f>
        <v>4768500</v>
      </c>
      <c r="F5" s="547"/>
      <c r="G5" s="85" t="s">
        <v>226</v>
      </c>
      <c r="H5" s="86">
        <f>예산!E7+예산!E8</f>
        <v>3405260</v>
      </c>
      <c r="I5" s="87"/>
      <c r="J5" s="85"/>
      <c r="K5" s="492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92"/>
      <c r="B6" s="492"/>
      <c r="C6" s="490"/>
      <c r="D6" s="238" t="s">
        <v>354</v>
      </c>
      <c r="E6" s="546">
        <f>예산!G9</f>
        <v>19608863.399999999</v>
      </c>
      <c r="F6" s="547"/>
      <c r="G6" s="235" t="s">
        <v>227</v>
      </c>
      <c r="H6" s="86">
        <f>SUM(예산!$E$7:$E$8)</f>
        <v>3405260</v>
      </c>
      <c r="I6" s="87"/>
      <c r="J6" s="85"/>
      <c r="K6" s="492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92"/>
      <c r="B7" s="492"/>
      <c r="C7" s="490"/>
      <c r="D7" s="237" t="s">
        <v>332</v>
      </c>
      <c r="E7" s="535">
        <f>예산!G10</f>
        <v>37350216</v>
      </c>
      <c r="F7" s="518"/>
      <c r="G7" s="235" t="s">
        <v>228</v>
      </c>
      <c r="H7" s="86">
        <f>SUM(예산!$E$9:$E$10)</f>
        <v>7119884.9249999998</v>
      </c>
      <c r="I7" s="87"/>
      <c r="J7" s="85"/>
      <c r="K7" s="492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2">SUMIF($G$69:$G$113, AD$6, $H$69:$H$113)</f>
        <v>0</v>
      </c>
      <c r="AE7" s="70">
        <f t="shared" si="2"/>
        <v>0</v>
      </c>
      <c r="AF7" s="70">
        <f t="shared" si="2"/>
        <v>6500000</v>
      </c>
      <c r="AG7" s="70">
        <f t="shared" si="2"/>
        <v>1000000</v>
      </c>
      <c r="AH7" s="70">
        <f t="shared" si="2"/>
        <v>207800000</v>
      </c>
      <c r="AI7" s="70">
        <f t="shared" si="2"/>
        <v>0</v>
      </c>
      <c r="AJ7" s="70">
        <f t="shared" si="2"/>
        <v>2000000</v>
      </c>
      <c r="AK7" s="70">
        <f t="shared" si="2"/>
        <v>113838000</v>
      </c>
      <c r="AL7" s="70">
        <f t="shared" si="2"/>
        <v>18700000</v>
      </c>
      <c r="AM7" s="70">
        <f t="shared" si="2"/>
        <v>6000000</v>
      </c>
      <c r="AN7" s="70">
        <f t="shared" si="2"/>
        <v>6000000</v>
      </c>
      <c r="AO7" s="70">
        <f t="shared" si="2"/>
        <v>310000000</v>
      </c>
      <c r="AP7" s="70">
        <f>SUM(AD7:AO7)</f>
        <v>671838000</v>
      </c>
    </row>
    <row r="8" spans="1:43" ht="16.5" customHeight="1">
      <c r="A8" s="492"/>
      <c r="B8" s="492"/>
      <c r="C8" s="490"/>
      <c r="D8" s="237" t="s">
        <v>382</v>
      </c>
      <c r="E8" s="543">
        <f>예산!G11</f>
        <v>32681439</v>
      </c>
      <c r="F8" s="544"/>
      <c r="G8" s="235" t="s">
        <v>229</v>
      </c>
      <c r="H8" s="86">
        <f>SUM(예산!$E$9:$E$11)+1047560</f>
        <v>12836221.925000001</v>
      </c>
      <c r="I8" s="87"/>
      <c r="J8" s="85"/>
      <c r="K8" s="492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3">SUMIF($G$69:$G$113, AE$6, $H$69:$H$113)+AD8</f>
        <v>0</v>
      </c>
      <c r="AF8" s="70">
        <f t="shared" si="3"/>
        <v>6500000</v>
      </c>
      <c r="AG8" s="70">
        <f t="shared" si="3"/>
        <v>7500000</v>
      </c>
      <c r="AH8" s="70">
        <f t="shared" si="3"/>
        <v>215300000</v>
      </c>
      <c r="AI8" s="70">
        <f t="shared" si="3"/>
        <v>215300000</v>
      </c>
      <c r="AJ8" s="70">
        <f t="shared" si="3"/>
        <v>217300000</v>
      </c>
      <c r="AK8" s="70">
        <f t="shared" si="3"/>
        <v>331138000</v>
      </c>
      <c r="AL8" s="70">
        <f t="shared" si="3"/>
        <v>349838000</v>
      </c>
      <c r="AM8" s="70">
        <f t="shared" si="3"/>
        <v>355838000</v>
      </c>
      <c r="AN8" s="70">
        <f t="shared" si="3"/>
        <v>361838000</v>
      </c>
      <c r="AO8" s="70">
        <f t="shared" si="3"/>
        <v>671838000</v>
      </c>
      <c r="AP8" s="70"/>
    </row>
    <row r="9" spans="1:43" ht="16.5" customHeight="1">
      <c r="A9" s="492"/>
      <c r="B9" s="492"/>
      <c r="C9" s="492"/>
      <c r="D9" s="237" t="s">
        <v>408</v>
      </c>
      <c r="E9" s="543">
        <f>예산!G12</f>
        <v>20858532</v>
      </c>
      <c r="F9" s="544"/>
      <c r="G9" s="85" t="s">
        <v>230</v>
      </c>
      <c r="H9" s="86">
        <f>SUM(예산!$E$9:$E$12)</f>
        <v>15265083.925000001</v>
      </c>
      <c r="I9" s="87"/>
      <c r="J9" s="85"/>
      <c r="K9" s="492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4">AE7/$E$114+AD9</f>
        <v>0</v>
      </c>
      <c r="AF9" s="84">
        <f t="shared" si="4"/>
        <v>9.5168374816983897E-3</v>
      </c>
      <c r="AG9" s="84">
        <f t="shared" si="4"/>
        <v>1.0980966325036604E-2</v>
      </c>
      <c r="AH9" s="84">
        <f t="shared" si="4"/>
        <v>0.31522693997071743</v>
      </c>
      <c r="AI9" s="84">
        <f t="shared" si="4"/>
        <v>0.31522693997071743</v>
      </c>
      <c r="AJ9" s="84">
        <f t="shared" si="4"/>
        <v>0.31815519765739386</v>
      </c>
      <c r="AK9" s="84">
        <f t="shared" si="4"/>
        <v>0.48482869692532943</v>
      </c>
      <c r="AL9" s="84">
        <f t="shared" si="4"/>
        <v>0.51220790629575408</v>
      </c>
      <c r="AM9" s="84">
        <f t="shared" si="4"/>
        <v>0.52099267935578331</v>
      </c>
      <c r="AN9" s="84">
        <f t="shared" si="4"/>
        <v>0.52977745241581253</v>
      </c>
      <c r="AO9" s="84">
        <f t="shared" si="4"/>
        <v>0.98365739385065876</v>
      </c>
      <c r="AP9" s="84">
        <f>AP7/$A$2</f>
        <v>0.22724868082803409</v>
      </c>
    </row>
    <row r="10" spans="1:43" ht="16.5" customHeight="1">
      <c r="A10" s="492"/>
      <c r="B10" s="492"/>
      <c r="C10" s="492"/>
      <c r="D10" s="537"/>
      <c r="E10" s="538"/>
      <c r="F10" s="539"/>
      <c r="G10" s="85" t="s">
        <v>231</v>
      </c>
      <c r="H10" s="86">
        <f>SUM(예산!$E$9:$E$12)</f>
        <v>15265083.925000001</v>
      </c>
      <c r="I10" s="87"/>
      <c r="J10" s="85"/>
      <c r="K10" s="492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92"/>
      <c r="B11" s="492"/>
      <c r="C11" s="492"/>
      <c r="D11" s="537"/>
      <c r="E11" s="538"/>
      <c r="F11" s="539"/>
      <c r="G11" s="85" t="s">
        <v>232</v>
      </c>
      <c r="H11" s="86">
        <f>SUM(예산!$E$9:$E$12)</f>
        <v>15265083.925000001</v>
      </c>
      <c r="I11" s="87"/>
      <c r="J11" s="85"/>
      <c r="K11" s="492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92"/>
      <c r="B12" s="492"/>
      <c r="C12" s="492"/>
      <c r="D12" s="537"/>
      <c r="E12" s="538"/>
      <c r="F12" s="539"/>
      <c r="G12" s="85" t="s">
        <v>233</v>
      </c>
      <c r="H12" s="86">
        <f>SUM(예산!$E$9:$E$12)</f>
        <v>15265083.925000001</v>
      </c>
      <c r="I12" s="87"/>
      <c r="J12" s="85"/>
      <c r="K12" s="492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92"/>
      <c r="B13" s="492"/>
      <c r="C13" s="492"/>
      <c r="D13" s="537"/>
      <c r="E13" s="538"/>
      <c r="F13" s="539"/>
      <c r="G13" s="85" t="s">
        <v>234</v>
      </c>
      <c r="H13" s="86">
        <f>SUM(예산!$E$9:$E$12)</f>
        <v>15265083.925000001</v>
      </c>
      <c r="I13" s="87"/>
      <c r="J13" s="85"/>
      <c r="K13" s="492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92"/>
      <c r="B14" s="493"/>
      <c r="C14" s="493"/>
      <c r="D14" s="540"/>
      <c r="E14" s="541"/>
      <c r="F14" s="542"/>
      <c r="G14" s="85" t="s">
        <v>235</v>
      </c>
      <c r="H14" s="86">
        <f>SUM(예산!$E$9:$E$12)</f>
        <v>15265083.925000001</v>
      </c>
      <c r="I14" s="87"/>
      <c r="J14" s="85"/>
      <c r="K14" s="493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92"/>
      <c r="B15" s="556" t="s">
        <v>21</v>
      </c>
      <c r="C15" s="495"/>
      <c r="D15" s="496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92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93"/>
      <c r="B17" s="556" t="s">
        <v>21</v>
      </c>
      <c r="C17" s="495"/>
      <c r="D17" s="496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57" t="s">
        <v>253</v>
      </c>
      <c r="B18" s="495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54"/>
      <c r="J18" s="496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58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5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92"/>
      <c r="B20" s="85"/>
      <c r="C20" s="103"/>
      <c r="D20" s="85"/>
      <c r="E20" s="86"/>
      <c r="F20" s="85"/>
      <c r="G20" s="85" t="s">
        <v>225</v>
      </c>
      <c r="H20" s="104">
        <f t="shared" si="5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92"/>
      <c r="B21" s="85"/>
      <c r="C21" s="92"/>
      <c r="D21" s="85"/>
      <c r="E21" s="86"/>
      <c r="F21" s="85"/>
      <c r="G21" s="85" t="s">
        <v>226</v>
      </c>
      <c r="H21" s="104">
        <f t="shared" si="5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92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92"/>
      <c r="B23" s="85"/>
      <c r="C23" s="92"/>
      <c r="D23" s="85"/>
      <c r="E23" s="86"/>
      <c r="F23" s="85"/>
      <c r="G23" s="85" t="s">
        <v>228</v>
      </c>
      <c r="H23" s="104">
        <f t="shared" ref="H23:H24" si="6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92"/>
      <c r="B24" s="85"/>
      <c r="C24" s="92"/>
      <c r="D24" s="85"/>
      <c r="E24" s="86"/>
      <c r="F24" s="85"/>
      <c r="G24" s="85" t="s">
        <v>229</v>
      </c>
      <c r="H24" s="104">
        <f t="shared" si="6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92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92"/>
      <c r="B26" s="85"/>
      <c r="C26" s="92"/>
      <c r="D26" s="85"/>
      <c r="E26" s="86"/>
      <c r="F26" s="85"/>
      <c r="G26" s="85" t="s">
        <v>231</v>
      </c>
      <c r="H26" s="104">
        <f t="shared" ref="H26:H28" si="7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92"/>
      <c r="B27" s="85"/>
      <c r="C27" s="92"/>
      <c r="D27" s="85"/>
      <c r="E27" s="86"/>
      <c r="F27" s="85"/>
      <c r="G27" s="85" t="s">
        <v>232</v>
      </c>
      <c r="H27" s="104">
        <f t="shared" si="7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92"/>
      <c r="B28" s="85"/>
      <c r="C28" s="92"/>
      <c r="D28" s="85"/>
      <c r="E28" s="86"/>
      <c r="F28" s="85"/>
      <c r="G28" s="85" t="s">
        <v>233</v>
      </c>
      <c r="H28" s="104">
        <f t="shared" si="7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92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93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57" t="s">
        <v>254</v>
      </c>
      <c r="B31" s="495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54"/>
      <c r="J31" s="496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59" t="s">
        <v>31</v>
      </c>
      <c r="B32" s="552" t="s">
        <v>255</v>
      </c>
      <c r="C32" s="11" t="s">
        <v>46</v>
      </c>
      <c r="D32" s="85" t="s">
        <v>481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60"/>
      <c r="B33" s="553"/>
      <c r="C33" s="11"/>
      <c r="D33" s="85" t="s">
        <v>482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60"/>
      <c r="B34" s="492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8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60"/>
      <c r="B35" s="492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8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60"/>
      <c r="B36" s="492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8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60"/>
      <c r="B37" s="505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8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60"/>
      <c r="B38" s="505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8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60"/>
      <c r="B39" s="505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8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60"/>
      <c r="B40" s="505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8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60"/>
      <c r="B41" s="493"/>
      <c r="C41" s="244" t="s">
        <v>377</v>
      </c>
      <c r="D41" s="85"/>
      <c r="E41" s="86">
        <v>8030000</v>
      </c>
      <c r="F41" s="85"/>
      <c r="G41" s="85" t="s">
        <v>398</v>
      </c>
      <c r="H41" s="104">
        <f t="shared" si="8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60"/>
      <c r="B42" s="556" t="s">
        <v>21</v>
      </c>
      <c r="C42" s="495"/>
      <c r="D42" s="496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60"/>
      <c r="B43" s="552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60"/>
      <c r="B44" s="492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60"/>
      <c r="B45" s="493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9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60"/>
      <c r="B46" s="569" t="s">
        <v>21</v>
      </c>
      <c r="C46" s="570"/>
      <c r="D46" s="547"/>
      <c r="E46" s="95"/>
      <c r="F46" s="278"/>
      <c r="G46" s="278"/>
      <c r="H46" s="95">
        <f>SUM(H43:H45)</f>
        <v>2000000</v>
      </c>
      <c r="I46" s="279"/>
      <c r="J46" s="278"/>
      <c r="K46" s="280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61"/>
      <c r="B47" s="281" t="s">
        <v>443</v>
      </c>
      <c r="C47" s="284" t="s">
        <v>442</v>
      </c>
      <c r="D47" s="267"/>
      <c r="E47" s="264">
        <v>150000</v>
      </c>
      <c r="F47" s="237"/>
      <c r="G47" s="237" t="s">
        <v>380</v>
      </c>
      <c r="H47" s="264">
        <v>150000</v>
      </c>
      <c r="I47" s="282"/>
      <c r="J47" s="237"/>
      <c r="K47" s="28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57" t="s">
        <v>256</v>
      </c>
      <c r="B48" s="498"/>
      <c r="C48" s="271">
        <f>예산!G66</f>
        <v>1250357390</v>
      </c>
      <c r="D48" s="272"/>
      <c r="E48" s="273"/>
      <c r="F48" s="274"/>
      <c r="G48" s="275"/>
      <c r="H48" s="276">
        <f>H42+H46+H47</f>
        <v>1251687390</v>
      </c>
      <c r="I48" s="568"/>
      <c r="J48" s="499"/>
      <c r="K48" s="277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59" t="s">
        <v>72</v>
      </c>
      <c r="B49" s="552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60"/>
      <c r="B50" s="492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60"/>
      <c r="B51" s="492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60"/>
      <c r="B52" s="493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60"/>
      <c r="B53" s="571" t="s">
        <v>261</v>
      </c>
      <c r="C53" s="563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60"/>
      <c r="B54" s="572"/>
      <c r="C54" s="565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60"/>
      <c r="B55" s="572"/>
      <c r="C55" s="574" t="s">
        <v>139</v>
      </c>
      <c r="D55" s="577" t="s">
        <v>487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60"/>
      <c r="B56" s="572"/>
      <c r="C56" s="575"/>
      <c r="D56" s="578"/>
      <c r="E56" s="86"/>
      <c r="F56" s="85"/>
      <c r="G56" s="253"/>
      <c r="H56" s="86">
        <f>예산!$G110</f>
        <v>1531200</v>
      </c>
      <c r="I56" s="328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60"/>
      <c r="B57" s="572"/>
      <c r="C57" s="575"/>
      <c r="D57" s="578"/>
      <c r="E57" s="86"/>
      <c r="F57" s="85"/>
      <c r="G57" s="253"/>
      <c r="H57" s="86">
        <f>예산!$G111</f>
        <v>935000</v>
      </c>
      <c r="I57" s="328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60"/>
      <c r="B58" s="572"/>
      <c r="C58" s="575"/>
      <c r="D58" s="579"/>
      <c r="E58" s="86"/>
      <c r="F58" s="85"/>
      <c r="G58" s="253"/>
      <c r="H58" s="86">
        <f>예산!$G112</f>
        <v>1873300</v>
      </c>
      <c r="I58" s="328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60"/>
      <c r="B59" s="572"/>
      <c r="C59" s="575"/>
      <c r="D59" s="577" t="s">
        <v>488</v>
      </c>
      <c r="E59" s="86"/>
      <c r="F59" s="85"/>
      <c r="G59" s="253"/>
      <c r="H59" s="86">
        <f>예산!$G113</f>
        <v>0</v>
      </c>
      <c r="I59" s="328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60"/>
      <c r="B60" s="572"/>
      <c r="C60" s="575"/>
      <c r="D60" s="578"/>
      <c r="E60" s="86"/>
      <c r="F60" s="85"/>
      <c r="G60" s="253"/>
      <c r="H60" s="86">
        <f>예산!$G114</f>
        <v>4664000</v>
      </c>
      <c r="I60" s="328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60"/>
      <c r="B61" s="572"/>
      <c r="C61" s="575"/>
      <c r="D61" s="578"/>
      <c r="E61" s="86"/>
      <c r="F61" s="85"/>
      <c r="G61" s="253"/>
      <c r="H61" s="86">
        <f>예산!$G116</f>
        <v>643500</v>
      </c>
      <c r="I61" s="328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60"/>
      <c r="B62" s="572"/>
      <c r="C62" s="575"/>
      <c r="D62" s="578"/>
      <c r="E62" s="86"/>
      <c r="F62" s="85"/>
      <c r="G62" s="253"/>
      <c r="H62" s="86">
        <f>예산!$G117</f>
        <v>1155000</v>
      </c>
      <c r="I62" s="328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60"/>
      <c r="B63" s="572"/>
      <c r="C63" s="575"/>
      <c r="D63" s="579"/>
      <c r="E63" s="86"/>
      <c r="F63" s="85"/>
      <c r="G63" s="253"/>
      <c r="H63" s="86">
        <f>예산!$G118</f>
        <v>1925000</v>
      </c>
      <c r="I63" s="328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60"/>
      <c r="B64" s="572"/>
      <c r="C64" s="575"/>
      <c r="D64" s="577" t="s">
        <v>489</v>
      </c>
      <c r="E64" s="86"/>
      <c r="F64" s="85"/>
      <c r="G64" s="253"/>
      <c r="H64" s="86">
        <f>예산!$G120</f>
        <v>964480</v>
      </c>
      <c r="I64" s="328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60"/>
      <c r="B65" s="572"/>
      <c r="C65" s="575"/>
      <c r="D65" s="578"/>
      <c r="E65" s="86"/>
      <c r="F65" s="85"/>
      <c r="G65" s="253"/>
      <c r="H65" s="86">
        <f>예산!$G121</f>
        <v>0</v>
      </c>
      <c r="I65" s="328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60"/>
      <c r="B66" s="572"/>
      <c r="C66" s="575"/>
      <c r="D66" s="578"/>
      <c r="E66" s="86"/>
      <c r="F66" s="85"/>
      <c r="G66" s="253"/>
      <c r="H66" s="86">
        <f>예산!$G122</f>
        <v>0</v>
      </c>
      <c r="I66" s="328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61"/>
      <c r="B67" s="573"/>
      <c r="C67" s="576"/>
      <c r="D67" s="579"/>
      <c r="E67" s="86"/>
      <c r="F67" s="85"/>
      <c r="G67" s="253"/>
      <c r="H67" s="86">
        <f>예산!$G123</f>
        <v>0</v>
      </c>
      <c r="I67" s="328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83" t="s">
        <v>263</v>
      </c>
      <c r="B68" s="584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85"/>
      <c r="J68" s="586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58" t="s">
        <v>84</v>
      </c>
      <c r="B69" s="562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92"/>
      <c r="B70" s="553"/>
      <c r="C70" s="563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0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92"/>
      <c r="B71" s="553"/>
      <c r="C71" s="564"/>
      <c r="D71" s="85" t="s">
        <v>394</v>
      </c>
      <c r="E71" s="86">
        <v>5000000</v>
      </c>
      <c r="F71" s="85"/>
      <c r="G71" s="85" t="s">
        <v>372</v>
      </c>
      <c r="H71" s="104">
        <f t="shared" si="10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92"/>
      <c r="B72" s="553"/>
      <c r="C72" s="564"/>
      <c r="D72" s="85" t="s">
        <v>371</v>
      </c>
      <c r="E72" s="86">
        <v>800000</v>
      </c>
      <c r="F72" s="85"/>
      <c r="G72" s="85" t="s">
        <v>372</v>
      </c>
      <c r="H72" s="104">
        <f t="shared" si="10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05"/>
      <c r="B73" s="553"/>
      <c r="C73" s="564"/>
      <c r="D73" s="85" t="s">
        <v>425</v>
      </c>
      <c r="E73" s="310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05"/>
      <c r="B74" s="553"/>
      <c r="C74" s="564"/>
      <c r="D74" s="85" t="s">
        <v>426</v>
      </c>
      <c r="E74" s="310">
        <v>2914000</v>
      </c>
      <c r="F74" s="85"/>
      <c r="G74" s="85" t="s">
        <v>373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05"/>
      <c r="B75" s="553"/>
      <c r="C75" s="564"/>
      <c r="D75" s="85" t="s">
        <v>424</v>
      </c>
      <c r="E75" s="310">
        <v>4500000</v>
      </c>
      <c r="F75" s="85"/>
      <c r="G75" s="85" t="s">
        <v>373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05"/>
      <c r="B76" s="553"/>
      <c r="C76" s="564"/>
      <c r="D76" s="236" t="s">
        <v>423</v>
      </c>
      <c r="E76" s="313">
        <v>6000000</v>
      </c>
      <c r="F76" s="236"/>
      <c r="G76" s="236" t="s">
        <v>379</v>
      </c>
      <c r="H76" s="315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05"/>
      <c r="B77" s="553"/>
      <c r="C77" s="566"/>
      <c r="D77" s="237" t="s">
        <v>383</v>
      </c>
      <c r="E77" s="319">
        <v>6000000</v>
      </c>
      <c r="F77" s="237"/>
      <c r="G77" s="237" t="s">
        <v>378</v>
      </c>
      <c r="H77" s="264">
        <f>E77</f>
        <v>6000000</v>
      </c>
      <c r="I77" s="256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05"/>
      <c r="B78" s="553"/>
      <c r="C78" s="567"/>
      <c r="D78" s="262"/>
      <c r="E78" s="262"/>
      <c r="F78" s="262"/>
      <c r="G78" s="262"/>
      <c r="H78" s="262"/>
      <c r="I78" s="256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05"/>
      <c r="B79" s="553"/>
      <c r="C79" s="563" t="s">
        <v>381</v>
      </c>
      <c r="D79" s="316" t="s">
        <v>383</v>
      </c>
      <c r="E79" s="245">
        <v>3300000</v>
      </c>
      <c r="F79" s="316"/>
      <c r="G79" s="316" t="s">
        <v>372</v>
      </c>
      <c r="H79" s="245">
        <f t="shared" si="10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05"/>
      <c r="B80" s="553"/>
      <c r="C80" s="564"/>
      <c r="D80" s="85" t="s">
        <v>367</v>
      </c>
      <c r="E80" s="86">
        <v>3300000</v>
      </c>
      <c r="F80" s="85"/>
      <c r="G80" s="85" t="s">
        <v>372</v>
      </c>
      <c r="H80" s="245">
        <f t="shared" si="10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05"/>
      <c r="B81" s="553"/>
      <c r="C81" s="564"/>
      <c r="D81" s="85" t="s">
        <v>384</v>
      </c>
      <c r="E81" s="86">
        <v>800000</v>
      </c>
      <c r="F81" s="85"/>
      <c r="G81" s="85" t="s">
        <v>372</v>
      </c>
      <c r="H81" s="245">
        <f t="shared" si="10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05"/>
      <c r="B82" s="553"/>
      <c r="C82" s="564"/>
      <c r="D82" s="85" t="s">
        <v>385</v>
      </c>
      <c r="E82" s="86">
        <v>2300000</v>
      </c>
      <c r="F82" s="85"/>
      <c r="G82" s="85" t="s">
        <v>372</v>
      </c>
      <c r="H82" s="245">
        <f t="shared" si="10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05"/>
      <c r="B83" s="553"/>
      <c r="C83" s="565"/>
      <c r="D83" s="85" t="s">
        <v>386</v>
      </c>
      <c r="E83" s="86">
        <v>2300000</v>
      </c>
      <c r="F83" s="85"/>
      <c r="G83" s="85" t="s">
        <v>372</v>
      </c>
      <c r="H83" s="245">
        <f t="shared" si="10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05"/>
      <c r="B84" s="553"/>
      <c r="C84" s="563" t="s">
        <v>427</v>
      </c>
      <c r="D84" s="85" t="s">
        <v>446</v>
      </c>
      <c r="E84" s="310">
        <f>600000*22</f>
        <v>13200000</v>
      </c>
      <c r="F84" s="85"/>
      <c r="G84" s="85" t="s">
        <v>389</v>
      </c>
      <c r="H84" s="245">
        <f t="shared" si="10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05"/>
      <c r="B85" s="553"/>
      <c r="C85" s="564"/>
      <c r="D85" s="85" t="s">
        <v>428</v>
      </c>
      <c r="E85" s="310">
        <v>2000000</v>
      </c>
      <c r="F85" s="85"/>
      <c r="G85" s="85" t="s">
        <v>389</v>
      </c>
      <c r="H85" s="245">
        <f t="shared" si="10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05"/>
      <c r="B86" s="553"/>
      <c r="C86" s="564"/>
      <c r="D86" s="85" t="s">
        <v>429</v>
      </c>
      <c r="E86" s="310">
        <f>2*1000000</f>
        <v>2000000</v>
      </c>
      <c r="F86" s="85"/>
      <c r="G86" s="85" t="s">
        <v>389</v>
      </c>
      <c r="H86" s="245">
        <f t="shared" si="10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05"/>
      <c r="B87" s="553"/>
      <c r="C87" s="564"/>
      <c r="D87" s="85" t="s">
        <v>445</v>
      </c>
      <c r="E87" s="310">
        <f>3*500000</f>
        <v>1500000</v>
      </c>
      <c r="F87" s="85"/>
      <c r="G87" s="85" t="s">
        <v>389</v>
      </c>
      <c r="H87" s="245">
        <f t="shared" si="10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05"/>
      <c r="B88" s="553"/>
      <c r="C88" s="565"/>
      <c r="D88" s="85" t="s">
        <v>455</v>
      </c>
      <c r="E88" s="310">
        <f>SUM(E84:E87)</f>
        <v>18700000</v>
      </c>
      <c r="F88" s="85"/>
      <c r="G88" s="85" t="s">
        <v>389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05"/>
      <c r="B89" s="587" t="s">
        <v>412</v>
      </c>
      <c r="C89" s="92" t="s">
        <v>413</v>
      </c>
      <c r="D89" s="85" t="s">
        <v>415</v>
      </c>
      <c r="E89" s="310">
        <f>14*1000000</f>
        <v>14000000</v>
      </c>
      <c r="F89" s="85"/>
      <c r="G89" s="85" t="s">
        <v>373</v>
      </c>
      <c r="H89" s="245">
        <f t="shared" si="10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05"/>
      <c r="B90" s="587"/>
      <c r="C90" s="92" t="s">
        <v>414</v>
      </c>
      <c r="D90" s="85" t="s">
        <v>416</v>
      </c>
      <c r="E90" s="310">
        <f>67*1000000</f>
        <v>67000000</v>
      </c>
      <c r="F90" s="85"/>
      <c r="G90" s="85" t="s">
        <v>373</v>
      </c>
      <c r="H90" s="245">
        <f t="shared" si="10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05"/>
      <c r="B91" s="587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92"/>
      <c r="B92" s="250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5">
        <f t="shared" si="10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05"/>
      <c r="B93" s="243"/>
      <c r="C93" s="563" t="s">
        <v>399</v>
      </c>
      <c r="D93" s="85" t="s">
        <v>419</v>
      </c>
      <c r="E93" s="86">
        <v>1000000</v>
      </c>
      <c r="F93" s="85"/>
      <c r="G93" s="85" t="s">
        <v>373</v>
      </c>
      <c r="H93" s="245">
        <f t="shared" si="10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05"/>
      <c r="B94" s="243"/>
      <c r="C94" s="564"/>
      <c r="D94" s="85" t="s">
        <v>420</v>
      </c>
      <c r="E94" s="86">
        <v>1000000</v>
      </c>
      <c r="F94" s="85"/>
      <c r="G94" s="85" t="s">
        <v>373</v>
      </c>
      <c r="H94" s="245">
        <f t="shared" si="10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05"/>
      <c r="B95" s="243"/>
      <c r="C95" s="564"/>
      <c r="D95" s="85" t="s">
        <v>423</v>
      </c>
      <c r="E95" s="310">
        <v>6000000</v>
      </c>
      <c r="F95" s="85"/>
      <c r="G95" s="85" t="s">
        <v>373</v>
      </c>
      <c r="H95" s="245">
        <f t="shared" si="10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05"/>
      <c r="B96" s="243"/>
      <c r="C96" s="564"/>
      <c r="D96" s="85" t="s">
        <v>383</v>
      </c>
      <c r="E96" s="310">
        <v>2000000</v>
      </c>
      <c r="F96" s="85"/>
      <c r="G96" s="85" t="s">
        <v>373</v>
      </c>
      <c r="H96" s="245">
        <f t="shared" si="10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05"/>
      <c r="B97" s="243"/>
      <c r="C97" s="564"/>
      <c r="D97" s="85" t="s">
        <v>471</v>
      </c>
      <c r="E97" s="86">
        <v>2000000</v>
      </c>
      <c r="F97" s="85"/>
      <c r="G97" s="85" t="s">
        <v>373</v>
      </c>
      <c r="H97" s="245">
        <f t="shared" si="10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05"/>
      <c r="B98" s="243"/>
      <c r="C98" s="565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92"/>
      <c r="B99" s="552" t="s">
        <v>267</v>
      </c>
      <c r="C99" s="92"/>
      <c r="D99" s="85" t="s">
        <v>422</v>
      </c>
      <c r="E99" s="310">
        <v>6750000</v>
      </c>
      <c r="F99" s="85"/>
      <c r="G99" s="85" t="s">
        <v>373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92"/>
      <c r="B100" s="492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92"/>
      <c r="B101" s="492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92"/>
      <c r="B102" s="492"/>
      <c r="C102" s="92"/>
      <c r="D102" s="85">
        <v>4</v>
      </c>
      <c r="E102" s="86"/>
      <c r="F102" s="85"/>
      <c r="G102" s="85" t="s">
        <v>374</v>
      </c>
      <c r="H102" s="86">
        <f t="shared" si="10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92"/>
      <c r="B103" s="493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92"/>
      <c r="B104" s="552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5">
        <f t="shared" ref="H104:H107" si="11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92"/>
      <c r="B105" s="492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1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92"/>
      <c r="B106" s="492"/>
      <c r="C106" s="92"/>
      <c r="D106" s="85" t="s">
        <v>421</v>
      </c>
      <c r="E106" s="86">
        <v>2000000</v>
      </c>
      <c r="F106" s="85"/>
      <c r="G106" s="85" t="s">
        <v>373</v>
      </c>
      <c r="H106" s="86">
        <f t="shared" si="11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92"/>
      <c r="B107" s="493"/>
      <c r="C107" s="92"/>
      <c r="D107" s="85" t="s">
        <v>456</v>
      </c>
      <c r="E107" s="310">
        <v>2000000</v>
      </c>
      <c r="F107" s="85"/>
      <c r="G107" s="85" t="s">
        <v>373</v>
      </c>
      <c r="H107" s="86">
        <f t="shared" si="11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92"/>
      <c r="B108" s="552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92"/>
      <c r="B109" s="492"/>
      <c r="C109" s="92" t="s">
        <v>279</v>
      </c>
      <c r="D109" s="85" t="s">
        <v>280</v>
      </c>
      <c r="E109" s="310">
        <f>310000000</f>
        <v>310000000</v>
      </c>
      <c r="F109" s="85" t="s">
        <v>469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92"/>
      <c r="B110" s="492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92"/>
      <c r="B111" s="492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92"/>
      <c r="B112" s="492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92"/>
      <c r="B113" s="493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92"/>
      <c r="B114" s="556" t="s">
        <v>21</v>
      </c>
      <c r="C114" s="495"/>
      <c r="D114" s="496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92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92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92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92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92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92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92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92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92"/>
      <c r="B123" s="556" t="s">
        <v>21</v>
      </c>
      <c r="C123" s="495"/>
      <c r="D123" s="496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92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05"/>
      <c r="B125" s="253"/>
      <c r="C125" s="646" t="s">
        <v>622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05"/>
      <c r="B126" s="253"/>
      <c r="C126" s="646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92"/>
      <c r="B127" s="556" t="s">
        <v>21</v>
      </c>
      <c r="C127" s="495"/>
      <c r="D127" s="496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92"/>
      <c r="B128" s="85" t="s">
        <v>269</v>
      </c>
      <c r="C128" s="11" t="s">
        <v>187</v>
      </c>
      <c r="D128" s="85"/>
      <c r="E128" s="86">
        <f>예산!$G165</f>
        <v>230000</v>
      </c>
      <c r="F128" s="85"/>
      <c r="G128" s="85" t="s">
        <v>226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92"/>
      <c r="B129" s="85"/>
      <c r="C129" s="12" t="s">
        <v>188</v>
      </c>
      <c r="D129" s="85"/>
      <c r="E129" s="86">
        <f>예산!$G167</f>
        <v>230000</v>
      </c>
      <c r="F129" s="85"/>
      <c r="G129" s="85" t="s">
        <v>226</v>
      </c>
      <c r="H129" s="86">
        <f t="shared" ref="H129:H132" si="12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92"/>
      <c r="B130" s="85"/>
      <c r="C130" s="12" t="s">
        <v>189</v>
      </c>
      <c r="D130" s="85"/>
      <c r="E130" s="86">
        <f>예산!$G170</f>
        <v>11057430</v>
      </c>
      <c r="F130" s="85"/>
      <c r="G130" s="85" t="s">
        <v>226</v>
      </c>
      <c r="H130" s="86">
        <f t="shared" si="12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92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92"/>
      <c r="B132" s="85"/>
      <c r="C132" s="216" t="s">
        <v>190</v>
      </c>
      <c r="D132" s="236"/>
      <c r="E132" s="258">
        <f>예산!$G172</f>
        <v>2800000</v>
      </c>
      <c r="F132" s="236"/>
      <c r="G132" s="236" t="s">
        <v>226</v>
      </c>
      <c r="H132" s="258">
        <f t="shared" si="12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92"/>
      <c r="B133" s="253"/>
      <c r="C133" s="262"/>
      <c r="D133" s="262"/>
      <c r="E133" s="262"/>
      <c r="F133" s="262"/>
      <c r="G133" s="262"/>
      <c r="H133" s="262"/>
      <c r="I133" s="256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05"/>
      <c r="B134" s="253"/>
      <c r="C134" s="262"/>
      <c r="D134" s="262"/>
      <c r="E134" s="262"/>
      <c r="F134" s="262"/>
      <c r="G134" s="262"/>
      <c r="H134" s="262"/>
      <c r="I134" s="256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05"/>
      <c r="B135" s="253"/>
      <c r="C135" s="262"/>
      <c r="D135" s="262"/>
      <c r="E135" s="262"/>
      <c r="F135" s="262"/>
      <c r="G135" s="262"/>
      <c r="H135" s="262"/>
      <c r="I135" s="256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05"/>
      <c r="B136" s="253"/>
      <c r="C136" s="262"/>
      <c r="D136" s="262"/>
      <c r="E136" s="262"/>
      <c r="F136" s="237"/>
      <c r="G136" s="237"/>
      <c r="H136" s="263"/>
      <c r="I136" s="256"/>
      <c r="J136" s="85" t="s">
        <v>404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05"/>
      <c r="B137" s="85"/>
      <c r="C137" s="392" t="s">
        <v>520</v>
      </c>
      <c r="D137" s="316"/>
      <c r="E137" s="257">
        <f>예산!$G173</f>
        <v>8750000</v>
      </c>
      <c r="F137" s="316"/>
      <c r="G137" s="316" t="s">
        <v>373</v>
      </c>
      <c r="H137" s="245">
        <f>E137</f>
        <v>8750000</v>
      </c>
      <c r="I137" s="256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05"/>
      <c r="B138" s="85"/>
      <c r="C138" s="11" t="s">
        <v>392</v>
      </c>
      <c r="D138" s="85"/>
      <c r="E138" s="120">
        <f>예산!F169</f>
        <v>700000</v>
      </c>
      <c r="F138" s="85"/>
      <c r="G138" s="85" t="s">
        <v>373</v>
      </c>
      <c r="H138" s="86">
        <f>E138</f>
        <v>700000</v>
      </c>
      <c r="I138" s="256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05"/>
      <c r="B139" s="85"/>
      <c r="C139" s="216" t="s">
        <v>391</v>
      </c>
      <c r="D139" s="236"/>
      <c r="E139" s="257">
        <f>예산!F168</f>
        <v>990000</v>
      </c>
      <c r="F139" s="236"/>
      <c r="G139" s="236" t="s">
        <v>373</v>
      </c>
      <c r="H139" s="258">
        <f>E139</f>
        <v>990000</v>
      </c>
      <c r="I139" s="256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05"/>
      <c r="B140" s="253"/>
      <c r="C140" s="394" t="s">
        <v>521</v>
      </c>
      <c r="D140" s="262"/>
      <c r="E140" s="395">
        <v>9373200</v>
      </c>
      <c r="F140" s="237"/>
      <c r="G140" s="237" t="s">
        <v>373</v>
      </c>
      <c r="H140" s="258">
        <f t="shared" ref="H140:H141" si="13">E140</f>
        <v>9373200</v>
      </c>
      <c r="I140" s="256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05"/>
      <c r="B141" s="253"/>
      <c r="C141" s="394" t="s">
        <v>522</v>
      </c>
      <c r="D141" s="262"/>
      <c r="E141" s="395">
        <v>545234</v>
      </c>
      <c r="F141" s="237"/>
      <c r="G141" s="237" t="s">
        <v>373</v>
      </c>
      <c r="H141" s="258">
        <f t="shared" si="13"/>
        <v>545234</v>
      </c>
      <c r="I141" s="256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05"/>
      <c r="B142" s="253"/>
      <c r="C142" s="262"/>
      <c r="D142" s="262"/>
      <c r="E142" s="262"/>
      <c r="F142" s="237"/>
      <c r="G142" s="237"/>
      <c r="H142" s="263"/>
      <c r="I142" s="256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05"/>
      <c r="B143" s="253"/>
      <c r="C143" s="262"/>
      <c r="D143" s="262"/>
      <c r="E143" s="262"/>
      <c r="F143" s="237"/>
      <c r="G143" s="237"/>
      <c r="H143" s="263"/>
      <c r="I143" s="256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05"/>
      <c r="B144" s="253"/>
      <c r="C144" s="262"/>
      <c r="D144" s="262"/>
      <c r="E144" s="262"/>
      <c r="F144" s="237"/>
      <c r="G144" s="237"/>
      <c r="H144" s="263"/>
      <c r="I144" s="256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92"/>
      <c r="B145" s="85"/>
      <c r="C145" s="211" t="s">
        <v>193</v>
      </c>
      <c r="D145" s="393"/>
      <c r="E145" s="263">
        <f>예산!$G181</f>
        <v>20000000</v>
      </c>
      <c r="F145" s="237"/>
      <c r="G145" s="237" t="s">
        <v>234</v>
      </c>
      <c r="H145" s="263">
        <f>E145</f>
        <v>20000000</v>
      </c>
      <c r="I145" s="256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92"/>
      <c r="B146" s="85"/>
      <c r="C146" s="14" t="s">
        <v>194</v>
      </c>
      <c r="D146" s="253"/>
      <c r="E146" s="263">
        <f>예산!$G182</f>
        <v>0</v>
      </c>
      <c r="F146" s="237"/>
      <c r="G146" s="237" t="s">
        <v>233</v>
      </c>
      <c r="H146" s="263">
        <f t="shared" ref="H146:H148" si="14">E146</f>
        <v>0</v>
      </c>
      <c r="I146" s="256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92"/>
      <c r="B147" s="85"/>
      <c r="C147" s="11" t="s">
        <v>196</v>
      </c>
      <c r="D147" s="253"/>
      <c r="E147" s="263">
        <f>예산!$G184</f>
        <v>0</v>
      </c>
      <c r="F147" s="237"/>
      <c r="G147" s="237" t="s">
        <v>234</v>
      </c>
      <c r="H147" s="263">
        <f t="shared" si="14"/>
        <v>0</v>
      </c>
      <c r="I147" s="256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92"/>
      <c r="B148" s="85"/>
      <c r="C148" s="92" t="s">
        <v>390</v>
      </c>
      <c r="D148" s="253"/>
      <c r="E148" s="264">
        <f>예산!G183</f>
        <v>516000</v>
      </c>
      <c r="F148" s="237"/>
      <c r="G148" s="237" t="s">
        <v>368</v>
      </c>
      <c r="H148" s="263">
        <f t="shared" si="14"/>
        <v>516000</v>
      </c>
      <c r="I148" s="256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92"/>
      <c r="B149" s="85"/>
      <c r="C149" s="216" t="s">
        <v>418</v>
      </c>
      <c r="D149" s="255"/>
      <c r="E149" s="262">
        <f>예산!G176</f>
        <v>11062500</v>
      </c>
      <c r="F149" s="262"/>
      <c r="G149" s="218" t="s">
        <v>373</v>
      </c>
      <c r="H149" s="262">
        <f>E149</f>
        <v>11062500</v>
      </c>
      <c r="I149" s="256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05"/>
      <c r="B150" s="253"/>
      <c r="C150" s="216" t="s">
        <v>417</v>
      </c>
      <c r="D150" s="255"/>
      <c r="E150" s="262">
        <f>예산!G177</f>
        <v>3584000</v>
      </c>
      <c r="F150" s="262"/>
      <c r="G150" s="218" t="s">
        <v>373</v>
      </c>
      <c r="H150" s="262">
        <f>E150</f>
        <v>3584000</v>
      </c>
      <c r="I150" s="256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05"/>
      <c r="B151" s="253"/>
      <c r="C151" s="265" t="s">
        <v>514</v>
      </c>
      <c r="D151" s="340"/>
      <c r="E151" s="254">
        <f>SUM(예산!G178:G180)</f>
        <v>3111911</v>
      </c>
      <c r="F151" s="254"/>
      <c r="G151" s="242"/>
      <c r="H151" s="262">
        <f>E151</f>
        <v>3111911</v>
      </c>
      <c r="I151" s="256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05"/>
      <c r="B152" s="253"/>
      <c r="C152" s="265"/>
      <c r="D152" s="340"/>
      <c r="E152" s="254"/>
      <c r="F152" s="254"/>
      <c r="G152" s="242"/>
      <c r="H152" s="262">
        <f t="shared" ref="H152:H153" si="15">E152</f>
        <v>0</v>
      </c>
      <c r="I152" s="256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05"/>
      <c r="B153" s="253"/>
      <c r="C153" s="265" t="s">
        <v>628</v>
      </c>
      <c r="D153" s="340"/>
      <c r="E153" s="254">
        <f>예산!G185</f>
        <v>3000000</v>
      </c>
      <c r="F153" s="254"/>
      <c r="G153" s="242"/>
      <c r="H153" s="262">
        <f t="shared" si="15"/>
        <v>3000000</v>
      </c>
      <c r="I153" s="256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92"/>
      <c r="B154" s="556" t="s">
        <v>21</v>
      </c>
      <c r="C154" s="495"/>
      <c r="D154" s="496"/>
      <c r="E154" s="259">
        <f>예산!G186</f>
        <v>75728526</v>
      </c>
      <c r="F154" s="260"/>
      <c r="G154" s="261"/>
      <c r="H154" s="259">
        <f>SUM(H128:H153)</f>
        <v>75950275</v>
      </c>
      <c r="I154" s="90"/>
      <c r="J154" s="89"/>
      <c r="K154" s="91">
        <f>H154/E154</f>
        <v>1.002928209641899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92"/>
      <c r="B155" s="85" t="s">
        <v>116</v>
      </c>
      <c r="C155" s="11" t="s">
        <v>118</v>
      </c>
      <c r="D155" s="85"/>
      <c r="E155" s="86">
        <f>예산!$G190</f>
        <v>805000</v>
      </c>
      <c r="F155" s="85"/>
      <c r="G155" s="85" t="s">
        <v>379</v>
      </c>
      <c r="H155" s="86">
        <f>예산!$G190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92"/>
      <c r="B156" s="85"/>
      <c r="C156" s="11" t="s">
        <v>119</v>
      </c>
      <c r="D156" s="85"/>
      <c r="E156" s="86">
        <f>예산!$G191</f>
        <v>100000</v>
      </c>
      <c r="F156" s="85"/>
      <c r="G156" s="85" t="s">
        <v>379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92"/>
      <c r="B157" s="85"/>
      <c r="C157" s="26" t="s">
        <v>120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92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92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92"/>
      <c r="B160" s="556" t="s">
        <v>21</v>
      </c>
      <c r="C160" s="495"/>
      <c r="D160" s="496"/>
      <c r="E160" s="88">
        <f>예산!G197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92"/>
      <c r="B161" s="85" t="s">
        <v>197</v>
      </c>
      <c r="C161" s="92"/>
      <c r="D161" s="85"/>
      <c r="E161" s="86">
        <f>예산!$G201</f>
        <v>150000</v>
      </c>
      <c r="F161" s="85"/>
      <c r="G161" s="85" t="s">
        <v>235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92"/>
      <c r="B162" s="556" t="s">
        <v>21</v>
      </c>
      <c r="C162" s="495"/>
      <c r="D162" s="496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92"/>
      <c r="B163" s="85" t="s">
        <v>121</v>
      </c>
      <c r="C163" s="11" t="s">
        <v>124</v>
      </c>
      <c r="D163" s="11" t="s">
        <v>198</v>
      </c>
      <c r="E163" s="86">
        <f>예산!$G206</f>
        <v>900000</v>
      </c>
      <c r="F163" s="85"/>
      <c r="G163" s="85" t="s">
        <v>374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92"/>
      <c r="B164" s="85"/>
      <c r="C164" s="11" t="s">
        <v>199</v>
      </c>
      <c r="D164" s="11" t="s">
        <v>200</v>
      </c>
      <c r="E164" s="86">
        <f>예산!$G207</f>
        <v>100000</v>
      </c>
      <c r="F164" s="85"/>
      <c r="G164" s="85" t="s">
        <v>379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92"/>
      <c r="B165" s="85"/>
      <c r="C165" s="11" t="s">
        <v>201</v>
      </c>
      <c r="D165" s="11" t="s">
        <v>202</v>
      </c>
      <c r="E165" s="86">
        <f>예산!$G208</f>
        <v>8829000</v>
      </c>
      <c r="F165" s="85"/>
      <c r="G165" s="85" t="s">
        <v>389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92"/>
      <c r="B166" s="85"/>
      <c r="C166" s="11" t="s">
        <v>203</v>
      </c>
      <c r="D166" s="11" t="s">
        <v>204</v>
      </c>
      <c r="E166" s="86">
        <f>예산!$G209</f>
        <v>1830000</v>
      </c>
      <c r="F166" s="85"/>
      <c r="G166" s="85" t="s">
        <v>374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92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92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92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92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92"/>
      <c r="B171" s="556" t="s">
        <v>21</v>
      </c>
      <c r="C171" s="495"/>
      <c r="D171" s="496"/>
      <c r="E171" s="88">
        <f>예산!G210</f>
        <v>11659000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1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92"/>
      <c r="B172" s="85" t="s">
        <v>270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92"/>
      <c r="B173" s="85"/>
      <c r="C173" s="27" t="s">
        <v>206</v>
      </c>
      <c r="D173" s="85"/>
      <c r="E173" s="86">
        <f>예산!$G214</f>
        <v>25000</v>
      </c>
      <c r="F173" s="85"/>
      <c r="G173" s="85" t="s">
        <v>235</v>
      </c>
      <c r="H173" s="86">
        <f>예산!$G214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92"/>
      <c r="B174" s="85"/>
      <c r="C174" s="27" t="s">
        <v>207</v>
      </c>
      <c r="D174" s="85"/>
      <c r="E174" s="86">
        <f>예산!$G215</f>
        <v>2043000</v>
      </c>
      <c r="F174" s="85"/>
      <c r="G174" s="85" t="s">
        <v>235</v>
      </c>
      <c r="H174" s="86">
        <f>예산!$G215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92"/>
      <c r="B175" s="556" t="s">
        <v>21</v>
      </c>
      <c r="C175" s="495"/>
      <c r="D175" s="496"/>
      <c r="E175" s="88">
        <f>예산!G216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92"/>
      <c r="B176" s="85" t="s">
        <v>208</v>
      </c>
      <c r="C176" s="11" t="s">
        <v>209</v>
      </c>
      <c r="D176" s="11" t="s">
        <v>210</v>
      </c>
      <c r="E176" s="86">
        <f>예산!$G220</f>
        <v>696000</v>
      </c>
      <c r="F176" s="85"/>
      <c r="G176" s="85" t="s">
        <v>389</v>
      </c>
      <c r="H176" s="86">
        <f>예산!$G220</f>
        <v>696000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92"/>
      <c r="B177" s="85"/>
      <c r="C177" s="26" t="s">
        <v>211</v>
      </c>
      <c r="D177" s="11" t="s">
        <v>212</v>
      </c>
      <c r="E177" s="86">
        <f>예산!$G221</f>
        <v>1194800</v>
      </c>
      <c r="F177" s="85"/>
      <c r="G177" s="85" t="s">
        <v>227</v>
      </c>
      <c r="H177" s="86">
        <f>예산!$G221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92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92"/>
      <c r="B179" s="556" t="s">
        <v>21</v>
      </c>
      <c r="C179" s="495"/>
      <c r="D179" s="496"/>
      <c r="E179" s="88">
        <f>예산!G222</f>
        <v>1890800</v>
      </c>
      <c r="F179" s="94"/>
      <c r="G179" s="89"/>
      <c r="H179" s="88">
        <f>SUM(H176:H178)</f>
        <v>1890800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92"/>
      <c r="B180" s="85" t="s">
        <v>135</v>
      </c>
      <c r="C180" s="92" t="s">
        <v>281</v>
      </c>
      <c r="D180" s="85"/>
      <c r="E180" s="86">
        <f>예산!$G226</f>
        <v>151120240</v>
      </c>
      <c r="F180" s="85"/>
      <c r="G180" s="85" t="s">
        <v>228</v>
      </c>
      <c r="H180" s="86">
        <f>예산!$G226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92"/>
      <c r="B181" s="85"/>
      <c r="C181" s="92" t="s">
        <v>282</v>
      </c>
      <c r="D181" s="85"/>
      <c r="E181" s="86">
        <f>예산!$G227</f>
        <v>186772440</v>
      </c>
      <c r="F181" s="85"/>
      <c r="G181" s="85" t="s">
        <v>380</v>
      </c>
      <c r="H181" s="86">
        <f>예산!$G227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92"/>
      <c r="B182" s="85"/>
      <c r="C182" s="92" t="s">
        <v>158</v>
      </c>
      <c r="D182" s="85"/>
      <c r="E182" s="86">
        <f>예산!$G228</f>
        <v>12743500</v>
      </c>
      <c r="F182" s="85"/>
      <c r="G182" s="85" t="s">
        <v>226</v>
      </c>
      <c r="H182" s="86">
        <f>예산!$G228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92"/>
      <c r="B183" s="556" t="s">
        <v>21</v>
      </c>
      <c r="C183" s="495"/>
      <c r="D183" s="496"/>
      <c r="E183" s="88">
        <f>예산!G231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92"/>
      <c r="B184" s="85" t="s">
        <v>143</v>
      </c>
      <c r="C184" s="92" t="s">
        <v>219</v>
      </c>
      <c r="D184" s="85"/>
      <c r="E184" s="86"/>
      <c r="F184" s="85"/>
      <c r="G184" s="85" t="s">
        <v>228</v>
      </c>
      <c r="H184" s="86">
        <f>SUM(예산!$G$245:$G$248)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92"/>
      <c r="B185" s="85"/>
      <c r="C185" s="11" t="s">
        <v>216</v>
      </c>
      <c r="D185" s="18" t="s">
        <v>217</v>
      </c>
      <c r="E185" s="86"/>
      <c r="F185" s="85"/>
      <c r="G185" s="85" t="s">
        <v>228</v>
      </c>
      <c r="H185" s="86">
        <f>SUM(예산!$G$241:$G$244)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492"/>
      <c r="B186" s="85"/>
      <c r="C186" s="11" t="s">
        <v>434</v>
      </c>
      <c r="D186" s="18" t="s">
        <v>218</v>
      </c>
      <c r="E186" s="86"/>
      <c r="F186" s="85"/>
      <c r="G186" s="85" t="s">
        <v>228</v>
      </c>
      <c r="H186" s="86">
        <f>SUM(예산!G249)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492"/>
      <c r="B187" s="85"/>
      <c r="C187" s="92" t="s">
        <v>511</v>
      </c>
      <c r="D187" s="85" t="s">
        <v>623</v>
      </c>
      <c r="E187" s="86">
        <f>예산!G250</f>
        <v>720000</v>
      </c>
      <c r="F187" s="85"/>
      <c r="G187" s="85" t="s">
        <v>389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05"/>
      <c r="B188" s="253"/>
      <c r="C188" s="646"/>
      <c r="D188" s="235" t="s">
        <v>624</v>
      </c>
      <c r="E188" s="86">
        <f>예산!G251</f>
        <v>3150000</v>
      </c>
      <c r="F188" s="85"/>
      <c r="G188" s="85" t="s">
        <v>379</v>
      </c>
      <c r="H188" s="86">
        <f t="shared" ref="H188:H194" si="16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05"/>
      <c r="B189" s="253"/>
      <c r="C189" s="646"/>
      <c r="D189" s="235" t="s">
        <v>625</v>
      </c>
      <c r="E189" s="86">
        <f>예산!G252</f>
        <v>1500000</v>
      </c>
      <c r="F189" s="85"/>
      <c r="G189" s="85" t="s">
        <v>378</v>
      </c>
      <c r="H189" s="86">
        <f t="shared" si="16"/>
        <v>1500000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05"/>
      <c r="B190" s="253"/>
      <c r="C190" s="646"/>
      <c r="D190" s="235" t="s">
        <v>626</v>
      </c>
      <c r="E190" s="86">
        <f>예산!G253</f>
        <v>6000000</v>
      </c>
      <c r="F190" s="85"/>
      <c r="G190" s="85" t="s">
        <v>378</v>
      </c>
      <c r="H190" s="86">
        <f t="shared" si="16"/>
        <v>6000000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05"/>
      <c r="B191" s="253"/>
      <c r="C191" s="646"/>
      <c r="D191" s="235"/>
      <c r="E191" s="86"/>
      <c r="F191" s="85"/>
      <c r="G191" s="85"/>
      <c r="H191" s="86">
        <f t="shared" si="16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05"/>
      <c r="B192" s="253"/>
      <c r="C192" s="646" t="s">
        <v>627</v>
      </c>
      <c r="D192" s="235"/>
      <c r="E192" s="86">
        <f>예산!G255</f>
        <v>370000</v>
      </c>
      <c r="F192" s="85"/>
      <c r="G192" s="85"/>
      <c r="H192" s="86">
        <f t="shared" si="16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05"/>
      <c r="B193" s="253"/>
      <c r="C193" s="646"/>
      <c r="D193" s="235"/>
      <c r="E193" s="86">
        <f>예산!G256</f>
        <v>370000</v>
      </c>
      <c r="F193" s="85"/>
      <c r="G193" s="85"/>
      <c r="H193" s="86">
        <f t="shared" si="16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05"/>
      <c r="B194" s="253"/>
      <c r="C194" s="646"/>
      <c r="D194" s="235"/>
      <c r="E194" s="86">
        <f>예산!G257</f>
        <v>2220000</v>
      </c>
      <c r="F194" s="85"/>
      <c r="G194" s="85"/>
      <c r="H194" s="86">
        <f t="shared" si="16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05"/>
      <c r="B195" s="253"/>
      <c r="C195" s="646"/>
      <c r="D195" s="235"/>
      <c r="E195" s="86"/>
      <c r="F195" s="85"/>
      <c r="G195" s="85"/>
      <c r="H195" s="258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493"/>
      <c r="B196" s="556" t="s">
        <v>21</v>
      </c>
      <c r="C196" s="495"/>
      <c r="D196" s="496"/>
      <c r="E196" s="88">
        <f>예산!G258</f>
        <v>21630000</v>
      </c>
      <c r="F196" s="94"/>
      <c r="G196" s="89"/>
      <c r="H196" s="95">
        <f>SUM(H184:H194)</f>
        <v>21630000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581" t="s">
        <v>271</v>
      </c>
      <c r="B197" s="582"/>
      <c r="C197" s="96">
        <f>예산!G129</f>
        <v>1152391174</v>
      </c>
      <c r="D197" s="107"/>
      <c r="E197" s="108">
        <f>SUM(E196,E179,E175,E171,E162,E160,E154,E127,E123,E114,E183)</f>
        <v>1152391174</v>
      </c>
      <c r="F197" s="109">
        <f>SUM(E196,E183,E179,E175,E171,E162,E160,E154,E123,E127)</f>
        <v>469391174</v>
      </c>
      <c r="G197" s="110"/>
      <c r="H197" s="101">
        <f>SUM(H196,H183,H179,H175,H171,H162,H160,H154,H127,H123,H114)</f>
        <v>1149270289</v>
      </c>
      <c r="I197" s="580"/>
      <c r="J197" s="547"/>
      <c r="K197" s="102">
        <f t="shared" ref="K197:K198" si="17">H197/C197</f>
        <v>0.99729181802983857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272</v>
      </c>
      <c r="B198" s="112"/>
      <c r="C198" s="113">
        <f>SUM(C197,C68,C48,C31,C18)</f>
        <v>2912086822.4000001</v>
      </c>
      <c r="D198" s="112"/>
      <c r="E198" s="114"/>
      <c r="F198" s="112"/>
      <c r="G198" s="112"/>
      <c r="H198" s="115">
        <f>SUM(H197,H68,H48,H31,H18)</f>
        <v>2875331937.4000001</v>
      </c>
      <c r="I198" s="116"/>
      <c r="J198" s="112"/>
      <c r="K198" s="117">
        <f t="shared" si="17"/>
        <v>0.98737850646578307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88" t="s">
        <v>287</v>
      </c>
      <c r="B1" s="589"/>
      <c r="C1" s="589"/>
      <c r="D1" s="589"/>
      <c r="E1" s="589"/>
      <c r="F1" s="589"/>
      <c r="G1" s="589"/>
      <c r="H1" s="589"/>
      <c r="I1" s="589"/>
      <c r="J1" s="589"/>
      <c r="K1" s="589"/>
    </row>
    <row r="2" spans="1:15" ht="17.25" customHeight="1">
      <c r="A2" s="590" t="s">
        <v>288</v>
      </c>
      <c r="B2" s="593" t="s">
        <v>289</v>
      </c>
      <c r="C2" s="594"/>
      <c r="D2" s="594"/>
      <c r="E2" s="594"/>
      <c r="F2" s="594"/>
      <c r="G2" s="595"/>
      <c r="H2" s="129" t="s">
        <v>290</v>
      </c>
      <c r="I2" s="598" t="s">
        <v>291</v>
      </c>
      <c r="J2" s="594"/>
      <c r="K2" s="599"/>
      <c r="M2" s="130"/>
    </row>
    <row r="3" spans="1:15" ht="16.5" customHeight="1">
      <c r="A3" s="591"/>
      <c r="B3" s="504"/>
      <c r="C3" s="596"/>
      <c r="D3" s="596"/>
      <c r="E3" s="596"/>
      <c r="F3" s="596"/>
      <c r="G3" s="597"/>
      <c r="H3" s="131" t="s">
        <v>292</v>
      </c>
      <c r="I3" s="504"/>
      <c r="J3" s="596"/>
      <c r="K3" s="600"/>
      <c r="M3" s="601" t="s">
        <v>293</v>
      </c>
    </row>
    <row r="4" spans="1:15" ht="16.5" customHeight="1">
      <c r="A4" s="591"/>
      <c r="B4" s="132" t="s">
        <v>294</v>
      </c>
      <c r="C4" s="602" t="s">
        <v>295</v>
      </c>
      <c r="D4" s="133" t="s">
        <v>296</v>
      </c>
      <c r="E4" s="602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510"/>
    </row>
    <row r="5" spans="1:15" ht="16.5" customHeight="1">
      <c r="A5" s="592"/>
      <c r="B5" s="136" t="s">
        <v>302</v>
      </c>
      <c r="C5" s="493"/>
      <c r="D5" s="137" t="s">
        <v>303</v>
      </c>
      <c r="E5" s="493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510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95.580487570735329</v>
      </c>
      <c r="I6" s="147"/>
      <c r="J6" s="148" t="s">
        <v>309</v>
      </c>
      <c r="K6" s="149"/>
      <c r="M6" s="510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5.9445011322931789</v>
      </c>
      <c r="I7" s="153"/>
      <c r="J7" s="148" t="s">
        <v>309</v>
      </c>
      <c r="K7" s="154"/>
      <c r="M7" s="510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5.7402385638492071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49.964928132404026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2.7862081078186605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1152.3911740000001</v>
      </c>
      <c r="G11" s="158">
        <f t="shared" si="0"/>
        <v>1152.3911740000001</v>
      </c>
      <c r="H11" s="146">
        <f t="shared" si="1"/>
        <v>30.533590229262845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2912.0868224000001</v>
      </c>
      <c r="G12" s="165">
        <f t="shared" si="2"/>
        <v>2912.0868224000001</v>
      </c>
      <c r="H12" s="166">
        <f t="shared" si="2"/>
        <v>94.969466165627921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예산!C261/1000000</f>
        <v>155.6</v>
      </c>
      <c r="G13" s="171">
        <f t="shared" ref="G13:G14" si="3">F13</f>
        <v>155.6</v>
      </c>
      <c r="H13" s="146">
        <f>(SUM(B13,D13,F13,G13) / $C$17)*100</f>
        <v>5.030533834372104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5.030533834372104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3067.6868224</v>
      </c>
      <c r="G15" s="179">
        <f t="shared" si="4"/>
        <v>3067.6868224</v>
      </c>
      <c r="H15" s="180">
        <f t="shared" si="4"/>
        <v>100.00000000000003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610" t="s">
        <v>314</v>
      </c>
      <c r="B17" s="510"/>
      <c r="C17" s="611">
        <f>SUM(B15,D15,F15,G15)</f>
        <v>14504.623644799998</v>
      </c>
      <c r="D17" s="510"/>
      <c r="E17" s="510"/>
      <c r="F17" s="510"/>
      <c r="G17" s="510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13" t="s">
        <v>8</v>
      </c>
      <c r="B20" s="614"/>
      <c r="C20" s="607" t="s">
        <v>315</v>
      </c>
      <c r="D20" s="607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04"/>
      <c r="B21" s="597"/>
      <c r="C21" s="493"/>
      <c r="D21" s="493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03">
        <f>SUM(C22:D28)</f>
        <v>104005000</v>
      </c>
      <c r="H22" s="603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10"/>
      <c r="H23" s="510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07" t="s">
        <v>84</v>
      </c>
      <c r="B24" s="607" t="s">
        <v>317</v>
      </c>
      <c r="C24" s="608">
        <v>39000000</v>
      </c>
      <c r="D24" s="609"/>
      <c r="E24" s="186">
        <f t="shared" si="5"/>
        <v>39000000</v>
      </c>
      <c r="F24" s="603">
        <f>SUM(E24:E28)</f>
        <v>89205000</v>
      </c>
      <c r="G24" s="510"/>
      <c r="H24" s="510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92"/>
      <c r="B25" s="493"/>
      <c r="C25" s="493"/>
      <c r="D25" s="493"/>
      <c r="E25" s="186">
        <f t="shared" si="5"/>
        <v>0</v>
      </c>
      <c r="F25" s="510"/>
      <c r="G25" s="510"/>
      <c r="H25" s="510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92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510"/>
      <c r="G26" s="510"/>
      <c r="H26" s="510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92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10"/>
      <c r="G27" s="510"/>
      <c r="H27" s="510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93"/>
      <c r="B28" s="187" t="s">
        <v>178</v>
      </c>
      <c r="C28" s="188">
        <v>6000000</v>
      </c>
      <c r="D28" s="189"/>
      <c r="E28" s="186">
        <f t="shared" si="5"/>
        <v>6000000</v>
      </c>
      <c r="F28" s="510"/>
      <c r="G28" s="510"/>
      <c r="H28" s="510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12" t="s">
        <v>311</v>
      </c>
      <c r="B29" s="496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10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03" t="s">
        <v>22</v>
      </c>
      <c r="B31" s="510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04" t="s">
        <v>318</v>
      </c>
      <c r="B32" s="510"/>
      <c r="C32" s="194">
        <v>61800000</v>
      </c>
      <c r="D32" s="195">
        <f>37500000+13330000</f>
        <v>50830000</v>
      </c>
      <c r="E32" s="605" t="s">
        <v>319</v>
      </c>
      <c r="F32" s="510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06" t="s">
        <v>320</v>
      </c>
      <c r="B36" s="510"/>
      <c r="C36" s="510"/>
      <c r="D36" s="510"/>
      <c r="E36" s="510"/>
      <c r="F36" s="510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88" t="s">
        <v>321</v>
      </c>
      <c r="B1" s="589"/>
      <c r="C1" s="589"/>
      <c r="D1" s="589"/>
      <c r="E1" s="589"/>
      <c r="F1" s="589"/>
      <c r="G1" s="589"/>
      <c r="H1" s="589"/>
    </row>
    <row r="2" spans="1:8" ht="24.75" customHeight="1">
      <c r="A2" s="615" t="s">
        <v>288</v>
      </c>
      <c r="B2" s="595"/>
      <c r="C2" s="617" t="s">
        <v>322</v>
      </c>
      <c r="D2" s="129" t="s">
        <v>292</v>
      </c>
      <c r="E2" s="618" t="s">
        <v>295</v>
      </c>
      <c r="F2" s="619" t="s">
        <v>291</v>
      </c>
      <c r="G2" s="620"/>
      <c r="H2" s="621"/>
    </row>
    <row r="3" spans="1:8" ht="24.75" customHeight="1">
      <c r="A3" s="616"/>
      <c r="B3" s="597"/>
      <c r="C3" s="493"/>
      <c r="D3" s="137" t="s">
        <v>299</v>
      </c>
      <c r="E3" s="493"/>
      <c r="F3" s="196" t="s">
        <v>323</v>
      </c>
      <c r="G3" s="196" t="s">
        <v>324</v>
      </c>
      <c r="H3" s="197" t="s">
        <v>325</v>
      </c>
    </row>
    <row r="4" spans="1:8" ht="24.75" customHeight="1">
      <c r="A4" s="622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3.9488632775501924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92"/>
      <c r="B5" s="170" t="s">
        <v>26</v>
      </c>
      <c r="C5" s="171">
        <f>예산!G19/1000000</f>
        <v>93.36</v>
      </c>
      <c r="D5" s="198">
        <f t="shared" si="0"/>
        <v>3.0433354317100707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623" t="s">
        <v>21</v>
      </c>
      <c r="B6" s="496"/>
      <c r="C6" s="165">
        <f>SUM(C4,C5)</f>
        <v>214.49875839999999</v>
      </c>
      <c r="D6" s="199">
        <f t="shared" ref="D6:F6" si="1">SUM(D4:D5)</f>
        <v>6.9921987092602631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6.0892786915535693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623" t="s">
        <v>21</v>
      </c>
      <c r="B8" s="496"/>
      <c r="C8" s="165">
        <f t="shared" ref="C8:D8" si="2">SUM(C7)</f>
        <v>186.8</v>
      </c>
      <c r="D8" s="199">
        <f t="shared" si="2"/>
        <v>6.0892786915535693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622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40.693769027678947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92"/>
      <c r="B10" s="170" t="s">
        <v>56</v>
      </c>
      <c r="C10" s="171">
        <f>예산!G90/1000000</f>
        <v>2</v>
      </c>
      <c r="D10" s="198">
        <f t="shared" si="3"/>
        <v>6.5195703335691316E-2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3.5218555952682111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622" t="s">
        <v>328</v>
      </c>
      <c r="B12" s="170" t="s">
        <v>86</v>
      </c>
      <c r="C12" s="171">
        <f>예산!G141/1000000</f>
        <v>683</v>
      </c>
      <c r="D12" s="198">
        <f t="shared" si="3"/>
        <v>22.264332689138584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91"/>
      <c r="B13" s="170" t="s">
        <v>94</v>
      </c>
      <c r="C13" s="171">
        <f>예산!G154/1000000</f>
        <v>2.9304679999999999</v>
      </c>
      <c r="D13" s="198">
        <f t="shared" si="3"/>
        <v>9.5526961181368331E-2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91"/>
      <c r="B14" s="170" t="s">
        <v>178</v>
      </c>
      <c r="C14" s="171">
        <f>예산!G160/1000000</f>
        <v>1.1740999999999999</v>
      </c>
      <c r="D14" s="198">
        <f t="shared" si="3"/>
        <v>3.8273137643217582E-2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91"/>
      <c r="B15" s="170" t="s">
        <v>100</v>
      </c>
      <c r="C15" s="171">
        <f>예산!G186/1000000</f>
        <v>75.728526000000002</v>
      </c>
      <c r="D15" s="198">
        <f t="shared" si="3"/>
        <v>2.4685872575725933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91"/>
      <c r="B16" s="170" t="s">
        <v>105</v>
      </c>
      <c r="C16" s="171">
        <f>예산!G237/1000000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91"/>
      <c r="B17" s="170" t="s">
        <v>116</v>
      </c>
      <c r="C17" s="171">
        <f>예산!G197/1000000</f>
        <v>1.5241</v>
      </c>
      <c r="D17" s="198">
        <f t="shared" si="3"/>
        <v>4.9682385726963568E-2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91"/>
      <c r="B18" s="170" t="s">
        <v>197</v>
      </c>
      <c r="C18" s="171">
        <f>예산!G202/1000000</f>
        <v>0.15</v>
      </c>
      <c r="D18" s="198">
        <f t="shared" si="3"/>
        <v>4.8896777501768489E-3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91"/>
      <c r="B19" s="170" t="s">
        <v>121</v>
      </c>
      <c r="C19" s="171">
        <f>예산!G210/1000000</f>
        <v>11.659000000000001</v>
      </c>
      <c r="D19" s="198">
        <f t="shared" si="3"/>
        <v>0.38005835259541254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91"/>
      <c r="B20" s="170" t="s">
        <v>329</v>
      </c>
      <c r="C20" s="171">
        <f>예산!G216/1000000</f>
        <v>2.0680000000000001</v>
      </c>
      <c r="D20" s="198">
        <f t="shared" si="3"/>
        <v>6.7412357249104826E-2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91"/>
      <c r="B21" s="170" t="s">
        <v>135</v>
      </c>
      <c r="C21" s="171">
        <f>예산!G231/1000000</f>
        <v>350.63618000000002</v>
      </c>
      <c r="D21" s="198">
        <f t="shared" si="3"/>
        <v>11.429986185020031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91"/>
      <c r="B22" s="170" t="s">
        <v>208</v>
      </c>
      <c r="C22" s="171">
        <f>예산!G222/1000000</f>
        <v>1.8908</v>
      </c>
      <c r="D22" s="198">
        <f t="shared" si="3"/>
        <v>6.1636017933562569E-2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92"/>
      <c r="B23" s="170" t="s">
        <v>143</v>
      </c>
      <c r="C23" s="171">
        <f>예산!G258/1000000</f>
        <v>21.63</v>
      </c>
      <c r="D23" s="198">
        <f t="shared" si="3"/>
        <v>0.70509153157550153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623" t="s">
        <v>21</v>
      </c>
      <c r="B24" s="496"/>
      <c r="C24" s="165">
        <f t="shared" ref="C24:F24" si="4">SUM(C9:C23)</f>
        <v>2510.7880640000008</v>
      </c>
      <c r="D24" s="199">
        <f t="shared" si="4"/>
        <v>81.846296879669367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629" t="s">
        <v>311</v>
      </c>
      <c r="B25" s="496"/>
      <c r="C25" s="171">
        <f>예산!C261/1000000</f>
        <v>155.6</v>
      </c>
      <c r="D25" s="198">
        <f>(C25/$C$27)*100</f>
        <v>5.0722257195167844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623" t="s">
        <v>21</v>
      </c>
      <c r="B26" s="496"/>
      <c r="C26" s="165">
        <f t="shared" ref="C26:D26" si="5">SUM(C25)</f>
        <v>155.6</v>
      </c>
      <c r="D26" s="199">
        <f t="shared" si="5"/>
        <v>5.0722257195167844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630" t="s">
        <v>312</v>
      </c>
      <c r="B27" s="631"/>
      <c r="C27" s="179">
        <f t="shared" ref="C27:D27" si="6">SUM(C6,C8,C24,C26)</f>
        <v>3067.6868224000004</v>
      </c>
      <c r="D27" s="205">
        <f t="shared" si="6"/>
        <v>99.999999999999972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624" t="s">
        <v>8</v>
      </c>
      <c r="B30" s="496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10">
        <f>SUM(E31:E37)</f>
        <v>88875000</v>
      </c>
    </row>
    <row r="32" spans="1:8" ht="54.75" customHeight="1">
      <c r="A32" s="625" t="s">
        <v>31</v>
      </c>
      <c r="B32" s="626"/>
      <c r="C32" s="627">
        <v>2000000</v>
      </c>
      <c r="D32" s="627">
        <v>0</v>
      </c>
      <c r="E32" s="628">
        <f>SUM(C32:D33)</f>
        <v>2000000</v>
      </c>
      <c r="G32" s="510"/>
    </row>
    <row r="33" spans="1:7" ht="16.5" customHeight="1">
      <c r="A33" s="493"/>
      <c r="B33" s="493"/>
      <c r="C33" s="493"/>
      <c r="D33" s="493"/>
      <c r="E33" s="490"/>
      <c r="G33" s="510"/>
    </row>
    <row r="34" spans="1:7" ht="16.5" customHeight="1">
      <c r="A34" s="625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610">
        <f>SUM(E34:E37)</f>
        <v>74875000</v>
      </c>
      <c r="G34" s="510"/>
    </row>
    <row r="35" spans="1:7" ht="16.5" customHeight="1">
      <c r="A35" s="492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510"/>
      <c r="G35" s="510"/>
    </row>
    <row r="36" spans="1:7" ht="16.5" customHeight="1">
      <c r="A36" s="492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510"/>
      <c r="G36" s="510"/>
    </row>
    <row r="37" spans="1:7" ht="16.5" customHeight="1">
      <c r="A37" s="493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510"/>
      <c r="G37" s="510"/>
    </row>
    <row r="38" spans="1:7" ht="16.5" customHeight="1">
      <c r="A38" s="624" t="s">
        <v>311</v>
      </c>
      <c r="B38" s="496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115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32" t="s">
        <v>411</v>
      </c>
      <c r="B1" s="510"/>
      <c r="C1" s="510"/>
      <c r="D1" s="510"/>
      <c r="E1" s="510"/>
      <c r="F1" s="510"/>
      <c r="G1" s="510"/>
      <c r="H1" s="510"/>
      <c r="I1" s="510"/>
      <c r="J1" s="510"/>
      <c r="K1" s="510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4" t="s">
        <v>7</v>
      </c>
      <c r="Q2" s="496"/>
      <c r="R2" s="534" t="s">
        <v>240</v>
      </c>
      <c r="S2" s="496"/>
      <c r="T2" s="534" t="s">
        <v>31</v>
      </c>
      <c r="U2" s="496"/>
      <c r="V2" s="534" t="s">
        <v>72</v>
      </c>
      <c r="W2" s="496"/>
      <c r="X2" s="534" t="s">
        <v>84</v>
      </c>
      <c r="Y2" s="496"/>
      <c r="Z2" s="534" t="s">
        <v>241</v>
      </c>
      <c r="AA2" s="496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48" t="s">
        <v>244</v>
      </c>
      <c r="E3" s="549"/>
      <c r="F3" s="550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8.2546798879638728E-2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558" t="s">
        <v>7</v>
      </c>
      <c r="B4" s="633" t="s">
        <v>251</v>
      </c>
      <c r="C4" s="574">
        <f>예산!G14</f>
        <v>121138758.40000001</v>
      </c>
      <c r="D4" s="85" t="s">
        <v>15</v>
      </c>
      <c r="E4" s="545"/>
      <c r="F4" s="496"/>
      <c r="G4" s="228" t="s">
        <v>543</v>
      </c>
      <c r="H4" s="421">
        <v>15264848</v>
      </c>
      <c r="I4" s="422">
        <v>45981</v>
      </c>
      <c r="J4" s="85"/>
      <c r="K4" s="536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92"/>
      <c r="B5" s="628"/>
      <c r="C5" s="575"/>
      <c r="D5" s="85" t="s">
        <v>19</v>
      </c>
      <c r="E5" s="545"/>
      <c r="F5" s="496"/>
      <c r="G5" s="228" t="s">
        <v>544</v>
      </c>
      <c r="H5" s="421">
        <v>15264848</v>
      </c>
      <c r="I5" s="422">
        <v>45948</v>
      </c>
      <c r="J5" s="85"/>
      <c r="K5" s="492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92"/>
      <c r="B6" s="628"/>
      <c r="C6" s="575"/>
      <c r="D6" s="85" t="s">
        <v>252</v>
      </c>
      <c r="E6" s="545"/>
      <c r="F6" s="496"/>
      <c r="G6" s="309" t="s">
        <v>380</v>
      </c>
      <c r="H6" s="421">
        <v>15264848</v>
      </c>
      <c r="I6" s="422">
        <v>45923</v>
      </c>
      <c r="J6" s="85"/>
      <c r="K6" s="492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92"/>
      <c r="B7" s="628"/>
      <c r="C7" s="575"/>
      <c r="D7" s="85" t="s">
        <v>252</v>
      </c>
      <c r="E7" s="545"/>
      <c r="F7" s="496"/>
      <c r="G7" s="309" t="s">
        <v>398</v>
      </c>
      <c r="H7" s="421">
        <v>4668770</v>
      </c>
      <c r="I7" s="422">
        <v>45897</v>
      </c>
      <c r="J7" s="85"/>
      <c r="K7" s="492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92"/>
      <c r="B8" s="628"/>
      <c r="C8" s="575"/>
      <c r="D8" s="420"/>
      <c r="E8" s="416"/>
      <c r="F8" s="415"/>
      <c r="G8" s="309" t="s">
        <v>398</v>
      </c>
      <c r="H8" s="421">
        <v>4668777</v>
      </c>
      <c r="I8" s="422">
        <v>45889</v>
      </c>
      <c r="J8" s="85"/>
      <c r="K8" s="492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92"/>
      <c r="B9" s="628"/>
      <c r="C9" s="575"/>
      <c r="D9" s="409"/>
      <c r="F9" s="417"/>
      <c r="G9" s="309" t="s">
        <v>398</v>
      </c>
      <c r="H9" s="421">
        <v>2450884</v>
      </c>
      <c r="I9" s="422">
        <v>45887</v>
      </c>
      <c r="J9" s="85"/>
      <c r="K9" s="492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92"/>
      <c r="B10" s="628"/>
      <c r="C10" s="575"/>
      <c r="D10" s="409"/>
      <c r="F10" s="417"/>
      <c r="G10" s="309" t="s">
        <v>398</v>
      </c>
      <c r="H10" s="421">
        <v>10000</v>
      </c>
      <c r="I10" s="422">
        <v>45883</v>
      </c>
      <c r="J10" s="85"/>
      <c r="K10" s="492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92"/>
      <c r="B11" s="628"/>
      <c r="C11" s="575"/>
      <c r="D11" s="409"/>
      <c r="F11" s="417"/>
      <c r="G11" s="309" t="s">
        <v>372</v>
      </c>
      <c r="H11" s="421">
        <v>2450884</v>
      </c>
      <c r="I11" s="422">
        <v>45868</v>
      </c>
      <c r="J11" s="85"/>
      <c r="K11" s="492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92"/>
      <c r="B12" s="628"/>
      <c r="C12" s="575"/>
      <c r="D12" s="409"/>
      <c r="F12" s="417"/>
      <c r="G12" s="85" t="s">
        <v>372</v>
      </c>
      <c r="H12" s="421">
        <v>-1589500</v>
      </c>
      <c r="I12" s="422">
        <v>45867</v>
      </c>
      <c r="J12" s="85"/>
      <c r="K12" s="492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92"/>
      <c r="B13" s="628"/>
      <c r="C13" s="575"/>
      <c r="D13" s="409"/>
      <c r="F13" s="417"/>
      <c r="G13" s="85" t="s">
        <v>372</v>
      </c>
      <c r="H13" s="421">
        <v>4658777</v>
      </c>
      <c r="I13" s="422">
        <v>45863</v>
      </c>
      <c r="J13" s="85"/>
      <c r="K13" s="492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92"/>
      <c r="B14" s="628"/>
      <c r="C14" s="575"/>
      <c r="D14" s="46"/>
      <c r="E14" s="413"/>
      <c r="F14" s="414"/>
      <c r="G14" s="85" t="s">
        <v>372</v>
      </c>
      <c r="H14" s="421">
        <v>1589500</v>
      </c>
      <c r="I14" s="422">
        <v>45861</v>
      </c>
      <c r="J14" s="85"/>
      <c r="K14" s="493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05"/>
      <c r="B15" s="628"/>
      <c r="C15" s="575"/>
      <c r="D15" s="411"/>
      <c r="E15" s="411"/>
      <c r="F15" s="412"/>
      <c r="G15" s="85" t="s">
        <v>372</v>
      </c>
      <c r="H15" s="421">
        <v>980000</v>
      </c>
      <c r="I15" s="422">
        <v>45856</v>
      </c>
      <c r="J15" s="85"/>
      <c r="K15" s="418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05"/>
      <c r="B16" s="628"/>
      <c r="C16" s="575"/>
      <c r="D16" s="411"/>
      <c r="E16" s="411"/>
      <c r="F16" s="412"/>
      <c r="G16" s="85" t="s">
        <v>372</v>
      </c>
      <c r="H16" s="421">
        <v>67560</v>
      </c>
      <c r="I16" s="422">
        <v>45856</v>
      </c>
      <c r="J16" s="85"/>
      <c r="K16" s="418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05"/>
      <c r="B17" s="628"/>
      <c r="C17" s="575"/>
      <c r="D17" s="411"/>
      <c r="E17" s="411"/>
      <c r="F17" s="412"/>
      <c r="G17" s="85" t="s">
        <v>368</v>
      </c>
      <c r="H17" s="421">
        <v>3405260</v>
      </c>
      <c r="I17" s="422">
        <v>45831</v>
      </c>
      <c r="J17" s="85"/>
      <c r="K17" s="418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05"/>
      <c r="B18" s="628"/>
      <c r="C18" s="575"/>
      <c r="D18" s="411"/>
      <c r="E18" s="411"/>
      <c r="F18" s="412"/>
      <c r="G18" s="85" t="s">
        <v>397</v>
      </c>
      <c r="H18" s="421">
        <v>3405260</v>
      </c>
      <c r="I18" s="422">
        <v>45798</v>
      </c>
      <c r="J18" s="85"/>
      <c r="K18" s="418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05"/>
      <c r="B19" s="628"/>
      <c r="C19" s="575"/>
      <c r="D19" s="411"/>
      <c r="E19" s="411"/>
      <c r="F19" s="412"/>
      <c r="G19" s="85" t="s">
        <v>545</v>
      </c>
      <c r="H19" s="421">
        <v>3405260</v>
      </c>
      <c r="I19" s="422">
        <v>45776</v>
      </c>
      <c r="J19" s="85"/>
      <c r="K19" s="418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05"/>
      <c r="B20" s="628"/>
      <c r="C20" s="575"/>
      <c r="D20" s="411"/>
      <c r="E20" s="411"/>
      <c r="F20" s="412"/>
      <c r="G20" s="85" t="s">
        <v>545</v>
      </c>
      <c r="H20" s="421">
        <v>3405260</v>
      </c>
      <c r="I20" s="422">
        <v>45761</v>
      </c>
      <c r="J20" s="85"/>
      <c r="K20" s="418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05"/>
      <c r="B21" s="628"/>
      <c r="C21" s="575"/>
      <c r="D21" s="411"/>
      <c r="E21" s="411"/>
      <c r="F21" s="412"/>
      <c r="G21" s="85"/>
      <c r="H21" s="86"/>
      <c r="I21" s="87"/>
      <c r="J21" s="85"/>
      <c r="K21" s="418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05"/>
      <c r="B22" s="634"/>
      <c r="C22" s="635"/>
      <c r="D22" s="411"/>
      <c r="E22" s="411"/>
      <c r="F22" s="412"/>
      <c r="G22" s="85"/>
      <c r="H22" s="86"/>
      <c r="I22" s="87"/>
      <c r="J22" s="85"/>
      <c r="K22" s="418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92"/>
      <c r="B23" s="556" t="s">
        <v>21</v>
      </c>
      <c r="C23" s="495"/>
      <c r="D23" s="496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92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93"/>
      <c r="B25" s="556" t="s">
        <v>21</v>
      </c>
      <c r="C25" s="495"/>
      <c r="D25" s="496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57" t="s">
        <v>253</v>
      </c>
      <c r="B26" s="495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554"/>
      <c r="J26" s="496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58" t="s">
        <v>240</v>
      </c>
      <c r="B27" s="85" t="s">
        <v>240</v>
      </c>
      <c r="C27" s="103">
        <f>예산!G26</f>
        <v>186800000</v>
      </c>
      <c r="D27" s="85"/>
      <c r="E27" s="86"/>
      <c r="F27" s="85"/>
      <c r="G27" s="309" t="s">
        <v>389</v>
      </c>
      <c r="H27" s="421">
        <v>-8100000</v>
      </c>
      <c r="I27" s="422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92"/>
      <c r="B28" s="85"/>
      <c r="C28" s="103"/>
      <c r="D28" s="85"/>
      <c r="E28" s="86"/>
      <c r="F28" s="85"/>
      <c r="G28" s="309" t="s">
        <v>389</v>
      </c>
      <c r="H28" s="421">
        <v>-8100000</v>
      </c>
      <c r="I28" s="422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92"/>
      <c r="B29" s="85"/>
      <c r="C29" s="92"/>
      <c r="D29" s="85"/>
      <c r="E29" s="86"/>
      <c r="F29" s="85"/>
      <c r="G29" s="309" t="s">
        <v>389</v>
      </c>
      <c r="H29" s="421">
        <v>84100000</v>
      </c>
      <c r="I29" s="422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92"/>
      <c r="B30" s="85"/>
      <c r="C30" s="92"/>
      <c r="D30" s="85"/>
      <c r="E30" s="86"/>
      <c r="F30" s="85"/>
      <c r="G30" s="309" t="s">
        <v>368</v>
      </c>
      <c r="H30" s="421">
        <v>118900000</v>
      </c>
      <c r="I30" s="422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492"/>
      <c r="B31" s="85"/>
      <c r="C31" s="92"/>
      <c r="D31" s="85"/>
      <c r="E31" s="86"/>
      <c r="F31" s="85"/>
      <c r="G31" s="309"/>
      <c r="H31" s="311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92"/>
      <c r="B32" s="85"/>
      <c r="C32" s="92"/>
      <c r="D32" s="85"/>
      <c r="E32" s="86"/>
      <c r="F32" s="85"/>
      <c r="G32" s="309"/>
      <c r="H32" s="311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92"/>
      <c r="B33" s="85"/>
      <c r="C33" s="92"/>
      <c r="D33" s="85"/>
      <c r="E33" s="86"/>
      <c r="F33" s="85"/>
      <c r="G33" s="309"/>
      <c r="H33" s="311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92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92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92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92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93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557" t="s">
        <v>254</v>
      </c>
      <c r="B39" s="495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554"/>
      <c r="J39" s="496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58" t="s">
        <v>31</v>
      </c>
      <c r="B40" s="552" t="s">
        <v>255</v>
      </c>
      <c r="C40" s="11" t="s">
        <v>376</v>
      </c>
      <c r="D40" s="85"/>
      <c r="E40" s="86"/>
      <c r="F40" s="85"/>
      <c r="G40" s="85" t="s">
        <v>389</v>
      </c>
      <c r="H40" s="421">
        <v>21990000</v>
      </c>
      <c r="I40" s="422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92"/>
      <c r="B41" s="492"/>
      <c r="C41" s="11" t="s">
        <v>442</v>
      </c>
      <c r="D41" s="85"/>
      <c r="E41" s="86"/>
      <c r="F41" s="85"/>
      <c r="G41" s="309" t="s">
        <v>389</v>
      </c>
      <c r="H41" s="421">
        <v>165000</v>
      </c>
      <c r="I41" s="422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92"/>
      <c r="B42" s="492"/>
      <c r="C42" s="11" t="s">
        <v>546</v>
      </c>
      <c r="D42" s="85"/>
      <c r="E42" s="86"/>
      <c r="F42" s="85"/>
      <c r="G42" s="85" t="s">
        <v>389</v>
      </c>
      <c r="H42" s="421">
        <v>30000</v>
      </c>
      <c r="I42" s="422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92"/>
      <c r="B43" s="492"/>
      <c r="C43" s="11" t="s">
        <v>375</v>
      </c>
      <c r="D43" s="85"/>
      <c r="E43" s="86"/>
      <c r="F43" s="85"/>
      <c r="G43" s="85" t="s">
        <v>373</v>
      </c>
      <c r="H43" s="421">
        <v>42988000</v>
      </c>
      <c r="I43" s="422">
        <v>45947</v>
      </c>
      <c r="J43" s="85" t="s">
        <v>402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05"/>
      <c r="B44" s="505"/>
      <c r="C44" s="11" t="s">
        <v>547</v>
      </c>
      <c r="D44" s="85"/>
      <c r="E44" s="86"/>
      <c r="F44" s="85"/>
      <c r="G44" s="85" t="s">
        <v>380</v>
      </c>
      <c r="H44" s="421">
        <v>30000</v>
      </c>
      <c r="I44" s="422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05"/>
      <c r="B45" s="505"/>
      <c r="C45" s="11" t="s">
        <v>548</v>
      </c>
      <c r="D45" s="85"/>
      <c r="E45" s="86"/>
      <c r="F45" s="85"/>
      <c r="G45" s="85" t="s">
        <v>380</v>
      </c>
      <c r="H45" s="421">
        <v>30000</v>
      </c>
      <c r="I45" s="422">
        <v>45918</v>
      </c>
      <c r="J45" s="85" t="s">
        <v>403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05"/>
      <c r="B46" s="505"/>
      <c r="C46" s="11" t="s">
        <v>549</v>
      </c>
      <c r="D46" s="85"/>
      <c r="E46" s="86"/>
      <c r="F46" s="85"/>
      <c r="G46" s="309" t="s">
        <v>380</v>
      </c>
      <c r="H46" s="421">
        <v>30000</v>
      </c>
      <c r="I46" s="422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05"/>
      <c r="B47" s="505"/>
      <c r="C47" s="329" t="s">
        <v>377</v>
      </c>
      <c r="D47" s="85"/>
      <c r="E47" s="86"/>
      <c r="F47" s="85"/>
      <c r="G47" s="309" t="s">
        <v>380</v>
      </c>
      <c r="H47" s="421">
        <v>8030000</v>
      </c>
      <c r="I47" s="422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492"/>
      <c r="B48" s="493"/>
      <c r="C48" s="244" t="s">
        <v>550</v>
      </c>
      <c r="D48" s="85"/>
      <c r="E48" s="86"/>
      <c r="F48" s="85"/>
      <c r="G48" s="309" t="s">
        <v>372</v>
      </c>
      <c r="H48" s="421">
        <v>29920000</v>
      </c>
      <c r="I48" s="422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05"/>
      <c r="B49" s="46"/>
      <c r="C49" s="423" t="s">
        <v>551</v>
      </c>
      <c r="D49" s="235"/>
      <c r="E49" s="86"/>
      <c r="F49" s="85"/>
      <c r="G49" s="309" t="s">
        <v>397</v>
      </c>
      <c r="H49" s="421">
        <v>186410400</v>
      </c>
      <c r="I49" s="422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05"/>
      <c r="B50" s="46"/>
      <c r="C50" s="423"/>
      <c r="D50" s="235"/>
      <c r="E50" s="86"/>
      <c r="F50" s="85"/>
      <c r="G50" s="309"/>
      <c r="H50" s="312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92"/>
      <c r="B51" s="556" t="s">
        <v>21</v>
      </c>
      <c r="C51" s="495"/>
      <c r="D51" s="496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92"/>
      <c r="B52" s="552" t="s">
        <v>70</v>
      </c>
      <c r="C52" s="29" t="s">
        <v>107</v>
      </c>
      <c r="D52" s="85"/>
      <c r="E52" s="86">
        <f>예산!G87</f>
        <v>0</v>
      </c>
      <c r="F52" s="85"/>
      <c r="G52" s="85" t="s">
        <v>235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92"/>
      <c r="B53" s="492"/>
      <c r="C53" s="11" t="s">
        <v>112</v>
      </c>
      <c r="D53" s="85"/>
      <c r="E53" s="86">
        <f>예산!G88</f>
        <v>0</v>
      </c>
      <c r="F53" s="85"/>
      <c r="G53" s="85" t="s">
        <v>235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92"/>
      <c r="B54" s="493"/>
      <c r="C54" s="11" t="s">
        <v>114</v>
      </c>
      <c r="D54" s="85"/>
      <c r="E54" s="86"/>
      <c r="F54" s="85"/>
      <c r="G54" s="85" t="s">
        <v>235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93"/>
      <c r="B55" s="556" t="s">
        <v>21</v>
      </c>
      <c r="C55" s="495"/>
      <c r="D55" s="496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557" t="s">
        <v>256</v>
      </c>
      <c r="B56" s="495"/>
      <c r="C56" s="96">
        <f>예산!G66</f>
        <v>1250357390</v>
      </c>
      <c r="D56" s="97"/>
      <c r="E56" s="98"/>
      <c r="F56" s="99"/>
      <c r="G56" s="100"/>
      <c r="H56" s="101">
        <f>H51+H55</f>
        <v>103213000</v>
      </c>
      <c r="I56" s="554"/>
      <c r="J56" s="496"/>
      <c r="K56" s="102">
        <f>H56/C56</f>
        <v>8.2546798879638728E-2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59" t="s">
        <v>72</v>
      </c>
      <c r="B57" s="419" t="s">
        <v>276</v>
      </c>
      <c r="C57" s="103" t="s">
        <v>568</v>
      </c>
      <c r="D57" s="85"/>
      <c r="E57" s="86"/>
      <c r="F57" s="85"/>
      <c r="G57" s="309"/>
      <c r="H57" s="421">
        <v>2332000</v>
      </c>
      <c r="I57" s="422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60"/>
      <c r="B58" s="410"/>
      <c r="C58" s="103" t="s">
        <v>567</v>
      </c>
      <c r="D58" s="85"/>
      <c r="E58" s="86"/>
      <c r="F58" s="85"/>
      <c r="G58" s="309"/>
      <c r="H58" s="421">
        <v>3168000</v>
      </c>
      <c r="I58" s="422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60"/>
      <c r="B59" s="410"/>
      <c r="C59" s="92" t="s">
        <v>566</v>
      </c>
      <c r="D59" s="85"/>
      <c r="E59" s="86"/>
      <c r="F59" s="85"/>
      <c r="G59" s="309"/>
      <c r="H59" s="421">
        <v>33500</v>
      </c>
      <c r="I59" s="422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60"/>
      <c r="B60" s="250"/>
      <c r="C60" s="92" t="s">
        <v>565</v>
      </c>
      <c r="D60" s="85"/>
      <c r="E60" s="86"/>
      <c r="F60" s="85"/>
      <c r="G60" s="85"/>
      <c r="H60" s="421">
        <v>1873300</v>
      </c>
      <c r="I60" s="422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60"/>
      <c r="B61" s="429" t="s">
        <v>261</v>
      </c>
      <c r="C61" s="424" t="s">
        <v>564</v>
      </c>
      <c r="D61" s="85"/>
      <c r="E61" s="86"/>
      <c r="F61" s="85"/>
      <c r="G61" s="85"/>
      <c r="H61" s="421">
        <v>5676000</v>
      </c>
      <c r="I61" s="422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60"/>
      <c r="B62" s="430"/>
      <c r="C62" s="425" t="s">
        <v>563</v>
      </c>
      <c r="D62" s="85"/>
      <c r="E62" s="86"/>
      <c r="F62" s="85"/>
      <c r="G62" s="309"/>
      <c r="H62" s="421">
        <v>1155000</v>
      </c>
      <c r="I62" s="422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60"/>
      <c r="B63" s="430"/>
      <c r="C63" s="426" t="s">
        <v>561</v>
      </c>
      <c r="D63" s="85"/>
      <c r="E63" s="86"/>
      <c r="F63" s="85"/>
      <c r="G63" s="253"/>
      <c r="H63" s="421">
        <v>1925000</v>
      </c>
      <c r="I63" s="422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60"/>
      <c r="B64" s="430"/>
      <c r="C64" s="427" t="s">
        <v>562</v>
      </c>
      <c r="D64" s="235"/>
      <c r="E64" s="86"/>
      <c r="F64" s="85"/>
      <c r="G64" s="253"/>
      <c r="H64" s="421">
        <v>643500</v>
      </c>
      <c r="I64" s="422">
        <v>45932</v>
      </c>
      <c r="J64" s="237"/>
      <c r="K64" s="314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60"/>
      <c r="B65" s="430"/>
      <c r="C65" s="427" t="s">
        <v>558</v>
      </c>
      <c r="D65" s="235"/>
      <c r="E65" s="86"/>
      <c r="F65" s="85"/>
      <c r="G65" s="253"/>
      <c r="H65" s="421">
        <v>822250</v>
      </c>
      <c r="I65" s="422">
        <v>45932</v>
      </c>
      <c r="J65" s="237"/>
      <c r="K65" s="314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60"/>
      <c r="B66" s="430"/>
      <c r="C66" s="427" t="s">
        <v>559</v>
      </c>
      <c r="D66" s="235"/>
      <c r="E66" s="86"/>
      <c r="F66" s="85"/>
      <c r="G66" s="253"/>
      <c r="H66" s="421">
        <v>2332000</v>
      </c>
      <c r="I66" s="422">
        <v>45930</v>
      </c>
      <c r="J66" s="237"/>
      <c r="K66" s="314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60"/>
      <c r="B67" s="430"/>
      <c r="C67" s="427" t="s">
        <v>560</v>
      </c>
      <c r="D67" s="235"/>
      <c r="E67" s="86"/>
      <c r="F67" s="85"/>
      <c r="G67" s="253"/>
      <c r="H67" s="421">
        <v>1496000</v>
      </c>
      <c r="I67" s="422">
        <v>45930</v>
      </c>
      <c r="J67" s="237"/>
      <c r="K67" s="314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60"/>
      <c r="B68" s="430"/>
      <c r="C68" s="427" t="s">
        <v>561</v>
      </c>
      <c r="D68" s="235"/>
      <c r="E68" s="86"/>
      <c r="F68" s="85"/>
      <c r="G68" s="253"/>
      <c r="H68" s="421">
        <v>1531200</v>
      </c>
      <c r="I68" s="422">
        <v>45917</v>
      </c>
      <c r="J68" s="237"/>
      <c r="K68" s="314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60"/>
      <c r="B69" s="430"/>
      <c r="C69" s="427" t="s">
        <v>556</v>
      </c>
      <c r="D69" s="235"/>
      <c r="E69" s="86"/>
      <c r="F69" s="85"/>
      <c r="G69" s="253"/>
      <c r="H69" s="421">
        <v>8288500</v>
      </c>
      <c r="I69" s="422">
        <v>45917</v>
      </c>
      <c r="J69" s="237"/>
      <c r="K69" s="314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60"/>
      <c r="B70" s="430"/>
      <c r="C70" s="427" t="s">
        <v>557</v>
      </c>
      <c r="D70" s="235"/>
      <c r="E70" s="86"/>
      <c r="F70" s="85"/>
      <c r="G70" s="253"/>
      <c r="H70" s="421">
        <v>935000</v>
      </c>
      <c r="I70" s="422">
        <v>45917</v>
      </c>
      <c r="J70" s="237"/>
      <c r="K70" s="314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60"/>
      <c r="B71" s="430"/>
      <c r="C71" s="427" t="s">
        <v>555</v>
      </c>
      <c r="D71" s="235"/>
      <c r="E71" s="86"/>
      <c r="F71" s="85"/>
      <c r="G71" s="253"/>
      <c r="H71" s="421">
        <v>10164000</v>
      </c>
      <c r="I71" s="422">
        <v>45869</v>
      </c>
      <c r="J71" s="237"/>
      <c r="K71" s="314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60"/>
      <c r="B72" s="430"/>
      <c r="C72" s="427" t="s">
        <v>554</v>
      </c>
      <c r="D72" s="235"/>
      <c r="E72" s="86"/>
      <c r="F72" s="85"/>
      <c r="G72" s="253"/>
      <c r="H72" s="421">
        <v>4219509</v>
      </c>
      <c r="I72" s="422">
        <v>45862</v>
      </c>
      <c r="J72" s="237"/>
      <c r="K72" s="314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60"/>
      <c r="B73" s="430"/>
      <c r="C73" s="427" t="s">
        <v>553</v>
      </c>
      <c r="D73" s="235"/>
      <c r="E73" s="86"/>
      <c r="F73" s="85"/>
      <c r="G73" s="253"/>
      <c r="H73" s="421">
        <v>1320000</v>
      </c>
      <c r="I73" s="422">
        <v>45818</v>
      </c>
      <c r="J73" s="237"/>
      <c r="K73" s="314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60"/>
      <c r="B74" s="430"/>
      <c r="C74" s="427" t="s">
        <v>552</v>
      </c>
      <c r="D74" s="235"/>
      <c r="E74" s="86"/>
      <c r="F74" s="85"/>
      <c r="G74" s="253"/>
      <c r="H74" s="421">
        <v>19250000</v>
      </c>
      <c r="I74" s="422">
        <v>45806</v>
      </c>
      <c r="J74" s="237"/>
      <c r="K74" s="314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561"/>
      <c r="B75" s="431"/>
      <c r="C75" s="428"/>
      <c r="D75" s="235"/>
      <c r="E75" s="86"/>
      <c r="F75" s="85"/>
      <c r="G75" s="253"/>
      <c r="H75" s="264"/>
      <c r="I75" s="282"/>
      <c r="J75" s="237"/>
      <c r="K75" s="314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57" t="s">
        <v>263</v>
      </c>
      <c r="B76" s="570"/>
      <c r="C76" s="432">
        <f>예산!G97</f>
        <v>108039500</v>
      </c>
      <c r="D76" s="433"/>
      <c r="E76" s="108"/>
      <c r="F76" s="109"/>
      <c r="G76" s="110"/>
      <c r="H76" s="434">
        <f>SUM(H57:H75)</f>
        <v>67164759</v>
      </c>
      <c r="I76" s="636"/>
      <c r="J76" s="637"/>
      <c r="K76" s="435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59" t="s">
        <v>84</v>
      </c>
      <c r="B77" s="237"/>
      <c r="C77" s="443" t="s">
        <v>617</v>
      </c>
      <c r="D77" s="237"/>
      <c r="E77" s="264"/>
      <c r="F77" s="237"/>
      <c r="G77" s="237" t="s">
        <v>397</v>
      </c>
      <c r="H77" s="421">
        <v>5500000</v>
      </c>
      <c r="I77" s="422">
        <v>45785</v>
      </c>
      <c r="J77" s="237"/>
      <c r="K77" s="28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90"/>
      <c r="B78" s="237"/>
      <c r="C78" s="443" t="s">
        <v>616</v>
      </c>
      <c r="D78" s="237"/>
      <c r="E78" s="264"/>
      <c r="F78" s="237"/>
      <c r="G78" s="237" t="s">
        <v>397</v>
      </c>
      <c r="H78" s="421">
        <v>1000000</v>
      </c>
      <c r="I78" s="422">
        <v>45800</v>
      </c>
      <c r="J78" s="237"/>
      <c r="K78" s="28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90"/>
      <c r="B79" s="237"/>
      <c r="C79" s="443" t="s">
        <v>615</v>
      </c>
      <c r="D79" s="237"/>
      <c r="E79" s="264"/>
      <c r="F79" s="237"/>
      <c r="G79" s="237" t="s">
        <v>397</v>
      </c>
      <c r="H79" s="421">
        <v>12743500</v>
      </c>
      <c r="I79" s="422">
        <v>45805</v>
      </c>
      <c r="J79" s="237"/>
      <c r="K79" s="28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90"/>
      <c r="B80" s="237"/>
      <c r="C80" s="443" t="s">
        <v>614</v>
      </c>
      <c r="D80" s="237"/>
      <c r="E80" s="264"/>
      <c r="F80" s="237"/>
      <c r="G80" s="218" t="s">
        <v>368</v>
      </c>
      <c r="H80" s="421">
        <v>18480000</v>
      </c>
      <c r="I80" s="422">
        <v>45813</v>
      </c>
      <c r="J80" s="237"/>
      <c r="K80" s="28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90"/>
      <c r="B81" s="237"/>
      <c r="C81" s="443" t="s">
        <v>613</v>
      </c>
      <c r="D81" s="262"/>
      <c r="E81" s="262"/>
      <c r="F81" s="262"/>
      <c r="G81" s="218" t="s">
        <v>368</v>
      </c>
      <c r="H81" s="421">
        <v>1000000</v>
      </c>
      <c r="I81" s="422">
        <v>45819</v>
      </c>
      <c r="J81" s="237"/>
      <c r="K81" s="28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90"/>
      <c r="B82" s="237"/>
      <c r="C82" s="443" t="s">
        <v>612</v>
      </c>
      <c r="D82" s="262"/>
      <c r="E82" s="262"/>
      <c r="F82" s="262"/>
      <c r="G82" s="237" t="s">
        <v>368</v>
      </c>
      <c r="H82" s="421">
        <v>230000000</v>
      </c>
      <c r="I82" s="422">
        <v>45833</v>
      </c>
      <c r="J82" s="237"/>
      <c r="K82" s="28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90"/>
      <c r="B83" s="237"/>
      <c r="C83" s="443" t="s">
        <v>611</v>
      </c>
      <c r="D83" s="262"/>
      <c r="E83" s="262"/>
      <c r="F83" s="262"/>
      <c r="G83" s="237" t="s">
        <v>368</v>
      </c>
      <c r="H83" s="421">
        <v>5000000</v>
      </c>
      <c r="I83" s="422">
        <v>45838</v>
      </c>
      <c r="J83" s="237"/>
      <c r="K83" s="28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90"/>
      <c r="B84" s="237"/>
      <c r="C84" s="443" t="s">
        <v>610</v>
      </c>
      <c r="D84" s="262"/>
      <c r="E84" s="262"/>
      <c r="F84" s="262"/>
      <c r="G84" s="237" t="s">
        <v>372</v>
      </c>
      <c r="H84" s="421">
        <v>5800000</v>
      </c>
      <c r="I84" s="422">
        <v>45853</v>
      </c>
      <c r="J84" s="237"/>
      <c r="K84" s="28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90"/>
      <c r="B85" s="237"/>
      <c r="C85" s="443" t="s">
        <v>607</v>
      </c>
      <c r="D85" s="237"/>
      <c r="E85" s="264"/>
      <c r="F85" s="237"/>
      <c r="G85" s="237" t="s">
        <v>372</v>
      </c>
      <c r="H85" s="421">
        <v>2300000</v>
      </c>
      <c r="I85" s="422">
        <v>45856</v>
      </c>
      <c r="J85" s="237"/>
      <c r="K85" s="28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90"/>
      <c r="B86" s="237"/>
      <c r="C86" s="443" t="s">
        <v>607</v>
      </c>
      <c r="D86" s="237"/>
      <c r="E86" s="264"/>
      <c r="F86" s="237"/>
      <c r="G86" s="237" t="s">
        <v>372</v>
      </c>
      <c r="H86" s="421">
        <v>3300000</v>
      </c>
      <c r="I86" s="422">
        <v>45856</v>
      </c>
      <c r="J86" s="237"/>
      <c r="K86" s="28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90"/>
      <c r="B87" s="237"/>
      <c r="C87" s="443" t="s">
        <v>607</v>
      </c>
      <c r="D87" s="237"/>
      <c r="E87" s="264"/>
      <c r="F87" s="237"/>
      <c r="G87" s="237" t="s">
        <v>372</v>
      </c>
      <c r="H87" s="421">
        <v>3300000</v>
      </c>
      <c r="I87" s="422">
        <v>45856</v>
      </c>
      <c r="J87" s="237"/>
      <c r="K87" s="28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90"/>
      <c r="B88" s="237"/>
      <c r="C88" s="443" t="s">
        <v>608</v>
      </c>
      <c r="D88" s="237"/>
      <c r="E88" s="264"/>
      <c r="F88" s="237"/>
      <c r="G88" s="237" t="s">
        <v>372</v>
      </c>
      <c r="H88" s="421">
        <v>800000</v>
      </c>
      <c r="I88" s="422">
        <v>45856</v>
      </c>
      <c r="J88" s="237"/>
      <c r="K88" s="28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90"/>
      <c r="B89" s="237"/>
      <c r="C89" s="443" t="s">
        <v>609</v>
      </c>
      <c r="D89" s="237"/>
      <c r="E89" s="264"/>
      <c r="F89" s="237"/>
      <c r="G89" s="237" t="s">
        <v>372</v>
      </c>
      <c r="H89" s="421">
        <v>2300000</v>
      </c>
      <c r="I89" s="422">
        <v>45856</v>
      </c>
      <c r="J89" s="237"/>
      <c r="K89" s="28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90"/>
      <c r="B90" s="441"/>
      <c r="C90" s="443" t="s">
        <v>604</v>
      </c>
      <c r="D90" s="237"/>
      <c r="E90" s="264"/>
      <c r="F90" s="237"/>
      <c r="G90" s="237" t="s">
        <v>372</v>
      </c>
      <c r="H90" s="421">
        <v>44000</v>
      </c>
      <c r="I90" s="422">
        <v>45860</v>
      </c>
      <c r="J90" s="237"/>
      <c r="K90" s="28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90"/>
      <c r="B91" s="441"/>
      <c r="C91" s="443" t="s">
        <v>206</v>
      </c>
      <c r="D91" s="237"/>
      <c r="E91" s="264"/>
      <c r="F91" s="237"/>
      <c r="G91" s="237" t="s">
        <v>372</v>
      </c>
      <c r="H91" s="421">
        <v>4740</v>
      </c>
      <c r="I91" s="422">
        <v>45860</v>
      </c>
      <c r="J91" s="237"/>
      <c r="K91" s="28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90"/>
      <c r="B92" s="441"/>
      <c r="C92" s="443" t="s">
        <v>605</v>
      </c>
      <c r="D92" s="237"/>
      <c r="E92" s="264"/>
      <c r="F92" s="237"/>
      <c r="G92" s="237" t="s">
        <v>372</v>
      </c>
      <c r="H92" s="421">
        <v>318450</v>
      </c>
      <c r="I92" s="422">
        <v>45860</v>
      </c>
      <c r="J92" s="237"/>
      <c r="K92" s="28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90"/>
      <c r="B93" s="267"/>
      <c r="C93" s="443" t="s">
        <v>606</v>
      </c>
      <c r="D93" s="237"/>
      <c r="E93" s="264"/>
      <c r="F93" s="237"/>
      <c r="G93" s="237" t="s">
        <v>372</v>
      </c>
      <c r="H93" s="421">
        <v>555000</v>
      </c>
      <c r="I93" s="422">
        <v>45860</v>
      </c>
      <c r="J93" s="237"/>
      <c r="K93" s="28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90"/>
      <c r="B94" s="267"/>
      <c r="C94" s="443" t="s">
        <v>602</v>
      </c>
      <c r="D94" s="237"/>
      <c r="E94" s="264"/>
      <c r="F94" s="237"/>
      <c r="G94" s="237" t="s">
        <v>372</v>
      </c>
      <c r="H94" s="421">
        <v>50000000</v>
      </c>
      <c r="I94" s="422">
        <v>45866</v>
      </c>
      <c r="J94" s="237"/>
      <c r="K94" s="28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90"/>
      <c r="B95" s="267"/>
      <c r="C95" s="443" t="s">
        <v>602</v>
      </c>
      <c r="D95" s="237"/>
      <c r="E95" s="264"/>
      <c r="F95" s="237"/>
      <c r="G95" s="237" t="s">
        <v>372</v>
      </c>
      <c r="H95" s="421">
        <v>25000000</v>
      </c>
      <c r="I95" s="422">
        <v>45866</v>
      </c>
      <c r="J95" s="237"/>
      <c r="K95" s="28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90"/>
      <c r="B96" s="267"/>
      <c r="C96" s="443" t="s">
        <v>603</v>
      </c>
      <c r="D96" s="237"/>
      <c r="E96" s="264"/>
      <c r="F96" s="237"/>
      <c r="G96" s="237" t="s">
        <v>372</v>
      </c>
      <c r="H96" s="421">
        <v>21120000</v>
      </c>
      <c r="I96" s="422">
        <v>45866</v>
      </c>
      <c r="J96" s="237"/>
      <c r="K96" s="28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90"/>
      <c r="B97" s="267"/>
      <c r="C97" s="443" t="s">
        <v>602</v>
      </c>
      <c r="D97" s="237"/>
      <c r="E97" s="264"/>
      <c r="F97" s="237"/>
      <c r="G97" s="237" t="s">
        <v>372</v>
      </c>
      <c r="H97" s="421">
        <v>15000000</v>
      </c>
      <c r="I97" s="422">
        <v>45867</v>
      </c>
      <c r="J97" s="237"/>
      <c r="K97" s="28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90"/>
      <c r="B98" s="267"/>
      <c r="C98" s="443" t="s">
        <v>602</v>
      </c>
      <c r="D98" s="237"/>
      <c r="E98" s="264"/>
      <c r="F98" s="237"/>
      <c r="G98" s="237" t="s">
        <v>372</v>
      </c>
      <c r="H98" s="421">
        <v>30000000</v>
      </c>
      <c r="I98" s="422">
        <v>45867</v>
      </c>
      <c r="J98" s="237"/>
      <c r="K98" s="28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90"/>
      <c r="B99" s="267"/>
      <c r="C99" s="443" t="s">
        <v>602</v>
      </c>
      <c r="D99" s="237"/>
      <c r="E99" s="264"/>
      <c r="F99" s="237"/>
      <c r="G99" s="237" t="s">
        <v>372</v>
      </c>
      <c r="H99" s="421">
        <v>20000000</v>
      </c>
      <c r="I99" s="422">
        <v>45867</v>
      </c>
      <c r="J99" s="237"/>
      <c r="K99" s="28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90"/>
      <c r="B100" s="237"/>
      <c r="C100" s="443" t="s">
        <v>602</v>
      </c>
      <c r="D100" s="262"/>
      <c r="E100" s="262"/>
      <c r="F100" s="262"/>
      <c r="G100" s="237" t="s">
        <v>372</v>
      </c>
      <c r="H100" s="421">
        <v>45000000</v>
      </c>
      <c r="I100" s="422">
        <v>45867</v>
      </c>
      <c r="J100" s="237"/>
      <c r="K100" s="28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90"/>
      <c r="B101" s="267"/>
      <c r="C101" s="443" t="s">
        <v>600</v>
      </c>
      <c r="D101" s="237"/>
      <c r="E101" s="264"/>
      <c r="F101" s="237"/>
      <c r="G101" s="237" t="s">
        <v>372</v>
      </c>
      <c r="H101" s="421">
        <v>210000</v>
      </c>
      <c r="I101" s="422">
        <v>45868</v>
      </c>
      <c r="J101" s="237"/>
      <c r="K101" s="28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90"/>
      <c r="B102" s="267"/>
      <c r="C102" s="443" t="s">
        <v>600</v>
      </c>
      <c r="D102" s="237"/>
      <c r="E102" s="264"/>
      <c r="F102" s="237"/>
      <c r="G102" s="237" t="s">
        <v>372</v>
      </c>
      <c r="H102" s="421">
        <v>200000</v>
      </c>
      <c r="I102" s="422">
        <v>45868</v>
      </c>
      <c r="J102" s="237"/>
      <c r="K102" s="28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90"/>
      <c r="B103" s="267"/>
      <c r="C103" s="443" t="s">
        <v>600</v>
      </c>
      <c r="D103" s="237"/>
      <c r="E103" s="264"/>
      <c r="F103" s="237"/>
      <c r="G103" s="237" t="s">
        <v>372</v>
      </c>
      <c r="H103" s="421">
        <v>90000</v>
      </c>
      <c r="I103" s="422">
        <v>45868</v>
      </c>
      <c r="J103" s="237"/>
      <c r="K103" s="28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90"/>
      <c r="B104" s="267"/>
      <c r="C104" s="443" t="s">
        <v>601</v>
      </c>
      <c r="D104" s="237"/>
      <c r="E104" s="264"/>
      <c r="F104" s="237"/>
      <c r="G104" s="237" t="s">
        <v>372</v>
      </c>
      <c r="H104" s="421">
        <v>1260000</v>
      </c>
      <c r="I104" s="422">
        <v>45868</v>
      </c>
      <c r="J104" s="237"/>
      <c r="K104" s="28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90"/>
      <c r="B105" s="237"/>
      <c r="C105" s="443" t="s">
        <v>601</v>
      </c>
      <c r="D105" s="237"/>
      <c r="E105" s="264"/>
      <c r="F105" s="237"/>
      <c r="G105" s="237" t="s">
        <v>372</v>
      </c>
      <c r="H105" s="421">
        <v>1260000</v>
      </c>
      <c r="I105" s="422">
        <v>45868</v>
      </c>
      <c r="J105" s="237"/>
      <c r="K105" s="28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90"/>
      <c r="B106" s="267"/>
      <c r="C106" s="443" t="s">
        <v>601</v>
      </c>
      <c r="D106" s="237"/>
      <c r="E106" s="264"/>
      <c r="F106" s="237"/>
      <c r="G106" s="237" t="s">
        <v>372</v>
      </c>
      <c r="H106" s="421">
        <v>540000</v>
      </c>
      <c r="I106" s="422">
        <v>45868</v>
      </c>
      <c r="J106" s="237"/>
      <c r="K106" s="28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90"/>
      <c r="B107" s="267"/>
      <c r="C107" s="443" t="s">
        <v>601</v>
      </c>
      <c r="D107" s="237"/>
      <c r="E107" s="264"/>
      <c r="F107" s="237"/>
      <c r="G107" s="237" t="s">
        <v>372</v>
      </c>
      <c r="H107" s="421">
        <v>540000</v>
      </c>
      <c r="I107" s="422">
        <v>45868</v>
      </c>
      <c r="J107" s="237"/>
      <c r="K107" s="28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90"/>
      <c r="B108" s="267"/>
      <c r="C108" s="443" t="s">
        <v>599</v>
      </c>
      <c r="D108" s="237"/>
      <c r="E108" s="264"/>
      <c r="F108" s="237"/>
      <c r="G108" s="237" t="s">
        <v>372</v>
      </c>
      <c r="H108" s="421">
        <v>1200000</v>
      </c>
      <c r="I108" s="422">
        <v>45869</v>
      </c>
      <c r="J108" s="237"/>
      <c r="K108" s="28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90"/>
      <c r="B109" s="237"/>
      <c r="C109" s="443" t="s">
        <v>599</v>
      </c>
      <c r="D109" s="237"/>
      <c r="E109" s="264"/>
      <c r="F109" s="237"/>
      <c r="G109" s="237" t="s">
        <v>372</v>
      </c>
      <c r="H109" s="421">
        <v>1500000</v>
      </c>
      <c r="I109" s="422">
        <v>45869</v>
      </c>
      <c r="J109" s="237"/>
      <c r="K109" s="28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90"/>
      <c r="B110" s="267"/>
      <c r="C110" s="443" t="s">
        <v>600</v>
      </c>
      <c r="D110" s="237"/>
      <c r="E110" s="264"/>
      <c r="F110" s="237"/>
      <c r="G110" s="237" t="s">
        <v>372</v>
      </c>
      <c r="H110" s="421">
        <v>210000</v>
      </c>
      <c r="I110" s="422">
        <v>45869</v>
      </c>
      <c r="J110" s="237"/>
      <c r="K110" s="28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90"/>
      <c r="B111" s="267"/>
      <c r="C111" s="443" t="s">
        <v>600</v>
      </c>
      <c r="D111" s="237"/>
      <c r="E111" s="264"/>
      <c r="F111" s="237"/>
      <c r="G111" s="237" t="s">
        <v>372</v>
      </c>
      <c r="H111" s="421">
        <v>200000</v>
      </c>
      <c r="I111" s="422">
        <v>45869</v>
      </c>
      <c r="J111" s="237"/>
      <c r="K111" s="28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90"/>
      <c r="B112" s="267"/>
      <c r="C112" s="443" t="s">
        <v>600</v>
      </c>
      <c r="D112" s="237"/>
      <c r="E112" s="264"/>
      <c r="F112" s="237"/>
      <c r="G112" s="237" t="s">
        <v>372</v>
      </c>
      <c r="H112" s="421">
        <v>90000</v>
      </c>
      <c r="I112" s="422">
        <v>45869</v>
      </c>
      <c r="J112" s="237"/>
      <c r="K112" s="28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90"/>
      <c r="B113" s="267"/>
      <c r="C113" s="443" t="s">
        <v>598</v>
      </c>
      <c r="D113" s="237"/>
      <c r="E113" s="264"/>
      <c r="F113" s="237"/>
      <c r="G113" s="237" t="s">
        <v>398</v>
      </c>
      <c r="H113" s="421">
        <v>3260000</v>
      </c>
      <c r="I113" s="422">
        <v>45874</v>
      </c>
      <c r="J113" s="237"/>
      <c r="K113" s="28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90"/>
      <c r="B114" s="267"/>
      <c r="C114" s="443" t="s">
        <v>597</v>
      </c>
      <c r="D114" s="237"/>
      <c r="E114" s="264"/>
      <c r="F114" s="237"/>
      <c r="G114" s="237" t="s">
        <v>398</v>
      </c>
      <c r="H114" s="421">
        <v>592500</v>
      </c>
      <c r="I114" s="422">
        <v>45877</v>
      </c>
      <c r="J114" s="237"/>
      <c r="K114" s="283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90"/>
      <c r="B115" s="237"/>
      <c r="C115" s="443" t="s">
        <v>596</v>
      </c>
      <c r="D115" s="267"/>
      <c r="E115" s="264"/>
      <c r="F115" s="440"/>
      <c r="G115" s="237" t="s">
        <v>398</v>
      </c>
      <c r="H115" s="421">
        <v>1800000</v>
      </c>
      <c r="I115" s="422">
        <v>45890</v>
      </c>
      <c r="J115" s="237"/>
      <c r="K115" s="28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90"/>
      <c r="B116" s="237"/>
      <c r="C116" s="443" t="s">
        <v>595</v>
      </c>
      <c r="D116" s="237"/>
      <c r="E116" s="264"/>
      <c r="F116" s="237"/>
      <c r="G116" s="237" t="s">
        <v>398</v>
      </c>
      <c r="H116" s="421">
        <v>2000000</v>
      </c>
      <c r="I116" s="422">
        <v>45895</v>
      </c>
      <c r="J116" s="237"/>
      <c r="K116" s="28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90"/>
      <c r="B117" s="237"/>
      <c r="C117" s="443" t="s">
        <v>592</v>
      </c>
      <c r="D117" s="237"/>
      <c r="E117" s="264"/>
      <c r="F117" s="237"/>
      <c r="G117" s="237" t="s">
        <v>398</v>
      </c>
      <c r="H117" s="421">
        <v>689730</v>
      </c>
      <c r="I117" s="422">
        <v>45901</v>
      </c>
      <c r="J117" s="237"/>
      <c r="K117" s="28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90"/>
      <c r="B118" s="237"/>
      <c r="C118" s="443" t="s">
        <v>593</v>
      </c>
      <c r="D118" s="237"/>
      <c r="E118" s="264"/>
      <c r="F118" s="237"/>
      <c r="G118" s="237" t="s">
        <v>398</v>
      </c>
      <c r="H118" s="421">
        <v>12549832</v>
      </c>
      <c r="I118" s="422">
        <v>45901</v>
      </c>
      <c r="J118" s="237"/>
      <c r="K118" s="28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90"/>
      <c r="B119" s="237"/>
      <c r="C119" s="443" t="s">
        <v>594</v>
      </c>
      <c r="D119" s="237"/>
      <c r="E119" s="264"/>
      <c r="F119" s="237"/>
      <c r="G119" s="237" t="s">
        <v>398</v>
      </c>
      <c r="H119" s="421">
        <v>264000</v>
      </c>
      <c r="I119" s="422">
        <v>45901</v>
      </c>
      <c r="J119" s="237"/>
      <c r="K119" s="28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90"/>
      <c r="B120" s="237"/>
      <c r="C120" s="443" t="s">
        <v>591</v>
      </c>
      <c r="D120" s="237"/>
      <c r="E120" s="264"/>
      <c r="F120" s="237"/>
      <c r="G120" s="444" t="s">
        <v>620</v>
      </c>
      <c r="H120" s="421">
        <v>2000000</v>
      </c>
      <c r="I120" s="422">
        <v>45903</v>
      </c>
      <c r="J120" s="237"/>
      <c r="K120" s="28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90"/>
      <c r="B121" s="237"/>
      <c r="C121" s="443" t="s">
        <v>589</v>
      </c>
      <c r="D121" s="237"/>
      <c r="E121" s="264"/>
      <c r="F121" s="237"/>
      <c r="G121" s="237" t="s">
        <v>380</v>
      </c>
      <c r="H121" s="421">
        <v>371600</v>
      </c>
      <c r="I121" s="422">
        <v>45915</v>
      </c>
      <c r="J121" s="237"/>
      <c r="K121" s="28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90"/>
      <c r="B122" s="237"/>
      <c r="C122" s="443" t="s">
        <v>590</v>
      </c>
      <c r="D122" s="237"/>
      <c r="E122" s="264"/>
      <c r="F122" s="237"/>
      <c r="G122" s="237" t="s">
        <v>380</v>
      </c>
      <c r="H122" s="421">
        <v>265652200</v>
      </c>
      <c r="I122" s="422">
        <v>45915</v>
      </c>
      <c r="J122" s="237"/>
      <c r="K122" s="28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90"/>
      <c r="B123" s="237"/>
      <c r="C123" s="443" t="s">
        <v>587</v>
      </c>
      <c r="D123" s="237"/>
      <c r="E123" s="264"/>
      <c r="F123" s="237"/>
      <c r="G123" s="237" t="s">
        <v>380</v>
      </c>
      <c r="H123" s="421">
        <v>8019000</v>
      </c>
      <c r="I123" s="422">
        <v>45932</v>
      </c>
      <c r="J123" s="237"/>
      <c r="K123" s="28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90"/>
      <c r="B124" s="237"/>
      <c r="C124" s="443" t="s">
        <v>588</v>
      </c>
      <c r="D124" s="267"/>
      <c r="E124" s="264"/>
      <c r="F124" s="440"/>
      <c r="G124" s="237" t="s">
        <v>373</v>
      </c>
      <c r="H124" s="421">
        <v>2000000</v>
      </c>
      <c r="I124" s="422">
        <v>45932</v>
      </c>
      <c r="J124" s="237"/>
      <c r="K124" s="28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90"/>
      <c r="B125" s="237"/>
      <c r="C125" s="443" t="s">
        <v>584</v>
      </c>
      <c r="D125" s="237"/>
      <c r="E125" s="264"/>
      <c r="F125" s="237"/>
      <c r="G125" s="237" t="s">
        <v>373</v>
      </c>
      <c r="H125" s="421">
        <v>109000</v>
      </c>
      <c r="I125" s="422">
        <v>45947</v>
      </c>
      <c r="J125" s="237"/>
      <c r="K125" s="28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90"/>
      <c r="B126" s="237"/>
      <c r="C126" s="443" t="s">
        <v>585</v>
      </c>
      <c r="D126" s="267"/>
      <c r="E126" s="264"/>
      <c r="F126" s="440"/>
      <c r="G126" s="237" t="s">
        <v>373</v>
      </c>
      <c r="H126" s="421">
        <v>2000000</v>
      </c>
      <c r="I126" s="422">
        <v>45952</v>
      </c>
      <c r="J126" s="237"/>
      <c r="K126" s="28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90"/>
      <c r="B127" s="237"/>
      <c r="C127" s="443" t="s">
        <v>586</v>
      </c>
      <c r="D127" s="237"/>
      <c r="E127" s="264"/>
      <c r="F127" s="237"/>
      <c r="G127" s="237" t="s">
        <v>373</v>
      </c>
      <c r="H127" s="421">
        <v>5000000</v>
      </c>
      <c r="I127" s="422">
        <v>45952</v>
      </c>
      <c r="J127" s="237"/>
      <c r="K127" s="28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90"/>
      <c r="B128" s="237"/>
      <c r="C128" s="443" t="s">
        <v>581</v>
      </c>
      <c r="D128" s="237"/>
      <c r="E128" s="264"/>
      <c r="F128" s="237"/>
      <c r="G128" s="237" t="s">
        <v>373</v>
      </c>
      <c r="H128" s="421">
        <v>500000</v>
      </c>
      <c r="I128" s="422">
        <v>45954</v>
      </c>
      <c r="J128" s="237"/>
      <c r="K128" s="28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90"/>
      <c r="B129" s="237"/>
      <c r="C129" s="443" t="s">
        <v>582</v>
      </c>
      <c r="D129" s="237"/>
      <c r="E129" s="264"/>
      <c r="F129" s="237"/>
      <c r="G129" s="237" t="s">
        <v>373</v>
      </c>
      <c r="H129" s="421">
        <v>22990</v>
      </c>
      <c r="I129" s="422">
        <v>45954</v>
      </c>
      <c r="J129" s="237"/>
      <c r="K129" s="28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90"/>
      <c r="B130" s="237"/>
      <c r="C130" s="443" t="s">
        <v>583</v>
      </c>
      <c r="D130" s="237"/>
      <c r="E130" s="264"/>
      <c r="F130" s="237"/>
      <c r="G130" s="237" t="s">
        <v>373</v>
      </c>
      <c r="H130" s="421">
        <v>53400</v>
      </c>
      <c r="I130" s="422">
        <v>45954</v>
      </c>
      <c r="J130" s="237"/>
      <c r="K130" s="28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90"/>
      <c r="B131" s="237"/>
      <c r="C131" s="443" t="s">
        <v>584</v>
      </c>
      <c r="D131" s="237"/>
      <c r="E131" s="264"/>
      <c r="F131" s="237"/>
      <c r="G131" s="237" t="s">
        <v>373</v>
      </c>
      <c r="H131" s="421">
        <v>1526000</v>
      </c>
      <c r="I131" s="422">
        <v>45954</v>
      </c>
      <c r="J131" s="237"/>
      <c r="K131" s="28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90"/>
      <c r="B132" s="237"/>
      <c r="C132" s="443" t="s">
        <v>587</v>
      </c>
      <c r="D132" s="237"/>
      <c r="E132" s="263"/>
      <c r="F132" s="237"/>
      <c r="G132" s="237" t="s">
        <v>373</v>
      </c>
      <c r="H132" s="421">
        <v>3618000</v>
      </c>
      <c r="I132" s="422">
        <v>45954</v>
      </c>
      <c r="J132" s="237"/>
      <c r="K132" s="28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90"/>
      <c r="B133" s="237"/>
      <c r="C133" s="443" t="s">
        <v>588</v>
      </c>
      <c r="D133" s="237"/>
      <c r="E133" s="263"/>
      <c r="F133" s="237"/>
      <c r="G133" s="237" t="s">
        <v>373</v>
      </c>
      <c r="H133" s="421">
        <v>1000000</v>
      </c>
      <c r="I133" s="422">
        <v>45954</v>
      </c>
      <c r="J133" s="237"/>
      <c r="K133" s="28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90"/>
      <c r="B134" s="237"/>
      <c r="C134" s="443" t="s">
        <v>580</v>
      </c>
      <c r="D134" s="237"/>
      <c r="E134" s="263"/>
      <c r="F134" s="237"/>
      <c r="G134" s="237" t="s">
        <v>389</v>
      </c>
      <c r="H134" s="421">
        <v>1194800</v>
      </c>
      <c r="I134" s="422">
        <v>45967</v>
      </c>
      <c r="J134" s="237"/>
      <c r="K134" s="28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90"/>
      <c r="B135" s="237"/>
      <c r="C135" s="443" t="s">
        <v>578</v>
      </c>
      <c r="D135" s="262"/>
      <c r="E135" s="262"/>
      <c r="F135" s="237"/>
      <c r="G135" s="237" t="s">
        <v>389</v>
      </c>
      <c r="H135" s="421">
        <v>1000000</v>
      </c>
      <c r="I135" s="422">
        <v>45972</v>
      </c>
      <c r="J135" s="237"/>
      <c r="K135" s="28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90"/>
      <c r="B136" s="237"/>
      <c r="C136" s="443" t="s">
        <v>579</v>
      </c>
      <c r="D136" s="237"/>
      <c r="E136" s="263"/>
      <c r="F136" s="237"/>
      <c r="G136" s="444" t="s">
        <v>618</v>
      </c>
      <c r="H136" s="421">
        <v>6750000</v>
      </c>
      <c r="I136" s="422">
        <v>45972</v>
      </c>
      <c r="J136" s="264"/>
      <c r="K136" s="28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90"/>
      <c r="B137" s="237"/>
      <c r="C137" s="443" t="s">
        <v>577</v>
      </c>
      <c r="D137" s="237"/>
      <c r="E137" s="263"/>
      <c r="F137" s="237"/>
      <c r="G137" s="444" t="s">
        <v>618</v>
      </c>
      <c r="H137" s="421">
        <v>17886411</v>
      </c>
      <c r="I137" s="422">
        <v>45974</v>
      </c>
      <c r="J137" s="237"/>
      <c r="K137" s="28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90"/>
      <c r="B138" s="237"/>
      <c r="C138" s="443" t="s">
        <v>575</v>
      </c>
      <c r="D138" s="237"/>
      <c r="E138" s="263"/>
      <c r="F138" s="237"/>
      <c r="G138" s="444" t="s">
        <v>618</v>
      </c>
      <c r="H138" s="421">
        <v>14100000</v>
      </c>
      <c r="I138" s="422">
        <v>45980</v>
      </c>
      <c r="J138" s="237"/>
      <c r="K138" s="28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90"/>
      <c r="B139" s="237"/>
      <c r="C139" s="443" t="s">
        <v>576</v>
      </c>
      <c r="D139" s="237"/>
      <c r="E139" s="264"/>
      <c r="F139" s="237"/>
      <c r="G139" s="444" t="s">
        <v>619</v>
      </c>
      <c r="H139" s="421">
        <v>18700000</v>
      </c>
      <c r="I139" s="422">
        <v>45980</v>
      </c>
      <c r="J139" s="237"/>
      <c r="K139" s="28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90"/>
      <c r="B140" s="262"/>
      <c r="C140" s="443" t="s">
        <v>574</v>
      </c>
      <c r="D140" s="231"/>
      <c r="E140" s="262"/>
      <c r="F140" s="262"/>
      <c r="G140" s="237" t="s">
        <v>389</v>
      </c>
      <c r="H140" s="421">
        <v>720000</v>
      </c>
      <c r="I140" s="422">
        <v>45981</v>
      </c>
      <c r="J140" s="237"/>
      <c r="K140" s="28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90"/>
      <c r="B141" s="262"/>
      <c r="C141" s="443" t="s">
        <v>572</v>
      </c>
      <c r="D141" s="231"/>
      <c r="E141" s="262"/>
      <c r="F141" s="262"/>
      <c r="G141" s="237" t="s">
        <v>389</v>
      </c>
      <c r="H141" s="421">
        <v>5100</v>
      </c>
      <c r="I141" s="422">
        <v>45986</v>
      </c>
      <c r="J141" s="237"/>
      <c r="K141" s="28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90"/>
      <c r="B142" s="237"/>
      <c r="C142" s="443" t="s">
        <v>573</v>
      </c>
      <c r="D142" s="237"/>
      <c r="E142" s="264"/>
      <c r="F142" s="440"/>
      <c r="G142" s="237" t="s">
        <v>389</v>
      </c>
      <c r="H142" s="421">
        <v>37000</v>
      </c>
      <c r="I142" s="422">
        <v>45986</v>
      </c>
      <c r="J142" s="237"/>
      <c r="K142" s="28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90"/>
      <c r="B143" s="237"/>
      <c r="C143" s="443" t="s">
        <v>571</v>
      </c>
      <c r="D143" s="237"/>
      <c r="E143" s="264"/>
      <c r="F143" s="237"/>
      <c r="G143" s="237" t="s">
        <v>389</v>
      </c>
      <c r="H143" s="421">
        <v>83700</v>
      </c>
      <c r="I143" s="422">
        <v>45989</v>
      </c>
      <c r="J143" s="237"/>
      <c r="K143" s="28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90"/>
      <c r="B144" s="237"/>
      <c r="C144" s="443" t="s">
        <v>571</v>
      </c>
      <c r="D144" s="237"/>
      <c r="E144" s="264"/>
      <c r="F144" s="237"/>
      <c r="G144" s="237" t="s">
        <v>389</v>
      </c>
      <c r="H144" s="421">
        <v>531534</v>
      </c>
      <c r="I144" s="422">
        <v>45989</v>
      </c>
      <c r="J144" s="237"/>
      <c r="K144" s="28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90"/>
      <c r="B145" s="237"/>
      <c r="C145" s="443" t="s">
        <v>569</v>
      </c>
      <c r="D145" s="237"/>
      <c r="E145" s="264"/>
      <c r="F145" s="237"/>
      <c r="G145" s="237"/>
      <c r="H145" s="421">
        <v>20000000</v>
      </c>
      <c r="I145" s="422"/>
      <c r="J145" s="237"/>
      <c r="K145" s="28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90"/>
      <c r="B146" s="237"/>
      <c r="C146" s="443" t="s">
        <v>570</v>
      </c>
      <c r="D146" s="237"/>
      <c r="E146" s="264"/>
      <c r="F146" s="237"/>
      <c r="G146" s="237"/>
      <c r="H146" s="421">
        <v>21766810</v>
      </c>
      <c r="I146" s="422"/>
      <c r="J146" s="237"/>
      <c r="K146" s="28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90"/>
      <c r="B147" s="237"/>
      <c r="C147" s="440"/>
      <c r="D147" s="237"/>
      <c r="E147" s="264"/>
      <c r="F147" s="237"/>
      <c r="G147" s="237"/>
      <c r="H147" s="264"/>
      <c r="I147" s="282"/>
      <c r="J147" s="237"/>
      <c r="K147" s="28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90"/>
      <c r="B148" s="237"/>
      <c r="C148" s="267"/>
      <c r="D148" s="267"/>
      <c r="E148" s="264"/>
      <c r="F148" s="440"/>
      <c r="G148" s="440"/>
      <c r="H148" s="264"/>
      <c r="I148" s="282"/>
      <c r="J148" s="237"/>
      <c r="K148" s="28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90"/>
      <c r="B149" s="237"/>
      <c r="C149" s="440"/>
      <c r="D149" s="237"/>
      <c r="E149" s="264"/>
      <c r="F149" s="237"/>
      <c r="G149" s="237"/>
      <c r="H149" s="264"/>
      <c r="I149" s="282"/>
      <c r="J149" s="237"/>
      <c r="K149" s="28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90"/>
      <c r="B150" s="237"/>
      <c r="C150" s="267"/>
      <c r="D150" s="267"/>
      <c r="E150" s="264"/>
      <c r="F150" s="440"/>
      <c r="G150" s="440"/>
      <c r="H150" s="264"/>
      <c r="I150" s="282"/>
      <c r="J150" s="237"/>
      <c r="K150" s="28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90"/>
      <c r="B151" s="237"/>
      <c r="C151" s="218"/>
      <c r="D151" s="218"/>
      <c r="E151" s="264"/>
      <c r="F151" s="237"/>
      <c r="G151" s="237"/>
      <c r="H151" s="264"/>
      <c r="I151" s="282"/>
      <c r="J151" s="237"/>
      <c r="K151" s="28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90"/>
      <c r="B152" s="237"/>
      <c r="C152" s="218"/>
      <c r="D152" s="218"/>
      <c r="E152" s="264"/>
      <c r="F152" s="237"/>
      <c r="G152" s="237"/>
      <c r="H152" s="264"/>
      <c r="I152" s="282"/>
      <c r="J152" s="237"/>
      <c r="K152" s="28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90"/>
      <c r="B153" s="237"/>
      <c r="C153" s="218"/>
      <c r="D153" s="218"/>
      <c r="E153" s="264"/>
      <c r="F153" s="237"/>
      <c r="G153" s="237"/>
      <c r="H153" s="264"/>
      <c r="I153" s="282"/>
      <c r="J153" s="237"/>
      <c r="K153" s="28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90"/>
      <c r="B154" s="237"/>
      <c r="C154" s="218"/>
      <c r="D154" s="218"/>
      <c r="E154" s="264"/>
      <c r="F154" s="237"/>
      <c r="G154" s="237"/>
      <c r="H154" s="264"/>
      <c r="I154" s="282"/>
      <c r="J154" s="237"/>
      <c r="K154" s="28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90"/>
      <c r="B155" s="237"/>
      <c r="C155" s="440"/>
      <c r="D155" s="237"/>
      <c r="E155" s="264"/>
      <c r="F155" s="237"/>
      <c r="G155" s="237"/>
      <c r="H155" s="264"/>
      <c r="I155" s="282"/>
      <c r="J155" s="237"/>
      <c r="K155" s="28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90"/>
      <c r="B156" s="237"/>
      <c r="C156" s="440"/>
      <c r="D156" s="237"/>
      <c r="E156" s="264"/>
      <c r="F156" s="237"/>
      <c r="G156" s="237"/>
      <c r="H156" s="264"/>
      <c r="I156" s="282"/>
      <c r="J156" s="237"/>
      <c r="K156" s="28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90"/>
      <c r="B157" s="237"/>
      <c r="C157" s="440"/>
      <c r="D157" s="237"/>
      <c r="E157" s="264"/>
      <c r="F157" s="237"/>
      <c r="G157" s="237"/>
      <c r="H157" s="264"/>
      <c r="I157" s="282"/>
      <c r="J157" s="237"/>
      <c r="K157" s="28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90"/>
      <c r="B158" s="237"/>
      <c r="C158" s="440"/>
      <c r="D158" s="237"/>
      <c r="E158" s="264"/>
      <c r="F158" s="237"/>
      <c r="G158" s="237"/>
      <c r="H158" s="264"/>
      <c r="I158" s="282"/>
      <c r="J158" s="237"/>
      <c r="K158" s="28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90"/>
      <c r="B159" s="237"/>
      <c r="C159" s="267"/>
      <c r="D159" s="267"/>
      <c r="E159" s="264"/>
      <c r="F159" s="440"/>
      <c r="G159" s="440"/>
      <c r="H159" s="264"/>
      <c r="I159" s="282"/>
      <c r="J159" s="237"/>
      <c r="K159" s="28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90"/>
      <c r="B160" s="237"/>
      <c r="C160" s="440"/>
      <c r="D160" s="237"/>
      <c r="E160" s="264"/>
      <c r="F160" s="237"/>
      <c r="G160" s="237"/>
      <c r="H160" s="264"/>
      <c r="I160" s="282"/>
      <c r="J160" s="237"/>
      <c r="K160" s="28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90"/>
      <c r="B161" s="237"/>
      <c r="C161" s="269"/>
      <c r="D161" s="237"/>
      <c r="E161" s="264"/>
      <c r="F161" s="237"/>
      <c r="G161" s="237"/>
      <c r="H161" s="264"/>
      <c r="I161" s="282"/>
      <c r="J161" s="237"/>
      <c r="K161" s="28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90"/>
      <c r="B162" s="237"/>
      <c r="C162" s="269"/>
      <c r="D162" s="237"/>
      <c r="E162" s="264"/>
      <c r="F162" s="237"/>
      <c r="G162" s="237"/>
      <c r="H162" s="264"/>
      <c r="I162" s="282"/>
      <c r="J162" s="237"/>
      <c r="K162" s="28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90"/>
      <c r="B163" s="237"/>
      <c r="C163" s="267"/>
      <c r="D163" s="267"/>
      <c r="E163" s="264"/>
      <c r="F163" s="440"/>
      <c r="G163" s="440"/>
      <c r="H163" s="264"/>
      <c r="I163" s="282"/>
      <c r="J163" s="237"/>
      <c r="K163" s="28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90"/>
      <c r="B164" s="237"/>
      <c r="C164" s="218"/>
      <c r="D164" s="218"/>
      <c r="E164" s="264"/>
      <c r="F164" s="237"/>
      <c r="G164" s="237"/>
      <c r="H164" s="264"/>
      <c r="I164" s="282"/>
      <c r="J164" s="237"/>
      <c r="K164" s="28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90"/>
      <c r="B165" s="237"/>
      <c r="C165" s="442"/>
      <c r="D165" s="218"/>
      <c r="E165" s="264"/>
      <c r="F165" s="237"/>
      <c r="G165" s="237"/>
      <c r="H165" s="264"/>
      <c r="I165" s="282"/>
      <c r="J165" s="237"/>
      <c r="K165" s="28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90"/>
      <c r="B166" s="237"/>
      <c r="C166" s="440"/>
      <c r="D166" s="237"/>
      <c r="E166" s="264"/>
      <c r="F166" s="237"/>
      <c r="G166" s="237"/>
      <c r="H166" s="264"/>
      <c r="I166" s="282"/>
      <c r="J166" s="237"/>
      <c r="K166" s="28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90"/>
      <c r="B167" s="237"/>
      <c r="C167" s="267"/>
      <c r="D167" s="267"/>
      <c r="E167" s="264"/>
      <c r="F167" s="440"/>
      <c r="G167" s="237"/>
      <c r="H167" s="264"/>
      <c r="I167" s="282"/>
      <c r="J167" s="237"/>
      <c r="K167" s="28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90"/>
      <c r="B168" s="237"/>
      <c r="C168" s="440"/>
      <c r="D168" s="237"/>
      <c r="E168" s="264"/>
      <c r="F168" s="237"/>
      <c r="G168" s="237"/>
      <c r="H168" s="264"/>
      <c r="I168" s="282"/>
      <c r="J168" s="237"/>
      <c r="K168" s="28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90"/>
      <c r="B169" s="237"/>
      <c r="C169" s="440"/>
      <c r="D169" s="237"/>
      <c r="E169" s="264"/>
      <c r="F169" s="237"/>
      <c r="G169" s="237"/>
      <c r="H169" s="264"/>
      <c r="I169" s="282"/>
      <c r="J169" s="237"/>
      <c r="K169" s="28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90"/>
      <c r="B170" s="237"/>
      <c r="C170" s="440"/>
      <c r="D170" s="237"/>
      <c r="E170" s="264"/>
      <c r="F170" s="237"/>
      <c r="G170" s="237"/>
      <c r="H170" s="264"/>
      <c r="I170" s="282"/>
      <c r="J170" s="237"/>
      <c r="K170" s="28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90"/>
      <c r="B171" s="237"/>
      <c r="C171" s="267"/>
      <c r="D171" s="267"/>
      <c r="E171" s="264"/>
      <c r="F171" s="440"/>
      <c r="G171" s="237"/>
      <c r="H171" s="264"/>
      <c r="I171" s="282"/>
      <c r="J171" s="237"/>
      <c r="K171" s="28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90"/>
      <c r="B172" s="237"/>
      <c r="C172" s="440"/>
      <c r="D172" s="237"/>
      <c r="E172" s="264"/>
      <c r="F172" s="237"/>
      <c r="G172" s="237"/>
      <c r="H172" s="264"/>
      <c r="I172" s="282"/>
      <c r="J172" s="237"/>
      <c r="K172" s="28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90"/>
      <c r="B173" s="237"/>
      <c r="C173" s="218"/>
      <c r="D173" s="218"/>
      <c r="E173" s="264"/>
      <c r="F173" s="237"/>
      <c r="G173" s="237"/>
      <c r="H173" s="264"/>
      <c r="I173" s="282"/>
      <c r="J173" s="237"/>
      <c r="K173" s="28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90"/>
      <c r="B174" s="237"/>
      <c r="C174" s="218"/>
      <c r="D174" s="218"/>
      <c r="E174" s="264"/>
      <c r="F174" s="237"/>
      <c r="G174" s="237"/>
      <c r="H174" s="264"/>
      <c r="I174" s="282"/>
      <c r="J174" s="237"/>
      <c r="K174" s="28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90"/>
      <c r="B175" s="237"/>
      <c r="C175" s="440"/>
      <c r="D175" s="237"/>
      <c r="E175" s="264"/>
      <c r="F175" s="237"/>
      <c r="G175" s="237"/>
      <c r="H175" s="264"/>
      <c r="I175" s="282"/>
      <c r="J175" s="237"/>
      <c r="K175" s="28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04"/>
      <c r="B176" s="237"/>
      <c r="C176" s="267"/>
      <c r="D176" s="267"/>
      <c r="E176" s="264"/>
      <c r="F176" s="440"/>
      <c r="G176" s="237"/>
      <c r="H176" s="264"/>
      <c r="I176" s="282"/>
      <c r="J176" s="237"/>
      <c r="K176" s="28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581" t="s">
        <v>271</v>
      </c>
      <c r="B177" s="520"/>
      <c r="C177" s="271">
        <f>예산!G129</f>
        <v>1152391174</v>
      </c>
      <c r="D177" s="436"/>
      <c r="E177" s="437">
        <f>SUM(E176,E167,E163,E159,E150,E148,E142,E126,E124,E115)</f>
        <v>0</v>
      </c>
      <c r="F177" s="438"/>
      <c r="G177" s="439"/>
      <c r="H177" s="276">
        <f>SUM(H77:H176)</f>
        <v>921669297</v>
      </c>
      <c r="I177" s="636"/>
      <c r="J177" s="637"/>
      <c r="K177" s="277">
        <f t="shared" ref="K177:K178" si="2">H177/C177</f>
        <v>0.79978857682573679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272</v>
      </c>
      <c r="B178" s="112"/>
      <c r="C178" s="113">
        <f>SUM(C177,C76,C56,C39,C26)</f>
        <v>2912086822.4000001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0.48330549253338084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  <mergeCell ref="B23:D23"/>
    <mergeCell ref="B25:D25"/>
    <mergeCell ref="A26:B26"/>
    <mergeCell ref="A27:A38"/>
    <mergeCell ref="A39:B39"/>
    <mergeCell ref="A4:A25"/>
    <mergeCell ref="X2:Y2"/>
    <mergeCell ref="Z2:AA2"/>
    <mergeCell ref="E6:F6"/>
    <mergeCell ref="P2:Q2"/>
    <mergeCell ref="R2:S2"/>
    <mergeCell ref="T2:U2"/>
    <mergeCell ref="V2:W2"/>
    <mergeCell ref="E7:F7"/>
    <mergeCell ref="K4:K14"/>
    <mergeCell ref="D3:F3"/>
    <mergeCell ref="A1:K1"/>
    <mergeCell ref="E4:F4"/>
    <mergeCell ref="E5:F5"/>
    <mergeCell ref="B4:B22"/>
    <mergeCell ref="C4:C22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32" t="s">
        <v>283</v>
      </c>
      <c r="B1" s="510"/>
      <c r="C1" s="510"/>
      <c r="D1" s="510"/>
      <c r="E1" s="510"/>
      <c r="F1" s="510"/>
      <c r="G1" s="510"/>
      <c r="H1" s="510"/>
      <c r="I1" s="510"/>
      <c r="J1" s="510"/>
      <c r="K1" s="510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40" t="s">
        <v>7</v>
      </c>
      <c r="Q2" s="496"/>
      <c r="R2" s="534" t="s">
        <v>240</v>
      </c>
      <c r="S2" s="496"/>
      <c r="T2" s="640" t="s">
        <v>31</v>
      </c>
      <c r="U2" s="496"/>
      <c r="V2" s="640" t="s">
        <v>72</v>
      </c>
      <c r="W2" s="496"/>
      <c r="X2" s="640" t="s">
        <v>84</v>
      </c>
      <c r="Y2" s="496"/>
      <c r="Z2" s="640" t="s">
        <v>241</v>
      </c>
      <c r="AA2" s="496"/>
    </row>
    <row r="3" spans="1:27" ht="16.5" customHeight="1">
      <c r="A3" s="72" t="s">
        <v>242</v>
      </c>
      <c r="B3" s="73" t="s">
        <v>243</v>
      </c>
      <c r="C3" s="74" t="s">
        <v>0</v>
      </c>
      <c r="D3" s="548" t="s">
        <v>244</v>
      </c>
      <c r="E3" s="549"/>
      <c r="F3" s="550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58" t="s">
        <v>7</v>
      </c>
      <c r="B4" s="552" t="s">
        <v>251</v>
      </c>
      <c r="C4" s="555">
        <f>예산!P5</f>
        <v>4028892</v>
      </c>
      <c r="D4" s="85" t="s">
        <v>15</v>
      </c>
      <c r="E4" s="545">
        <f>예산!P7</f>
        <v>2439392</v>
      </c>
      <c r="F4" s="496"/>
      <c r="G4" s="85" t="s">
        <v>224</v>
      </c>
      <c r="H4" s="86">
        <f>예산!N7+예산!N8</f>
        <v>3405260</v>
      </c>
      <c r="I4" s="87">
        <v>45776</v>
      </c>
      <c r="J4" s="85"/>
      <c r="K4" s="536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92"/>
      <c r="B5" s="492"/>
      <c r="C5" s="492"/>
      <c r="D5" s="85" t="s">
        <v>19</v>
      </c>
      <c r="E5" s="545">
        <f>예산!P8</f>
        <v>1589500</v>
      </c>
      <c r="F5" s="496"/>
      <c r="G5" s="85" t="s">
        <v>225</v>
      </c>
      <c r="H5" s="86">
        <f>예산!N7-1192128</f>
        <v>623632</v>
      </c>
      <c r="I5" s="87"/>
      <c r="J5" s="85"/>
      <c r="K5" s="492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92"/>
      <c r="B6" s="492"/>
      <c r="C6" s="492"/>
      <c r="D6" s="85" t="s">
        <v>252</v>
      </c>
      <c r="E6" s="545"/>
      <c r="F6" s="496"/>
      <c r="G6" s="85"/>
      <c r="H6" s="86"/>
      <c r="I6" s="87"/>
      <c r="J6" s="85"/>
      <c r="K6" s="492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92"/>
      <c r="B7" s="492"/>
      <c r="C7" s="492"/>
      <c r="D7" s="85" t="s">
        <v>252</v>
      </c>
      <c r="E7" s="545"/>
      <c r="F7" s="496"/>
      <c r="G7" s="85"/>
      <c r="H7" s="86"/>
      <c r="I7" s="87"/>
      <c r="J7" s="85"/>
      <c r="K7" s="492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92"/>
      <c r="B8" s="492"/>
      <c r="C8" s="492"/>
      <c r="D8" s="641"/>
      <c r="E8" s="642"/>
      <c r="F8" s="614"/>
      <c r="G8" s="85"/>
      <c r="H8" s="86"/>
      <c r="I8" s="87"/>
      <c r="J8" s="85"/>
      <c r="K8" s="492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92"/>
      <c r="B9" s="492"/>
      <c r="C9" s="492"/>
      <c r="D9" s="490"/>
      <c r="E9" s="510"/>
      <c r="F9" s="637"/>
      <c r="G9" s="85"/>
      <c r="H9" s="86"/>
      <c r="I9" s="87"/>
      <c r="J9" s="85"/>
      <c r="K9" s="492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92"/>
      <c r="B10" s="492"/>
      <c r="C10" s="492"/>
      <c r="D10" s="490"/>
      <c r="E10" s="510"/>
      <c r="F10" s="637"/>
      <c r="G10" s="85"/>
      <c r="H10" s="86"/>
      <c r="I10" s="87"/>
      <c r="J10" s="85"/>
      <c r="K10" s="492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92"/>
      <c r="B11" s="492"/>
      <c r="C11" s="492"/>
      <c r="D11" s="490"/>
      <c r="E11" s="510"/>
      <c r="F11" s="637"/>
      <c r="G11" s="85"/>
      <c r="H11" s="86"/>
      <c r="I11" s="87"/>
      <c r="J11" s="85"/>
      <c r="K11" s="492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92"/>
      <c r="B12" s="492"/>
      <c r="C12" s="492"/>
      <c r="D12" s="490"/>
      <c r="E12" s="510"/>
      <c r="F12" s="637"/>
      <c r="G12" s="85"/>
      <c r="H12" s="86"/>
      <c r="I12" s="87"/>
      <c r="J12" s="85"/>
      <c r="K12" s="492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92"/>
      <c r="B13" s="492"/>
      <c r="C13" s="492"/>
      <c r="D13" s="490"/>
      <c r="E13" s="510"/>
      <c r="F13" s="637"/>
      <c r="G13" s="85"/>
      <c r="H13" s="86"/>
      <c r="I13" s="87"/>
      <c r="J13" s="85"/>
      <c r="K13" s="492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92"/>
      <c r="B14" s="493"/>
      <c r="C14" s="493"/>
      <c r="D14" s="504"/>
      <c r="E14" s="596"/>
      <c r="F14" s="597"/>
      <c r="G14" s="85"/>
      <c r="H14" s="86"/>
      <c r="I14" s="87"/>
      <c r="J14" s="85"/>
      <c r="K14" s="493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92"/>
      <c r="B15" s="556" t="s">
        <v>21</v>
      </c>
      <c r="C15" s="495"/>
      <c r="D15" s="496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92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93"/>
      <c r="B17" s="556" t="s">
        <v>21</v>
      </c>
      <c r="C17" s="495"/>
      <c r="D17" s="496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57" t="s">
        <v>253</v>
      </c>
      <c r="B18" s="495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54"/>
      <c r="J18" s="496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58" t="s">
        <v>240</v>
      </c>
      <c r="B19" s="552" t="s">
        <v>240</v>
      </c>
      <c r="C19" s="638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92"/>
      <c r="B20" s="492"/>
      <c r="C20" s="492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92"/>
      <c r="B21" s="492"/>
      <c r="C21" s="492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92"/>
      <c r="B22" s="492"/>
      <c r="C22" s="492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92"/>
      <c r="B23" s="492"/>
      <c r="C23" s="492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92"/>
      <c r="B24" s="492"/>
      <c r="C24" s="492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92"/>
      <c r="B25" s="492"/>
      <c r="C25" s="492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92"/>
      <c r="B26" s="492"/>
      <c r="C26" s="492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92"/>
      <c r="B27" s="492"/>
      <c r="C27" s="492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92"/>
      <c r="B28" s="492"/>
      <c r="C28" s="492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93"/>
      <c r="B29" s="493"/>
      <c r="C29" s="639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57" t="s">
        <v>254</v>
      </c>
      <c r="B30" s="495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54"/>
      <c r="J30" s="496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58" t="s">
        <v>31</v>
      </c>
      <c r="B31" s="552" t="s">
        <v>255</v>
      </c>
      <c r="C31" s="638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92"/>
      <c r="B32" s="492"/>
      <c r="C32" s="492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92"/>
      <c r="B33" s="492"/>
      <c r="C33" s="492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92"/>
      <c r="B34" s="492"/>
      <c r="C34" s="492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92"/>
      <c r="B35" s="493"/>
      <c r="C35" s="493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92"/>
      <c r="B36" s="556" t="s">
        <v>21</v>
      </c>
      <c r="C36" s="495"/>
      <c r="D36" s="496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92"/>
      <c r="B37" s="552" t="s">
        <v>70</v>
      </c>
      <c r="C37" s="555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92"/>
      <c r="B38" s="492"/>
      <c r="C38" s="492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92"/>
      <c r="B39" s="493"/>
      <c r="C39" s="493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93"/>
      <c r="B40" s="556" t="s">
        <v>21</v>
      </c>
      <c r="C40" s="495"/>
      <c r="D40" s="496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57" t="s">
        <v>256</v>
      </c>
      <c r="B41" s="495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54"/>
      <c r="J41" s="496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58" t="s">
        <v>72</v>
      </c>
      <c r="B42" s="552" t="s">
        <v>257</v>
      </c>
      <c r="C42" s="638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92"/>
      <c r="B43" s="492"/>
      <c r="C43" s="492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92"/>
      <c r="B44" s="492"/>
      <c r="C44" s="492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92"/>
      <c r="B45" s="493"/>
      <c r="C45" s="493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92"/>
      <c r="B46" s="552" t="s">
        <v>261</v>
      </c>
      <c r="C46" s="555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93"/>
      <c r="B47" s="493"/>
      <c r="C47" s="639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57" t="s">
        <v>263</v>
      </c>
      <c r="B48" s="495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54"/>
      <c r="J48" s="496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58" t="s">
        <v>84</v>
      </c>
      <c r="B49" s="552" t="s">
        <v>94</v>
      </c>
      <c r="C49" s="555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92"/>
      <c r="B50" s="492"/>
      <c r="C50" s="4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92"/>
      <c r="B51" s="492"/>
      <c r="C51" s="492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92"/>
      <c r="B52" s="492"/>
      <c r="C52" s="4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92"/>
      <c r="B53" s="492"/>
      <c r="C53" s="492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92"/>
      <c r="B54" s="492"/>
      <c r="C54" s="492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92"/>
      <c r="B55" s="492"/>
      <c r="C55" s="492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92"/>
      <c r="B56" s="493"/>
      <c r="C56" s="493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92"/>
      <c r="B57" s="556" t="s">
        <v>21</v>
      </c>
      <c r="C57" s="495"/>
      <c r="D57" s="496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92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92"/>
      <c r="B59" s="556" t="s">
        <v>21</v>
      </c>
      <c r="C59" s="495"/>
      <c r="D59" s="496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92"/>
      <c r="B60" s="552" t="s">
        <v>135</v>
      </c>
      <c r="C60" s="555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92"/>
      <c r="B61" s="492"/>
      <c r="C61" s="492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92"/>
      <c r="B62" s="492"/>
      <c r="C62" s="492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92"/>
      <c r="B63" s="492"/>
      <c r="C63" s="492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92"/>
      <c r="B64" s="492"/>
      <c r="C64" s="492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92"/>
      <c r="B65" s="492"/>
      <c r="C65" s="492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92"/>
      <c r="B66" s="492"/>
      <c r="C66" s="492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92"/>
      <c r="B67" s="492"/>
      <c r="C67" s="492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92"/>
      <c r="B68" s="492"/>
      <c r="C68" s="492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92"/>
      <c r="B69" s="492"/>
      <c r="C69" s="492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92"/>
      <c r="B70" s="493"/>
      <c r="C70" s="493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92"/>
      <c r="B71" s="556" t="s">
        <v>21</v>
      </c>
      <c r="C71" s="495"/>
      <c r="D71" s="496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92"/>
      <c r="B72" s="552" t="s">
        <v>116</v>
      </c>
      <c r="C72" s="555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92"/>
      <c r="B73" s="492"/>
      <c r="C73" s="492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92"/>
      <c r="B74" s="492"/>
      <c r="C74" s="492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92"/>
      <c r="B75" s="492"/>
      <c r="C75" s="492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92"/>
      <c r="B76" s="493"/>
      <c r="C76" s="493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92"/>
      <c r="B77" s="556" t="s">
        <v>21</v>
      </c>
      <c r="C77" s="495"/>
      <c r="D77" s="496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92"/>
      <c r="B78" s="552" t="s">
        <v>105</v>
      </c>
      <c r="C78" s="555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92"/>
      <c r="B79" s="492"/>
      <c r="C79" s="492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92"/>
      <c r="B80" s="492"/>
      <c r="C80" s="492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92"/>
      <c r="B81" s="492"/>
      <c r="C81" s="492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92"/>
      <c r="B82" s="492"/>
      <c r="C82" s="492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92"/>
      <c r="B83" s="492"/>
      <c r="C83" s="492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92"/>
      <c r="B84" s="492"/>
      <c r="C84" s="492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92"/>
      <c r="B85" s="493"/>
      <c r="C85" s="493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92"/>
      <c r="B86" s="556" t="s">
        <v>21</v>
      </c>
      <c r="C86" s="495"/>
      <c r="D86" s="496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92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80"/>
      <c r="J87" s="547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92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92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92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92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92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92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92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92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92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92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92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92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92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92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92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92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92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92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92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92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92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92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92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92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92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92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92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92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92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92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92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92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92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93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2025-12-01T08:38:09Z</dcterms:modified>
</cp:coreProperties>
</file>