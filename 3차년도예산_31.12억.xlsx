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A666246F-18F2-488D-A972-1022FC498800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3차년도 전체요약" sheetId="7" r:id="rId1"/>
    <sheet name="예산" sheetId="1" r:id="rId2"/>
    <sheet name="소진일정" sheetId="3" r:id="rId3"/>
    <sheet name="재정투자 계획 총괄표, 대응자금" sheetId="5" r:id="rId4"/>
    <sheet name="3차년도 사업비 편성 총괄표" sheetId="6" r:id="rId5"/>
    <sheet name="3차년도 사업비 소진현황 (지출)" sheetId="2" r:id="rId6"/>
    <sheet name="이월금일정" sheetId="4" r:id="rId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YqvxSmUAwfoVq9VMUojRlI+CRAo5AnRubcSFVVc9yF0="/>
    </ext>
  </extLst>
</workbook>
</file>

<file path=xl/calcChain.xml><?xml version="1.0" encoding="utf-8"?>
<calcChain xmlns="http://schemas.openxmlformats.org/spreadsheetml/2006/main">
  <c r="I4" i="7" l="1"/>
  <c r="F221" i="1"/>
  <c r="G190" i="1"/>
  <c r="G195" i="1"/>
  <c r="I10" i="7"/>
  <c r="F220" i="1"/>
  <c r="E159" i="1"/>
  <c r="G159" i="1" s="1"/>
  <c r="G185" i="1"/>
  <c r="G194" i="1"/>
  <c r="E220" i="1"/>
  <c r="G252" i="1"/>
  <c r="G253" i="1"/>
  <c r="G256" i="1"/>
  <c r="G251" i="1"/>
  <c r="G257" i="1"/>
  <c r="G255" i="1"/>
  <c r="G250" i="1"/>
  <c r="E12" i="7"/>
  <c r="J10" i="7"/>
  <c r="F151" i="1"/>
  <c r="F171" i="1"/>
  <c r="F150" i="1"/>
  <c r="F149" i="1"/>
  <c r="G220" i="1" l="1"/>
  <c r="H138" i="3"/>
  <c r="H139" i="3"/>
  <c r="E13" i="7"/>
  <c r="H30" i="3"/>
  <c r="H29" i="3"/>
  <c r="H26" i="3"/>
  <c r="H27" i="3"/>
  <c r="H28" i="3"/>
  <c r="H25" i="3"/>
  <c r="E184" i="3"/>
  <c r="H184" i="3" s="1"/>
  <c r="F177" i="1" l="1"/>
  <c r="G180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/>
  <c r="G121" i="1"/>
  <c r="H65" i="3" s="1"/>
  <c r="G122" i="1"/>
  <c r="H66" i="3" s="1"/>
  <c r="G123" i="1"/>
  <c r="H67" i="3" s="1"/>
  <c r="G124" i="1"/>
  <c r="G193" i="1"/>
  <c r="F176" i="1"/>
  <c r="G176" i="1" s="1"/>
  <c r="E147" i="3" s="1"/>
  <c r="H147" i="3" s="1"/>
  <c r="F178" i="1"/>
  <c r="G178" i="1" s="1"/>
  <c r="G158" i="1"/>
  <c r="G160" i="1" s="1"/>
  <c r="H101" i="3"/>
  <c r="H100" i="3"/>
  <c r="E109" i="3"/>
  <c r="E135" i="1"/>
  <c r="G135" i="1" s="1"/>
  <c r="H77" i="3"/>
  <c r="AN7" i="3" s="1"/>
  <c r="G171" i="1"/>
  <c r="H107" i="3"/>
  <c r="G81" i="1"/>
  <c r="G80" i="1"/>
  <c r="L126" i="1"/>
  <c r="P126" i="1" s="1"/>
  <c r="R126" i="1" s="1"/>
  <c r="C226" i="1" s="1"/>
  <c r="G226" i="1" s="1"/>
  <c r="G192" i="1"/>
  <c r="E84" i="3"/>
  <c r="G79" i="1"/>
  <c r="G242" i="1"/>
  <c r="G243" i="1"/>
  <c r="G244" i="1"/>
  <c r="G246" i="1"/>
  <c r="G247" i="1"/>
  <c r="G248" i="1"/>
  <c r="G249" i="1"/>
  <c r="H183" i="3" s="1"/>
  <c r="H99" i="3"/>
  <c r="E87" i="3"/>
  <c r="H87" i="3" s="1"/>
  <c r="E86" i="3"/>
  <c r="H86" i="3" s="1"/>
  <c r="H85" i="3"/>
  <c r="H76" i="3"/>
  <c r="H73" i="3"/>
  <c r="H74" i="3"/>
  <c r="H75" i="3"/>
  <c r="H97" i="2"/>
  <c r="E90" i="3"/>
  <c r="H90" i="3" s="1"/>
  <c r="E89" i="3"/>
  <c r="H89" i="3" s="1"/>
  <c r="AD2" i="2"/>
  <c r="E100" i="2"/>
  <c r="H81" i="2"/>
  <c r="H80" i="2"/>
  <c r="H140" i="2"/>
  <c r="E124" i="2"/>
  <c r="H124" i="2" s="1"/>
  <c r="E123" i="2"/>
  <c r="H123" i="2" s="1"/>
  <c r="H116" i="2"/>
  <c r="E99" i="2"/>
  <c r="H99" i="2"/>
  <c r="H96" i="2"/>
  <c r="H95" i="2"/>
  <c r="H85" i="2"/>
  <c r="H84" i="2"/>
  <c r="H83" i="2"/>
  <c r="H79" i="2"/>
  <c r="H78" i="2"/>
  <c r="H77" i="2"/>
  <c r="H76" i="2"/>
  <c r="H75" i="2"/>
  <c r="H70" i="2"/>
  <c r="H69" i="2"/>
  <c r="H68" i="2"/>
  <c r="H67" i="2"/>
  <c r="H52" i="2"/>
  <c r="H40" i="2"/>
  <c r="H39" i="2"/>
  <c r="H38" i="2"/>
  <c r="H37" i="2"/>
  <c r="H30" i="2"/>
  <c r="H29" i="2"/>
  <c r="H28" i="2"/>
  <c r="H27" i="2"/>
  <c r="H26" i="2"/>
  <c r="H25" i="2"/>
  <c r="H24" i="2"/>
  <c r="H23" i="2"/>
  <c r="H22" i="2"/>
  <c r="H21" i="2"/>
  <c r="H20" i="2"/>
  <c r="H19" i="2"/>
  <c r="H6" i="2"/>
  <c r="H5" i="2"/>
  <c r="H4" i="2"/>
  <c r="AE2" i="2" s="1"/>
  <c r="G136" i="1"/>
  <c r="H31" i="2"/>
  <c r="G174" i="1"/>
  <c r="G175" i="1"/>
  <c r="G177" i="1"/>
  <c r="E148" i="3" s="1"/>
  <c r="H148" i="3" s="1"/>
  <c r="G179" i="1"/>
  <c r="G181" i="1"/>
  <c r="E126" i="2" s="1"/>
  <c r="H126" i="2" s="1"/>
  <c r="F152" i="1"/>
  <c r="G152" i="1" s="1"/>
  <c r="H96" i="3"/>
  <c r="H97" i="3"/>
  <c r="H94" i="3"/>
  <c r="H95" i="3"/>
  <c r="H93" i="3"/>
  <c r="AM7" i="3"/>
  <c r="H106" i="3"/>
  <c r="H105" i="3"/>
  <c r="AJ7" i="3"/>
  <c r="H102" i="3"/>
  <c r="H104" i="3"/>
  <c r="AG7" i="3" s="1"/>
  <c r="H92" i="3"/>
  <c r="AD8" i="3"/>
  <c r="AE8" i="3" s="1"/>
  <c r="AE7" i="3"/>
  <c r="AD7" i="3"/>
  <c r="E108" i="3"/>
  <c r="H108" i="3" s="1"/>
  <c r="E136" i="3"/>
  <c r="H136" i="3" s="1"/>
  <c r="E137" i="3"/>
  <c r="H137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30" i="1"/>
  <c r="G229" i="1"/>
  <c r="E9" i="1"/>
  <c r="H11" i="2" s="1"/>
  <c r="Q8" i="1"/>
  <c r="G237" i="1"/>
  <c r="C16" i="6" s="1"/>
  <c r="G241" i="1"/>
  <c r="G7" i="1"/>
  <c r="E4" i="2" s="1"/>
  <c r="G138" i="1"/>
  <c r="H4" i="3"/>
  <c r="G78" i="1"/>
  <c r="F148" i="1"/>
  <c r="G148" i="1" s="1"/>
  <c r="E109" i="2" s="1"/>
  <c r="F147" i="1"/>
  <c r="G147" i="1"/>
  <c r="E117" i="3" s="1"/>
  <c r="F170" i="1"/>
  <c r="G170" i="1" s="1"/>
  <c r="E119" i="2" s="1"/>
  <c r="H119" i="2" s="1"/>
  <c r="G168" i="1"/>
  <c r="G169" i="1"/>
  <c r="G183" i="1"/>
  <c r="E146" i="3" s="1"/>
  <c r="H146" i="3" s="1"/>
  <c r="G101" i="1"/>
  <c r="G102" i="1"/>
  <c r="G103" i="1"/>
  <c r="G12" i="1"/>
  <c r="E9" i="3" s="1"/>
  <c r="G77" i="1"/>
  <c r="G76" i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109" i="3"/>
  <c r="H24" i="3"/>
  <c r="H23" i="3"/>
  <c r="H22" i="3"/>
  <c r="H21" i="3"/>
  <c r="H20" i="3"/>
  <c r="H19" i="3"/>
  <c r="AD2" i="3" s="1"/>
  <c r="H5" i="3"/>
  <c r="G245" i="1"/>
  <c r="G228" i="1"/>
  <c r="H160" i="2" s="1"/>
  <c r="G221" i="1"/>
  <c r="H174" i="3" s="1"/>
  <c r="H154" i="2"/>
  <c r="G215" i="1"/>
  <c r="H152" i="2" s="1"/>
  <c r="G214" i="1"/>
  <c r="H170" i="3" s="1"/>
  <c r="G209" i="1"/>
  <c r="H144" i="2" s="1"/>
  <c r="Z3" i="2" s="1"/>
  <c r="G208" i="1"/>
  <c r="E162" i="3" s="1"/>
  <c r="G207" i="1"/>
  <c r="E161" i="3" s="1"/>
  <c r="G206" i="1"/>
  <c r="E160" i="3" s="1"/>
  <c r="G201" i="1"/>
  <c r="H158" i="3" s="1"/>
  <c r="H159" i="3" s="1"/>
  <c r="G196" i="1"/>
  <c r="G191" i="1"/>
  <c r="E134" i="2" s="1"/>
  <c r="H133" i="2"/>
  <c r="G184" i="1"/>
  <c r="E128" i="2" s="1"/>
  <c r="H128" i="2" s="1"/>
  <c r="G182" i="1"/>
  <c r="E144" i="3" s="1"/>
  <c r="H144" i="3" s="1"/>
  <c r="G173" i="1"/>
  <c r="E122" i="2" s="1"/>
  <c r="H122" i="2" s="1"/>
  <c r="G172" i="1"/>
  <c r="E130" i="3" s="1"/>
  <c r="H130" i="3" s="1"/>
  <c r="G167" i="1"/>
  <c r="E127" i="3" s="1"/>
  <c r="H127" i="3" s="1"/>
  <c r="G166" i="1"/>
  <c r="G165" i="1"/>
  <c r="C158" i="1"/>
  <c r="L156" i="1"/>
  <c r="L154" i="1"/>
  <c r="L153" i="1"/>
  <c r="G149" i="1"/>
  <c r="H119" i="3" s="1"/>
  <c r="G146" i="1"/>
  <c r="E107" i="2" s="1"/>
  <c r="G145" i="1"/>
  <c r="H106" i="2" s="1"/>
  <c r="G140" i="1"/>
  <c r="G137" i="1"/>
  <c r="P134" i="1"/>
  <c r="G134" i="1"/>
  <c r="P133" i="1"/>
  <c r="G133" i="1"/>
  <c r="G132" i="1"/>
  <c r="L127" i="1"/>
  <c r="P127" i="1" s="1"/>
  <c r="G109" i="1"/>
  <c r="G108" i="1"/>
  <c r="E51" i="3" s="1"/>
  <c r="F106" i="1"/>
  <c r="G105" i="1"/>
  <c r="G104" i="1"/>
  <c r="P100" i="1"/>
  <c r="P102" i="1" s="1"/>
  <c r="C58" i="4" s="1"/>
  <c r="G100" i="1"/>
  <c r="H47" i="2" s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P83" i="1"/>
  <c r="G73" i="1"/>
  <c r="E36" i="3" s="1"/>
  <c r="H36" i="3" s="1"/>
  <c r="G72" i="1"/>
  <c r="E34" i="2" s="1"/>
  <c r="H34" i="2" s="1"/>
  <c r="G71" i="1"/>
  <c r="E34" i="3" s="1"/>
  <c r="H34" i="3" s="1"/>
  <c r="P69" i="1"/>
  <c r="G69" i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R29" i="1"/>
  <c r="G70" i="1" s="1"/>
  <c r="G29" i="1"/>
  <c r="G28" i="1"/>
  <c r="L15" i="1"/>
  <c r="G11" i="1"/>
  <c r="E8" i="3" s="1"/>
  <c r="G10" i="1"/>
  <c r="E7" i="3" s="1"/>
  <c r="E6" i="2"/>
  <c r="P8" i="1"/>
  <c r="E5" i="4" s="1"/>
  <c r="G8" i="1"/>
  <c r="E5" i="2" s="1"/>
  <c r="P7" i="1"/>
  <c r="E4" i="4" s="1"/>
  <c r="Q3" i="1"/>
  <c r="C2" i="1"/>
  <c r="C3" i="1" s="1"/>
  <c r="F27" i="6"/>
  <c r="T3" i="4"/>
  <c r="H125" i="3"/>
  <c r="F24" i="5"/>
  <c r="R3" i="2"/>
  <c r="AA3" i="2"/>
  <c r="Y3" i="2"/>
  <c r="E32" i="2" l="1"/>
  <c r="H32" i="2" s="1"/>
  <c r="E117" i="2"/>
  <c r="H117" i="2" s="1"/>
  <c r="G186" i="1"/>
  <c r="G258" i="1"/>
  <c r="E42" i="2"/>
  <c r="H55" i="3"/>
  <c r="F125" i="1"/>
  <c r="G125" i="1" s="1"/>
  <c r="AF7" i="3"/>
  <c r="AO7" i="3"/>
  <c r="E88" i="3"/>
  <c r="AF8" i="3"/>
  <c r="AG8" i="3" s="1"/>
  <c r="AH8" i="3" s="1"/>
  <c r="AI8" i="3" s="1"/>
  <c r="AJ8" i="3" s="1"/>
  <c r="AK8" i="3" s="1"/>
  <c r="AL8" i="3" s="1"/>
  <c r="AM8" i="3" s="1"/>
  <c r="AN8" i="3" s="1"/>
  <c r="AO8" i="3" s="1"/>
  <c r="E55" i="3"/>
  <c r="E149" i="3"/>
  <c r="H149" i="3" s="1"/>
  <c r="H84" i="3"/>
  <c r="AK7" i="3"/>
  <c r="AH7" i="3"/>
  <c r="AL7" i="3"/>
  <c r="AE2" i="3"/>
  <c r="H31" i="3"/>
  <c r="R3" i="3" s="1"/>
  <c r="H114" i="3"/>
  <c r="H151" i="2"/>
  <c r="H153" i="2" s="1"/>
  <c r="E58" i="4"/>
  <c r="E59" i="4" s="1"/>
  <c r="E141" i="2"/>
  <c r="E144" i="2"/>
  <c r="E43" i="2"/>
  <c r="H8" i="3"/>
  <c r="AI2" i="3" s="1"/>
  <c r="H10" i="3"/>
  <c r="H13" i="3"/>
  <c r="E7" i="2"/>
  <c r="E15" i="2" s="1"/>
  <c r="E50" i="3"/>
  <c r="L158" i="1"/>
  <c r="H11" i="3"/>
  <c r="H12" i="3"/>
  <c r="H7" i="2"/>
  <c r="H9" i="2"/>
  <c r="H12" i="2"/>
  <c r="H163" i="3"/>
  <c r="H15" i="4"/>
  <c r="H18" i="4" s="1"/>
  <c r="H88" i="4" s="1"/>
  <c r="H14" i="2"/>
  <c r="H7" i="3"/>
  <c r="P54" i="1"/>
  <c r="P50" i="1" s="1"/>
  <c r="R50" i="1" s="1"/>
  <c r="E53" i="2"/>
  <c r="E35" i="3"/>
  <c r="H35" i="3" s="1"/>
  <c r="P135" i="1"/>
  <c r="E86" i="4"/>
  <c r="H50" i="3"/>
  <c r="AG2" i="3" s="1"/>
  <c r="E106" i="2"/>
  <c r="H53" i="2"/>
  <c r="E49" i="2"/>
  <c r="H49" i="2"/>
  <c r="E151" i="2"/>
  <c r="E179" i="3"/>
  <c r="E124" i="3"/>
  <c r="E153" i="3"/>
  <c r="E4" i="3"/>
  <c r="H153" i="3"/>
  <c r="E42" i="4"/>
  <c r="E48" i="4" s="1"/>
  <c r="H182" i="3"/>
  <c r="E33" i="2"/>
  <c r="H33" i="2" s="1"/>
  <c r="H134" i="2"/>
  <c r="H138" i="2" s="1"/>
  <c r="E126" i="3"/>
  <c r="H126" i="3" s="1"/>
  <c r="E135" i="3"/>
  <c r="H135" i="3" s="1"/>
  <c r="H179" i="3"/>
  <c r="E129" i="2"/>
  <c r="H129" i="2" s="1"/>
  <c r="H51" i="3"/>
  <c r="H49" i="3"/>
  <c r="G202" i="1"/>
  <c r="C18" i="6" s="1"/>
  <c r="E155" i="2"/>
  <c r="G9" i="1"/>
  <c r="E6" i="3" s="1"/>
  <c r="H9" i="3"/>
  <c r="H107" i="2"/>
  <c r="H110" i="2"/>
  <c r="H78" i="1"/>
  <c r="H14" i="3"/>
  <c r="E116" i="2"/>
  <c r="K116" i="2" s="1"/>
  <c r="C14" i="6"/>
  <c r="E125" i="3"/>
  <c r="K125" i="3" s="1"/>
  <c r="R26" i="1"/>
  <c r="C31" i="4"/>
  <c r="C41" i="4"/>
  <c r="K41" i="4" s="1"/>
  <c r="U3" i="4" s="1"/>
  <c r="E61" i="4"/>
  <c r="R127" i="1"/>
  <c r="C227" i="1" s="1"/>
  <c r="G227" i="1" s="1"/>
  <c r="H159" i="2" s="1"/>
  <c r="P128" i="1"/>
  <c r="C60" i="4" s="1"/>
  <c r="E120" i="3"/>
  <c r="H120" i="3"/>
  <c r="H111" i="2"/>
  <c r="E60" i="4"/>
  <c r="G210" i="1"/>
  <c r="C19" i="6" s="1"/>
  <c r="E44" i="2"/>
  <c r="H44" i="2" s="1"/>
  <c r="H45" i="2" s="1"/>
  <c r="E15" i="4"/>
  <c r="H163" i="2"/>
  <c r="H141" i="2"/>
  <c r="E115" i="2"/>
  <c r="E128" i="3"/>
  <c r="H128" i="3" s="1"/>
  <c r="E118" i="3"/>
  <c r="H162" i="3"/>
  <c r="C261" i="1"/>
  <c r="H118" i="3"/>
  <c r="H109" i="2"/>
  <c r="H143" i="2"/>
  <c r="X3" i="2" s="1"/>
  <c r="E170" i="3"/>
  <c r="G54" i="1"/>
  <c r="E171" i="3"/>
  <c r="G141" i="1"/>
  <c r="E114" i="3" s="1"/>
  <c r="H171" i="3"/>
  <c r="H172" i="3" s="1"/>
  <c r="E158" i="3"/>
  <c r="E159" i="3" s="1"/>
  <c r="K159" i="3" s="1"/>
  <c r="E31" i="4"/>
  <c r="E36" i="4" s="1"/>
  <c r="E41" i="4" s="1"/>
  <c r="E154" i="2"/>
  <c r="E139" i="2"/>
  <c r="E140" i="2" s="1"/>
  <c r="K140" i="2" s="1"/>
  <c r="H162" i="2"/>
  <c r="E174" i="3"/>
  <c r="H160" i="3"/>
  <c r="E152" i="2"/>
  <c r="H8" i="2"/>
  <c r="AI2" i="2" s="1"/>
  <c r="E143" i="2"/>
  <c r="E5" i="3"/>
  <c r="E163" i="3"/>
  <c r="H13" i="2"/>
  <c r="AN2" i="2" s="1"/>
  <c r="G18" i="1"/>
  <c r="G19" i="1" s="1"/>
  <c r="C5" i="6" s="1"/>
  <c r="H10" i="2"/>
  <c r="E158" i="2"/>
  <c r="H177" i="3"/>
  <c r="E177" i="3"/>
  <c r="H158" i="2"/>
  <c r="P96" i="1"/>
  <c r="E74" i="4"/>
  <c r="E77" i="4" s="1"/>
  <c r="G106" i="1"/>
  <c r="E120" i="2"/>
  <c r="H120" i="2" s="1"/>
  <c r="G6" i="7"/>
  <c r="E33" i="3"/>
  <c r="H33" i="3" s="1"/>
  <c r="A2" i="3"/>
  <c r="AD3" i="3" s="1"/>
  <c r="A2" i="2"/>
  <c r="AE3" i="2" s="1"/>
  <c r="F6" i="5"/>
  <c r="G6" i="5" s="1"/>
  <c r="G90" i="1"/>
  <c r="C10" i="6" s="1"/>
  <c r="E119" i="3"/>
  <c r="E48" i="2"/>
  <c r="G197" i="1"/>
  <c r="P11" i="1"/>
  <c r="P13" i="1" s="1"/>
  <c r="P5" i="1" s="1"/>
  <c r="E49" i="3"/>
  <c r="E127" i="2"/>
  <c r="H48" i="2"/>
  <c r="H155" i="2"/>
  <c r="H157" i="2" s="1"/>
  <c r="G63" i="1"/>
  <c r="H100" i="2"/>
  <c r="E118" i="2"/>
  <c r="H118" i="2" s="1"/>
  <c r="E173" i="3"/>
  <c r="G216" i="1"/>
  <c r="G154" i="1"/>
  <c r="E160" i="2"/>
  <c r="E111" i="2"/>
  <c r="E32" i="3"/>
  <c r="H32" i="3" s="1"/>
  <c r="H173" i="3"/>
  <c r="H176" i="3" s="1"/>
  <c r="G222" i="1"/>
  <c r="E110" i="2"/>
  <c r="E121" i="2"/>
  <c r="H121" i="2" s="1"/>
  <c r="G5" i="7"/>
  <c r="H161" i="3"/>
  <c r="E108" i="2"/>
  <c r="H108" i="2"/>
  <c r="H117" i="3"/>
  <c r="E142" i="2"/>
  <c r="E133" i="2"/>
  <c r="H181" i="3"/>
  <c r="E35" i="2"/>
  <c r="H35" i="2" s="1"/>
  <c r="H142" i="2"/>
  <c r="E143" i="3"/>
  <c r="H143" i="3" s="1"/>
  <c r="E47" i="2"/>
  <c r="E145" i="3"/>
  <c r="H145" i="3" s="1"/>
  <c r="G82" i="1"/>
  <c r="C26" i="1"/>
  <c r="H152" i="3"/>
  <c r="E152" i="3"/>
  <c r="AK2" i="3" l="1"/>
  <c r="AF2" i="2"/>
  <c r="AF3" i="2" s="1"/>
  <c r="AM2" i="2"/>
  <c r="AM3" i="2" s="1"/>
  <c r="C9" i="6"/>
  <c r="G83" i="1"/>
  <c r="AP7" i="3"/>
  <c r="AP9" i="3" s="1"/>
  <c r="H151" i="3"/>
  <c r="AE3" i="3"/>
  <c r="I6" i="7"/>
  <c r="P56" i="1"/>
  <c r="R56" i="1" s="1"/>
  <c r="H15" i="3"/>
  <c r="AJ2" i="2"/>
  <c r="AJ3" i="2" s="1"/>
  <c r="C48" i="4"/>
  <c r="K48" i="4" s="1"/>
  <c r="W3" i="4" s="1"/>
  <c r="P3" i="4"/>
  <c r="E15" i="3"/>
  <c r="AM2" i="3"/>
  <c r="E71" i="4"/>
  <c r="E87" i="4" s="1"/>
  <c r="E168" i="3"/>
  <c r="H185" i="3"/>
  <c r="G231" i="1"/>
  <c r="G11" i="7" s="1"/>
  <c r="H15" i="2"/>
  <c r="AG2" i="2"/>
  <c r="AG3" i="2" s="1"/>
  <c r="H149" i="2"/>
  <c r="AO2" i="2"/>
  <c r="AO3" i="2" s="1"/>
  <c r="G64" i="1"/>
  <c r="C12" i="6"/>
  <c r="H166" i="2"/>
  <c r="G10" i="7"/>
  <c r="E105" i="2"/>
  <c r="F105" i="2" s="1"/>
  <c r="G13" i="1"/>
  <c r="G14" i="1" s="1"/>
  <c r="G5" i="1" s="1"/>
  <c r="F7" i="5" s="1"/>
  <c r="G7" i="5" s="1"/>
  <c r="E149" i="2"/>
  <c r="AD3" i="2"/>
  <c r="H114" i="2"/>
  <c r="H178" i="3"/>
  <c r="H180" i="3" s="1"/>
  <c r="E178" i="3"/>
  <c r="E159" i="2"/>
  <c r="E151" i="3"/>
  <c r="E132" i="2"/>
  <c r="J126" i="2"/>
  <c r="AN2" i="3"/>
  <c r="AK2" i="2"/>
  <c r="AK3" i="2" s="1"/>
  <c r="C16" i="2"/>
  <c r="E17" i="2" s="1"/>
  <c r="C16" i="3"/>
  <c r="H16" i="3" s="1"/>
  <c r="AH2" i="3"/>
  <c r="H168" i="3"/>
  <c r="C15" i="6"/>
  <c r="E138" i="2"/>
  <c r="K138" i="2" s="1"/>
  <c r="J143" i="3"/>
  <c r="F13" i="5"/>
  <c r="C25" i="6"/>
  <c r="C26" i="6" s="1"/>
  <c r="C17" i="6"/>
  <c r="E157" i="3"/>
  <c r="C13" i="6"/>
  <c r="E123" i="3"/>
  <c r="E114" i="2"/>
  <c r="C20" i="6"/>
  <c r="E172" i="3"/>
  <c r="K172" i="3" s="1"/>
  <c r="E153" i="2"/>
  <c r="K153" i="2" s="1"/>
  <c r="H41" i="2"/>
  <c r="H46" i="2" s="1"/>
  <c r="T3" i="2" s="1"/>
  <c r="K109" i="3"/>
  <c r="K38" i="3"/>
  <c r="K36" i="3"/>
  <c r="K134" i="3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AF2" i="3"/>
  <c r="H123" i="3"/>
  <c r="K125" i="2"/>
  <c r="K37" i="2"/>
  <c r="K35" i="2"/>
  <c r="H132" i="2"/>
  <c r="G126" i="1"/>
  <c r="E53" i="3"/>
  <c r="H53" i="3" s="1"/>
  <c r="H68" i="3" s="1"/>
  <c r="E51" i="2"/>
  <c r="H51" i="2" s="1"/>
  <c r="AL2" i="2" s="1"/>
  <c r="AL3" i="2" s="1"/>
  <c r="C18" i="4"/>
  <c r="R5" i="1"/>
  <c r="C4" i="4"/>
  <c r="H42" i="3"/>
  <c r="H48" i="3" s="1"/>
  <c r="T3" i="3" s="1"/>
  <c r="G66" i="1"/>
  <c r="C48" i="3" s="1"/>
  <c r="K100" i="2"/>
  <c r="H105" i="2"/>
  <c r="K114" i="3"/>
  <c r="AI3" i="2"/>
  <c r="E166" i="2"/>
  <c r="E185" i="3"/>
  <c r="C23" i="6"/>
  <c r="Z3" i="4"/>
  <c r="E176" i="3"/>
  <c r="K176" i="3" s="1"/>
  <c r="E157" i="2"/>
  <c r="C22" i="6"/>
  <c r="H161" i="2"/>
  <c r="AH2" i="2"/>
  <c r="AH3" i="2" s="1"/>
  <c r="AN3" i="2"/>
  <c r="AJ2" i="3"/>
  <c r="H157" i="3"/>
  <c r="C87" i="4" l="1"/>
  <c r="P3" i="1"/>
  <c r="R3" i="1" s="1"/>
  <c r="C21" i="6"/>
  <c r="E161" i="2"/>
  <c r="K161" i="2" s="1"/>
  <c r="K185" i="3"/>
  <c r="E180" i="3"/>
  <c r="E186" i="3" s="1"/>
  <c r="AF3" i="3"/>
  <c r="AG3" i="3" s="1"/>
  <c r="AH3" i="3" s="1"/>
  <c r="AI3" i="3" s="1"/>
  <c r="AJ3" i="3" s="1"/>
  <c r="AK3" i="3" s="1"/>
  <c r="G129" i="1"/>
  <c r="C167" i="2" s="1"/>
  <c r="K168" i="3"/>
  <c r="K149" i="2"/>
  <c r="K114" i="2"/>
  <c r="K48" i="3"/>
  <c r="U3" i="3" s="1"/>
  <c r="K105" i="2"/>
  <c r="K132" i="2"/>
  <c r="K166" i="2"/>
  <c r="C4" i="6"/>
  <c r="C6" i="6" s="1"/>
  <c r="C4" i="3"/>
  <c r="C18" i="3" s="1"/>
  <c r="E18" i="3" s="1"/>
  <c r="G26" i="1"/>
  <c r="G4" i="7" s="1"/>
  <c r="C7" i="6"/>
  <c r="C8" i="6" s="1"/>
  <c r="E167" i="2"/>
  <c r="C4" i="2"/>
  <c r="C18" i="2" s="1"/>
  <c r="E18" i="2" s="1"/>
  <c r="H66" i="2"/>
  <c r="V3" i="2" s="1"/>
  <c r="E17" i="3"/>
  <c r="K157" i="2"/>
  <c r="H16" i="2"/>
  <c r="H17" i="2" s="1"/>
  <c r="H18" i="2" s="1"/>
  <c r="AL2" i="3"/>
  <c r="F14" i="5"/>
  <c r="G14" i="5" s="1"/>
  <c r="G13" i="5"/>
  <c r="K151" i="3"/>
  <c r="H167" i="2"/>
  <c r="K123" i="3"/>
  <c r="K87" i="4"/>
  <c r="Y3" i="4" s="1"/>
  <c r="C88" i="4"/>
  <c r="K88" i="4" s="1"/>
  <c r="AA3" i="4" s="1"/>
  <c r="AP2" i="2"/>
  <c r="AQ2" i="2" s="1"/>
  <c r="AQ3" i="2" s="1"/>
  <c r="H17" i="3"/>
  <c r="H18" i="3" s="1"/>
  <c r="AO2" i="3"/>
  <c r="V3" i="3"/>
  <c r="G97" i="1"/>
  <c r="C11" i="6"/>
  <c r="C24" i="6" s="1"/>
  <c r="C46" i="2"/>
  <c r="K46" i="2" s="1"/>
  <c r="U3" i="2" s="1"/>
  <c r="F9" i="5"/>
  <c r="G9" i="5" s="1"/>
  <c r="E18" i="4"/>
  <c r="K18" i="4"/>
  <c r="Q3" i="4" s="1"/>
  <c r="K157" i="3"/>
  <c r="H186" i="3"/>
  <c r="K167" i="2" l="1"/>
  <c r="K18" i="2"/>
  <c r="Q3" i="2" s="1"/>
  <c r="K180" i="3"/>
  <c r="F186" i="3"/>
  <c r="I11" i="7" s="1"/>
  <c r="F11" i="5"/>
  <c r="G11" i="5" s="1"/>
  <c r="C186" i="3"/>
  <c r="K186" i="3" s="1"/>
  <c r="Y3" i="3" s="1"/>
  <c r="C27" i="6"/>
  <c r="D17" i="6" s="1"/>
  <c r="P3" i="2"/>
  <c r="H168" i="2"/>
  <c r="AP2" i="3"/>
  <c r="AP3" i="3" s="1"/>
  <c r="C19" i="2"/>
  <c r="C31" i="2" s="1"/>
  <c r="F8" i="5"/>
  <c r="G8" i="5" s="1"/>
  <c r="C19" i="3"/>
  <c r="C31" i="3" s="1"/>
  <c r="AL3" i="3"/>
  <c r="AM3" i="3" s="1"/>
  <c r="AN3" i="3" s="1"/>
  <c r="AO3" i="3" s="1"/>
  <c r="AP3" i="2"/>
  <c r="K18" i="3"/>
  <c r="Q3" i="3" s="1"/>
  <c r="P3" i="3"/>
  <c r="I9" i="7"/>
  <c r="F10" i="5"/>
  <c r="G9" i="7"/>
  <c r="C68" i="3"/>
  <c r="C66" i="2"/>
  <c r="G3" i="1"/>
  <c r="H187" i="3"/>
  <c r="X3" i="3"/>
  <c r="I12" i="7" l="1"/>
  <c r="D7" i="6"/>
  <c r="D8" i="6" s="1"/>
  <c r="D12" i="6"/>
  <c r="D14" i="6"/>
  <c r="D22" i="6"/>
  <c r="D25" i="6"/>
  <c r="D26" i="6" s="1"/>
  <c r="D18" i="6"/>
  <c r="D19" i="6"/>
  <c r="D9" i="6"/>
  <c r="D23" i="6"/>
  <c r="D15" i="6"/>
  <c r="D21" i="6"/>
  <c r="D13" i="6"/>
  <c r="D16" i="6"/>
  <c r="D4" i="6"/>
  <c r="D20" i="6"/>
  <c r="D11" i="6"/>
  <c r="D5" i="6"/>
  <c r="D10" i="6"/>
  <c r="K31" i="2"/>
  <c r="S3" i="2" s="1"/>
  <c r="E31" i="2"/>
  <c r="E31" i="3"/>
  <c r="K31" i="3"/>
  <c r="S3" i="3" s="1"/>
  <c r="AQ2" i="3"/>
  <c r="AQ3" i="3" s="1"/>
  <c r="C168" i="2"/>
  <c r="K168" i="2" s="1"/>
  <c r="K66" i="2"/>
  <c r="W3" i="2" s="1"/>
  <c r="G12" i="7"/>
  <c r="G13" i="7" s="1"/>
  <c r="H3" i="1"/>
  <c r="K68" i="3"/>
  <c r="W3" i="3" s="1"/>
  <c r="C187" i="3"/>
  <c r="K187" i="3" s="1"/>
  <c r="AA3" i="3" s="1"/>
  <c r="G10" i="5"/>
  <c r="G12" i="5" s="1"/>
  <c r="G15" i="5" s="1"/>
  <c r="F12" i="5"/>
  <c r="F15" i="5" s="1"/>
  <c r="Z3" i="3"/>
  <c r="D6" i="6" l="1"/>
  <c r="D24" i="6"/>
  <c r="C17" i="5"/>
  <c r="H10" i="5" s="1"/>
  <c r="J13" i="7"/>
  <c r="J12" i="7"/>
  <c r="D27" i="6" l="1"/>
  <c r="H13" i="5"/>
  <c r="H14" i="5" s="1"/>
  <c r="H9" i="5"/>
  <c r="H11" i="5"/>
  <c r="H7" i="5"/>
  <c r="H6" i="5"/>
  <c r="H8" i="5"/>
  <c r="H12" i="5" l="1"/>
  <c r="H15" i="5" s="1"/>
</calcChain>
</file>

<file path=xl/sharedStrings.xml><?xml version="1.0" encoding="utf-8"?>
<sst xmlns="http://schemas.openxmlformats.org/spreadsheetml/2006/main" count="1427" uniqueCount="557">
  <si>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</si>
  <si>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</si>
  <si>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</si>
  <si>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</si>
  <si>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</si>
  <si>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</si>
  <si>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</si>
  <si>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</si>
  <si>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</si>
  <si>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</si>
  <si>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</si>
  <si>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</si>
  <si>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</si>
  <si>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</si>
  <si>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</si>
  <si>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</si>
  <si>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</si>
  <si>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</si>
  <si>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</si>
  <si>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</si>
  <si>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</si>
  <si>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</si>
  <si>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</si>
  <si>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</si>
  <si>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</si>
  <si>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</si>
  <si>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</si>
  <si>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</si>
  <si>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</si>
  <si>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</si>
  <si>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</si>
  <si>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</si>
  <si>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</si>
  <si>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</si>
  <si>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</si>
  <si>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</si>
  <si>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</si>
  <si>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</si>
  <si>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</si>
  <si>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</si>
  <si>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</si>
  <si>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</si>
  <si>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</si>
  <si>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</si>
  <si>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</si>
  <si>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</si>
  <si>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</si>
  <si>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모자란 금액 (99,990,000 - 95,987,810)만큼 본예산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</si>
  <si>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</si>
  <si>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</si>
  <si>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</si>
  <si>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</si>
  <si>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</si>
  <si>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</si>
  <si>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</si>
  <si>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</si>
  <si>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</si>
  <si>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</si>
  <si>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</si>
  <si>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</si>
  <si>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</si>
  <si>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</si>
  <si>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</si>
  <si>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</si>
  <si>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</si>
  <si>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</si>
  <si>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</si>
  <si>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</si>
  <si>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</si>
  <si>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</si>
  <si>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</si>
  <si>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</si>
  <si>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</si>
  <si>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</si>
  <si>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</si>
  <si>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</si>
  <si>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</si>
  <si>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</si>
  <si>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</si>
  <si>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</si>
  <si>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</si>
  <si>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</si>
  <si>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</si>
  <si>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</si>
  <si>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</si>
  <si>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</si>
  <si>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</si>
  <si>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</si>
  <si>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</si>
  <si>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</si>
  <si>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</si>
  <si>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</si>
  <si>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</si>
  <si>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</si>
  <si>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</si>
  <si>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</si>
  <si>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</si>
  <si>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</si>
  <si>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</si>
  <si>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</si>
  <si>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</si>
  <si>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</si>
  <si>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</si>
  <si>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</si>
  <si>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</si>
  <si>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</si>
  <si>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</si>
  <si>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</si>
  <si>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</si>
  <si>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</si>
  <si>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</si>
  <si>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</si>
  <si>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</si>
  <si>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</si>
  <si>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</si>
  <si>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</si>
  <si>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</si>
  <si>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</si>
  <si>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</si>
  <si>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</si>
  <si>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</si>
  <si>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</si>
  <si>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</si>
  <si>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</si>
  <si>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</si>
  <si>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</si>
  <si>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</si>
  <si>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</si>
  <si>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</si>
  <si>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</si>
  <si>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</si>
  <si>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</si>
  <si>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</si>
  <si>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</si>
  <si>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</si>
  <si>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</si>
  <si>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</si>
  <si>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</si>
  <si>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</si>
  <si>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</si>
  <si>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</si>
  <si>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</si>
  <si>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</si>
  <si>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</si>
  <si>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</si>
  <si>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</si>
  <si>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</si>
  <si>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</si>
  <si>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</si>
  <si>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</si>
  <si>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</si>
  <si>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</si>
  <si>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</si>
  <si>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</si>
  <si>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단가 기준 : 750만원 x 80%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</si>
  <si>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</si>
  <si>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</si>
  <si>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</si>
  <si>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</si>
  <si>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</si>
  <si>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</si>
  <si>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</si>
  <si>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</si>
  <si>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</si>
  <si>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</si>
  <si>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</si>
  <si>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</si>
  <si>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</si>
  <si>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</si>
  <si>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</si>
  <si>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</si>
  <si>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</si>
  <si>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</si>
  <si>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</si>
  <si>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</si>
  <si>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</si>
  <si>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</si>
  <si>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</si>
  <si>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</si>
  <si>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</si>
  <si>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</si>
  <si>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</si>
  <si>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</si>
  <si>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</si>
  <si>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</si>
  <si>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</si>
  <si>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</si>
  <si>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</si>
  <si>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</si>
  <si>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</si>
  <si>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</si>
  <si>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</si>
  <si>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</si>
  <si>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</si>
  <si>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</si>
  <si>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</si>
  <si>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</si>
  <si>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</si>
  <si>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</si>
  <si>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</si>
  <si>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</si>
  <si>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</si>
  <si>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</si>
  <si>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</si>
  <si>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</si>
  <si>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</si>
  <si>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</si>
  <si>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</si>
  <si>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</si>
  <si>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</si>
  <si>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</si>
  <si>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</si>
  <si>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</si>
  <si>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</si>
  <si>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</si>
  <si>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</si>
  <si>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</si>
  <si>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</si>
  <si>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</si>
  <si>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</si>
  <si>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</si>
  <si>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</si>
  <si>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</si>
  <si>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</si>
  <si>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</si>
  <si>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</si>
  <si>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</si>
  <si>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</si>
  <si>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</si>
  <si>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</si>
  <si>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</si>
  <si>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</si>
  <si>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</si>
  <si>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</si>
  <si>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</si>
  <si>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</si>
  <si>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</si>
  <si>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</si>
  <si>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</si>
  <si>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</si>
  <si>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</si>
  <si>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</si>
  <si>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</si>
  <si>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</si>
  <si>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</si>
  <si>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</si>
  <si>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</si>
  <si>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</si>
  <si>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</si>
  <si>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</si>
  <si>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</si>
  <si>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</si>
  <si>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</si>
  <si>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</si>
  <si>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</si>
  <si>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</si>
  <si>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</si>
  <si>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</si>
  <si>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</si>
  <si>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</si>
  <si>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</si>
  <si>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</si>
  <si>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</si>
  <si>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</si>
  <si>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</si>
  <si>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</si>
  <si>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</si>
  <si>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</si>
  <si>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</si>
  <si>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</si>
  <si>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</si>
  <si>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</si>
  <si>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</si>
  <si>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</si>
  <si>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</si>
  <si>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</si>
  <si>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</si>
  <si>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</si>
  <si>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</si>
  <si>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</si>
  <si>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</si>
  <si>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</si>
  <si>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</si>
  <si>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</si>
  <si>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</si>
  <si>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</si>
  <si>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</si>
  <si>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</si>
  <si>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</si>
  <si>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</si>
  <si>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</si>
  <si>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</si>
  <si>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</si>
  <si>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</si>
  <si>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</si>
  <si>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</si>
  <si>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</si>
  <si>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</si>
  <si>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</si>
  <si>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</si>
  <si>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</si>
  <si>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</si>
  <si>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</si>
  <si>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</si>
  <si>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</si>
  <si>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</si>
  <si>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</si>
  <si>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</si>
  <si>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</si>
  <si>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</si>
  <si>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</si>
  <si>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</si>
  <si>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</si>
  <si>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</si>
  <si>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</si>
  <si>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</si>
  <si>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</si>
  <si>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</si>
  <si>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</si>
  <si>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</si>
  <si>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</si>
  <si>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</si>
  <si>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</si>
  <si>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</si>
  <si>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</si>
  <si>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</si>
  <si>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</si>
  <si>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</si>
  <si>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</si>
  <si>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</si>
  <si>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</si>
  <si>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</si>
  <si>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</si>
  <si>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</si>
  <si>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</si>
  <si>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</si>
  <si>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</si>
  <si>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</si>
  <si>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</si>
  <si>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</si>
  <si>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</si>
  <si>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</si>
  <si>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</si>
  <si>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</si>
  <si>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</si>
  <si>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</si>
  <si>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</si>
  <si>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</si>
  <si>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</si>
  <si>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</si>
  <si>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</si>
  <si>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</si>
  <si>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</si>
  <si>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</si>
  <si>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</si>
  <si>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</si>
  <si>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</si>
  <si>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</si>
  <si>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</si>
  <si>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543,018,500 -&gt; 실제구매가 498,000,000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</si>
  <si>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</si>
  <si>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</si>
  <si>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</si>
  <si>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</si>
  <si>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</si>
  <si>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</si>
  <si>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</si>
  <si>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</si>
  <si>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</si>
  <si>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</si>
  <si>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</si>
  <si>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</si>
  <si>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</si>
  <si>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</si>
  <si>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</si>
  <si>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</si>
  <si>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</si>
  <si>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</si>
  <si>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</si>
  <si>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</si>
  <si>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</si>
  <si>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</si>
  <si>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</si>
  <si>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</si>
  <si>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</si>
  <si>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</si>
  <si>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</si>
  <si>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</si>
  <si>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</si>
  <si>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</si>
  <si>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</si>
  <si>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</si>
  <si>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</si>
  <si>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</si>
  <si>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</si>
  <si>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</si>
  <si>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</si>
  <si>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</si>
  <si>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</si>
  <si>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</si>
  <si>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</si>
  <si>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</si>
  <si>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</si>
  <si>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</si>
  <si>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</si>
  <si>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</si>
  <si>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</si>
  <si>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</si>
  <si>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</si>
  <si>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</si>
  <si>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</si>
  <si>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</si>
  <si>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장학생 학회등록비 (IEEE ICCE-aisa 2024, 10)</t>
    <phoneticPr fontId="27" type="noConversion"/>
  </si>
  <si>
    <t>하반기 출장 인솔 TA 학회등록비 (IEEE ICCE-aisa 2024, 10)</t>
    <phoneticPr fontId="27" type="noConversion"/>
  </si>
  <si>
    <t>하반기 출장 인솔 직원 학회등록비 (IEEE ICCE-aisa 2024, 10)</t>
    <phoneticPr fontId="27" type="noConversion"/>
  </si>
  <si>
    <t>장학생 여비 (항공권, 숙박비) (IEEE ICCE-aisa 2024, 10)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</si>
  <si>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</si>
  <si>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</si>
  <si>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</si>
  <si>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</si>
  <si>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</si>
  <si>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</si>
  <si>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</si>
  <si>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</si>
  <si>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</si>
  <si>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</si>
  <si>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</si>
  <si>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</si>
  <si>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</si>
  <si>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</si>
  <si>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</si>
  <si>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</si>
  <si>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</si>
  <si>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</si>
  <si>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</si>
  <si>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</si>
  <si>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</si>
  <si>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</si>
  <si>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</si>
  <si>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</si>
  <si>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</si>
  <si>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</si>
  <si>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</si>
  <si>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</si>
  <si>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</si>
  <si>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</si>
  <si>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</si>
  <si>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</si>
  <si>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</si>
  <si>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</si>
  <si>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</si>
  <si>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</si>
  <si>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</si>
  <si>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</si>
  <si>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</si>
  <si>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</si>
  <si>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</si>
  <si>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</si>
  <si>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</si>
  <si>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</si>
  <si>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</si>
  <si>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</si>
  <si>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</si>
  <si>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</si>
  <si>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</si>
  <si>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</si>
  <si>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</si>
  <si>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</si>
  <si>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</si>
  <si>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</si>
  <si>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</si>
  <si>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</si>
  <si>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46,500천원 제외시 6.83억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</si>
  <si>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</si>
  <si>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</si>
  <si>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</si>
  <si>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</si>
  <si>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</si>
  <si>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</si>
  <si>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</si>
  <si>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</si>
  <si>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</si>
  <si>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</si>
  <si>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</si>
  <si>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</si>
  <si>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</si>
  <si>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</si>
  <si>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변동폭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</si>
  <si>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</si>
  <si>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</si>
  <si>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</si>
  <si>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</si>
  <si>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</si>
  <si>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</si>
  <si>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</si>
  <si>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</si>
  <si>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</si>
  <si>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</si>
  <si>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</si>
  <si>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</si>
  <si>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</si>
  <si>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</si>
  <si>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</si>
  <si>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</si>
  <si>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</si>
  <si>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</si>
  <si>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</si>
  <si>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첨융 칩 제작 공정처리비(23%) + 재료/공정처리비 지원 (20%)</t>
    <phoneticPr fontId="27" type="noConversion"/>
  </si>
  <si>
    <t>Y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</si>
  <si>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</si>
  <si>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</si>
  <si>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</si>
  <si>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</si>
  <si>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[천원]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</si>
  <si>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</si>
  <si>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</si>
  <si>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</si>
  <si>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유니위크 분담금, 간담회 등 (16%)</t>
    <phoneticPr fontId="27" type="noConversion"/>
  </si>
  <si>
    <t>(Δ: +16,488)</t>
    <phoneticPr fontId="27" type="noConversion"/>
  </si>
  <si>
    <t>MIT 학회등록비 + ESTA</t>
    <phoneticPr fontId="27" type="noConversion"/>
  </si>
  <si>
    <t>총 1140만원 : 추후 취합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</si>
  <si>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</si>
  <si>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</si>
  <si>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</si>
  <si>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</si>
  <si>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월별 순차지급 (36%) + 인센티브 (23%) 3차년도 종료후 일괄 지급</t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</si>
  <si>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</si>
  <si>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</si>
  <si>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</si>
  <si>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</si>
  <si>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</si>
  <si>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</si>
  <si>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숙박 409,734 + 오는기차 51,800 + 일비 50,000 + 식비 50,000 (1박 2일이나, 중간 참여 등 과정이 복잡해서 1일치만 제공)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</si>
  <si>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</si>
  <si>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</si>
  <si>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</si>
  <si>
    <t xml:space="preserve">↑ </t>
    <phoneticPr fontId="27" type="noConversion"/>
  </si>
  <si>
    <t>유니위크 점심식사 지원</t>
    <phoneticPr fontId="27" type="noConversion"/>
  </si>
  <si>
    <t>물티슈 구매 11/12</t>
    <phoneticPr fontId="27" type="noConversion"/>
  </si>
  <si>
    <t>STOB 리그 팀활동지원비</t>
    <phoneticPr fontId="27" type="noConversion"/>
  </si>
  <si>
    <t>G</t>
    <phoneticPr fontId="27" type="noConversion"/>
  </si>
  <si>
    <r>
      <t xml:space="preserve">(Δ: 0)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</si>
  <si>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t>11/24 기존 2세트 -&gt; 1세트</t>
    <phoneticPr fontId="27" type="noConversion"/>
  </si>
  <si>
    <t>기존 343만원 -&gt; 첨융만 60만원 -&gt; 696,000 원</t>
    <phoneticPr fontId="27" type="noConversion"/>
  </si>
  <si>
    <t>11월 18일 컴공 GPU 3대 도입 완료 (100%)</t>
    <phoneticPr fontId="27" type="noConversion"/>
  </si>
  <si>
    <t>11월 18일 첨융 GPU 3대 + 11월 14일 프로브 스테이션, B1500 도입 완료 (42%)</t>
    <phoneticPr fontId="27" type="noConversion"/>
  </si>
  <si>
    <t>사무용품 (외장하드)</t>
    <phoneticPr fontId="27" type="noConversion"/>
  </si>
  <si>
    <t>11/24 기준 최종 소요금액: 30명 -&gt; 59명</t>
    <phoneticPr fontId="27" type="noConversion"/>
  </si>
  <si>
    <t>(25.11.12 기준)</t>
    <phoneticPr fontId="27" type="noConversion"/>
  </si>
  <si>
    <t>(현시점 25.11.26 기준)</t>
    <phoneticPr fontId="27" type="noConversion"/>
  </si>
  <si>
    <t>(Δ: +3,780)</t>
    <phoneticPr fontId="27" type="noConversion"/>
  </si>
  <si>
    <t xml:space="preserve">(Δ: -3,780) </t>
    <phoneticPr fontId="27" type="noConversion"/>
  </si>
  <si>
    <t>한호철 연구원 자료 반영 (25.11.26)</t>
    <phoneticPr fontId="27" type="noConversion"/>
  </si>
  <si>
    <t>실제소요금액 1,194,800 원 -&gt; 나중에 수정 필요 (1,087,800원으로 기존 기록)</t>
    <phoneticPr fontId="27" type="noConversion"/>
  </si>
  <si>
    <r>
      <t xml:space="preserve">(Δ: +3,780) </t>
    </r>
    <r>
      <rPr>
        <vertAlign val="superscript"/>
        <sz val="15"/>
        <color rgb="FF292929"/>
        <rFont val="함초롬돋움"/>
        <family val="3"/>
        <charset val="129"/>
      </rPr>
      <t>2) 3) 4)</t>
    </r>
    <phoneticPr fontId="27" type="noConversion"/>
  </si>
  <si>
    <t>스위치매트릭스 : 11월 14일 도입 완료 (10%)</t>
    <phoneticPr fontId="27" type="noConversion"/>
  </si>
  <si>
    <t>ALD : 3.52억 최종계약 완료, 도입 진행 중 (37%)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</si>
</sst>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0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82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10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3" fillId="19" borderId="0" xfId="0" applyNumberFormat="1" applyFont="1" applyFill="1" applyAlignment="1">
      <alignment horizontal="center"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20" borderId="82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2" borderId="5" xfId="0" applyNumberFormat="1" applyFont="1" applyFill="1" applyBorder="1" applyAlignment="1">
      <alignment horizontal="center" vertical="center"/>
    </xf>
    <xf numFmtId="176" fontId="2" fillId="22" borderId="5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center" vertical="center"/>
    </xf>
    <xf numFmtId="176" fontId="2" fillId="22" borderId="21" xfId="0" applyNumberFormat="1" applyFont="1" applyFill="1" applyBorder="1" applyAlignment="1">
      <alignment vertical="center"/>
    </xf>
    <xf numFmtId="176" fontId="2" fillId="22" borderId="22" xfId="0" applyNumberFormat="1" applyFont="1" applyFill="1" applyBorder="1" applyAlignment="1">
      <alignment horizontal="right" vertical="center"/>
    </xf>
    <xf numFmtId="176" fontId="2" fillId="22" borderId="5" xfId="0" applyNumberFormat="1" applyFont="1" applyFill="1" applyBorder="1" applyAlignment="1">
      <alignment horizontal="right" vertical="center"/>
    </xf>
    <xf numFmtId="176" fontId="2" fillId="22" borderId="6" xfId="0" applyNumberFormat="1" applyFont="1" applyFill="1" applyBorder="1" applyAlignment="1">
      <alignment horizontal="center" vertical="center"/>
    </xf>
    <xf numFmtId="176" fontId="2" fillId="22" borderId="13" xfId="0" applyNumberFormat="1" applyFont="1" applyFill="1" applyBorder="1" applyAlignment="1">
      <alignment horizontal="right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22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right" vertical="center"/>
    </xf>
    <xf numFmtId="176" fontId="2" fillId="22" borderId="9" xfId="0" applyNumberFormat="1" applyFont="1" applyFill="1" applyBorder="1" applyAlignment="1">
      <alignment horizontal="center" vertical="center"/>
    </xf>
    <xf numFmtId="176" fontId="2" fillId="22" borderId="82" xfId="0" applyNumberFormat="1" applyFont="1" applyFill="1" applyBorder="1" applyAlignment="1">
      <alignment horizontal="right" vertical="center"/>
    </xf>
    <xf numFmtId="176" fontId="2" fillId="22" borderId="82" xfId="0" applyNumberFormat="1" applyFont="1" applyFill="1" applyBorder="1" applyAlignment="1">
      <alignment vertical="center"/>
    </xf>
    <xf numFmtId="176" fontId="2" fillId="22" borderId="82" xfId="0" applyNumberFormat="1" applyFont="1" applyFill="1" applyBorder="1" applyAlignment="1">
      <alignment horizontal="center" vertical="center"/>
    </xf>
    <xf numFmtId="176" fontId="2" fillId="22" borderId="0" xfId="0" applyNumberFormat="1" applyFont="1" applyFill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0" fontId="2" fillId="22" borderId="5" xfId="0" applyFont="1" applyFill="1" applyBorder="1" applyAlignment="1">
      <alignment vertical="center"/>
    </xf>
    <xf numFmtId="3" fontId="2" fillId="22" borderId="5" xfId="0" applyNumberFormat="1" applyFont="1" applyFill="1" applyBorder="1" applyAlignment="1">
      <alignment vertical="center"/>
    </xf>
    <xf numFmtId="3" fontId="2" fillId="22" borderId="10" xfId="0" applyNumberFormat="1" applyFont="1" applyFill="1" applyBorder="1" applyAlignment="1">
      <alignment vertical="center"/>
    </xf>
    <xf numFmtId="3" fontId="2" fillId="22" borderId="59" xfId="0" applyNumberFormat="1" applyFont="1" applyFill="1" applyBorder="1" applyAlignment="1">
      <alignment vertical="center"/>
    </xf>
    <xf numFmtId="176" fontId="7" fillId="22" borderId="0" xfId="0" applyNumberFormat="1" applyFont="1" applyFill="1" applyAlignment="1">
      <alignment vertical="center"/>
    </xf>
    <xf numFmtId="3" fontId="2" fillId="22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177" fontId="2" fillId="0" borderId="37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0" xfId="0" applyNumberFormat="1" applyFont="1" applyFill="1" applyAlignment="1">
      <alignment horizontal="center" vertical="center"/>
    </xf>
    <xf numFmtId="3" fontId="2" fillId="22" borderId="82" xfId="0" applyNumberFormat="1" applyFont="1" applyFill="1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42" xfId="0" applyBorder="1" applyAlignment="1">
      <alignment vertical="center"/>
    </xf>
    <xf numFmtId="0" fontId="0" fillId="0" borderId="146" xfId="0" applyBorder="1" applyAlignment="1">
      <alignment vertical="center"/>
    </xf>
    <xf numFmtId="0" fontId="0" fillId="0" borderId="148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51" xfId="0" applyBorder="1" applyAlignment="1">
      <alignment vertical="center"/>
    </xf>
    <xf numFmtId="0" fontId="0" fillId="0" borderId="153" xfId="0" applyBorder="1" applyAlignment="1">
      <alignment vertical="center"/>
    </xf>
    <xf numFmtId="0" fontId="0" fillId="0" borderId="154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7" xfId="0" applyNumberFormat="1" applyFont="1" applyBorder="1" applyAlignment="1">
      <alignment horizontal="center" vertical="center" wrapText="1" readingOrder="1"/>
    </xf>
    <xf numFmtId="0" fontId="0" fillId="0" borderId="167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69" xfId="0" applyBorder="1" applyAlignment="1">
      <alignment vertical="center"/>
    </xf>
    <xf numFmtId="0" fontId="0" fillId="0" borderId="170" xfId="0" applyBorder="1" applyAlignment="1">
      <alignment vertical="center"/>
    </xf>
    <xf numFmtId="0" fontId="0" fillId="0" borderId="163" xfId="0" applyBorder="1" applyAlignment="1">
      <alignment vertical="center"/>
    </xf>
    <xf numFmtId="49" fontId="39" fillId="0" borderId="111" xfId="0" applyNumberFormat="1" applyFont="1" applyBorder="1" applyAlignment="1">
      <alignment horizontal="center" vertical="center" wrapText="1" readingOrder="1"/>
    </xf>
    <xf numFmtId="0" fontId="0" fillId="0" borderId="177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2" borderId="22" xfId="0" applyNumberFormat="1" applyFont="1" applyFill="1" applyBorder="1" applyAlignment="1">
      <alignment horizontal="center" vertical="center"/>
    </xf>
    <xf numFmtId="176" fontId="2" fillId="22" borderId="58" xfId="0" applyNumberFormat="1" applyFont="1" applyFill="1" applyBorder="1" applyAlignment="1">
      <alignment horizontal="center" vertical="center"/>
    </xf>
    <xf numFmtId="0" fontId="42" fillId="0" borderId="162" xfId="0" applyFont="1" applyBorder="1" applyAlignment="1">
      <alignment horizontal="left" vertical="center" wrapText="1" readingOrder="1"/>
    </xf>
    <xf numFmtId="178" fontId="41" fillId="0" borderId="110" xfId="0" applyNumberFormat="1" applyFont="1" applyBorder="1" applyAlignment="1">
      <alignment horizontal="left" vertical="center" wrapText="1" readingOrder="1"/>
    </xf>
    <xf numFmtId="0" fontId="43" fillId="0" borderId="138" xfId="0" applyFont="1" applyBorder="1" applyAlignment="1">
      <alignment horizontal="center" vertical="center" wrapText="1" readingOrder="1"/>
    </xf>
    <xf numFmtId="49" fontId="44" fillId="0" borderId="111" xfId="0" applyNumberFormat="1" applyFont="1" applyBorder="1" applyAlignment="1">
      <alignment horizontal="center" vertical="center" wrapText="1" readingOrder="1"/>
    </xf>
    <xf numFmtId="0" fontId="45" fillId="0" borderId="152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3" fillId="19" borderId="5" xfId="0" applyNumberFormat="1" applyFont="1" applyFill="1" applyBorder="1" applyAlignment="1">
      <alignment horizontal="center"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2" xfId="0" applyFont="1" applyBorder="1" applyAlignment="1">
      <alignment horizontal="center" vertical="center" wrapText="1" readingOrder="1"/>
    </xf>
    <xf numFmtId="0" fontId="46" fillId="0" borderId="139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45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16" xfId="0" applyNumberFormat="1" applyFont="1" applyBorder="1" applyAlignment="1">
      <alignment horizontal="righ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7" xfId="0" applyNumberFormat="1" applyFont="1" applyBorder="1" applyAlignment="1">
      <alignment horizontal="left" vertical="center" wrapText="1" readingOrder="1"/>
    </xf>
    <xf numFmtId="0" fontId="47" fillId="20" borderId="131" xfId="0" applyFont="1" applyFill="1" applyBorder="1" applyAlignment="1">
      <alignment horizontal="center" vertical="center" wrapText="1"/>
    </xf>
    <xf numFmtId="0" fontId="42" fillId="0" borderId="130" xfId="0" applyFont="1" applyBorder="1" applyAlignment="1">
      <alignment horizontal="left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25" xfId="0" applyNumberFormat="1" applyFont="1" applyBorder="1" applyAlignment="1">
      <alignment horizontal="right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0" fontId="42" fillId="0" borderId="157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2" fillId="0" borderId="161" xfId="0" applyFont="1" applyBorder="1" applyAlignment="1">
      <alignment horizontal="left" vertical="center" wrapText="1" readingOrder="1"/>
    </xf>
    <xf numFmtId="0" fontId="46" fillId="0" borderId="147" xfId="0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178" fontId="41" fillId="0" borderId="105" xfId="0" applyNumberFormat="1" applyFont="1" applyBorder="1" applyAlignment="1">
      <alignment horizontal="left" vertical="center" wrapText="1" readingOrder="1"/>
    </xf>
    <xf numFmtId="0" fontId="47" fillId="20" borderId="105" xfId="0" applyFont="1" applyFill="1" applyBorder="1" applyAlignment="1">
      <alignment horizontal="center" vertical="center" wrapText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9" xfId="0" applyNumberFormat="1" applyFont="1" applyBorder="1" applyAlignment="1">
      <alignment horizontal="right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0" fontId="42" fillId="0" borderId="100" xfId="0" applyFont="1" applyBorder="1" applyAlignment="1">
      <alignment vertical="center" wrapText="1" readingOrder="1"/>
    </xf>
    <xf numFmtId="3" fontId="41" fillId="0" borderId="104" xfId="0" applyNumberFormat="1" applyFont="1" applyBorder="1" applyAlignment="1">
      <alignment horizontal="center" vertical="center" wrapText="1" readingOrder="1"/>
    </xf>
    <xf numFmtId="3" fontId="41" fillId="0" borderId="166" xfId="0" applyNumberFormat="1" applyFont="1" applyBorder="1" applyAlignment="1">
      <alignment horizontal="center" vertical="center" wrapText="1" readingOrder="1"/>
    </xf>
    <xf numFmtId="0" fontId="47" fillId="0" borderId="105" xfId="0" applyFont="1" applyBorder="1" applyAlignment="1">
      <alignment horizontal="right" vertical="top" wrapText="1"/>
    </xf>
    <xf numFmtId="0" fontId="42" fillId="0" borderId="180" xfId="0" applyFont="1" applyBorder="1" applyAlignment="1">
      <alignment vertical="center" wrapText="1" readingOrder="1"/>
    </xf>
    <xf numFmtId="0" fontId="46" fillId="0" borderId="168" xfId="0" applyFont="1" applyBorder="1" applyAlignment="1">
      <alignment horizontal="center" vertical="center" wrapText="1" readingOrder="1"/>
    </xf>
    <xf numFmtId="0" fontId="45" fillId="0" borderId="176" xfId="0" applyFont="1" applyBorder="1" applyAlignment="1">
      <alignment vertical="center"/>
    </xf>
    <xf numFmtId="3" fontId="41" fillId="0" borderId="178" xfId="0" applyNumberFormat="1" applyFont="1" applyBorder="1" applyAlignment="1">
      <alignment vertical="center" wrapText="1" readingOrder="1"/>
    </xf>
    <xf numFmtId="3" fontId="41" fillId="0" borderId="179" xfId="0" applyNumberFormat="1" applyFont="1" applyBorder="1" applyAlignment="1">
      <alignment vertical="center" wrapText="1" readingOrder="1"/>
    </xf>
    <xf numFmtId="3" fontId="41" fillId="0" borderId="162" xfId="0" applyNumberFormat="1" applyFont="1" applyBorder="1" applyAlignment="1">
      <alignment horizontal="center" vertical="center" wrapText="1" readingOrder="1"/>
    </xf>
    <xf numFmtId="3" fontId="41" fillId="0" borderId="171" xfId="0" applyNumberFormat="1" applyFont="1" applyBorder="1" applyAlignment="1">
      <alignment horizontal="right" vertical="center" wrapText="1" readingOrder="1"/>
    </xf>
    <xf numFmtId="9" fontId="47" fillId="0" borderId="172" xfId="0" applyNumberFormat="1" applyFont="1" applyBorder="1" applyAlignment="1">
      <alignment vertical="top" wrapText="1"/>
    </xf>
    <xf numFmtId="178" fontId="48" fillId="0" borderId="172" xfId="0" applyNumberFormat="1" applyFont="1" applyBorder="1" applyAlignment="1">
      <alignment horizontal="left" vertical="top" wrapText="1"/>
    </xf>
    <xf numFmtId="0" fontId="47" fillId="0" borderId="172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8" xfId="0" applyNumberFormat="1" applyFont="1" applyBorder="1" applyAlignment="1">
      <alignment vertical="center" wrapText="1" readingOrder="1"/>
    </xf>
    <xf numFmtId="3" fontId="36" fillId="0" borderId="158" xfId="0" applyNumberFormat="1" applyFont="1" applyBorder="1" applyAlignment="1">
      <alignment vertical="center" wrapText="1" readingOrder="1"/>
    </xf>
    <xf numFmtId="3" fontId="36" fillId="0" borderId="119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20" borderId="30" xfId="0" applyNumberFormat="1" applyFont="1" applyFill="1" applyBorder="1" applyAlignment="1">
      <alignment horizontal="center" vertical="center"/>
    </xf>
    <xf numFmtId="176" fontId="2" fillId="20" borderId="31" xfId="0" applyNumberFormat="1" applyFont="1" applyFill="1" applyBorder="1" applyAlignment="1">
      <alignment vertical="center"/>
    </xf>
    <xf numFmtId="176" fontId="2" fillId="22" borderId="37" xfId="0" applyNumberFormat="1" applyFont="1" applyFill="1" applyBorder="1" applyAlignment="1">
      <alignment vertical="center"/>
    </xf>
    <xf numFmtId="176" fontId="2" fillId="20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7" fillId="23" borderId="103" xfId="0" applyFont="1" applyFill="1" applyBorder="1" applyAlignment="1">
      <alignment horizontal="center" vertical="center" wrapText="1"/>
    </xf>
    <xf numFmtId="176" fontId="2" fillId="20" borderId="5" xfId="0" applyNumberFormat="1" applyFont="1" applyFill="1" applyBorder="1" applyAlignment="1">
      <alignment horizontal="right" vertical="center"/>
    </xf>
    <xf numFmtId="0" fontId="46" fillId="0" borderId="149" xfId="0" applyFont="1" applyBorder="1" applyAlignment="1">
      <alignment horizontal="center" vertical="center" wrapText="1" readingOrder="1"/>
    </xf>
    <xf numFmtId="0" fontId="46" fillId="0" borderId="150" xfId="0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3" fontId="36" fillId="0" borderId="158" xfId="0" applyNumberFormat="1" applyFont="1" applyBorder="1" applyAlignment="1">
      <alignment horizontal="center" vertical="center" wrapText="1" readingOrder="1"/>
    </xf>
    <xf numFmtId="3" fontId="36" fillId="0" borderId="119" xfId="0" applyNumberFormat="1" applyFont="1" applyBorder="1" applyAlignment="1">
      <alignment horizontal="center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2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178" fontId="41" fillId="0" borderId="103" xfId="0" applyNumberFormat="1" applyFont="1" applyBorder="1" applyAlignment="1">
      <alignment horizontal="left" vertical="center" wrapText="1" readingOrder="1"/>
    </xf>
    <xf numFmtId="3" fontId="41" fillId="0" borderId="98" xfId="0" applyNumberFormat="1" applyFont="1" applyBorder="1" applyAlignment="1">
      <alignment horizontal="center" vertical="center" wrapText="1" readingOrder="1"/>
    </xf>
    <xf numFmtId="3" fontId="41" fillId="0" borderId="101" xfId="0" applyNumberFormat="1" applyFont="1" applyBorder="1" applyAlignment="1">
      <alignment horizontal="center" vertical="center" wrapText="1" readingOrder="1"/>
    </xf>
    <xf numFmtId="0" fontId="37" fillId="0" borderId="141" xfId="0" applyFont="1" applyBorder="1" applyAlignment="1">
      <alignment horizontal="center" vertical="top"/>
    </xf>
    <xf numFmtId="0" fontId="38" fillId="0" borderId="141" xfId="0" applyFont="1" applyBorder="1" applyAlignment="1">
      <alignment horizontal="center" vertical="top"/>
    </xf>
    <xf numFmtId="3" fontId="41" fillId="0" borderId="126" xfId="0" applyNumberFormat="1" applyFont="1" applyBorder="1" applyAlignment="1">
      <alignment horizontal="right" vertical="center" wrapText="1" readingOrder="1"/>
    </xf>
    <xf numFmtId="3" fontId="41" fillId="0" borderId="159" xfId="0" applyNumberFormat="1" applyFont="1" applyBorder="1" applyAlignment="1">
      <alignment horizontal="right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49" fontId="44" fillId="0" borderId="115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2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58" xfId="0" applyNumberFormat="1" applyFont="1" applyBorder="1" applyAlignment="1">
      <alignment horizontal="center" vertical="center" wrapText="1" readingOrder="1"/>
    </xf>
    <xf numFmtId="3" fontId="41" fillId="0" borderId="119" xfId="0" applyNumberFormat="1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1" xfId="0" applyFont="1" applyBorder="1" applyAlignment="1">
      <alignment horizontal="center" vertical="top" wrapText="1"/>
    </xf>
    <xf numFmtId="0" fontId="47" fillId="0" borderId="123" xfId="0" applyFont="1" applyBorder="1" applyAlignment="1">
      <alignment horizontal="center" vertical="top" wrapText="1"/>
    </xf>
    <xf numFmtId="0" fontId="46" fillId="0" borderId="156" xfId="0" applyFont="1" applyBorder="1" applyAlignment="1">
      <alignment horizontal="center" vertical="center" wrapText="1" readingOrder="1"/>
    </xf>
    <xf numFmtId="0" fontId="46" fillId="0" borderId="155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3" fontId="41" fillId="0" borderId="173" xfId="0" applyNumberFormat="1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75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41" fillId="0" borderId="113" xfId="0" applyNumberFormat="1" applyFont="1" applyBorder="1" applyAlignment="1">
      <alignment horizontal="center" vertical="center" wrapText="1" readingOrder="1"/>
    </xf>
    <xf numFmtId="3" fontId="41" fillId="0" borderId="109" xfId="0" applyNumberFormat="1" applyFont="1" applyBorder="1" applyAlignment="1">
      <alignment horizontal="center" vertical="center" wrapText="1" readingOrder="1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176" fontId="3" fillId="6" borderId="19" xfId="0" applyNumberFormat="1" applyFont="1" applyFill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2" borderId="85" xfId="0" applyNumberFormat="1" applyFont="1" applyFill="1" applyBorder="1" applyAlignment="1">
      <alignment horizontal="center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176" fontId="2" fillId="22" borderId="86" xfId="0" applyNumberFormat="1" applyFont="1" applyFill="1" applyBorder="1" applyAlignment="1">
      <alignment horizontal="center" vertical="center"/>
    </xf>
    <xf numFmtId="176" fontId="2" fillId="22" borderId="43" xfId="0" applyNumberFormat="1" applyFont="1" applyFill="1" applyBorder="1" applyAlignment="1">
      <alignment horizontal="center" vertical="center"/>
    </xf>
    <xf numFmtId="176" fontId="2" fillId="22" borderId="87" xfId="0" applyNumberFormat="1" applyFont="1" applyFill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1" xfId="0" applyNumberFormat="1" applyFont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0" fontId="6" fillId="5" borderId="4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182" fontId="2" fillId="0" borderId="0" xfId="0" applyNumberFormat="1" applyFont="1" applyAlignment="1">
      <alignment horizontal="center"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17" fillId="0" borderId="78" xfId="0" applyFont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10" borderId="30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22" xfId="0" applyFont="1" applyFill="1" applyBorder="1" applyAlignment="1">
      <alignment horizontal="center"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4.6794625558111216E-2</c:v>
                </c:pt>
                <c:pt idx="4">
                  <c:v>0.1908211865529022</c:v>
                </c:pt>
                <c:pt idx="5">
                  <c:v>0.20190433562779059</c:v>
                </c:pt>
                <c:pt idx="6">
                  <c:v>0.28807789939622519</c:v>
                </c:pt>
                <c:pt idx="7">
                  <c:v>0.36520075757678261</c:v>
                </c:pt>
                <c:pt idx="8">
                  <c:v>0.63235951651501821</c:v>
                </c:pt>
                <c:pt idx="9">
                  <c:v>0.64696176381748061</c:v>
                </c:pt>
                <c:pt idx="10">
                  <c:v>0.81891585796069533</c:v>
                </c:pt>
                <c:pt idx="11">
                  <c:v>0.96560544121228509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259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tabSelected="1" zoomScaleNormal="100" workbookViewId="0">
      <selection activeCell="L9" sqref="L9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1.42578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425" t="s">
        <v>490</v>
      </c>
      <c r="B1" s="426"/>
      <c r="C1" s="426"/>
      <c r="D1" s="426"/>
      <c r="E1" s="426"/>
      <c r="F1" s="426"/>
      <c r="G1" s="426"/>
      <c r="H1" s="426"/>
      <c r="I1" s="426"/>
      <c r="J1" s="426"/>
      <c r="K1" s="426"/>
      <c r="L1" s="426"/>
      <c r="M1" s="426"/>
    </row>
    <row r="2" spans="1:13" ht="20.25" customHeight="1" thickBot="1">
      <c r="A2" s="334"/>
      <c r="B2" s="436" t="s">
        <v>242</v>
      </c>
      <c r="C2" s="438" t="s">
        <v>521</v>
      </c>
      <c r="D2" s="439"/>
      <c r="E2" s="439"/>
      <c r="F2" s="447" t="s">
        <v>522</v>
      </c>
      <c r="G2" s="448"/>
      <c r="H2" s="353" t="s">
        <v>487</v>
      </c>
      <c r="I2" s="354" t="s">
        <v>480</v>
      </c>
      <c r="J2" s="352" t="s">
        <v>481</v>
      </c>
      <c r="K2" s="440"/>
      <c r="L2" s="442" t="s">
        <v>524</v>
      </c>
      <c r="M2" s="254"/>
    </row>
    <row r="3" spans="1:13" ht="22.5" thickBot="1">
      <c r="A3" s="322"/>
      <c r="B3" s="437"/>
      <c r="C3" s="444" t="s">
        <v>548</v>
      </c>
      <c r="D3" s="445"/>
      <c r="E3" s="446"/>
      <c r="F3" s="449" t="s">
        <v>549</v>
      </c>
      <c r="G3" s="450"/>
      <c r="H3" s="355" t="s">
        <v>513</v>
      </c>
      <c r="I3" s="347" t="s">
        <v>549</v>
      </c>
      <c r="J3" s="347" t="s">
        <v>495</v>
      </c>
      <c r="K3" s="441"/>
      <c r="L3" s="443"/>
      <c r="M3" s="326"/>
    </row>
    <row r="4" spans="1:13" ht="53.25" customHeight="1" thickBot="1">
      <c r="A4" s="324"/>
      <c r="B4" s="356" t="s">
        <v>7</v>
      </c>
      <c r="C4" s="357"/>
      <c r="D4" s="358"/>
      <c r="E4" s="359">
        <v>401299</v>
      </c>
      <c r="F4" s="360" t="s">
        <v>484</v>
      </c>
      <c r="G4" s="361">
        <f>ROUND((예산!G5+예산!G26)/1000,0)</f>
        <v>401299</v>
      </c>
      <c r="H4" s="348" t="s">
        <v>512</v>
      </c>
      <c r="I4" s="362">
        <f>SUM(소진일정!H4:H11,소진일정!H19:H26)/SUM(소진일정!H18,소진일정!H31)</f>
        <v>0.49873941156205681</v>
      </c>
      <c r="J4" s="363">
        <v>1</v>
      </c>
      <c r="K4" s="364" t="s">
        <v>508</v>
      </c>
      <c r="L4" s="365" t="s">
        <v>525</v>
      </c>
      <c r="M4" s="329"/>
    </row>
    <row r="5" spans="1:13" ht="62.25" customHeight="1" thickBot="1">
      <c r="A5" s="325"/>
      <c r="B5" s="413" t="s">
        <v>482</v>
      </c>
      <c r="C5" s="454">
        <f>SUM(E5:E8)</f>
        <v>1250357</v>
      </c>
      <c r="D5" s="366" t="s">
        <v>485</v>
      </c>
      <c r="E5" s="367">
        <v>300225</v>
      </c>
      <c r="F5" s="360" t="s">
        <v>484</v>
      </c>
      <c r="G5" s="367">
        <f>ROUND((SUM(예산!G69,예산!G79:G80))/1000,0)</f>
        <v>300225</v>
      </c>
      <c r="H5" s="348" t="s">
        <v>512</v>
      </c>
      <c r="I5" s="368">
        <v>0</v>
      </c>
      <c r="J5" s="369">
        <v>1</v>
      </c>
      <c r="K5" s="411" t="s">
        <v>540</v>
      </c>
      <c r="L5" s="370" t="s">
        <v>544</v>
      </c>
      <c r="M5" s="328"/>
    </row>
    <row r="6" spans="1:13" ht="35.25" thickBot="1">
      <c r="A6" s="324"/>
      <c r="B6" s="436"/>
      <c r="C6" s="455"/>
      <c r="D6" s="451" t="s">
        <v>486</v>
      </c>
      <c r="E6" s="427">
        <v>950132</v>
      </c>
      <c r="F6" s="433" t="s">
        <v>484</v>
      </c>
      <c r="G6" s="427">
        <f>ROUND((SUM(예산!G70:G78,예산!G89))/1000,0)</f>
        <v>950132</v>
      </c>
      <c r="H6" s="430" t="s">
        <v>541</v>
      </c>
      <c r="I6" s="418">
        <f>SUM(소진일정!H34,소진일정!H39,소진일정!H40,소진일정!H41)/SUM(소진일정!H33:H41)</f>
        <v>0.10841568601044735</v>
      </c>
      <c r="J6" s="421">
        <v>1</v>
      </c>
      <c r="K6" s="411" t="s">
        <v>540</v>
      </c>
      <c r="L6" s="371" t="s">
        <v>545</v>
      </c>
      <c r="M6" s="329"/>
    </row>
    <row r="7" spans="1:13" ht="27" thickBot="1">
      <c r="A7" s="254"/>
      <c r="B7" s="436"/>
      <c r="C7" s="455"/>
      <c r="D7" s="452"/>
      <c r="E7" s="428"/>
      <c r="F7" s="434"/>
      <c r="G7" s="428"/>
      <c r="H7" s="431"/>
      <c r="I7" s="419"/>
      <c r="J7" s="419"/>
      <c r="K7" s="411" t="s">
        <v>540</v>
      </c>
      <c r="L7" s="345" t="s">
        <v>555</v>
      </c>
      <c r="M7" s="329"/>
    </row>
    <row r="8" spans="1:13" ht="27" thickBot="1">
      <c r="A8" s="324"/>
      <c r="B8" s="414"/>
      <c r="C8" s="456"/>
      <c r="D8" s="453"/>
      <c r="E8" s="429"/>
      <c r="F8" s="435"/>
      <c r="G8" s="429"/>
      <c r="H8" s="432"/>
      <c r="I8" s="420"/>
      <c r="J8" s="422"/>
      <c r="K8" s="378" t="s">
        <v>508</v>
      </c>
      <c r="L8" s="372" t="s">
        <v>556</v>
      </c>
      <c r="M8" s="329"/>
    </row>
    <row r="9" spans="1:13" ht="59.25" customHeight="1" thickBot="1">
      <c r="A9" s="322"/>
      <c r="B9" s="373" t="s">
        <v>72</v>
      </c>
      <c r="C9" s="374"/>
      <c r="D9" s="375"/>
      <c r="E9" s="376">
        <v>108040</v>
      </c>
      <c r="F9" s="360" t="s">
        <v>484</v>
      </c>
      <c r="G9" s="367">
        <f>ROUND(예산!G97/1000,0)</f>
        <v>108040</v>
      </c>
      <c r="H9" s="348" t="s">
        <v>512</v>
      </c>
      <c r="I9" s="368">
        <f>SUM(예산!G100,예산!G104,예산!G105,예산!G107:G120)/예산!G97</f>
        <v>0.58716940563405051</v>
      </c>
      <c r="J9" s="377">
        <v>1</v>
      </c>
      <c r="K9" s="378" t="s">
        <v>508</v>
      </c>
      <c r="L9" s="372" t="s">
        <v>507</v>
      </c>
      <c r="M9" s="326"/>
    </row>
    <row r="10" spans="1:13" ht="44.25" customHeight="1" thickBot="1">
      <c r="A10" s="326"/>
      <c r="B10" s="413" t="s">
        <v>84</v>
      </c>
      <c r="C10" s="423">
        <f>SUM(E10:E11)</f>
        <v>1158461</v>
      </c>
      <c r="D10" s="379" t="s">
        <v>488</v>
      </c>
      <c r="E10" s="380">
        <v>683000</v>
      </c>
      <c r="F10" s="360" t="s">
        <v>484</v>
      </c>
      <c r="G10" s="367">
        <f>ROUND(예산!G141/1000,0)</f>
        <v>683000</v>
      </c>
      <c r="H10" s="348" t="s">
        <v>512</v>
      </c>
      <c r="I10" s="368">
        <f>283287/683000</f>
        <v>0.41476866764275255</v>
      </c>
      <c r="J10" s="369">
        <f>648287/683000</f>
        <v>0.94917569546120062</v>
      </c>
      <c r="K10" s="378" t="s">
        <v>508</v>
      </c>
      <c r="L10" s="349" t="s">
        <v>552</v>
      </c>
    </row>
    <row r="11" spans="1:13" ht="51.75" customHeight="1" thickBot="1">
      <c r="B11" s="414"/>
      <c r="C11" s="424"/>
      <c r="D11" s="381" t="s">
        <v>489</v>
      </c>
      <c r="E11" s="376">
        <v>475461</v>
      </c>
      <c r="F11" s="360" t="s">
        <v>536</v>
      </c>
      <c r="G11" s="367">
        <f>ROUND(SUM(예산!G154,예산!G160,예산!G186,예산!G197,예산!G202,예산!G210,예산!G216,예산!G222,예산!G231,예산!G258)/1000,0)</f>
        <v>479241</v>
      </c>
      <c r="H11" s="348" t="s">
        <v>554</v>
      </c>
      <c r="I11" s="346">
        <f>SUM(소진일정!E117:E120,소진일정!E126:E130,소진일정!E135:E139,소진일정!E146:E149,소진일정!E171,소진일정!E174,소진일정!E177:E179,소진일정!H181:H183)/소진일정!F186</f>
        <v>0.86906804255512482</v>
      </c>
      <c r="J11" s="369">
        <v>1</v>
      </c>
      <c r="K11" s="378" t="s">
        <v>508</v>
      </c>
      <c r="L11" s="382" t="s">
        <v>517</v>
      </c>
      <c r="M11" s="327"/>
    </row>
    <row r="12" spans="1:13" ht="51" customHeight="1" thickBot="1">
      <c r="A12" s="323"/>
      <c r="B12" s="373" t="s">
        <v>183</v>
      </c>
      <c r="C12" s="383"/>
      <c r="D12" s="384"/>
      <c r="E12" s="380">
        <f>SUM(E4:E11)</f>
        <v>2918157</v>
      </c>
      <c r="F12" s="360" t="s">
        <v>535</v>
      </c>
      <c r="G12" s="367">
        <f>ROUND(예산!G3/1000,0)</f>
        <v>2921937</v>
      </c>
      <c r="H12" s="348" t="s">
        <v>550</v>
      </c>
      <c r="I12" s="346">
        <f>SUM(I4*G4,I5*G5,I6*G6,I9*G9,I10*G10,I11*G11)/2956400</f>
        <v>0.36069904616012166</v>
      </c>
      <c r="J12" s="369">
        <f>G12/C18</f>
        <v>0.98834291706129074</v>
      </c>
      <c r="K12" s="385"/>
      <c r="L12" s="386"/>
      <c r="M12" s="326"/>
    </row>
    <row r="13" spans="1:13" ht="27" thickBot="1">
      <c r="A13" s="322"/>
      <c r="B13" s="387" t="s">
        <v>483</v>
      </c>
      <c r="C13" s="388"/>
      <c r="D13" s="389"/>
      <c r="E13" s="390">
        <f>2956400-E12</f>
        <v>38243</v>
      </c>
      <c r="F13" s="391"/>
      <c r="G13" s="392">
        <f>2956400-G12</f>
        <v>34463</v>
      </c>
      <c r="H13" s="348" t="s">
        <v>551</v>
      </c>
      <c r="I13" s="393"/>
      <c r="J13" s="394">
        <f>G13/C18</f>
        <v>1.1657082938709241E-2</v>
      </c>
      <c r="K13" s="395"/>
      <c r="L13" s="382"/>
      <c r="M13" s="327"/>
    </row>
    <row r="14" spans="1:13" ht="15.75" customHeight="1" thickBot="1">
      <c r="A14" s="322"/>
      <c r="B14" s="337"/>
      <c r="C14" s="337"/>
      <c r="D14" s="341"/>
      <c r="E14" s="338"/>
      <c r="F14" s="339"/>
      <c r="G14" s="339"/>
      <c r="H14" s="254"/>
      <c r="I14" s="337"/>
      <c r="J14" s="337"/>
      <c r="K14" s="337"/>
      <c r="L14" s="341"/>
      <c r="M14" s="327"/>
    </row>
    <row r="18" spans="2:17" ht="16.5">
      <c r="B18" s="331" t="s">
        <v>494</v>
      </c>
      <c r="C18" s="332">
        <v>2956400</v>
      </c>
    </row>
    <row r="20" spans="2:17" ht="15.75" thickBot="1"/>
    <row r="21" spans="2:17" ht="25.5" thickBot="1">
      <c r="O21" s="333" t="s">
        <v>536</v>
      </c>
    </row>
    <row r="22" spans="2:17" ht="25.5" thickBot="1">
      <c r="O22" s="333" t="s">
        <v>484</v>
      </c>
      <c r="Q22" s="340" t="s">
        <v>518</v>
      </c>
    </row>
    <row r="23" spans="2:17">
      <c r="O23" s="415" t="s">
        <v>484</v>
      </c>
    </row>
    <row r="24" spans="2:17">
      <c r="O24" s="416"/>
    </row>
    <row r="25" spans="2:17" ht="15.75" thickBot="1">
      <c r="O25" s="417"/>
    </row>
    <row r="26" spans="2:17" ht="25.5" thickBot="1">
      <c r="O26" s="333" t="s">
        <v>484</v>
      </c>
    </row>
    <row r="27" spans="2:17" ht="25.5" thickBot="1">
      <c r="O27" s="333" t="s">
        <v>484</v>
      </c>
    </row>
    <row r="28" spans="2:17" ht="27" thickBot="1">
      <c r="O28" s="333" t="s">
        <v>516</v>
      </c>
      <c r="P28" s="228" t="s">
        <v>523</v>
      </c>
    </row>
    <row r="29" spans="2:17" ht="15" customHeight="1">
      <c r="O29" s="400" t="s">
        <v>523</v>
      </c>
    </row>
    <row r="30" spans="2:17" ht="15" customHeight="1">
      <c r="O30" s="401"/>
    </row>
    <row r="31" spans="2:17" ht="15.75" customHeight="1" thickBot="1">
      <c r="O31" s="402"/>
    </row>
  </sheetData>
  <mergeCells count="20"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  <mergeCell ref="B10:B11"/>
    <mergeCell ref="O23:O25"/>
    <mergeCell ref="I6:I8"/>
    <mergeCell ref="J6:J8"/>
    <mergeCell ref="C10:C11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5"/>
  <sheetViews>
    <sheetView topLeftCell="A138" workbookViewId="0">
      <selection activeCell="F222" sqref="F222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483" t="s">
        <v>0</v>
      </c>
      <c r="B1" s="478"/>
      <c r="C1" s="478"/>
      <c r="D1" s="478"/>
      <c r="E1" s="478"/>
      <c r="F1" s="478"/>
      <c r="G1" s="478"/>
      <c r="H1" s="478"/>
      <c r="I1" s="2"/>
      <c r="J1" s="483" t="s">
        <v>1</v>
      </c>
      <c r="K1" s="478"/>
      <c r="L1" s="478"/>
      <c r="M1" s="478"/>
      <c r="N1" s="478"/>
      <c r="O1" s="478"/>
      <c r="P1" s="478"/>
      <c r="Q1" s="478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2921936822.4000001</v>
      </c>
      <c r="H3" s="3">
        <f>C3-G3</f>
        <v>34463177.599999905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362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459" t="s">
        <v>14</v>
      </c>
      <c r="C7" s="11" t="s">
        <v>360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484" t="s">
        <v>17</v>
      </c>
      <c r="I7" s="4"/>
      <c r="J7" s="3"/>
      <c r="K7" s="485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460"/>
      <c r="C8" s="11" t="s">
        <v>334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478"/>
      <c r="I8" s="4"/>
      <c r="J8" s="3"/>
      <c r="K8" s="460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473"/>
      <c r="C9" s="216" t="s">
        <v>333</v>
      </c>
      <c r="D9" s="217" t="s">
        <v>335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473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458"/>
      <c r="C10" s="218" t="s">
        <v>332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460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458"/>
      <c r="C11" s="218" t="s">
        <v>382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461"/>
      <c r="L11" s="462" t="s">
        <v>21</v>
      </c>
      <c r="M11" s="463"/>
      <c r="N11" s="463"/>
      <c r="O11" s="464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458"/>
      <c r="C12" s="218" t="s">
        <v>408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472"/>
      <c r="C13" s="475" t="s">
        <v>21</v>
      </c>
      <c r="D13" s="486"/>
      <c r="E13" s="486"/>
      <c r="F13" s="486"/>
      <c r="G13" s="218">
        <f>SUM(G7:G12)</f>
        <v>121138758.40000001</v>
      </c>
      <c r="H13" s="3"/>
      <c r="I13" s="4"/>
      <c r="J13" s="3"/>
      <c r="K13" s="468" t="s">
        <v>22</v>
      </c>
      <c r="L13" s="463"/>
      <c r="M13" s="463"/>
      <c r="N13" s="463"/>
      <c r="O13" s="464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462" t="s">
        <v>22</v>
      </c>
      <c r="C14" s="466"/>
      <c r="D14" s="466"/>
      <c r="E14" s="466"/>
      <c r="F14" s="467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462" t="s">
        <v>28</v>
      </c>
      <c r="D17" s="463"/>
      <c r="E17" s="463"/>
      <c r="F17" s="464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462" t="s">
        <v>22</v>
      </c>
      <c r="C19" s="463"/>
      <c r="D19" s="463"/>
      <c r="E19" s="463"/>
      <c r="F19" s="464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448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462" t="s">
        <v>28</v>
      </c>
      <c r="D22" s="463"/>
      <c r="E22" s="463"/>
      <c r="F22" s="464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462" t="s">
        <v>22</v>
      </c>
      <c r="C24" s="463"/>
      <c r="D24" s="463"/>
      <c r="E24" s="463"/>
      <c r="F24" s="464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2"/>
      <c r="C25" s="119"/>
      <c r="D25" s="119"/>
      <c r="E25" s="119"/>
      <c r="F25" s="119"/>
      <c r="G25" s="242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459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457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460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458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99990000</v>
      </c>
      <c r="P29" s="218">
        <v>95987810</v>
      </c>
      <c r="Q29" s="3" t="s">
        <v>47</v>
      </c>
      <c r="R29" s="8">
        <f>99990000*1-P29</f>
        <v>4002190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460"/>
      <c r="C30" s="11" t="s">
        <v>48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49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50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460"/>
      <c r="C31" s="11" t="s">
        <v>51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465" t="s">
        <v>52</v>
      </c>
      <c r="I31" s="4"/>
      <c r="J31" s="3"/>
      <c r="K31" s="487" t="s">
        <v>22</v>
      </c>
      <c r="L31" s="466"/>
      <c r="M31" s="466"/>
      <c r="N31" s="466"/>
      <c r="O31" s="467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460"/>
      <c r="C32" s="11" t="s">
        <v>53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458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460"/>
      <c r="C33" s="11" t="s">
        <v>54</v>
      </c>
      <c r="D33" s="11" t="s">
        <v>55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56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460"/>
      <c r="C34" s="11" t="s">
        <v>57</v>
      </c>
      <c r="D34" s="11" t="s">
        <v>55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58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460"/>
      <c r="C35" s="11" t="s">
        <v>59</v>
      </c>
      <c r="D35" s="11" t="s">
        <v>60</v>
      </c>
      <c r="E35" s="11">
        <v>1300000</v>
      </c>
      <c r="F35" s="15">
        <v>1</v>
      </c>
      <c r="G35" s="11">
        <f t="shared" si="2"/>
        <v>1300000</v>
      </c>
      <c r="H35" s="457" t="s">
        <v>61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460"/>
      <c r="C36" s="11" t="s">
        <v>62</v>
      </c>
      <c r="D36" s="11" t="s">
        <v>60</v>
      </c>
      <c r="E36" s="11">
        <v>1300000</v>
      </c>
      <c r="F36" s="15">
        <v>1</v>
      </c>
      <c r="G36" s="11">
        <f t="shared" si="2"/>
        <v>1300000</v>
      </c>
      <c r="H36" s="458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460"/>
      <c r="C37" s="11" t="s">
        <v>63</v>
      </c>
      <c r="D37" s="11" t="s">
        <v>64</v>
      </c>
      <c r="E37" s="11">
        <v>900000</v>
      </c>
      <c r="F37" s="18">
        <v>6</v>
      </c>
      <c r="G37" s="11">
        <f t="shared" si="2"/>
        <v>5400000</v>
      </c>
      <c r="H37" s="465" t="s">
        <v>65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460"/>
      <c r="C38" s="11" t="s">
        <v>66</v>
      </c>
      <c r="D38" s="11" t="s">
        <v>64</v>
      </c>
      <c r="E38" s="11">
        <v>900000</v>
      </c>
      <c r="F38" s="18">
        <v>6</v>
      </c>
      <c r="G38" s="11">
        <f t="shared" si="2"/>
        <v>5400000</v>
      </c>
      <c r="H38" s="458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460"/>
      <c r="C39" s="11" t="s">
        <v>20</v>
      </c>
      <c r="D39" s="11" t="s">
        <v>67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460"/>
      <c r="C40" s="11" t="s">
        <v>20</v>
      </c>
      <c r="D40" s="11" t="s">
        <v>67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460"/>
      <c r="C41" s="11" t="s">
        <v>20</v>
      </c>
      <c r="D41" s="11" t="s">
        <v>67</v>
      </c>
      <c r="E41" s="11">
        <v>900000</v>
      </c>
      <c r="F41" s="11">
        <v>0</v>
      </c>
      <c r="G41" s="11">
        <f t="shared" si="2"/>
        <v>0</v>
      </c>
      <c r="H41" s="465" t="s">
        <v>68</v>
      </c>
      <c r="I41" s="4"/>
      <c r="J41" s="3"/>
      <c r="K41" s="468" t="s">
        <v>22</v>
      </c>
      <c r="L41" s="463"/>
      <c r="M41" s="463"/>
      <c r="N41" s="463"/>
      <c r="O41" s="464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460"/>
      <c r="C42" s="11" t="s">
        <v>20</v>
      </c>
      <c r="D42" s="11" t="s">
        <v>67</v>
      </c>
      <c r="E42" s="11">
        <v>900000</v>
      </c>
      <c r="F42" s="11">
        <v>0</v>
      </c>
      <c r="G42" s="11">
        <f t="shared" si="2"/>
        <v>0</v>
      </c>
      <c r="H42" s="458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460"/>
      <c r="C43" s="11" t="s">
        <v>461</v>
      </c>
      <c r="D43" s="11" t="s">
        <v>69</v>
      </c>
      <c r="E43" s="11">
        <v>1200000</v>
      </c>
      <c r="F43" s="15">
        <v>3</v>
      </c>
      <c r="G43" s="11">
        <f t="shared" si="2"/>
        <v>3600000</v>
      </c>
      <c r="H43" s="458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460"/>
      <c r="C44" s="11" t="s">
        <v>462</v>
      </c>
      <c r="D44" s="11" t="s">
        <v>69</v>
      </c>
      <c r="E44" s="11">
        <v>1200000</v>
      </c>
      <c r="F44" s="15">
        <v>3</v>
      </c>
      <c r="G44" s="11">
        <f t="shared" si="2"/>
        <v>3600000</v>
      </c>
      <c r="H44" s="458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460"/>
      <c r="C45" s="11" t="s">
        <v>463</v>
      </c>
      <c r="D45" s="11" t="s">
        <v>69</v>
      </c>
      <c r="E45" s="11">
        <v>1200000</v>
      </c>
      <c r="F45" s="15">
        <v>3</v>
      </c>
      <c r="G45" s="11">
        <f t="shared" si="2"/>
        <v>3600000</v>
      </c>
      <c r="H45" s="458"/>
      <c r="I45" s="4"/>
      <c r="J45" s="3"/>
      <c r="K45" s="3" t="s">
        <v>70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460"/>
      <c r="C46" s="11" t="s">
        <v>464</v>
      </c>
      <c r="D46" s="11" t="s">
        <v>69</v>
      </c>
      <c r="E46" s="11">
        <v>900000</v>
      </c>
      <c r="F46" s="15">
        <v>4</v>
      </c>
      <c r="G46" s="11">
        <f t="shared" si="2"/>
        <v>3600000</v>
      </c>
      <c r="H46" s="458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460"/>
      <c r="C47" s="11" t="s">
        <v>465</v>
      </c>
      <c r="D47" s="11" t="s">
        <v>69</v>
      </c>
      <c r="E47" s="11">
        <v>900000</v>
      </c>
      <c r="F47" s="18">
        <v>4</v>
      </c>
      <c r="G47" s="11">
        <f t="shared" si="2"/>
        <v>3600000</v>
      </c>
      <c r="H47" s="458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460"/>
      <c r="C48" s="11" t="s">
        <v>466</v>
      </c>
      <c r="D48" s="11" t="s">
        <v>69</v>
      </c>
      <c r="E48" s="11">
        <v>900000</v>
      </c>
      <c r="F48" s="18">
        <v>4</v>
      </c>
      <c r="G48" s="11">
        <f t="shared" si="2"/>
        <v>3600000</v>
      </c>
      <c r="H48" s="458"/>
      <c r="I48" s="4"/>
      <c r="J48" s="3"/>
      <c r="K48" s="468" t="s">
        <v>22</v>
      </c>
      <c r="L48" s="463"/>
      <c r="M48" s="463"/>
      <c r="N48" s="463"/>
      <c r="O48" s="464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460"/>
      <c r="C49" s="11" t="s">
        <v>467</v>
      </c>
      <c r="D49" s="11" t="s">
        <v>69</v>
      </c>
      <c r="E49" s="11">
        <v>900000</v>
      </c>
      <c r="F49" s="18">
        <v>4</v>
      </c>
      <c r="G49" s="11">
        <f t="shared" si="2"/>
        <v>3600000</v>
      </c>
      <c r="H49" s="458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460"/>
      <c r="C50" s="11" t="s">
        <v>468</v>
      </c>
      <c r="D50" s="11" t="s">
        <v>69</v>
      </c>
      <c r="E50" s="11">
        <v>900000</v>
      </c>
      <c r="F50" s="18">
        <v>4</v>
      </c>
      <c r="G50" s="11">
        <f t="shared" si="2"/>
        <v>3600000</v>
      </c>
      <c r="H50" s="458"/>
      <c r="I50" s="4"/>
      <c r="J50" s="9" t="s">
        <v>71</v>
      </c>
      <c r="K50" s="9" t="s">
        <v>72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460"/>
      <c r="C51" s="11" t="s">
        <v>469</v>
      </c>
      <c r="D51" s="11" t="s">
        <v>69</v>
      </c>
      <c r="E51" s="11">
        <v>900000</v>
      </c>
      <c r="F51" s="18">
        <v>4</v>
      </c>
      <c r="G51" s="11">
        <f t="shared" si="2"/>
        <v>3600000</v>
      </c>
      <c r="H51" s="458"/>
      <c r="I51" s="4"/>
      <c r="J51" s="3"/>
      <c r="K51" s="3" t="s">
        <v>73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460"/>
      <c r="C52" s="11" t="s">
        <v>470</v>
      </c>
      <c r="D52" s="11" t="s">
        <v>69</v>
      </c>
      <c r="E52" s="11">
        <v>900000</v>
      </c>
      <c r="F52" s="18">
        <v>4</v>
      </c>
      <c r="G52" s="11">
        <f t="shared" si="2"/>
        <v>3600000</v>
      </c>
      <c r="H52" s="458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74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460"/>
      <c r="C53" s="11" t="s">
        <v>471</v>
      </c>
      <c r="D53" s="11" t="s">
        <v>69</v>
      </c>
      <c r="E53" s="11">
        <v>900000</v>
      </c>
      <c r="F53" s="18">
        <v>4</v>
      </c>
      <c r="G53" s="11">
        <f t="shared" si="2"/>
        <v>3600000</v>
      </c>
      <c r="H53" s="458"/>
      <c r="I53" s="4"/>
      <c r="J53" s="3"/>
      <c r="K53" s="11" t="s">
        <v>75</v>
      </c>
      <c r="L53" s="11" t="s">
        <v>76</v>
      </c>
      <c r="M53" s="12" t="s">
        <v>77</v>
      </c>
      <c r="N53" s="12">
        <v>1</v>
      </c>
      <c r="O53" s="13">
        <v>1144000</v>
      </c>
      <c r="P53" s="12">
        <f>N53*O53</f>
        <v>1144000</v>
      </c>
      <c r="Q53" s="22" t="s">
        <v>78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461"/>
      <c r="C54" s="462" t="s">
        <v>21</v>
      </c>
      <c r="D54" s="463"/>
      <c r="E54" s="463"/>
      <c r="F54" s="464"/>
      <c r="G54" s="11">
        <f>SUM(G28:G53)</f>
        <v>108800000</v>
      </c>
      <c r="H54" s="3"/>
      <c r="I54" s="4"/>
      <c r="J54" s="3"/>
      <c r="K54" s="468" t="s">
        <v>22</v>
      </c>
      <c r="L54" s="463"/>
      <c r="M54" s="463"/>
      <c r="N54" s="463"/>
      <c r="O54" s="464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459" t="s">
        <v>79</v>
      </c>
      <c r="C55" s="11" t="s">
        <v>80</v>
      </c>
      <c r="D55" s="11" t="s">
        <v>81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460"/>
      <c r="C56" s="11" t="s">
        <v>82</v>
      </c>
      <c r="D56" s="11" t="s">
        <v>81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83</v>
      </c>
      <c r="K56" s="9" t="s">
        <v>84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460"/>
      <c r="C57" s="11" t="s">
        <v>85</v>
      </c>
      <c r="D57" s="11" t="s">
        <v>81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86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460"/>
      <c r="C58" s="11" t="s">
        <v>87</v>
      </c>
      <c r="D58" s="11" t="s">
        <v>81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74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460"/>
      <c r="C59" s="11" t="s">
        <v>88</v>
      </c>
      <c r="D59" s="11" t="s">
        <v>81</v>
      </c>
      <c r="E59" s="11">
        <v>1300000</v>
      </c>
      <c r="F59" s="15">
        <v>6</v>
      </c>
      <c r="G59" s="11">
        <f t="shared" si="4"/>
        <v>7800000</v>
      </c>
      <c r="H59" s="465" t="s">
        <v>89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460"/>
      <c r="C60" s="11" t="s">
        <v>90</v>
      </c>
      <c r="D60" s="11" t="s">
        <v>81</v>
      </c>
      <c r="E60" s="11">
        <v>1300000</v>
      </c>
      <c r="F60" s="15">
        <v>12</v>
      </c>
      <c r="G60" s="11">
        <f t="shared" si="4"/>
        <v>15600000</v>
      </c>
      <c r="H60" s="458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460"/>
      <c r="C61" s="11" t="s">
        <v>91</v>
      </c>
      <c r="D61" s="11" t="s">
        <v>81</v>
      </c>
      <c r="E61" s="11">
        <v>1300000</v>
      </c>
      <c r="F61" s="15">
        <v>0</v>
      </c>
      <c r="G61" s="11">
        <f t="shared" si="4"/>
        <v>0</v>
      </c>
      <c r="H61" s="3" t="s">
        <v>92</v>
      </c>
      <c r="I61" s="4"/>
      <c r="J61" s="3"/>
      <c r="K61" s="468" t="s">
        <v>22</v>
      </c>
      <c r="L61" s="463"/>
      <c r="M61" s="463"/>
      <c r="N61" s="463"/>
      <c r="O61" s="464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460"/>
      <c r="C62" s="11" t="s">
        <v>514</v>
      </c>
      <c r="D62" s="11" t="s">
        <v>81</v>
      </c>
      <c r="E62" s="11">
        <v>1300000</v>
      </c>
      <c r="F62" s="11">
        <v>6</v>
      </c>
      <c r="G62" s="11">
        <f t="shared" si="4"/>
        <v>7800000</v>
      </c>
      <c r="H62" s="3" t="s">
        <v>93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461"/>
      <c r="C63" s="462" t="s">
        <v>21</v>
      </c>
      <c r="D63" s="463"/>
      <c r="E63" s="463"/>
      <c r="F63" s="464"/>
      <c r="G63" s="11">
        <f>SUM(G55:G62)</f>
        <v>78000000</v>
      </c>
      <c r="H63" s="3"/>
      <c r="I63" s="4"/>
      <c r="J63" s="3"/>
      <c r="K63" s="3" t="s">
        <v>94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462" t="s">
        <v>22</v>
      </c>
      <c r="C64" s="463"/>
      <c r="D64" s="463"/>
      <c r="E64" s="463"/>
      <c r="F64" s="464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459" t="s">
        <v>95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1250357390</v>
      </c>
      <c r="H66" s="8"/>
      <c r="I66" s="4"/>
      <c r="J66" s="3"/>
      <c r="K66" s="460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460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461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96</v>
      </c>
      <c r="C69" s="11" t="s">
        <v>46</v>
      </c>
      <c r="D69" s="11"/>
      <c r="E69" s="11">
        <v>3</v>
      </c>
      <c r="F69" s="11">
        <v>99990000</v>
      </c>
      <c r="G69" s="11">
        <f>F69*E69</f>
        <v>299970000</v>
      </c>
      <c r="H69" s="3" t="s">
        <v>97</v>
      </c>
      <c r="I69" s="4"/>
      <c r="J69" s="3"/>
      <c r="K69" s="468" t="s">
        <v>22</v>
      </c>
      <c r="L69" s="463"/>
      <c r="M69" s="463"/>
      <c r="N69" s="463"/>
      <c r="O69" s="464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474" t="s">
        <v>45</v>
      </c>
      <c r="C70" s="11" t="s">
        <v>46</v>
      </c>
      <c r="D70" s="11"/>
      <c r="E70" s="11">
        <v>2</v>
      </c>
      <c r="F70" s="11">
        <v>99990000</v>
      </c>
      <c r="G70" s="11">
        <f>F70*E70 + R29</f>
        <v>203982190</v>
      </c>
      <c r="H70" s="457" t="s">
        <v>98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465"/>
      <c r="C71" s="11" t="s">
        <v>99</v>
      </c>
      <c r="D71" s="11"/>
      <c r="E71" s="11">
        <v>1</v>
      </c>
      <c r="F71" s="11">
        <v>29920000</v>
      </c>
      <c r="G71" s="11">
        <f t="shared" ref="G71:G81" si="5">F71*E71</f>
        <v>29920000</v>
      </c>
      <c r="H71" s="458"/>
      <c r="I71" s="4"/>
      <c r="J71" s="3"/>
      <c r="K71" s="3" t="s">
        <v>100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465"/>
      <c r="C72" s="11" t="s">
        <v>101</v>
      </c>
      <c r="D72" s="11"/>
      <c r="E72" s="11">
        <v>1</v>
      </c>
      <c r="F72" s="11">
        <v>97163000</v>
      </c>
      <c r="G72" s="11">
        <f t="shared" si="5"/>
        <v>97163000</v>
      </c>
      <c r="H72" s="457" t="s">
        <v>102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465"/>
      <c r="C73" s="216" t="s">
        <v>103</v>
      </c>
      <c r="D73" s="216"/>
      <c r="E73" s="216">
        <v>1</v>
      </c>
      <c r="F73" s="216">
        <v>98474200</v>
      </c>
      <c r="G73" s="216">
        <f t="shared" si="5"/>
        <v>98474200</v>
      </c>
      <c r="H73" s="458"/>
      <c r="I73" s="4"/>
      <c r="J73" s="3"/>
      <c r="K73" s="469" t="s">
        <v>104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465"/>
      <c r="C74" s="218" t="s">
        <v>336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482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465"/>
      <c r="C75" s="285" t="s">
        <v>337</v>
      </c>
      <c r="D75" s="285"/>
      <c r="E75" s="285">
        <v>1</v>
      </c>
      <c r="F75" s="285">
        <v>352000000</v>
      </c>
      <c r="G75" s="285">
        <f t="shared" si="5"/>
        <v>352000000</v>
      </c>
      <c r="H75" s="119" t="s">
        <v>511</v>
      </c>
      <c r="I75" s="212"/>
      <c r="J75" s="3"/>
      <c r="K75" s="482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465"/>
      <c r="C76" s="218" t="s">
        <v>338</v>
      </c>
      <c r="D76" s="218"/>
      <c r="E76" s="218">
        <v>1</v>
      </c>
      <c r="F76" s="218">
        <v>22000000</v>
      </c>
      <c r="G76" s="218">
        <f t="shared" si="5"/>
        <v>22000000</v>
      </c>
      <c r="H76" s="119"/>
      <c r="I76" s="212"/>
      <c r="J76" s="3"/>
      <c r="K76" s="482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465"/>
      <c r="C77" s="218" t="s">
        <v>339</v>
      </c>
      <c r="D77" s="218"/>
      <c r="E77" s="218">
        <v>1</v>
      </c>
      <c r="F77" s="218">
        <v>8030000</v>
      </c>
      <c r="G77" s="218">
        <f t="shared" si="5"/>
        <v>8030000</v>
      </c>
      <c r="H77" s="119"/>
      <c r="I77" s="212"/>
      <c r="J77" s="3"/>
      <c r="K77" s="482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465"/>
      <c r="C78" s="268" t="s">
        <v>353</v>
      </c>
      <c r="D78" s="268"/>
      <c r="E78" s="268">
        <v>1</v>
      </c>
      <c r="F78" s="268">
        <v>42988000</v>
      </c>
      <c r="G78" s="268">
        <f t="shared" si="5"/>
        <v>42988000</v>
      </c>
      <c r="H78" s="234">
        <f>SUM(G74:G78)</f>
        <v>518593000</v>
      </c>
      <c r="I78" s="212"/>
      <c r="J78" s="3"/>
      <c r="K78" s="482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445</v>
      </c>
      <c r="C79" s="218" t="s">
        <v>446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482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490" t="s">
        <v>456</v>
      </c>
      <c r="C80" s="218" t="s">
        <v>457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482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491"/>
      <c r="C81" s="218" t="s">
        <v>458</v>
      </c>
      <c r="D81" s="218"/>
      <c r="E81" s="218">
        <v>0</v>
      </c>
      <c r="F81" s="218">
        <v>30000</v>
      </c>
      <c r="G81" s="218">
        <f t="shared" si="5"/>
        <v>0</v>
      </c>
      <c r="H81" s="234"/>
      <c r="I81" s="212"/>
      <c r="J81" s="3"/>
      <c r="K81" s="482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69"/>
      <c r="D82" s="269"/>
      <c r="E82" s="269"/>
      <c r="F82" s="269"/>
      <c r="G82" s="270">
        <f>SUM(G69:G81)</f>
        <v>1248357390</v>
      </c>
      <c r="H82" s="251" t="s">
        <v>359</v>
      </c>
      <c r="I82" s="4"/>
      <c r="J82" s="3"/>
      <c r="K82" s="470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>
        <f>373000000-352000000+G82</f>
        <v>1269357390</v>
      </c>
      <c r="H83" s="3"/>
      <c r="I83" s="4"/>
      <c r="J83" s="3"/>
      <c r="K83" s="468" t="s">
        <v>22</v>
      </c>
      <c r="L83" s="463"/>
      <c r="M83" s="463"/>
      <c r="N83" s="463"/>
      <c r="O83" s="464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56</v>
      </c>
      <c r="C85" s="3"/>
      <c r="D85" s="3"/>
      <c r="E85" s="3"/>
      <c r="F85" s="3"/>
      <c r="G85" s="3"/>
      <c r="H85" s="3"/>
      <c r="I85" s="4"/>
      <c r="J85" s="3"/>
      <c r="K85" s="3" t="s">
        <v>105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477"/>
      <c r="X85" s="478"/>
      <c r="Y85" s="478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58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477"/>
      <c r="X86" s="478"/>
      <c r="Y86" s="478"/>
      <c r="Z86" s="21"/>
    </row>
    <row r="87" spans="1:26" ht="16.5" customHeight="1">
      <c r="A87" s="3"/>
      <c r="B87" s="12" t="s">
        <v>106</v>
      </c>
      <c r="C87" s="286" t="s">
        <v>107</v>
      </c>
      <c r="D87" s="287"/>
      <c r="E87" s="287">
        <v>0</v>
      </c>
      <c r="F87" s="288">
        <v>20000000</v>
      </c>
      <c r="G87" s="287">
        <f t="shared" ref="G87:G89" si="6">F87*E87</f>
        <v>0</v>
      </c>
      <c r="H87" s="22"/>
      <c r="I87" s="4"/>
      <c r="J87" s="3"/>
      <c r="K87" s="11" t="s">
        <v>108</v>
      </c>
      <c r="L87" s="11">
        <v>18480000</v>
      </c>
      <c r="M87" s="11"/>
      <c r="N87" s="11"/>
      <c r="O87" s="11"/>
      <c r="P87" s="11">
        <v>18480000</v>
      </c>
      <c r="Q87" s="481" t="s">
        <v>109</v>
      </c>
      <c r="R87" s="484" t="s">
        <v>110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471" t="s">
        <v>111</v>
      </c>
      <c r="C88" s="287" t="s">
        <v>112</v>
      </c>
      <c r="D88" s="287"/>
      <c r="E88" s="287">
        <v>0</v>
      </c>
      <c r="F88" s="288">
        <v>8000000</v>
      </c>
      <c r="G88" s="287">
        <f t="shared" si="6"/>
        <v>0</v>
      </c>
      <c r="H88" s="22"/>
      <c r="I88" s="4"/>
      <c r="J88" s="3"/>
      <c r="K88" s="11" t="s">
        <v>113</v>
      </c>
      <c r="L88" s="11">
        <v>21120000</v>
      </c>
      <c r="M88" s="11"/>
      <c r="N88" s="11"/>
      <c r="O88" s="11"/>
      <c r="P88" s="11">
        <v>21120000</v>
      </c>
      <c r="Q88" s="458"/>
      <c r="R88" s="478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472"/>
      <c r="C89" s="11" t="s">
        <v>114</v>
      </c>
      <c r="D89" s="11"/>
      <c r="E89" s="11">
        <v>1</v>
      </c>
      <c r="F89" s="31">
        <v>2000000</v>
      </c>
      <c r="G89" s="11">
        <f t="shared" si="6"/>
        <v>2000000</v>
      </c>
      <c r="H89" s="457" t="s">
        <v>115</v>
      </c>
      <c r="I89" s="4"/>
      <c r="J89" s="3"/>
      <c r="K89" s="468" t="s">
        <v>22</v>
      </c>
      <c r="L89" s="463"/>
      <c r="M89" s="463"/>
      <c r="N89" s="463"/>
      <c r="O89" s="464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458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116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70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459" t="s">
        <v>117</v>
      </c>
      <c r="L93" s="11" t="s">
        <v>118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460"/>
      <c r="L94" s="11" t="s">
        <v>119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461"/>
      <c r="L95" s="11" t="s">
        <v>120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468" t="s">
        <v>22</v>
      </c>
      <c r="L96" s="463"/>
      <c r="M96" s="463"/>
      <c r="N96" s="463"/>
      <c r="O96" s="464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71</v>
      </c>
      <c r="B97" s="51" t="s">
        <v>72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73</v>
      </c>
      <c r="C98" s="3"/>
      <c r="D98" s="3"/>
      <c r="E98" s="3"/>
      <c r="F98" s="3"/>
      <c r="G98" s="3"/>
      <c r="H98" s="3"/>
      <c r="I98" s="4"/>
      <c r="J98" s="3"/>
      <c r="K98" s="3" t="s">
        <v>121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74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75</v>
      </c>
      <c r="C100" s="11" t="s">
        <v>76</v>
      </c>
      <c r="D100" s="11" t="s">
        <v>122</v>
      </c>
      <c r="E100" s="11">
        <v>50</v>
      </c>
      <c r="F100" s="31">
        <v>84390.18</v>
      </c>
      <c r="G100" s="292">
        <f>F100*E100-1144000</f>
        <v>3075509</v>
      </c>
      <c r="H100" s="3" t="s">
        <v>123</v>
      </c>
      <c r="I100" s="4"/>
      <c r="J100" s="3"/>
      <c r="K100" s="11" t="s">
        <v>124</v>
      </c>
      <c r="L100" s="11" t="s">
        <v>125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459" t="s">
        <v>126</v>
      </c>
      <c r="C101" s="16" t="s">
        <v>127</v>
      </c>
      <c r="D101" s="16" t="s">
        <v>122</v>
      </c>
      <c r="E101" s="16">
        <v>0</v>
      </c>
      <c r="F101" s="53">
        <v>462000</v>
      </c>
      <c r="G101" s="292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460"/>
      <c r="C102" s="16" t="s">
        <v>128</v>
      </c>
      <c r="D102" s="16" t="s">
        <v>122</v>
      </c>
      <c r="E102" s="16">
        <v>0</v>
      </c>
      <c r="F102" s="53">
        <v>152000</v>
      </c>
      <c r="G102" s="292">
        <f t="shared" si="8"/>
        <v>0</v>
      </c>
      <c r="H102" s="41"/>
      <c r="I102" s="4"/>
      <c r="J102" s="3"/>
      <c r="K102" s="468" t="s">
        <v>22</v>
      </c>
      <c r="L102" s="463"/>
      <c r="M102" s="463"/>
      <c r="N102" s="463"/>
      <c r="O102" s="464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460"/>
      <c r="C103" s="16" t="s">
        <v>129</v>
      </c>
      <c r="D103" s="16" t="s">
        <v>122</v>
      </c>
      <c r="E103" s="16">
        <v>0</v>
      </c>
      <c r="F103" s="53">
        <v>20000</v>
      </c>
      <c r="G103" s="292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460"/>
      <c r="C104" s="16" t="s">
        <v>130</v>
      </c>
      <c r="D104" s="16" t="s">
        <v>122</v>
      </c>
      <c r="E104" s="216">
        <v>55</v>
      </c>
      <c r="F104" s="216">
        <v>150700</v>
      </c>
      <c r="G104" s="292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461"/>
      <c r="C105" s="11" t="s">
        <v>131</v>
      </c>
      <c r="D105" s="219" t="s">
        <v>122</v>
      </c>
      <c r="E105" s="218">
        <v>10</v>
      </c>
      <c r="F105" s="218">
        <v>132000</v>
      </c>
      <c r="G105" s="343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469" t="s">
        <v>132</v>
      </c>
      <c r="C106" s="16" t="s">
        <v>133</v>
      </c>
      <c r="D106" s="24" t="s">
        <v>134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135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470"/>
      <c r="C107" s="211" t="s">
        <v>506</v>
      </c>
      <c r="D107" s="24"/>
      <c r="E107" s="242">
        <v>8</v>
      </c>
      <c r="F107" s="335">
        <f>10640000/8</f>
        <v>1330000</v>
      </c>
      <c r="G107" s="344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136</v>
      </c>
      <c r="C108" s="11" t="s">
        <v>137</v>
      </c>
      <c r="D108" s="11" t="s">
        <v>138</v>
      </c>
      <c r="E108" s="211">
        <v>50</v>
      </c>
      <c r="F108" s="230">
        <v>385000</v>
      </c>
      <c r="G108" s="292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475" t="s">
        <v>452</v>
      </c>
      <c r="C109" s="229" t="s">
        <v>496</v>
      </c>
      <c r="D109" s="16"/>
      <c r="E109" s="16">
        <v>1</v>
      </c>
      <c r="F109" s="16">
        <v>5676000</v>
      </c>
      <c r="G109" s="292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475"/>
      <c r="C110" s="229" t="s">
        <v>498</v>
      </c>
      <c r="D110" s="211"/>
      <c r="E110" s="16">
        <v>1</v>
      </c>
      <c r="F110" s="211">
        <v>1531200</v>
      </c>
      <c r="G110" s="292">
        <f t="shared" si="8"/>
        <v>1531200</v>
      </c>
      <c r="H110" s="3"/>
      <c r="I110" s="212"/>
      <c r="J110" s="3"/>
      <c r="K110" s="26"/>
      <c r="L110" s="289"/>
      <c r="M110" s="290"/>
      <c r="N110" s="290"/>
      <c r="O110" s="290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475"/>
      <c r="C111" s="229" t="s">
        <v>499</v>
      </c>
      <c r="D111" s="211"/>
      <c r="E111" s="16">
        <v>1</v>
      </c>
      <c r="F111" s="211">
        <v>935000</v>
      </c>
      <c r="G111" s="292">
        <f t="shared" si="8"/>
        <v>935000</v>
      </c>
      <c r="H111" s="3"/>
      <c r="I111" s="212"/>
      <c r="J111" s="3"/>
      <c r="K111" s="26"/>
      <c r="L111" s="289"/>
      <c r="M111" s="290"/>
      <c r="N111" s="290"/>
      <c r="O111" s="290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475"/>
      <c r="C112" s="229" t="s">
        <v>500</v>
      </c>
      <c r="D112" s="211"/>
      <c r="E112" s="16">
        <v>1</v>
      </c>
      <c r="F112" s="211">
        <v>1873300</v>
      </c>
      <c r="G112" s="292">
        <f t="shared" si="8"/>
        <v>1873300</v>
      </c>
      <c r="H112" s="3"/>
      <c r="I112" s="212"/>
      <c r="J112" s="3"/>
      <c r="K112" s="26"/>
      <c r="L112" s="289"/>
      <c r="M112" s="290"/>
      <c r="N112" s="290"/>
      <c r="O112" s="290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475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89"/>
      <c r="M113" s="290"/>
      <c r="N113" s="290"/>
      <c r="O113" s="290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490" t="s">
        <v>453</v>
      </c>
      <c r="C114" s="229" t="s">
        <v>504</v>
      </c>
      <c r="D114" s="211"/>
      <c r="E114" s="16">
        <v>2</v>
      </c>
      <c r="F114" s="211">
        <v>2332000</v>
      </c>
      <c r="G114" s="292">
        <f t="shared" si="8"/>
        <v>4664000</v>
      </c>
      <c r="H114" s="3"/>
      <c r="I114" s="212"/>
      <c r="J114" s="3"/>
      <c r="K114" s="26"/>
      <c r="L114" s="289"/>
      <c r="M114" s="290"/>
      <c r="N114" s="290"/>
      <c r="O114" s="290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501"/>
      <c r="C115" s="229" t="s">
        <v>505</v>
      </c>
      <c r="D115" s="211"/>
      <c r="E115" s="211">
        <v>1</v>
      </c>
      <c r="F115" s="211">
        <v>1496000</v>
      </c>
      <c r="G115" s="292">
        <f t="shared" si="8"/>
        <v>1496000</v>
      </c>
      <c r="H115" s="3"/>
      <c r="I115" s="212"/>
      <c r="J115" s="3"/>
      <c r="K115" s="26"/>
      <c r="L115" s="289"/>
      <c r="M115" s="290"/>
      <c r="N115" s="290"/>
      <c r="O115" s="290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501"/>
      <c r="C116" s="229" t="s">
        <v>501</v>
      </c>
      <c r="D116" s="211"/>
      <c r="E116" s="16">
        <v>1</v>
      </c>
      <c r="F116" s="211">
        <v>643500</v>
      </c>
      <c r="G116" s="292">
        <f t="shared" si="8"/>
        <v>643500</v>
      </c>
      <c r="H116" s="3"/>
      <c r="I116" s="212"/>
      <c r="J116" s="3"/>
      <c r="K116" s="26"/>
      <c r="L116" s="289"/>
      <c r="M116" s="290"/>
      <c r="N116" s="290"/>
      <c r="O116" s="290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501"/>
      <c r="C117" s="229" t="s">
        <v>502</v>
      </c>
      <c r="D117" s="211"/>
      <c r="E117" s="16">
        <v>1</v>
      </c>
      <c r="F117" s="211">
        <v>1155000</v>
      </c>
      <c r="G117" s="292">
        <f t="shared" si="8"/>
        <v>1155000</v>
      </c>
      <c r="H117" s="3"/>
      <c r="I117" s="212"/>
      <c r="J117" s="3"/>
      <c r="K117" s="26"/>
      <c r="L117" s="289"/>
      <c r="M117" s="290"/>
      <c r="N117" s="290"/>
      <c r="O117" s="290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501"/>
      <c r="C118" s="229" t="s">
        <v>503</v>
      </c>
      <c r="D118" s="211"/>
      <c r="E118" s="16">
        <v>1</v>
      </c>
      <c r="F118" s="211">
        <v>1925000</v>
      </c>
      <c r="G118" s="292">
        <f t="shared" si="8"/>
        <v>1925000</v>
      </c>
      <c r="H118" s="3"/>
      <c r="I118" s="212"/>
      <c r="J118" s="3"/>
      <c r="K118" s="26"/>
      <c r="L118" s="289"/>
      <c r="M118" s="290"/>
      <c r="N118" s="290"/>
      <c r="O118" s="290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491"/>
      <c r="C119" s="229"/>
      <c r="D119" s="211"/>
      <c r="E119" s="211"/>
      <c r="F119" s="211"/>
      <c r="G119" s="292"/>
      <c r="H119" s="3"/>
      <c r="I119" s="212"/>
      <c r="J119" s="3"/>
      <c r="K119" s="26"/>
      <c r="L119" s="289"/>
      <c r="M119" s="290"/>
      <c r="N119" s="290"/>
      <c r="O119" s="290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475" t="s">
        <v>454</v>
      </c>
      <c r="C120" s="229" t="s">
        <v>497</v>
      </c>
      <c r="D120" s="211"/>
      <c r="E120" s="16">
        <v>1</v>
      </c>
      <c r="F120" s="211">
        <v>964480</v>
      </c>
      <c r="G120" s="292">
        <f t="shared" si="8"/>
        <v>964480</v>
      </c>
      <c r="H120" s="3"/>
      <c r="I120" s="212"/>
      <c r="J120" s="3"/>
      <c r="K120" s="26"/>
      <c r="L120" s="289"/>
      <c r="M120" s="290"/>
      <c r="N120" s="290"/>
      <c r="O120" s="290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475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89"/>
      <c r="M121" s="290"/>
      <c r="N121" s="290"/>
      <c r="O121" s="290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475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89"/>
      <c r="M122" s="290"/>
      <c r="N122" s="290"/>
      <c r="O122" s="290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475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89"/>
      <c r="M123" s="290"/>
      <c r="N123" s="290"/>
      <c r="O123" s="290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475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89"/>
      <c r="M124" s="290"/>
      <c r="N124" s="290"/>
      <c r="O124" s="290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475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89"/>
      <c r="M125" s="290"/>
      <c r="N125" s="290"/>
      <c r="O125" s="290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140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141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142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365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83</v>
      </c>
      <c r="B129" s="9" t="s">
        <v>84</v>
      </c>
      <c r="C129" s="9"/>
      <c r="D129" s="9"/>
      <c r="E129" s="9"/>
      <c r="F129" s="9"/>
      <c r="G129" s="232">
        <f>SUM(G141,G154,G160,G186,G197,G202,G210,G216,G222,G231,G237,G258)</f>
        <v>1162241174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86</v>
      </c>
      <c r="C130" s="3"/>
      <c r="D130" s="3"/>
      <c r="E130" s="3"/>
      <c r="F130" s="3"/>
      <c r="G130" s="3"/>
      <c r="H130" s="3"/>
      <c r="I130" s="4"/>
      <c r="J130" s="3"/>
      <c r="K130" s="3" t="s">
        <v>143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74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144</v>
      </c>
      <c r="C132" s="11" t="s">
        <v>145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146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459" t="s">
        <v>147</v>
      </c>
      <c r="C133" s="11" t="s">
        <v>148</v>
      </c>
      <c r="D133" s="27"/>
      <c r="E133" s="27">
        <v>4</v>
      </c>
      <c r="F133" s="31">
        <v>1000000</v>
      </c>
      <c r="G133" s="11">
        <f t="shared" si="11"/>
        <v>4000000</v>
      </c>
      <c r="H133" s="465" t="s">
        <v>149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461"/>
      <c r="C134" s="11" t="s">
        <v>150</v>
      </c>
      <c r="D134" s="27"/>
      <c r="E134" s="27">
        <v>5</v>
      </c>
      <c r="F134" s="31">
        <v>4000000</v>
      </c>
      <c r="G134" s="11">
        <f t="shared" si="11"/>
        <v>20000000</v>
      </c>
      <c r="H134" s="458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151</v>
      </c>
      <c r="C135" s="11" t="s">
        <v>350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152</v>
      </c>
      <c r="I135" s="4"/>
      <c r="J135" s="3"/>
      <c r="K135" s="468" t="s">
        <v>22</v>
      </c>
      <c r="L135" s="463"/>
      <c r="M135" s="463"/>
      <c r="N135" s="463"/>
      <c r="O135" s="464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409</v>
      </c>
      <c r="C136" s="11" t="s">
        <v>410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2"/>
      <c r="L136" s="119"/>
      <c r="M136" s="119"/>
      <c r="N136" s="119"/>
      <c r="O136" s="119"/>
      <c r="P136" s="242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153</v>
      </c>
      <c r="C137" s="11" t="s">
        <v>358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154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469" t="s">
        <v>356</v>
      </c>
      <c r="C138" s="11" t="s">
        <v>357</v>
      </c>
      <c r="D138" s="469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470"/>
      <c r="C139" s="11" t="s">
        <v>361</v>
      </c>
      <c r="D139" s="470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155</v>
      </c>
      <c r="C140" s="11" t="s">
        <v>352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156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19">
        <f>SUM(G132:G140)</f>
        <v>683000000</v>
      </c>
      <c r="H141" s="320" t="s">
        <v>472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479" t="s">
        <v>157</v>
      </c>
      <c r="L142" s="56" t="s">
        <v>158</v>
      </c>
      <c r="M142" s="56">
        <v>12000000</v>
      </c>
      <c r="N142" s="465" t="s">
        <v>135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94</v>
      </c>
      <c r="C143" s="3"/>
      <c r="D143" s="3"/>
      <c r="E143" s="3"/>
      <c r="F143" s="3"/>
      <c r="G143" s="3"/>
      <c r="H143" s="3"/>
      <c r="I143" s="4"/>
      <c r="J143" s="3"/>
      <c r="K143" s="461"/>
      <c r="L143" s="11" t="s">
        <v>159</v>
      </c>
      <c r="M143" s="11">
        <v>100000000</v>
      </c>
      <c r="N143" s="458"/>
      <c r="O143" s="477" t="s">
        <v>160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459" t="s">
        <v>161</v>
      </c>
      <c r="L144" s="11" t="s">
        <v>162</v>
      </c>
      <c r="M144" s="11">
        <v>40000000</v>
      </c>
      <c r="N144" s="465" t="s">
        <v>163</v>
      </c>
      <c r="O144" s="478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471" t="s">
        <v>95</v>
      </c>
      <c r="C145" s="11" t="s">
        <v>164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461"/>
      <c r="L145" s="11" t="s">
        <v>165</v>
      </c>
      <c r="M145" s="11">
        <v>20000000</v>
      </c>
      <c r="N145" s="458"/>
      <c r="O145" s="478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458"/>
      <c r="C146" s="11" t="s">
        <v>166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167</v>
      </c>
      <c r="L146" s="56" t="s">
        <v>168</v>
      </c>
      <c r="M146" s="56">
        <v>4500000</v>
      </c>
      <c r="N146" s="3" t="s">
        <v>169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458"/>
      <c r="C147" s="292" t="s">
        <v>170</v>
      </c>
      <c r="D147" s="293"/>
      <c r="E147" s="293">
        <v>1</v>
      </c>
      <c r="F147" s="293">
        <f>486205+66667+120000</f>
        <v>672872</v>
      </c>
      <c r="G147" s="292">
        <f t="shared" si="14"/>
        <v>672872</v>
      </c>
      <c r="H147" s="457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458"/>
      <c r="C148" s="292" t="s">
        <v>171</v>
      </c>
      <c r="D148" s="293"/>
      <c r="E148" s="293">
        <v>1</v>
      </c>
      <c r="F148" s="293">
        <f>486205+66667+120000</f>
        <v>672872</v>
      </c>
      <c r="G148" s="292">
        <f t="shared" si="14"/>
        <v>672872</v>
      </c>
      <c r="H148" s="458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458"/>
      <c r="C149" s="294" t="s">
        <v>346</v>
      </c>
      <c r="D149" s="299"/>
      <c r="E149" s="297">
        <v>1</v>
      </c>
      <c r="F149" s="292">
        <f>6468000/25+46667+30000*3+1452600*2/25</f>
        <v>511595</v>
      </c>
      <c r="G149" s="292">
        <f t="shared" si="14"/>
        <v>511595</v>
      </c>
      <c r="H149" s="457" t="s">
        <v>529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458"/>
      <c r="C150" s="294" t="s">
        <v>347</v>
      </c>
      <c r="D150" s="299"/>
      <c r="E150" s="297">
        <v>1</v>
      </c>
      <c r="F150" s="292">
        <f>6468000/25+46667+30000*3+1452600*2/25</f>
        <v>511595</v>
      </c>
      <c r="G150" s="292">
        <f t="shared" si="14"/>
        <v>511595</v>
      </c>
      <c r="H150" s="458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458"/>
      <c r="C151" s="216" t="s">
        <v>509</v>
      </c>
      <c r="D151" s="241"/>
      <c r="E151" s="31">
        <v>1</v>
      </c>
      <c r="F151" s="11">
        <f>409734+51800+50000+50000</f>
        <v>561534</v>
      </c>
      <c r="G151" s="11">
        <f t="shared" si="14"/>
        <v>561534</v>
      </c>
      <c r="H151" s="336" t="s">
        <v>532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458"/>
      <c r="C152" s="11" t="s">
        <v>401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457" t="s">
        <v>530</v>
      </c>
      <c r="I152" s="4"/>
      <c r="J152" s="3"/>
      <c r="K152" s="489" t="s">
        <v>151</v>
      </c>
      <c r="L152" s="466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472"/>
      <c r="C153" s="3"/>
      <c r="D153" s="3"/>
      <c r="E153" s="3"/>
      <c r="F153" s="3"/>
      <c r="G153" s="3"/>
      <c r="H153" s="458"/>
      <c r="I153" s="4"/>
      <c r="J153" s="3"/>
      <c r="K153" s="57" t="s">
        <v>172</v>
      </c>
      <c r="L153" s="58">
        <f>500+400+300+200</f>
        <v>1400</v>
      </c>
      <c r="M153" s="481" t="s">
        <v>173</v>
      </c>
      <c r="N153" s="478"/>
      <c r="O153" s="478"/>
      <c r="P153" s="478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2930468</v>
      </c>
      <c r="H154" s="41"/>
      <c r="I154" s="4"/>
      <c r="J154" s="3"/>
      <c r="K154" s="58" t="s">
        <v>174</v>
      </c>
      <c r="L154" s="58">
        <f>80*10*4</f>
        <v>3200</v>
      </c>
      <c r="M154" s="481" t="s">
        <v>175</v>
      </c>
      <c r="N154" s="478"/>
      <c r="O154" s="478"/>
      <c r="P154" s="478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176</v>
      </c>
      <c r="L155" s="58">
        <v>2500</v>
      </c>
      <c r="M155" s="465" t="s">
        <v>177</v>
      </c>
      <c r="N155" s="478"/>
      <c r="O155" s="478"/>
      <c r="P155" s="478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178</v>
      </c>
      <c r="C156" s="3"/>
      <c r="D156" s="3"/>
      <c r="E156" s="3"/>
      <c r="F156" s="3"/>
      <c r="G156" s="3"/>
      <c r="H156" s="45"/>
      <c r="I156" s="4"/>
      <c r="J156" s="3"/>
      <c r="K156" s="58" t="s">
        <v>179</v>
      </c>
      <c r="L156" s="58">
        <f>20*30</f>
        <v>600</v>
      </c>
      <c r="M156" s="465" t="s">
        <v>180</v>
      </c>
      <c r="N156" s="478"/>
      <c r="O156" s="478"/>
      <c r="P156" s="478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181</v>
      </c>
      <c r="L157" s="58">
        <v>1300</v>
      </c>
      <c r="M157" s="481" t="s">
        <v>182</v>
      </c>
      <c r="N157" s="478"/>
      <c r="O157" s="478"/>
      <c r="P157" s="478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178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:G159" si="15">E158*F158</f>
        <v>0</v>
      </c>
      <c r="H158" s="41"/>
      <c r="I158" s="4"/>
      <c r="J158" s="3"/>
      <c r="K158" s="59" t="s">
        <v>183</v>
      </c>
      <c r="L158" s="59">
        <f>SUM(L153:L157)</f>
        <v>9000</v>
      </c>
      <c r="M158" s="481" t="s">
        <v>184</v>
      </c>
      <c r="N158" s="478"/>
      <c r="O158" s="478"/>
      <c r="P158" s="478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404" t="s">
        <v>537</v>
      </c>
      <c r="C159" s="405"/>
      <c r="D159" s="405"/>
      <c r="E159" s="405">
        <f>52+6+1</f>
        <v>59</v>
      </c>
      <c r="F159" s="405">
        <v>19900</v>
      </c>
      <c r="G159" s="319">
        <f t="shared" si="15"/>
        <v>1174100</v>
      </c>
      <c r="H159" s="41" t="s">
        <v>547</v>
      </c>
      <c r="I159" s="212"/>
      <c r="J159" s="3"/>
      <c r="K159" s="403"/>
      <c r="L159" s="403"/>
      <c r="M159" s="252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15" t="s">
        <v>22</v>
      </c>
      <c r="C160" s="18"/>
      <c r="D160" s="18"/>
      <c r="E160" s="18"/>
      <c r="F160" s="29"/>
      <c r="G160" s="11">
        <f>SUM(G158:G159)</f>
        <v>1174100</v>
      </c>
      <c r="H160" s="41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/>
      <c r="C161" s="3"/>
      <c r="D161" s="3"/>
      <c r="E161" s="3"/>
      <c r="F161" s="3"/>
      <c r="G161" s="3"/>
      <c r="H161" s="20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 t="s">
        <v>100</v>
      </c>
      <c r="C162" s="3"/>
      <c r="D162" s="3"/>
      <c r="E162" s="3"/>
      <c r="F162" s="3"/>
      <c r="G162" s="3"/>
      <c r="H162" s="45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11" t="s">
        <v>8</v>
      </c>
      <c r="C163" s="13" t="s">
        <v>28</v>
      </c>
      <c r="D163" s="18"/>
      <c r="E163" s="18"/>
      <c r="F163" s="29"/>
      <c r="G163" s="11" t="s">
        <v>13</v>
      </c>
      <c r="H163" s="30" t="s">
        <v>185</v>
      </c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459" t="s">
        <v>186</v>
      </c>
      <c r="C164" s="11"/>
      <c r="D164" s="3"/>
      <c r="E164" s="3"/>
      <c r="F164" s="3"/>
      <c r="G164" s="11"/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460"/>
      <c r="C165" s="292" t="s">
        <v>187</v>
      </c>
      <c r="D165" s="293"/>
      <c r="E165" s="293">
        <v>1</v>
      </c>
      <c r="F165" s="293">
        <v>230000</v>
      </c>
      <c r="G165" s="292">
        <f t="shared" ref="G165:G185" si="16">E165*F165</f>
        <v>230000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460"/>
      <c r="C166" s="3"/>
      <c r="D166" s="3"/>
      <c r="E166" s="3"/>
      <c r="F166" s="3"/>
      <c r="G166" s="11">
        <f t="shared" si="16"/>
        <v>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460"/>
      <c r="C167" s="294" t="s">
        <v>188</v>
      </c>
      <c r="D167" s="295"/>
      <c r="E167" s="295">
        <v>1</v>
      </c>
      <c r="F167" s="293">
        <v>230000</v>
      </c>
      <c r="G167" s="292">
        <f t="shared" si="16"/>
        <v>230000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473"/>
      <c r="C168" s="294" t="s">
        <v>342</v>
      </c>
      <c r="D168" s="406"/>
      <c r="E168" s="295">
        <v>1</v>
      </c>
      <c r="F168" s="293">
        <v>990000</v>
      </c>
      <c r="G168" s="292">
        <f t="shared" si="16"/>
        <v>990000</v>
      </c>
      <c r="H168" s="30" t="s">
        <v>343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473"/>
      <c r="C169" s="294" t="s">
        <v>344</v>
      </c>
      <c r="D169" s="406"/>
      <c r="E169" s="295">
        <v>1</v>
      </c>
      <c r="F169" s="293">
        <v>700000</v>
      </c>
      <c r="G169" s="292">
        <f t="shared" si="16"/>
        <v>700000</v>
      </c>
      <c r="H169" s="30" t="s">
        <v>345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460"/>
      <c r="C170" s="294" t="s">
        <v>349</v>
      </c>
      <c r="D170" s="296"/>
      <c r="E170" s="297">
        <v>20</v>
      </c>
      <c r="F170" s="292">
        <f>486205-0.5+66667</f>
        <v>552871.5</v>
      </c>
      <c r="G170" s="292">
        <f>E170*F170</f>
        <v>11057430</v>
      </c>
      <c r="H170" s="225" t="s">
        <v>348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460"/>
      <c r="C171" s="294" t="s">
        <v>351</v>
      </c>
      <c r="D171" s="296"/>
      <c r="E171" s="297">
        <v>23</v>
      </c>
      <c r="F171" s="292">
        <f>(6468000/25)+46667+1452600*2/25</f>
        <v>421595</v>
      </c>
      <c r="G171" s="292">
        <f t="shared" si="16"/>
        <v>9696685</v>
      </c>
      <c r="H171" s="226" t="s">
        <v>531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460"/>
      <c r="C172" s="298" t="s">
        <v>190</v>
      </c>
      <c r="D172" s="299"/>
      <c r="E172" s="297">
        <v>20</v>
      </c>
      <c r="F172" s="292">
        <v>140000</v>
      </c>
      <c r="G172" s="292">
        <f t="shared" si="16"/>
        <v>2800000</v>
      </c>
      <c r="H172" s="227" t="s">
        <v>191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461"/>
      <c r="C173" s="298" t="s">
        <v>340</v>
      </c>
      <c r="D173" s="299"/>
      <c r="E173" s="297">
        <v>25</v>
      </c>
      <c r="F173" s="292">
        <v>350000</v>
      </c>
      <c r="G173" s="292">
        <f t="shared" si="16"/>
        <v>8750000</v>
      </c>
      <c r="H173" s="228" t="s">
        <v>355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498" t="s">
        <v>400</v>
      </c>
      <c r="C174" s="216" t="s">
        <v>405</v>
      </c>
      <c r="D174" s="241"/>
      <c r="E174" s="31">
        <v>0</v>
      </c>
      <c r="F174" s="11">
        <v>1957200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499"/>
      <c r="C175" s="216" t="s">
        <v>406</v>
      </c>
      <c r="D175" s="241"/>
      <c r="E175" s="31">
        <v>0</v>
      </c>
      <c r="F175" s="11">
        <v>28000000</v>
      </c>
      <c r="G175" s="11">
        <f t="shared" si="16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499"/>
      <c r="C176" s="294" t="s">
        <v>407</v>
      </c>
      <c r="D176" s="296"/>
      <c r="E176" s="297">
        <v>5</v>
      </c>
      <c r="F176" s="292">
        <f>11062500/5</f>
        <v>2212500</v>
      </c>
      <c r="G176" s="292">
        <f t="shared" si="16"/>
        <v>11062500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499"/>
      <c r="C177" s="294" t="s">
        <v>421</v>
      </c>
      <c r="D177" s="296"/>
      <c r="E177" s="297">
        <v>5</v>
      </c>
      <c r="F177" s="292">
        <f>128*1400*4</f>
        <v>716800</v>
      </c>
      <c r="G177" s="292">
        <f t="shared" si="16"/>
        <v>3584000</v>
      </c>
      <c r="H177" s="228" t="s">
        <v>510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499"/>
      <c r="C178" s="294" t="s">
        <v>476</v>
      </c>
      <c r="D178" s="296"/>
      <c r="E178" s="297">
        <v>4</v>
      </c>
      <c r="F178" s="292">
        <f>504669</f>
        <v>504669</v>
      </c>
      <c r="G178" s="292">
        <f t="shared" si="16"/>
        <v>2018676</v>
      </c>
      <c r="H178" s="228" t="s">
        <v>477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499"/>
      <c r="C179" s="294" t="s">
        <v>476</v>
      </c>
      <c r="D179" s="296"/>
      <c r="E179" s="297">
        <v>2</v>
      </c>
      <c r="F179" s="292">
        <v>501199</v>
      </c>
      <c r="G179" s="292">
        <f>E179*F179</f>
        <v>1002398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500"/>
      <c r="C180" s="294" t="s">
        <v>478</v>
      </c>
      <c r="D180" s="296"/>
      <c r="E180" s="297">
        <v>3</v>
      </c>
      <c r="F180" s="292">
        <v>30279</v>
      </c>
      <c r="G180" s="292">
        <f>E180*F180</f>
        <v>90837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474" t="s">
        <v>192</v>
      </c>
      <c r="C181" s="11" t="s">
        <v>193</v>
      </c>
      <c r="D181" s="32"/>
      <c r="E181" s="27">
        <v>1</v>
      </c>
      <c r="F181" s="31">
        <v>20000000</v>
      </c>
      <c r="G181" s="11">
        <f t="shared" si="16"/>
        <v>20000000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465"/>
      <c r="C182" s="14" t="s">
        <v>194</v>
      </c>
      <c r="D182" s="43"/>
      <c r="E182" s="27">
        <v>0</v>
      </c>
      <c r="F182" s="31">
        <v>1000000</v>
      </c>
      <c r="G182" s="11">
        <f t="shared" si="16"/>
        <v>0</v>
      </c>
      <c r="H182" s="457" t="s">
        <v>195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465"/>
      <c r="C183" s="300" t="s">
        <v>341</v>
      </c>
      <c r="D183" s="301"/>
      <c r="E183" s="293">
        <v>1</v>
      </c>
      <c r="F183" s="297">
        <v>516000</v>
      </c>
      <c r="G183" s="292">
        <f t="shared" si="16"/>
        <v>516000</v>
      </c>
      <c r="H183" s="457"/>
      <c r="I183" s="2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465"/>
      <c r="C184" s="216" t="s">
        <v>196</v>
      </c>
      <c r="D184" s="408"/>
      <c r="E184" s="240">
        <v>1</v>
      </c>
      <c r="F184" s="409">
        <v>10000000</v>
      </c>
      <c r="G184" s="216">
        <f t="shared" si="16"/>
        <v>10000000</v>
      </c>
      <c r="H184" s="458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476"/>
      <c r="C185" s="218" t="s">
        <v>539</v>
      </c>
      <c r="D185" s="231"/>
      <c r="E185" s="269">
        <v>5</v>
      </c>
      <c r="F185" s="231">
        <v>600000</v>
      </c>
      <c r="G185" s="218">
        <f t="shared" si="16"/>
        <v>3000000</v>
      </c>
      <c r="H185" s="488"/>
      <c r="I185" s="2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15" t="s">
        <v>22</v>
      </c>
      <c r="C186" s="410"/>
      <c r="D186" s="410"/>
      <c r="E186" s="410"/>
      <c r="F186" s="229"/>
      <c r="G186" s="211">
        <f>SUM(G164:G185)</f>
        <v>85728526</v>
      </c>
      <c r="H186" s="458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3"/>
      <c r="C187" s="3"/>
      <c r="D187" s="3"/>
      <c r="E187" s="3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 t="s">
        <v>116</v>
      </c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11" t="s">
        <v>8</v>
      </c>
      <c r="C189" s="15" t="s">
        <v>28</v>
      </c>
      <c r="D189" s="18"/>
      <c r="E189" s="18"/>
      <c r="F189" s="29"/>
      <c r="G189" s="11" t="s">
        <v>13</v>
      </c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2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459" t="s">
        <v>117</v>
      </c>
      <c r="C190" s="319" t="s">
        <v>118</v>
      </c>
      <c r="D190" s="407"/>
      <c r="E190" s="412">
        <v>500000</v>
      </c>
      <c r="F190" s="319">
        <v>2</v>
      </c>
      <c r="G190" s="319">
        <f>E190*F190-G194-G195</f>
        <v>805000</v>
      </c>
      <c r="H190" s="3" t="s">
        <v>542</v>
      </c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460"/>
      <c r="C191" s="11" t="s">
        <v>119</v>
      </c>
      <c r="D191" s="27"/>
      <c r="E191" s="31">
        <v>50000</v>
      </c>
      <c r="F191" s="11">
        <v>2</v>
      </c>
      <c r="G191" s="11">
        <f t="shared" ref="G191:G196" si="17">E191*F191</f>
        <v>100000</v>
      </c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473"/>
      <c r="C192" s="292" t="s">
        <v>451</v>
      </c>
      <c r="D192" s="293"/>
      <c r="E192" s="297">
        <v>371600</v>
      </c>
      <c r="F192" s="292">
        <v>1</v>
      </c>
      <c r="G192" s="292">
        <f t="shared" si="17"/>
        <v>371600</v>
      </c>
      <c r="H192" s="3"/>
      <c r="I192" s="2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473"/>
      <c r="C193" s="292" t="s">
        <v>479</v>
      </c>
      <c r="D193" s="293"/>
      <c r="E193" s="297">
        <v>52500</v>
      </c>
      <c r="F193" s="292">
        <v>1</v>
      </c>
      <c r="G193" s="292">
        <f t="shared" si="17"/>
        <v>52500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473"/>
      <c r="C194" s="292" t="s">
        <v>451</v>
      </c>
      <c r="D194" s="293"/>
      <c r="E194" s="297">
        <v>96000</v>
      </c>
      <c r="F194" s="292">
        <v>1</v>
      </c>
      <c r="G194" s="292">
        <f t="shared" si="17"/>
        <v>96000</v>
      </c>
      <c r="H194" s="3" t="s">
        <v>538</v>
      </c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473"/>
      <c r="C195" s="292" t="s">
        <v>546</v>
      </c>
      <c r="D195" s="293"/>
      <c r="E195" s="297">
        <v>99000</v>
      </c>
      <c r="F195" s="292">
        <v>1</v>
      </c>
      <c r="G195" s="292">
        <f t="shared" si="17"/>
        <v>99000</v>
      </c>
      <c r="H195" s="3"/>
      <c r="I195" s="2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461"/>
      <c r="C196" s="26" t="s">
        <v>120</v>
      </c>
      <c r="D196" s="35"/>
      <c r="E196" s="40">
        <v>0</v>
      </c>
      <c r="F196" s="26">
        <v>1</v>
      </c>
      <c r="G196" s="26">
        <f t="shared" si="17"/>
        <v>0</v>
      </c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15" t="s">
        <v>22</v>
      </c>
      <c r="C197" s="18"/>
      <c r="D197" s="18"/>
      <c r="E197" s="18"/>
      <c r="F197" s="29"/>
      <c r="G197" s="11">
        <f>SUM(G190:G196)</f>
        <v>1524100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3"/>
      <c r="C198" s="3"/>
      <c r="D198" s="3"/>
      <c r="E198" s="3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 t="s">
        <v>197</v>
      </c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11" t="s">
        <v>8</v>
      </c>
      <c r="C200" s="15" t="s">
        <v>28</v>
      </c>
      <c r="D200" s="18"/>
      <c r="E200" s="18"/>
      <c r="F200" s="29"/>
      <c r="G200" s="11" t="s">
        <v>13</v>
      </c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197</v>
      </c>
      <c r="C201" s="28">
        <v>30000</v>
      </c>
      <c r="D201" s="42"/>
      <c r="E201" s="42"/>
      <c r="F201" s="29">
        <v>5</v>
      </c>
      <c r="G201" s="11">
        <f>C201*F201</f>
        <v>150000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5" t="s">
        <v>22</v>
      </c>
      <c r="C202" s="18"/>
      <c r="D202" s="18"/>
      <c r="E202" s="18"/>
      <c r="F202" s="29"/>
      <c r="G202" s="11">
        <f>G201</f>
        <v>150000</v>
      </c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3"/>
      <c r="C203" s="3"/>
      <c r="D203" s="3"/>
      <c r="E203" s="3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3" t="s">
        <v>121</v>
      </c>
      <c r="C204" s="3"/>
      <c r="D204" s="3"/>
      <c r="E204" s="3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47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8</v>
      </c>
      <c r="C205" s="15" t="s">
        <v>28</v>
      </c>
      <c r="D205" s="18"/>
      <c r="E205" s="18"/>
      <c r="F205" s="29"/>
      <c r="G205" s="11" t="s">
        <v>13</v>
      </c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2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124</v>
      </c>
      <c r="C206" s="11" t="s">
        <v>198</v>
      </c>
      <c r="D206" s="27"/>
      <c r="E206" s="27">
        <v>180</v>
      </c>
      <c r="F206" s="11">
        <v>5000</v>
      </c>
      <c r="G206" s="11">
        <f t="shared" ref="G206:G209" si="18">E206*F206</f>
        <v>900000</v>
      </c>
      <c r="H206" s="8" t="s">
        <v>474</v>
      </c>
      <c r="I206" s="4"/>
      <c r="J206" s="3"/>
      <c r="K206" s="3"/>
      <c r="L206" s="3"/>
      <c r="M206" s="3"/>
      <c r="N206" s="3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199</v>
      </c>
      <c r="C207" s="11" t="s">
        <v>200</v>
      </c>
      <c r="D207" s="27"/>
      <c r="E207" s="27">
        <v>2</v>
      </c>
      <c r="F207" s="11">
        <v>50000</v>
      </c>
      <c r="G207" s="11">
        <f t="shared" si="18"/>
        <v>100000</v>
      </c>
      <c r="H207" s="3"/>
      <c r="I207" s="4"/>
      <c r="J207" s="3"/>
      <c r="K207" s="8"/>
      <c r="L207" s="480"/>
      <c r="M207" s="478"/>
      <c r="N207" s="478"/>
      <c r="O207" s="3"/>
      <c r="P207" s="3"/>
      <c r="Q207" s="3"/>
      <c r="R207" s="2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201</v>
      </c>
      <c r="C208" s="11" t="s">
        <v>202</v>
      </c>
      <c r="D208" s="27"/>
      <c r="E208" s="27">
        <v>81</v>
      </c>
      <c r="F208" s="11">
        <v>109000</v>
      </c>
      <c r="G208" s="11">
        <f t="shared" si="18"/>
        <v>8829000</v>
      </c>
      <c r="H208" s="3"/>
      <c r="I208" s="4"/>
      <c r="J208" s="3"/>
      <c r="K208" s="8"/>
      <c r="L208" s="478"/>
      <c r="M208" s="478"/>
      <c r="N208" s="478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203</v>
      </c>
      <c r="C209" s="11" t="s">
        <v>204</v>
      </c>
      <c r="D209" s="27"/>
      <c r="E209" s="27">
        <v>61</v>
      </c>
      <c r="F209" s="11">
        <v>30000</v>
      </c>
      <c r="G209" s="11">
        <f t="shared" si="18"/>
        <v>1830000</v>
      </c>
      <c r="H209" s="30" t="s">
        <v>156</v>
      </c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15" t="s">
        <v>22</v>
      </c>
      <c r="C210" s="18"/>
      <c r="D210" s="18"/>
      <c r="E210" s="18"/>
      <c r="F210" s="29"/>
      <c r="G210" s="11">
        <f>SUM(G206:G209)</f>
        <v>11659000</v>
      </c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3"/>
      <c r="C211" s="3"/>
      <c r="D211" s="3"/>
      <c r="E211" s="3"/>
      <c r="F211" s="3"/>
      <c r="G211" s="3"/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2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3" t="s">
        <v>205</v>
      </c>
      <c r="C212" s="3"/>
      <c r="D212" s="3"/>
      <c r="E212" s="3"/>
      <c r="F212" s="3"/>
      <c r="G212" s="3"/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2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11" t="s">
        <v>8</v>
      </c>
      <c r="C213" s="15" t="s">
        <v>28</v>
      </c>
      <c r="D213" s="18"/>
      <c r="E213" s="18"/>
      <c r="F213" s="29"/>
      <c r="G213" s="11" t="s">
        <v>13</v>
      </c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11"/>
      <c r="C214" s="27" t="s">
        <v>206</v>
      </c>
      <c r="D214" s="27"/>
      <c r="E214" s="27">
        <v>5</v>
      </c>
      <c r="F214" s="11">
        <v>5000</v>
      </c>
      <c r="G214" s="11">
        <f t="shared" ref="G214:G215" si="19">E214*F214</f>
        <v>25000</v>
      </c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/>
      <c r="C215" s="293" t="s">
        <v>207</v>
      </c>
      <c r="D215" s="293"/>
      <c r="E215" s="293">
        <v>1</v>
      </c>
      <c r="F215" s="292">
        <v>2043000</v>
      </c>
      <c r="G215" s="292">
        <f t="shared" si="19"/>
        <v>2043000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5" t="s">
        <v>22</v>
      </c>
      <c r="C216" s="18"/>
      <c r="D216" s="18"/>
      <c r="E216" s="18"/>
      <c r="F216" s="29"/>
      <c r="G216" s="11">
        <f>SUM(G214:G215)</f>
        <v>2068000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3"/>
      <c r="C217" s="3"/>
      <c r="D217" s="3"/>
      <c r="E217" s="3"/>
      <c r="F217" s="3"/>
      <c r="G217" s="3"/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3" t="s">
        <v>208</v>
      </c>
      <c r="C218" s="3"/>
      <c r="D218" s="3"/>
      <c r="E218" s="3"/>
      <c r="F218" s="3"/>
      <c r="G218" s="3"/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11" t="s">
        <v>8</v>
      </c>
      <c r="C219" s="15" t="s">
        <v>28</v>
      </c>
      <c r="D219" s="18"/>
      <c r="E219" s="18"/>
      <c r="F219" s="29"/>
      <c r="G219" s="11" t="s">
        <v>13</v>
      </c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2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319" t="s">
        <v>209</v>
      </c>
      <c r="C220" s="319" t="s">
        <v>210</v>
      </c>
      <c r="D220" s="407"/>
      <c r="E220" s="319">
        <f>20</f>
        <v>20</v>
      </c>
      <c r="F220" s="319">
        <f>696000/20</f>
        <v>34800</v>
      </c>
      <c r="G220" s="319">
        <f>E220*F220</f>
        <v>696000</v>
      </c>
      <c r="H220" s="3" t="s">
        <v>543</v>
      </c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351" t="s">
        <v>211</v>
      </c>
      <c r="C221" s="350" t="s">
        <v>212</v>
      </c>
      <c r="D221" s="350"/>
      <c r="E221" s="350">
        <v>45</v>
      </c>
      <c r="F221" s="350">
        <f>1194800/45</f>
        <v>26551.111111111109</v>
      </c>
      <c r="G221" s="350">
        <f>E221*F221</f>
        <v>1194800</v>
      </c>
      <c r="H221" s="8" t="s">
        <v>553</v>
      </c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15" t="s">
        <v>22</v>
      </c>
      <c r="C222" s="18"/>
      <c r="D222" s="18"/>
      <c r="E222" s="18"/>
      <c r="F222" s="29"/>
      <c r="G222" s="11">
        <f>SUM(G220:G221)</f>
        <v>1890800</v>
      </c>
      <c r="H222" s="8" t="s">
        <v>213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3"/>
      <c r="C223" s="3"/>
      <c r="D223" s="3"/>
      <c r="E223" s="3"/>
      <c r="F223" s="3"/>
      <c r="G223" s="3"/>
      <c r="H223" s="3"/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307" t="s">
        <v>135</v>
      </c>
      <c r="C224" s="3"/>
      <c r="D224" s="3"/>
      <c r="E224" s="3"/>
      <c r="F224" s="3"/>
      <c r="G224" s="3"/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11" t="s">
        <v>8</v>
      </c>
      <c r="C225" s="28" t="s">
        <v>28</v>
      </c>
      <c r="D225" s="42"/>
      <c r="E225" s="42"/>
      <c r="F225" s="42"/>
      <c r="G225" s="11" t="s">
        <v>13</v>
      </c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292" t="s">
        <v>140</v>
      </c>
      <c r="C226" s="297">
        <f>R126</f>
        <v>151120240</v>
      </c>
      <c r="D226" s="293"/>
      <c r="E226" s="293"/>
      <c r="F226" s="293"/>
      <c r="G226" s="292">
        <f t="shared" ref="G226:G228" si="20">C226</f>
        <v>151120240</v>
      </c>
      <c r="H226" s="3" t="s">
        <v>214</v>
      </c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7.25" customHeight="1">
      <c r="A227" s="3"/>
      <c r="B227" s="292" t="s">
        <v>142</v>
      </c>
      <c r="C227" s="302">
        <f>R127</f>
        <v>186772440</v>
      </c>
      <c r="D227" s="295"/>
      <c r="E227" s="295"/>
      <c r="F227" s="295"/>
      <c r="G227" s="294">
        <f t="shared" si="20"/>
        <v>186772440</v>
      </c>
      <c r="H227" s="3" t="s">
        <v>455</v>
      </c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303" t="s">
        <v>158</v>
      </c>
      <c r="C228" s="304">
        <v>12743500</v>
      </c>
      <c r="D228" s="305"/>
      <c r="E228" s="305"/>
      <c r="F228" s="305"/>
      <c r="G228" s="306">
        <f t="shared" si="20"/>
        <v>12743500</v>
      </c>
      <c r="H228" s="220" t="s">
        <v>215</v>
      </c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3"/>
      <c r="B229" s="11" t="s">
        <v>363</v>
      </c>
      <c r="C229" s="230">
        <v>0</v>
      </c>
      <c r="D229" s="291"/>
      <c r="E229" s="291"/>
      <c r="F229" s="291"/>
      <c r="G229" s="211">
        <f t="shared" ref="G229:G230" si="21">C229</f>
        <v>0</v>
      </c>
      <c r="H229" s="220"/>
      <c r="I229" s="212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11" t="s">
        <v>364</v>
      </c>
      <c r="C230" s="31">
        <v>0</v>
      </c>
      <c r="D230" s="27"/>
      <c r="E230" s="27"/>
      <c r="F230" s="27"/>
      <c r="G230" s="11">
        <f t="shared" si="21"/>
        <v>0</v>
      </c>
      <c r="H230" s="220"/>
      <c r="I230" s="2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15" t="s">
        <v>22</v>
      </c>
      <c r="C231" s="18"/>
      <c r="D231" s="18"/>
      <c r="E231" s="18"/>
      <c r="F231" s="29"/>
      <c r="G231" s="11">
        <f>SUM(G226:G230)</f>
        <v>350636180</v>
      </c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3"/>
      <c r="B232" s="242"/>
      <c r="C232" s="242"/>
      <c r="D232" s="242"/>
      <c r="E232" s="242"/>
      <c r="F232" s="242"/>
      <c r="G232" s="242"/>
      <c r="H232" s="3"/>
      <c r="I232" s="212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3"/>
      <c r="B233" s="3" t="s">
        <v>105</v>
      </c>
      <c r="C233" s="3"/>
      <c r="D233" s="3"/>
      <c r="E233" s="3"/>
      <c r="F233" s="3"/>
      <c r="G233" s="3"/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8" customHeight="1">
      <c r="A234" s="3"/>
      <c r="B234" s="11" t="s">
        <v>8</v>
      </c>
      <c r="C234" s="11" t="s">
        <v>28</v>
      </c>
      <c r="D234" s="11"/>
      <c r="E234" s="11"/>
      <c r="F234" s="11"/>
      <c r="G234" s="11"/>
      <c r="H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7.25" customHeight="1">
      <c r="A235" s="3"/>
      <c r="B235" s="11" t="s">
        <v>108</v>
      </c>
      <c r="C235" s="11">
        <v>18480000</v>
      </c>
      <c r="D235" s="11"/>
      <c r="E235" s="11"/>
      <c r="F235" s="11"/>
      <c r="G235" s="11">
        <v>0</v>
      </c>
      <c r="H235" s="3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>
      <c r="A236" s="8"/>
      <c r="B236" s="11" t="s">
        <v>113</v>
      </c>
      <c r="C236" s="11">
        <v>21120000</v>
      </c>
      <c r="D236" s="11"/>
      <c r="E236" s="11"/>
      <c r="F236" s="11"/>
      <c r="G236" s="11">
        <v>0</v>
      </c>
      <c r="H236" s="8">
        <v>0</v>
      </c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>
      <c r="A237" s="8"/>
      <c r="B237" s="468" t="s">
        <v>22</v>
      </c>
      <c r="C237" s="463"/>
      <c r="D237" s="463"/>
      <c r="E237" s="463"/>
      <c r="F237" s="464"/>
      <c r="G237" s="11">
        <f>SUM(G235,G236)</f>
        <v>0</v>
      </c>
      <c r="H237" s="8"/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>
      <c r="A238" s="3"/>
      <c r="B238" s="3"/>
      <c r="C238" s="3"/>
      <c r="D238" s="3"/>
      <c r="E238" s="3"/>
      <c r="F238" s="3"/>
      <c r="G238" s="3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3"/>
      <c r="B239" s="3" t="s">
        <v>143</v>
      </c>
      <c r="C239" s="3"/>
      <c r="D239" s="3"/>
      <c r="E239" s="3"/>
      <c r="F239" s="3"/>
      <c r="G239" s="3"/>
      <c r="H239" s="3"/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216" t="s">
        <v>8</v>
      </c>
      <c r="C240" s="217" t="s">
        <v>28</v>
      </c>
      <c r="D240" s="265"/>
      <c r="E240" s="265"/>
      <c r="F240" s="266"/>
      <c r="G240" s="216" t="s">
        <v>13</v>
      </c>
      <c r="H240" s="3"/>
      <c r="I240" s="4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495" t="s">
        <v>216</v>
      </c>
      <c r="C241" s="306" t="s">
        <v>441</v>
      </c>
      <c r="D241" s="306"/>
      <c r="E241" s="306">
        <v>1</v>
      </c>
      <c r="F241" s="306">
        <v>290000</v>
      </c>
      <c r="G241" s="306">
        <f t="shared" ref="G241:G253" si="22">E241*F241</f>
        <v>290000</v>
      </c>
      <c r="H241" s="220" t="s">
        <v>220</v>
      </c>
      <c r="I241" s="4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496"/>
      <c r="C242" s="306" t="s">
        <v>442</v>
      </c>
      <c r="D242" s="306"/>
      <c r="E242" s="306">
        <v>1</v>
      </c>
      <c r="F242" s="306">
        <v>290000</v>
      </c>
      <c r="G242" s="306">
        <f t="shared" si="22"/>
        <v>290000</v>
      </c>
      <c r="H242" s="220"/>
      <c r="I242" s="2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496"/>
      <c r="C243" s="306" t="s">
        <v>443</v>
      </c>
      <c r="D243" s="306"/>
      <c r="E243" s="306">
        <v>1</v>
      </c>
      <c r="F243" s="306">
        <v>210000</v>
      </c>
      <c r="G243" s="306">
        <f t="shared" si="22"/>
        <v>210000</v>
      </c>
      <c r="H243" s="220"/>
      <c r="I243" s="21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497"/>
      <c r="C244" s="306" t="s">
        <v>444</v>
      </c>
      <c r="D244" s="306"/>
      <c r="E244" s="306">
        <v>1</v>
      </c>
      <c r="F244" s="306">
        <v>210000</v>
      </c>
      <c r="G244" s="306">
        <f t="shared" si="22"/>
        <v>210000</v>
      </c>
      <c r="H244" s="220"/>
      <c r="I244" s="2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492" t="s">
        <v>434</v>
      </c>
      <c r="C245" s="308" t="s">
        <v>435</v>
      </c>
      <c r="D245" s="308"/>
      <c r="E245" s="308">
        <v>1</v>
      </c>
      <c r="F245" s="308">
        <v>540000</v>
      </c>
      <c r="G245" s="308">
        <f t="shared" si="22"/>
        <v>540000</v>
      </c>
      <c r="H245" s="3"/>
      <c r="I245" s="4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493"/>
      <c r="C246" s="292" t="s">
        <v>436</v>
      </c>
      <c r="D246" s="292"/>
      <c r="E246" s="292">
        <v>1</v>
      </c>
      <c r="F246" s="292">
        <v>540000</v>
      </c>
      <c r="G246" s="292">
        <f t="shared" si="22"/>
        <v>540000</v>
      </c>
      <c r="H246" s="3"/>
      <c r="I246" s="2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493"/>
      <c r="C247" s="292" t="s">
        <v>437</v>
      </c>
      <c r="D247" s="292"/>
      <c r="E247" s="292">
        <v>1</v>
      </c>
      <c r="F247" s="292">
        <v>1260000</v>
      </c>
      <c r="G247" s="292">
        <f t="shared" si="22"/>
        <v>1260000</v>
      </c>
      <c r="H247" s="3"/>
      <c r="I247" s="2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494"/>
      <c r="C248" s="292" t="s">
        <v>440</v>
      </c>
      <c r="D248" s="292"/>
      <c r="E248" s="292">
        <v>1</v>
      </c>
      <c r="F248" s="292">
        <v>1260000</v>
      </c>
      <c r="G248" s="292">
        <f t="shared" si="22"/>
        <v>1260000</v>
      </c>
      <c r="H248" s="3"/>
      <c r="I248" s="2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308" t="s">
        <v>438</v>
      </c>
      <c r="C249" s="292" t="s">
        <v>439</v>
      </c>
      <c r="D249" s="292"/>
      <c r="E249" s="292">
        <v>1</v>
      </c>
      <c r="F249" s="292">
        <v>2700000</v>
      </c>
      <c r="G249" s="292">
        <f t="shared" si="22"/>
        <v>2700000</v>
      </c>
      <c r="H249" s="3"/>
      <c r="I249" s="2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469" t="s">
        <v>515</v>
      </c>
      <c r="C250" s="11"/>
      <c r="D250" s="11"/>
      <c r="E250" s="319">
        <v>24</v>
      </c>
      <c r="F250" s="319">
        <v>30000</v>
      </c>
      <c r="G250" s="319">
        <f t="shared" si="22"/>
        <v>720000</v>
      </c>
      <c r="H250" s="3"/>
      <c r="I250" s="2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482"/>
      <c r="C251" s="11"/>
      <c r="D251" s="11"/>
      <c r="E251" s="11">
        <v>100</v>
      </c>
      <c r="F251" s="11">
        <v>30000</v>
      </c>
      <c r="G251" s="11">
        <f t="shared" si="22"/>
        <v>3000000</v>
      </c>
      <c r="H251" s="3"/>
      <c r="I251" s="21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482"/>
      <c r="C252" s="11"/>
      <c r="D252" s="11"/>
      <c r="E252" s="11">
        <v>50</v>
      </c>
      <c r="F252" s="11">
        <v>30000</v>
      </c>
      <c r="G252" s="11">
        <f t="shared" si="22"/>
        <v>1500000</v>
      </c>
      <c r="H252" s="3"/>
      <c r="I252" s="21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482"/>
      <c r="C253" s="11"/>
      <c r="D253" s="11"/>
      <c r="E253" s="11">
        <v>200</v>
      </c>
      <c r="F253" s="11">
        <v>30000</v>
      </c>
      <c r="G253" s="11">
        <f t="shared" si="22"/>
        <v>6000000</v>
      </c>
      <c r="H253" s="3"/>
      <c r="I253" s="21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470"/>
      <c r="C254" s="11"/>
      <c r="D254" s="11"/>
      <c r="E254" s="11"/>
      <c r="F254" s="11"/>
      <c r="G254" s="11"/>
      <c r="H254" s="3"/>
      <c r="I254" s="21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469" t="s">
        <v>533</v>
      </c>
      <c r="C255" s="11"/>
      <c r="D255" s="11"/>
      <c r="E255" s="319">
        <v>1</v>
      </c>
      <c r="F255" s="319">
        <v>370000</v>
      </c>
      <c r="G255" s="319">
        <f t="shared" ref="G255:G257" si="23">E255*F255</f>
        <v>370000</v>
      </c>
      <c r="H255" s="3"/>
      <c r="I255" s="21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470"/>
      <c r="C256" s="11"/>
      <c r="D256" s="11"/>
      <c r="E256" s="319">
        <v>1</v>
      </c>
      <c r="F256" s="319">
        <v>370000</v>
      </c>
      <c r="G256" s="319">
        <f t="shared" ref="G256" si="24">E256*F256</f>
        <v>370000</v>
      </c>
      <c r="H256" s="3"/>
      <c r="I256" s="212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211" t="s">
        <v>534</v>
      </c>
      <c r="C257" s="11"/>
      <c r="D257" s="11"/>
      <c r="E257" s="319">
        <v>1</v>
      </c>
      <c r="F257" s="319">
        <v>2220000</v>
      </c>
      <c r="G257" s="319">
        <f t="shared" si="23"/>
        <v>2220000</v>
      </c>
      <c r="H257" s="3"/>
      <c r="I257" s="212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3"/>
      <c r="B258" s="11" t="s">
        <v>22</v>
      </c>
      <c r="C258" s="11"/>
      <c r="D258" s="11"/>
      <c r="E258" s="11"/>
      <c r="F258" s="11"/>
      <c r="G258" s="11">
        <f>SUM(G241:G257)</f>
        <v>21480000</v>
      </c>
      <c r="H258" s="3"/>
      <c r="I258" s="4"/>
      <c r="J258" s="480"/>
      <c r="K258" s="478"/>
      <c r="L258" s="478"/>
      <c r="M258" s="478"/>
      <c r="N258" s="478"/>
      <c r="O258" s="478"/>
      <c r="P258" s="478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23"/>
      <c r="C259" s="23"/>
      <c r="D259" s="23"/>
      <c r="E259" s="23"/>
      <c r="F259" s="23"/>
      <c r="G259" s="3"/>
      <c r="H259" s="3"/>
      <c r="I259" s="4"/>
      <c r="J259" s="478"/>
      <c r="K259" s="478"/>
      <c r="L259" s="478"/>
      <c r="M259" s="478"/>
      <c r="N259" s="478"/>
      <c r="O259" s="478"/>
      <c r="P259" s="478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3"/>
      <c r="C260" s="3"/>
      <c r="D260" s="3"/>
      <c r="E260" s="3"/>
      <c r="F260" s="3"/>
      <c r="G260" s="3"/>
      <c r="H260" s="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 t="s">
        <v>221</v>
      </c>
      <c r="C261" s="3">
        <f>C2*0.05</f>
        <v>155600000</v>
      </c>
      <c r="D261" s="3"/>
      <c r="E261" s="3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4"/>
      <c r="J263" s="3"/>
      <c r="K263" s="23"/>
      <c r="L263" s="2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2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2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23"/>
      <c r="D274" s="23"/>
      <c r="E274" s="23"/>
      <c r="F274" s="2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23"/>
      <c r="C277" s="23"/>
      <c r="D277" s="23"/>
      <c r="E277" s="23"/>
      <c r="F277" s="2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2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8.7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6.5" customHeight="1">
      <c r="A1070" s="3"/>
      <c r="B1070" s="3"/>
      <c r="C1070" s="3"/>
      <c r="D1070" s="3"/>
      <c r="E1070" s="3"/>
      <c r="F1070" s="3"/>
      <c r="G1070" s="3"/>
      <c r="H1070" s="3"/>
      <c r="I1070" s="4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1:26" ht="15" customHeight="1">
      <c r="B1071" s="3"/>
      <c r="C1071" s="3"/>
      <c r="D1071" s="3"/>
      <c r="E1071" s="3"/>
      <c r="F1071" s="3"/>
      <c r="G1071" s="3"/>
    </row>
    <row r="1072" spans="1:26" ht="15" customHeight="1">
      <c r="B1072" s="3"/>
      <c r="C1072" s="3"/>
      <c r="D1072" s="3"/>
      <c r="E1072" s="3"/>
      <c r="F1072" s="3"/>
      <c r="G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  <row r="1075" spans="2:7" ht="15" customHeight="1">
      <c r="B1075" s="3"/>
      <c r="C1075" s="3"/>
      <c r="D1075" s="3"/>
      <c r="E1075" s="3"/>
      <c r="F1075" s="3"/>
      <c r="G1075" s="3"/>
    </row>
  </sheetData>
  <mergeCells count="85">
    <mergeCell ref="B255:B256"/>
    <mergeCell ref="B250:B254"/>
    <mergeCell ref="B120:B125"/>
    <mergeCell ref="B80:B81"/>
    <mergeCell ref="B245:B248"/>
    <mergeCell ref="B241:B244"/>
    <mergeCell ref="B190:B196"/>
    <mergeCell ref="B174:B180"/>
    <mergeCell ref="B114:B119"/>
    <mergeCell ref="W85:Y85"/>
    <mergeCell ref="W86:Y86"/>
    <mergeCell ref="Q87:Q88"/>
    <mergeCell ref="R87:R88"/>
    <mergeCell ref="B88:B89"/>
    <mergeCell ref="K89:O89"/>
    <mergeCell ref="H182:H186"/>
    <mergeCell ref="L207:N208"/>
    <mergeCell ref="B133:B134"/>
    <mergeCell ref="H152:H153"/>
    <mergeCell ref="H133:H134"/>
    <mergeCell ref="H147:H148"/>
    <mergeCell ref="H149:H150"/>
    <mergeCell ref="K152:L152"/>
    <mergeCell ref="M153:P153"/>
    <mergeCell ref="K31:O31"/>
    <mergeCell ref="H35:H36"/>
    <mergeCell ref="H37:H38"/>
    <mergeCell ref="K41:O41"/>
    <mergeCell ref="K48:O48"/>
    <mergeCell ref="H41:H53"/>
    <mergeCell ref="A1:H1"/>
    <mergeCell ref="J1:Q1"/>
    <mergeCell ref="B7:B13"/>
    <mergeCell ref="H7:H8"/>
    <mergeCell ref="K7:K11"/>
    <mergeCell ref="L11:O11"/>
    <mergeCell ref="K13:O13"/>
    <mergeCell ref="C13:F13"/>
    <mergeCell ref="K83:O83"/>
    <mergeCell ref="K73:K82"/>
    <mergeCell ref="K93:K95"/>
    <mergeCell ref="K54:O54"/>
    <mergeCell ref="K61:O61"/>
    <mergeCell ref="K65:K68"/>
    <mergeCell ref="K69:O69"/>
    <mergeCell ref="J258:P259"/>
    <mergeCell ref="M157:P157"/>
    <mergeCell ref="M158:P158"/>
    <mergeCell ref="M154:P154"/>
    <mergeCell ref="M155:P155"/>
    <mergeCell ref="M156:P156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B14:F14"/>
    <mergeCell ref="C17:F17"/>
    <mergeCell ref="B19:F19"/>
    <mergeCell ref="B28:B54"/>
    <mergeCell ref="B237:F237"/>
    <mergeCell ref="B138:B139"/>
    <mergeCell ref="D138:D139"/>
    <mergeCell ref="B145:B153"/>
    <mergeCell ref="B164:B173"/>
    <mergeCell ref="B70:B78"/>
    <mergeCell ref="C22:F22"/>
    <mergeCell ref="B24:F24"/>
    <mergeCell ref="B109:B113"/>
    <mergeCell ref="B106:B107"/>
    <mergeCell ref="B181:B185"/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63"/>
  <sheetViews>
    <sheetView zoomScaleNormal="100" workbookViewId="0">
      <pane ySplit="3" topLeftCell="A4" activePane="bottomLeft" state="frozen"/>
      <selection pane="bottomLeft" activeCell="H11" sqref="H11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519" t="s">
        <v>273</v>
      </c>
      <c r="B1" s="488"/>
      <c r="C1" s="488"/>
      <c r="D1" s="488"/>
      <c r="E1" s="488"/>
      <c r="F1" s="488"/>
      <c r="G1" s="488"/>
      <c r="H1" s="488"/>
      <c r="I1" s="488"/>
      <c r="J1" s="488"/>
      <c r="K1" s="488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224</v>
      </c>
      <c r="AE1" s="246" t="s">
        <v>225</v>
      </c>
      <c r="AF1" s="246" t="s">
        <v>226</v>
      </c>
      <c r="AG1" s="246" t="s">
        <v>227</v>
      </c>
      <c r="AH1" s="246" t="s">
        <v>228</v>
      </c>
      <c r="AI1" s="246" t="s">
        <v>229</v>
      </c>
      <c r="AJ1" s="246" t="s">
        <v>230</v>
      </c>
      <c r="AK1" s="246" t="s">
        <v>231</v>
      </c>
      <c r="AL1" s="246" t="s">
        <v>232</v>
      </c>
      <c r="AM1" s="246" t="s">
        <v>233</v>
      </c>
      <c r="AN1" s="246" t="s">
        <v>234</v>
      </c>
      <c r="AO1" s="246" t="s">
        <v>235</v>
      </c>
      <c r="AP1" s="246" t="s">
        <v>236</v>
      </c>
      <c r="AQ1" s="246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02" t="s">
        <v>7</v>
      </c>
      <c r="Q2" s="464"/>
      <c r="R2" s="502" t="s">
        <v>240</v>
      </c>
      <c r="S2" s="464"/>
      <c r="T2" s="502" t="s">
        <v>31</v>
      </c>
      <c r="U2" s="464"/>
      <c r="V2" s="502" t="s">
        <v>72</v>
      </c>
      <c r="W2" s="464"/>
      <c r="X2" s="502" t="s">
        <v>84</v>
      </c>
      <c r="Y2" s="464"/>
      <c r="Z2" s="502" t="s">
        <v>241</v>
      </c>
      <c r="AA2" s="464"/>
      <c r="AD2" s="247">
        <f t="shared" ref="AD2:AO2" si="0">SUMIF($G4:$G184, AD1, $H4:$H184)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31124560</v>
      </c>
      <c r="AH2" s="247">
        <f t="shared" si="0"/>
        <v>425800124.92500001</v>
      </c>
      <c r="AI2" s="247">
        <f t="shared" si="0"/>
        <v>32766221.925000001</v>
      </c>
      <c r="AJ2" s="247">
        <f t="shared" si="0"/>
        <v>254763523.92500001</v>
      </c>
      <c r="AK2" s="247">
        <f t="shared" si="0"/>
        <v>228006017.92500001</v>
      </c>
      <c r="AL2" s="247">
        <f t="shared" si="0"/>
        <v>789828154.92499995</v>
      </c>
      <c r="AM2" s="247">
        <f t="shared" si="0"/>
        <v>43170083.924999997</v>
      </c>
      <c r="AN2" s="247">
        <f t="shared" si="0"/>
        <v>508365083.92500001</v>
      </c>
      <c r="AO2" s="247">
        <f t="shared" si="0"/>
        <v>433673083.92500001</v>
      </c>
      <c r="AP2" s="247">
        <f>SUM(AD2:AO2)</f>
        <v>2854715926.4000001</v>
      </c>
      <c r="AQ2" s="248">
        <f>$A$2-$AP$2</f>
        <v>101684073.5999999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16" t="s">
        <v>244</v>
      </c>
      <c r="E3" s="517"/>
      <c r="F3" s="518"/>
      <c r="G3" s="73" t="s">
        <v>274</v>
      </c>
      <c r="H3" s="75" t="s">
        <v>275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1251687390</v>
      </c>
      <c r="U3" s="81">
        <f>K48</f>
        <v>1.0010636958765846</v>
      </c>
      <c r="V3" s="80">
        <f>H68</f>
        <v>73075500</v>
      </c>
      <c r="W3" s="81">
        <f>K68</f>
        <v>0.67637762114782096</v>
      </c>
      <c r="X3" s="80">
        <f>H186</f>
        <v>1140766189</v>
      </c>
      <c r="Y3" s="81">
        <f>K186</f>
        <v>0.98152278074430011</v>
      </c>
      <c r="Z3" s="82">
        <f>H187</f>
        <v>2866827837.4000001</v>
      </c>
      <c r="AA3" s="83">
        <f>K187</f>
        <v>0.98113956996690466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4.6794625558111216E-2</v>
      </c>
      <c r="AH3" s="249">
        <f t="shared" si="1"/>
        <v>0.1908211865529022</v>
      </c>
      <c r="AI3" s="249">
        <f t="shared" si="1"/>
        <v>0.20190433562779059</v>
      </c>
      <c r="AJ3" s="249">
        <f t="shared" si="1"/>
        <v>0.28807789939622519</v>
      </c>
      <c r="AK3" s="249">
        <f t="shared" si="1"/>
        <v>0.36520075757678261</v>
      </c>
      <c r="AL3" s="249">
        <f t="shared" si="1"/>
        <v>0.63235951651501821</v>
      </c>
      <c r="AM3" s="249">
        <f t="shared" si="1"/>
        <v>0.64696176381748061</v>
      </c>
      <c r="AN3" s="249">
        <f t="shared" si="1"/>
        <v>0.81891585796069533</v>
      </c>
      <c r="AO3" s="249">
        <f t="shared" si="1"/>
        <v>0.96560544121228509</v>
      </c>
      <c r="AP3" s="249">
        <f t="shared" ref="AP3:AQ3" si="2">AP2/$A$2</f>
        <v>0.9656054412122852</v>
      </c>
      <c r="AQ3" s="249">
        <f t="shared" si="2"/>
        <v>3.4394558787714753E-2</v>
      </c>
    </row>
    <row r="4" spans="1:43" ht="16.5" customHeight="1">
      <c r="A4" s="526" t="s">
        <v>7</v>
      </c>
      <c r="B4" s="520" t="s">
        <v>251</v>
      </c>
      <c r="C4" s="523">
        <f>예산!G14</f>
        <v>121138758.40000001</v>
      </c>
      <c r="D4" s="85" t="s">
        <v>15</v>
      </c>
      <c r="E4" s="513">
        <f>예산!G7</f>
        <v>5871208</v>
      </c>
      <c r="F4" s="464"/>
      <c r="G4" s="85" t="s">
        <v>225</v>
      </c>
      <c r="H4" s="86">
        <f>1192128+예산!E8</f>
        <v>2781628</v>
      </c>
      <c r="I4" s="87">
        <v>45776</v>
      </c>
      <c r="J4" s="85"/>
      <c r="K4" s="504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60"/>
      <c r="B5" s="460"/>
      <c r="C5" s="460"/>
      <c r="D5" s="236" t="s">
        <v>19</v>
      </c>
      <c r="E5" s="514">
        <f>예산!G8</f>
        <v>4768500</v>
      </c>
      <c r="F5" s="515"/>
      <c r="G5" s="85" t="s">
        <v>226</v>
      </c>
      <c r="H5" s="86">
        <f>예산!E7+예산!E8</f>
        <v>3405260</v>
      </c>
      <c r="I5" s="87"/>
      <c r="J5" s="85"/>
      <c r="K5" s="460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393</v>
      </c>
    </row>
    <row r="6" spans="1:43" ht="16.5" customHeight="1">
      <c r="A6" s="460"/>
      <c r="B6" s="460"/>
      <c r="C6" s="458"/>
      <c r="D6" s="238" t="s">
        <v>354</v>
      </c>
      <c r="E6" s="514">
        <f>예산!G9</f>
        <v>19608863.399999999</v>
      </c>
      <c r="F6" s="515"/>
      <c r="G6" s="235" t="s">
        <v>227</v>
      </c>
      <c r="H6" s="86">
        <f>SUM(예산!$E$7:$E$8)</f>
        <v>3405260</v>
      </c>
      <c r="I6" s="87"/>
      <c r="J6" s="85"/>
      <c r="K6" s="460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224</v>
      </c>
      <c r="AE6" s="64" t="s">
        <v>225</v>
      </c>
      <c r="AF6" s="64" t="s">
        <v>226</v>
      </c>
      <c r="AG6" s="64" t="s">
        <v>227</v>
      </c>
      <c r="AH6" s="64" t="s">
        <v>228</v>
      </c>
      <c r="AI6" s="64" t="s">
        <v>229</v>
      </c>
      <c r="AJ6" s="64" t="s">
        <v>230</v>
      </c>
      <c r="AK6" s="64" t="s">
        <v>231</v>
      </c>
      <c r="AL6" s="64" t="s">
        <v>232</v>
      </c>
      <c r="AM6" s="64" t="s">
        <v>233</v>
      </c>
      <c r="AN6" s="64" t="s">
        <v>234</v>
      </c>
      <c r="AO6" s="64" t="s">
        <v>235</v>
      </c>
      <c r="AP6" s="64" t="s">
        <v>236</v>
      </c>
    </row>
    <row r="7" spans="1:43" ht="16.5" customHeight="1">
      <c r="A7" s="460"/>
      <c r="B7" s="460"/>
      <c r="C7" s="458"/>
      <c r="D7" s="237" t="s">
        <v>332</v>
      </c>
      <c r="E7" s="503">
        <f>예산!G10</f>
        <v>37350216</v>
      </c>
      <c r="F7" s="486"/>
      <c r="G7" s="235" t="s">
        <v>228</v>
      </c>
      <c r="H7" s="86">
        <f>SUM(예산!$E$9:$E$10)</f>
        <v>7119884.9249999998</v>
      </c>
      <c r="I7" s="87"/>
      <c r="J7" s="85"/>
      <c r="K7" s="460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460"/>
      <c r="B8" s="460"/>
      <c r="C8" s="458"/>
      <c r="D8" s="237" t="s">
        <v>382</v>
      </c>
      <c r="E8" s="511">
        <f>예산!G11</f>
        <v>32681439</v>
      </c>
      <c r="F8" s="512"/>
      <c r="G8" s="235" t="s">
        <v>229</v>
      </c>
      <c r="H8" s="86">
        <f>SUM(예산!$E$9:$E$11)+1047560</f>
        <v>12836221.925000001</v>
      </c>
      <c r="I8" s="87"/>
      <c r="J8" s="85"/>
      <c r="K8" s="460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460"/>
      <c r="B9" s="460"/>
      <c r="C9" s="460"/>
      <c r="D9" s="237" t="s">
        <v>408</v>
      </c>
      <c r="E9" s="511">
        <f>예산!G12</f>
        <v>20858532</v>
      </c>
      <c r="F9" s="512"/>
      <c r="G9" s="85" t="s">
        <v>230</v>
      </c>
      <c r="H9" s="86">
        <f>SUM(예산!$E$9:$E$12)</f>
        <v>15265083.925000001</v>
      </c>
      <c r="I9" s="87"/>
      <c r="J9" s="85"/>
      <c r="K9" s="460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9.5168374816983897E-3</v>
      </c>
      <c r="AG9" s="84">
        <f t="shared" si="5"/>
        <v>1.0980966325036604E-2</v>
      </c>
      <c r="AH9" s="84">
        <f t="shared" si="5"/>
        <v>0.31522693997071743</v>
      </c>
      <c r="AI9" s="84">
        <f t="shared" si="5"/>
        <v>0.31522693997071743</v>
      </c>
      <c r="AJ9" s="84">
        <f t="shared" si="5"/>
        <v>0.31815519765739386</v>
      </c>
      <c r="AK9" s="84">
        <f t="shared" si="5"/>
        <v>0.48482869692532943</v>
      </c>
      <c r="AL9" s="84">
        <f t="shared" si="5"/>
        <v>0.51220790629575408</v>
      </c>
      <c r="AM9" s="84">
        <f t="shared" si="5"/>
        <v>0.52099267935578331</v>
      </c>
      <c r="AN9" s="84">
        <f t="shared" si="5"/>
        <v>0.52977745241581253</v>
      </c>
      <c r="AO9" s="84">
        <f t="shared" si="5"/>
        <v>0.98365739385065876</v>
      </c>
      <c r="AP9" s="84">
        <f>AP7/$A$2</f>
        <v>0.22724868082803409</v>
      </c>
    </row>
    <row r="10" spans="1:43" ht="16.5" customHeight="1">
      <c r="A10" s="460"/>
      <c r="B10" s="460"/>
      <c r="C10" s="460"/>
      <c r="D10" s="505"/>
      <c r="E10" s="506"/>
      <c r="F10" s="507"/>
      <c r="G10" s="85" t="s">
        <v>231</v>
      </c>
      <c r="H10" s="86">
        <f>SUM(예산!$E$9:$E$12)</f>
        <v>15265083.925000001</v>
      </c>
      <c r="I10" s="87"/>
      <c r="J10" s="85"/>
      <c r="K10" s="460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60"/>
      <c r="B11" s="460"/>
      <c r="C11" s="460"/>
      <c r="D11" s="505"/>
      <c r="E11" s="506"/>
      <c r="F11" s="507"/>
      <c r="G11" s="85" t="s">
        <v>232</v>
      </c>
      <c r="H11" s="86">
        <f>SUM(예산!$E$9:$E$12)</f>
        <v>15265083.925000001</v>
      </c>
      <c r="I11" s="87"/>
      <c r="J11" s="85"/>
      <c r="K11" s="460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60"/>
      <c r="B12" s="460"/>
      <c r="C12" s="460"/>
      <c r="D12" s="505"/>
      <c r="E12" s="506"/>
      <c r="F12" s="507"/>
      <c r="G12" s="85" t="s">
        <v>233</v>
      </c>
      <c r="H12" s="86">
        <f>SUM(예산!$E$9:$E$12)</f>
        <v>15265083.925000001</v>
      </c>
      <c r="I12" s="87"/>
      <c r="J12" s="85"/>
      <c r="K12" s="460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60"/>
      <c r="B13" s="460"/>
      <c r="C13" s="460"/>
      <c r="D13" s="505"/>
      <c r="E13" s="506"/>
      <c r="F13" s="507"/>
      <c r="G13" s="85" t="s">
        <v>234</v>
      </c>
      <c r="H13" s="86">
        <f>SUM(예산!$E$9:$E$12)</f>
        <v>15265083.925000001</v>
      </c>
      <c r="I13" s="87"/>
      <c r="J13" s="85"/>
      <c r="K13" s="460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60"/>
      <c r="B14" s="461"/>
      <c r="C14" s="461"/>
      <c r="D14" s="508"/>
      <c r="E14" s="509"/>
      <c r="F14" s="510"/>
      <c r="G14" s="85" t="s">
        <v>235</v>
      </c>
      <c r="H14" s="86">
        <f>SUM(예산!$E$9:$E$12)</f>
        <v>15265083.925000001</v>
      </c>
      <c r="I14" s="87"/>
      <c r="J14" s="85"/>
      <c r="K14" s="461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60"/>
      <c r="B15" s="524" t="s">
        <v>21</v>
      </c>
      <c r="C15" s="463"/>
      <c r="D15" s="464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60"/>
      <c r="B16" s="85" t="s">
        <v>26</v>
      </c>
      <c r="C16" s="92">
        <f>예산!G19</f>
        <v>93360000</v>
      </c>
      <c r="D16" s="85"/>
      <c r="E16" s="86"/>
      <c r="F16" s="85"/>
      <c r="G16" s="85" t="s">
        <v>235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61"/>
      <c r="B17" s="524" t="s">
        <v>21</v>
      </c>
      <c r="C17" s="463"/>
      <c r="D17" s="464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25" t="s">
        <v>253</v>
      </c>
      <c r="B18" s="463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22"/>
      <c r="J18" s="464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26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85" t="s">
        <v>224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60"/>
      <c r="B20" s="85"/>
      <c r="C20" s="103"/>
      <c r="D20" s="85"/>
      <c r="E20" s="86"/>
      <c r="F20" s="85"/>
      <c r="G20" s="85" t="s">
        <v>225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60"/>
      <c r="B21" s="85"/>
      <c r="C21" s="92"/>
      <c r="D21" s="85"/>
      <c r="E21" s="86"/>
      <c r="F21" s="85"/>
      <c r="G21" s="85" t="s">
        <v>226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60"/>
      <c r="B22" s="85"/>
      <c r="C22" s="92"/>
      <c r="D22" s="85"/>
      <c r="E22" s="86"/>
      <c r="F22" s="85"/>
      <c r="G22" s="85" t="s">
        <v>227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60"/>
      <c r="B23" s="85"/>
      <c r="C23" s="92"/>
      <c r="D23" s="85"/>
      <c r="E23" s="86"/>
      <c r="F23" s="85"/>
      <c r="G23" s="85" t="s">
        <v>228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60"/>
      <c r="B24" s="85"/>
      <c r="C24" s="92"/>
      <c r="D24" s="85"/>
      <c r="E24" s="86"/>
      <c r="F24" s="85"/>
      <c r="G24" s="85" t="s">
        <v>229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60"/>
      <c r="B25" s="85"/>
      <c r="C25" s="92"/>
      <c r="D25" s="85"/>
      <c r="E25" s="86"/>
      <c r="F25" s="85"/>
      <c r="G25" s="85" t="s">
        <v>230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60"/>
      <c r="B26" s="85"/>
      <c r="C26" s="92"/>
      <c r="D26" s="85"/>
      <c r="E26" s="86"/>
      <c r="F26" s="85"/>
      <c r="G26" s="85" t="s">
        <v>231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60"/>
      <c r="B27" s="85"/>
      <c r="C27" s="92"/>
      <c r="D27" s="85"/>
      <c r="E27" s="86"/>
      <c r="F27" s="85"/>
      <c r="G27" s="85" t="s">
        <v>232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60"/>
      <c r="B28" s="85"/>
      <c r="C28" s="92"/>
      <c r="D28" s="85"/>
      <c r="E28" s="86"/>
      <c r="F28" s="85"/>
      <c r="G28" s="85" t="s">
        <v>233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60"/>
      <c r="B29" s="85"/>
      <c r="C29" s="92"/>
      <c r="D29" s="85"/>
      <c r="E29" s="86"/>
      <c r="F29" s="85"/>
      <c r="G29" s="85" t="s">
        <v>234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61"/>
      <c r="B30" s="85"/>
      <c r="C30" s="105"/>
      <c r="D30" s="85"/>
      <c r="E30" s="86"/>
      <c r="F30" s="85"/>
      <c r="G30" s="85" t="s">
        <v>235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525" t="s">
        <v>254</v>
      </c>
      <c r="B31" s="463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522"/>
      <c r="J31" s="464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27" t="s">
        <v>31</v>
      </c>
      <c r="B32" s="520" t="s">
        <v>255</v>
      </c>
      <c r="C32" s="11" t="s">
        <v>46</v>
      </c>
      <c r="D32" s="85" t="s">
        <v>485</v>
      </c>
      <c r="E32" s="86">
        <f>예산!G69</f>
        <v>299970000</v>
      </c>
      <c r="F32" s="85"/>
      <c r="G32" s="85" t="s">
        <v>389</v>
      </c>
      <c r="H32" s="104">
        <f>E32</f>
        <v>299970000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28"/>
      <c r="B33" s="521"/>
      <c r="C33" s="11"/>
      <c r="D33" s="85" t="s">
        <v>486</v>
      </c>
      <c r="E33" s="86">
        <f>+예산!G70</f>
        <v>203982190</v>
      </c>
      <c r="F33" s="85"/>
      <c r="G33" s="85" t="s">
        <v>389</v>
      </c>
      <c r="H33" s="104">
        <f>E33</f>
        <v>203982190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28"/>
      <c r="B34" s="460"/>
      <c r="C34" s="11" t="s">
        <v>99</v>
      </c>
      <c r="D34" s="85"/>
      <c r="E34" s="86">
        <f>예산!G71</f>
        <v>29920000</v>
      </c>
      <c r="F34" s="85"/>
      <c r="G34" s="85" t="s">
        <v>372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28"/>
      <c r="B35" s="460"/>
      <c r="C35" s="11" t="s">
        <v>101</v>
      </c>
      <c r="D35" s="85"/>
      <c r="E35" s="86">
        <f>예산!G72</f>
        <v>97163000</v>
      </c>
      <c r="F35" s="85"/>
      <c r="G35" s="85" t="s">
        <v>389</v>
      </c>
      <c r="H35" s="104">
        <f t="shared" si="9"/>
        <v>97163000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28"/>
      <c r="B36" s="460"/>
      <c r="C36" s="11" t="s">
        <v>103</v>
      </c>
      <c r="D36" s="85"/>
      <c r="E36" s="86">
        <f>예산!G73</f>
        <v>98474200</v>
      </c>
      <c r="F36" s="85"/>
      <c r="G36" s="85" t="s">
        <v>389</v>
      </c>
      <c r="H36" s="104">
        <f t="shared" si="9"/>
        <v>98474200</v>
      </c>
      <c r="I36" s="87"/>
      <c r="J36" s="85" t="s">
        <v>402</v>
      </c>
      <c r="K36" s="93">
        <f>SUM(H32:H36,H40:H41)/A2</f>
        <v>0.25691360776620215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28"/>
      <c r="B37" s="473"/>
      <c r="C37" s="11" t="s">
        <v>337</v>
      </c>
      <c r="D37" s="85"/>
      <c r="E37" s="86">
        <v>352000000</v>
      </c>
      <c r="F37" s="85"/>
      <c r="G37" s="85" t="s">
        <v>378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28"/>
      <c r="B38" s="473"/>
      <c r="C38" s="11" t="s">
        <v>336</v>
      </c>
      <c r="D38" s="85"/>
      <c r="E38" s="86">
        <v>95000000</v>
      </c>
      <c r="F38" s="85"/>
      <c r="G38" s="85" t="s">
        <v>378</v>
      </c>
      <c r="H38" s="104">
        <f t="shared" si="9"/>
        <v>95000000</v>
      </c>
      <c r="I38" s="87"/>
      <c r="J38" s="85" t="s">
        <v>403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28"/>
      <c r="B39" s="473"/>
      <c r="C39" s="11" t="s">
        <v>375</v>
      </c>
      <c r="D39" s="85"/>
      <c r="E39" s="86">
        <v>42998000</v>
      </c>
      <c r="F39" s="85"/>
      <c r="G39" s="85" t="s">
        <v>373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28"/>
      <c r="B40" s="473"/>
      <c r="C40" s="11" t="s">
        <v>376</v>
      </c>
      <c r="D40" s="85"/>
      <c r="E40" s="86">
        <v>22000000</v>
      </c>
      <c r="F40" s="85"/>
      <c r="G40" s="85" t="s">
        <v>380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28"/>
      <c r="B41" s="461"/>
      <c r="C41" s="244" t="s">
        <v>377</v>
      </c>
      <c r="D41" s="85"/>
      <c r="E41" s="86">
        <v>8030000</v>
      </c>
      <c r="F41" s="85"/>
      <c r="G41" s="85" t="s">
        <v>398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28"/>
      <c r="B42" s="524" t="s">
        <v>21</v>
      </c>
      <c r="C42" s="463"/>
      <c r="D42" s="464"/>
      <c r="E42" s="88"/>
      <c r="F42" s="94"/>
      <c r="G42" s="89"/>
      <c r="H42" s="88">
        <f>SUM(H32:H41)</f>
        <v>1249537390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28"/>
      <c r="B43" s="520" t="s">
        <v>70</v>
      </c>
      <c r="C43" s="29" t="s">
        <v>107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28"/>
      <c r="B44" s="460"/>
      <c r="C44" s="11" t="s">
        <v>112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28"/>
      <c r="B45" s="461"/>
      <c r="C45" s="11" t="s">
        <v>114</v>
      </c>
      <c r="D45" s="85"/>
      <c r="E45" s="86">
        <f>예산!G89</f>
        <v>2000000</v>
      </c>
      <c r="F45" s="85"/>
      <c r="G45" s="85" t="s">
        <v>380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28"/>
      <c r="B46" s="537" t="s">
        <v>21</v>
      </c>
      <c r="C46" s="538"/>
      <c r="D46" s="515"/>
      <c r="E46" s="95"/>
      <c r="F46" s="278"/>
      <c r="G46" s="278"/>
      <c r="H46" s="95">
        <f>SUM(H43:H45)</f>
        <v>2000000</v>
      </c>
      <c r="I46" s="279"/>
      <c r="J46" s="278"/>
      <c r="K46" s="280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29"/>
      <c r="B47" s="281" t="s">
        <v>447</v>
      </c>
      <c r="C47" s="284" t="s">
        <v>446</v>
      </c>
      <c r="D47" s="267"/>
      <c r="E47" s="264">
        <v>150000</v>
      </c>
      <c r="F47" s="237"/>
      <c r="G47" s="237" t="s">
        <v>380</v>
      </c>
      <c r="H47" s="264">
        <v>150000</v>
      </c>
      <c r="I47" s="282"/>
      <c r="J47" s="237"/>
      <c r="K47" s="28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525" t="s">
        <v>256</v>
      </c>
      <c r="B48" s="466"/>
      <c r="C48" s="271">
        <f>예산!G66</f>
        <v>1250357390</v>
      </c>
      <c r="D48" s="272"/>
      <c r="E48" s="273"/>
      <c r="F48" s="274"/>
      <c r="G48" s="275"/>
      <c r="H48" s="276">
        <f>H42+H46+H47</f>
        <v>1251687390</v>
      </c>
      <c r="I48" s="536"/>
      <c r="J48" s="467"/>
      <c r="K48" s="277">
        <f>H48/C48</f>
        <v>1.0010636958765846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7" t="s">
        <v>72</v>
      </c>
      <c r="B49" s="520" t="s">
        <v>276</v>
      </c>
      <c r="C49" s="103" t="s">
        <v>258</v>
      </c>
      <c r="D49" s="85"/>
      <c r="E49" s="86">
        <f>예산!$G100</f>
        <v>3075509</v>
      </c>
      <c r="F49" s="85"/>
      <c r="G49" s="85" t="s">
        <v>226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28"/>
      <c r="B50" s="460"/>
      <c r="C50" s="103" t="s">
        <v>259</v>
      </c>
      <c r="D50" s="85"/>
      <c r="E50" s="86">
        <f>예산!$G104+예산!$G105</f>
        <v>9608500</v>
      </c>
      <c r="F50" s="85"/>
      <c r="G50" s="85" t="s">
        <v>227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28"/>
      <c r="B51" s="460"/>
      <c r="C51" s="92" t="s">
        <v>260</v>
      </c>
      <c r="D51" s="85"/>
      <c r="E51" s="86">
        <f>예산!$G108</f>
        <v>19250000</v>
      </c>
      <c r="F51" s="85"/>
      <c r="G51" s="85" t="s">
        <v>226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28"/>
      <c r="B52" s="461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28"/>
      <c r="B53" s="539" t="s">
        <v>261</v>
      </c>
      <c r="C53" s="531" t="s">
        <v>262</v>
      </c>
      <c r="D53" s="85"/>
      <c r="E53" s="86">
        <f>예산!$G106-10640000</f>
        <v>24825491</v>
      </c>
      <c r="F53" s="85"/>
      <c r="G53" s="85" t="s">
        <v>232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28"/>
      <c r="B54" s="540"/>
      <c r="C54" s="533"/>
      <c r="D54" s="85"/>
      <c r="E54" s="86">
        <v>10640000</v>
      </c>
      <c r="F54" s="85"/>
      <c r="G54" s="85" t="s">
        <v>372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28"/>
      <c r="B55" s="540"/>
      <c r="C55" s="542" t="s">
        <v>139</v>
      </c>
      <c r="D55" s="545" t="s">
        <v>491</v>
      </c>
      <c r="E55" s="86">
        <f>예산!$G109</f>
        <v>5676000</v>
      </c>
      <c r="F55" s="85"/>
      <c r="G55" s="85" t="s">
        <v>380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28"/>
      <c r="B56" s="540"/>
      <c r="C56" s="543"/>
      <c r="D56" s="546"/>
      <c r="E56" s="86"/>
      <c r="F56" s="85"/>
      <c r="G56" s="253"/>
      <c r="H56" s="86">
        <f>예산!$G110</f>
        <v>1531200</v>
      </c>
      <c r="I56" s="330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28"/>
      <c r="B57" s="540"/>
      <c r="C57" s="543"/>
      <c r="D57" s="546"/>
      <c r="E57" s="86"/>
      <c r="F57" s="85"/>
      <c r="G57" s="253"/>
      <c r="H57" s="86">
        <f>예산!$G111</f>
        <v>935000</v>
      </c>
      <c r="I57" s="330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28"/>
      <c r="B58" s="540"/>
      <c r="C58" s="543"/>
      <c r="D58" s="547"/>
      <c r="E58" s="86"/>
      <c r="F58" s="85"/>
      <c r="G58" s="253"/>
      <c r="H58" s="86">
        <f>예산!$G112</f>
        <v>1873300</v>
      </c>
      <c r="I58" s="330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28"/>
      <c r="B59" s="540"/>
      <c r="C59" s="543"/>
      <c r="D59" s="545" t="s">
        <v>492</v>
      </c>
      <c r="E59" s="86"/>
      <c r="F59" s="85"/>
      <c r="G59" s="253"/>
      <c r="H59" s="86">
        <f>예산!$G113</f>
        <v>0</v>
      </c>
      <c r="I59" s="330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28"/>
      <c r="B60" s="540"/>
      <c r="C60" s="543"/>
      <c r="D60" s="546"/>
      <c r="E60" s="86"/>
      <c r="F60" s="85"/>
      <c r="G60" s="253"/>
      <c r="H60" s="86">
        <f>예산!$G114</f>
        <v>4664000</v>
      </c>
      <c r="I60" s="330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28"/>
      <c r="B61" s="540"/>
      <c r="C61" s="543"/>
      <c r="D61" s="546"/>
      <c r="E61" s="86"/>
      <c r="F61" s="85"/>
      <c r="G61" s="253"/>
      <c r="H61" s="86">
        <f>예산!$G116</f>
        <v>643500</v>
      </c>
      <c r="I61" s="330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28"/>
      <c r="B62" s="540"/>
      <c r="C62" s="543"/>
      <c r="D62" s="546"/>
      <c r="E62" s="86"/>
      <c r="F62" s="85"/>
      <c r="G62" s="253"/>
      <c r="H62" s="86">
        <f>예산!$G117</f>
        <v>1155000</v>
      </c>
      <c r="I62" s="330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28"/>
      <c r="B63" s="540"/>
      <c r="C63" s="543"/>
      <c r="D63" s="547"/>
      <c r="E63" s="86"/>
      <c r="F63" s="85"/>
      <c r="G63" s="253"/>
      <c r="H63" s="86">
        <f>예산!$G118</f>
        <v>1925000</v>
      </c>
      <c r="I63" s="330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28"/>
      <c r="B64" s="540"/>
      <c r="C64" s="543"/>
      <c r="D64" s="545" t="s">
        <v>493</v>
      </c>
      <c r="E64" s="86"/>
      <c r="F64" s="85"/>
      <c r="G64" s="253"/>
      <c r="H64" s="86">
        <f>예산!$G120</f>
        <v>964480</v>
      </c>
      <c r="I64" s="330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28"/>
      <c r="B65" s="540"/>
      <c r="C65" s="543"/>
      <c r="D65" s="546"/>
      <c r="E65" s="86"/>
      <c r="F65" s="85"/>
      <c r="G65" s="253"/>
      <c r="H65" s="86">
        <f>예산!$G121</f>
        <v>0</v>
      </c>
      <c r="I65" s="330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28"/>
      <c r="B66" s="540"/>
      <c r="C66" s="543"/>
      <c r="D66" s="546"/>
      <c r="E66" s="86"/>
      <c r="F66" s="85"/>
      <c r="G66" s="253"/>
      <c r="H66" s="86">
        <f>예산!$G122</f>
        <v>0</v>
      </c>
      <c r="I66" s="330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529"/>
      <c r="B67" s="541"/>
      <c r="C67" s="544"/>
      <c r="D67" s="547"/>
      <c r="E67" s="86"/>
      <c r="F67" s="85"/>
      <c r="G67" s="253"/>
      <c r="H67" s="86">
        <f>예산!$G123</f>
        <v>0</v>
      </c>
      <c r="I67" s="330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551" t="s">
        <v>263</v>
      </c>
      <c r="B68" s="552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553"/>
      <c r="J68" s="554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26" t="s">
        <v>84</v>
      </c>
      <c r="B69" s="530" t="s">
        <v>264</v>
      </c>
      <c r="C69" s="103" t="s">
        <v>265</v>
      </c>
      <c r="D69" s="85" t="s">
        <v>266</v>
      </c>
      <c r="E69" s="86">
        <v>5500000</v>
      </c>
      <c r="F69" s="85"/>
      <c r="G69" s="85" t="s">
        <v>226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60"/>
      <c r="B70" s="521"/>
      <c r="C70" s="531" t="s">
        <v>369</v>
      </c>
      <c r="D70" s="85" t="s">
        <v>370</v>
      </c>
      <c r="E70" s="86">
        <v>5000000</v>
      </c>
      <c r="F70" s="85"/>
      <c r="G70" s="85" t="s">
        <v>372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60"/>
      <c r="B71" s="521"/>
      <c r="C71" s="532"/>
      <c r="D71" s="85" t="s">
        <v>394</v>
      </c>
      <c r="E71" s="86">
        <v>5000000</v>
      </c>
      <c r="F71" s="85"/>
      <c r="G71" s="85" t="s">
        <v>372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60"/>
      <c r="B72" s="521"/>
      <c r="C72" s="532"/>
      <c r="D72" s="85" t="s">
        <v>371</v>
      </c>
      <c r="E72" s="86">
        <v>800000</v>
      </c>
      <c r="F72" s="85"/>
      <c r="G72" s="85" t="s">
        <v>372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3"/>
      <c r="B73" s="521"/>
      <c r="C73" s="532"/>
      <c r="D73" s="85" t="s">
        <v>429</v>
      </c>
      <c r="E73" s="310">
        <v>2674000</v>
      </c>
      <c r="F73" s="85"/>
      <c r="G73" s="85" t="s">
        <v>373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3"/>
      <c r="B74" s="521"/>
      <c r="C74" s="532"/>
      <c r="D74" s="85" t="s">
        <v>430</v>
      </c>
      <c r="E74" s="310">
        <v>2914000</v>
      </c>
      <c r="F74" s="85"/>
      <c r="G74" s="85" t="s">
        <v>373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3"/>
      <c r="B75" s="521"/>
      <c r="C75" s="532"/>
      <c r="D75" s="85" t="s">
        <v>428</v>
      </c>
      <c r="E75" s="310">
        <v>4500000</v>
      </c>
      <c r="F75" s="85"/>
      <c r="G75" s="85" t="s">
        <v>373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3"/>
      <c r="B76" s="521"/>
      <c r="C76" s="532"/>
      <c r="D76" s="236" t="s">
        <v>427</v>
      </c>
      <c r="E76" s="314">
        <v>6000000</v>
      </c>
      <c r="F76" s="236"/>
      <c r="G76" s="236" t="s">
        <v>379</v>
      </c>
      <c r="H76" s="317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3"/>
      <c r="B77" s="521"/>
      <c r="C77" s="534"/>
      <c r="D77" s="237" t="s">
        <v>383</v>
      </c>
      <c r="E77" s="321">
        <v>6000000</v>
      </c>
      <c r="F77" s="237"/>
      <c r="G77" s="237" t="s">
        <v>378</v>
      </c>
      <c r="H77" s="264">
        <f>E77</f>
        <v>6000000</v>
      </c>
      <c r="I77" s="256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3"/>
      <c r="B78" s="521"/>
      <c r="C78" s="535"/>
      <c r="D78" s="262"/>
      <c r="E78" s="262"/>
      <c r="F78" s="262"/>
      <c r="G78" s="262"/>
      <c r="H78" s="262"/>
      <c r="I78" s="256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3"/>
      <c r="B79" s="521"/>
      <c r="C79" s="531" t="s">
        <v>381</v>
      </c>
      <c r="D79" s="318" t="s">
        <v>383</v>
      </c>
      <c r="E79" s="245">
        <v>3300000</v>
      </c>
      <c r="F79" s="318"/>
      <c r="G79" s="318" t="s">
        <v>372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3"/>
      <c r="B80" s="521"/>
      <c r="C80" s="532"/>
      <c r="D80" s="85" t="s">
        <v>367</v>
      </c>
      <c r="E80" s="86">
        <v>3300000</v>
      </c>
      <c r="F80" s="85"/>
      <c r="G80" s="85" t="s">
        <v>372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3"/>
      <c r="B81" s="521"/>
      <c r="C81" s="532"/>
      <c r="D81" s="85" t="s">
        <v>384</v>
      </c>
      <c r="E81" s="86">
        <v>800000</v>
      </c>
      <c r="F81" s="85"/>
      <c r="G81" s="85" t="s">
        <v>372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3"/>
      <c r="B82" s="521"/>
      <c r="C82" s="532"/>
      <c r="D82" s="85" t="s">
        <v>385</v>
      </c>
      <c r="E82" s="86">
        <v>2300000</v>
      </c>
      <c r="F82" s="85"/>
      <c r="G82" s="85" t="s">
        <v>372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73"/>
      <c r="B83" s="521"/>
      <c r="C83" s="533"/>
      <c r="D83" s="85" t="s">
        <v>386</v>
      </c>
      <c r="E83" s="86">
        <v>2300000</v>
      </c>
      <c r="F83" s="85"/>
      <c r="G83" s="85" t="s">
        <v>372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3"/>
      <c r="B84" s="521"/>
      <c r="C84" s="531" t="s">
        <v>431</v>
      </c>
      <c r="D84" s="85" t="s">
        <v>450</v>
      </c>
      <c r="E84" s="310">
        <f>600000*22</f>
        <v>13200000</v>
      </c>
      <c r="F84" s="85"/>
      <c r="G84" s="85" t="s">
        <v>389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3"/>
      <c r="B85" s="521"/>
      <c r="C85" s="532"/>
      <c r="D85" s="85" t="s">
        <v>432</v>
      </c>
      <c r="E85" s="310">
        <v>2000000</v>
      </c>
      <c r="F85" s="85"/>
      <c r="G85" s="85" t="s">
        <v>389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3"/>
      <c r="B86" s="521"/>
      <c r="C86" s="532"/>
      <c r="D86" s="85" t="s">
        <v>433</v>
      </c>
      <c r="E86" s="310">
        <f>2*1000000</f>
        <v>2000000</v>
      </c>
      <c r="F86" s="85"/>
      <c r="G86" s="85" t="s">
        <v>389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3"/>
      <c r="B87" s="521"/>
      <c r="C87" s="532"/>
      <c r="D87" s="85" t="s">
        <v>449</v>
      </c>
      <c r="E87" s="310">
        <f>3*500000</f>
        <v>1500000</v>
      </c>
      <c r="F87" s="85"/>
      <c r="G87" s="85" t="s">
        <v>389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3"/>
      <c r="B88" s="521"/>
      <c r="C88" s="533"/>
      <c r="D88" s="85" t="s">
        <v>459</v>
      </c>
      <c r="E88" s="310">
        <f>SUM(E84:E87)</f>
        <v>18700000</v>
      </c>
      <c r="F88" s="85"/>
      <c r="G88" s="85" t="s">
        <v>389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3"/>
      <c r="B89" s="555" t="s">
        <v>416</v>
      </c>
      <c r="C89" s="92" t="s">
        <v>417</v>
      </c>
      <c r="D89" s="85" t="s">
        <v>419</v>
      </c>
      <c r="E89" s="310">
        <f>14*1000000</f>
        <v>14000000</v>
      </c>
      <c r="F89" s="85"/>
      <c r="G89" s="85" t="s">
        <v>373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73"/>
      <c r="B90" s="555"/>
      <c r="C90" s="92" t="s">
        <v>418</v>
      </c>
      <c r="D90" s="85" t="s">
        <v>420</v>
      </c>
      <c r="E90" s="310">
        <f>67*1000000</f>
        <v>67000000</v>
      </c>
      <c r="F90" s="85"/>
      <c r="G90" s="85" t="s">
        <v>373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73"/>
      <c r="B91" s="555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60"/>
      <c r="B92" s="250"/>
      <c r="C92" s="92" t="s">
        <v>395</v>
      </c>
      <c r="D92" s="85" t="s">
        <v>396</v>
      </c>
      <c r="E92" s="86">
        <v>1000000</v>
      </c>
      <c r="F92" s="85"/>
      <c r="G92" s="85" t="s">
        <v>397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73"/>
      <c r="B93" s="243"/>
      <c r="C93" s="531" t="s">
        <v>399</v>
      </c>
      <c r="D93" s="85" t="s">
        <v>423</v>
      </c>
      <c r="E93" s="86">
        <v>1000000</v>
      </c>
      <c r="F93" s="85"/>
      <c r="G93" s="85" t="s">
        <v>373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73"/>
      <c r="B94" s="243"/>
      <c r="C94" s="532"/>
      <c r="D94" s="85" t="s">
        <v>424</v>
      </c>
      <c r="E94" s="86">
        <v>1000000</v>
      </c>
      <c r="F94" s="85"/>
      <c r="G94" s="85" t="s">
        <v>373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73"/>
      <c r="B95" s="243"/>
      <c r="C95" s="532"/>
      <c r="D95" s="85" t="s">
        <v>427</v>
      </c>
      <c r="E95" s="310">
        <v>6000000</v>
      </c>
      <c r="F95" s="85"/>
      <c r="G95" s="85" t="s">
        <v>373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73"/>
      <c r="B96" s="243"/>
      <c r="C96" s="532"/>
      <c r="D96" s="85" t="s">
        <v>383</v>
      </c>
      <c r="E96" s="310">
        <v>2000000</v>
      </c>
      <c r="F96" s="85"/>
      <c r="G96" s="85" t="s">
        <v>373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73"/>
      <c r="B97" s="243"/>
      <c r="C97" s="532"/>
      <c r="D97" s="85" t="s">
        <v>475</v>
      </c>
      <c r="E97" s="86">
        <v>2000000</v>
      </c>
      <c r="F97" s="85"/>
      <c r="G97" s="85" t="s">
        <v>373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73"/>
      <c r="B98" s="243"/>
      <c r="C98" s="533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60"/>
      <c r="B99" s="520" t="s">
        <v>267</v>
      </c>
      <c r="C99" s="92"/>
      <c r="D99" s="85" t="s">
        <v>426</v>
      </c>
      <c r="E99" s="310">
        <v>6750000</v>
      </c>
      <c r="F99" s="85"/>
      <c r="G99" s="85" t="s">
        <v>373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60"/>
      <c r="B100" s="460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60"/>
      <c r="B101" s="460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60"/>
      <c r="B102" s="460"/>
      <c r="C102" s="92"/>
      <c r="D102" s="85">
        <v>4</v>
      </c>
      <c r="E102" s="86"/>
      <c r="F102" s="85"/>
      <c r="G102" s="85" t="s">
        <v>374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60"/>
      <c r="B103" s="461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60"/>
      <c r="B104" s="520" t="s">
        <v>144</v>
      </c>
      <c r="C104" s="92" t="s">
        <v>366</v>
      </c>
      <c r="D104" s="85" t="s">
        <v>367</v>
      </c>
      <c r="E104" s="86">
        <v>1000000</v>
      </c>
      <c r="F104" s="85"/>
      <c r="G104" s="85" t="s">
        <v>368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60"/>
      <c r="B105" s="460"/>
      <c r="C105" s="92"/>
      <c r="D105" s="85" t="s">
        <v>384</v>
      </c>
      <c r="E105" s="86">
        <v>2000000</v>
      </c>
      <c r="F105" s="85"/>
      <c r="G105" s="85" t="s">
        <v>380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60"/>
      <c r="B106" s="460"/>
      <c r="C106" s="92"/>
      <c r="D106" s="85" t="s">
        <v>425</v>
      </c>
      <c r="E106" s="86">
        <v>2000000</v>
      </c>
      <c r="F106" s="85"/>
      <c r="G106" s="85" t="s">
        <v>373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60"/>
      <c r="B107" s="461"/>
      <c r="C107" s="92"/>
      <c r="D107" s="85" t="s">
        <v>460</v>
      </c>
      <c r="E107" s="310">
        <v>2000000</v>
      </c>
      <c r="F107" s="85"/>
      <c r="G107" s="85" t="s">
        <v>373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60"/>
      <c r="B108" s="520" t="s">
        <v>268</v>
      </c>
      <c r="C108" s="92" t="s">
        <v>277</v>
      </c>
      <c r="D108" s="85" t="s">
        <v>278</v>
      </c>
      <c r="E108" s="86">
        <f>10000000*13+5000000*5+15000000*2</f>
        <v>185000000</v>
      </c>
      <c r="F108" s="85"/>
      <c r="G108" s="85" t="s">
        <v>372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60"/>
      <c r="B109" s="460"/>
      <c r="C109" s="92" t="s">
        <v>279</v>
      </c>
      <c r="D109" s="85" t="s">
        <v>280</v>
      </c>
      <c r="E109" s="310">
        <f>310000000</f>
        <v>310000000</v>
      </c>
      <c r="F109" s="85" t="s">
        <v>473</v>
      </c>
      <c r="G109" s="85" t="s">
        <v>235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60"/>
      <c r="B110" s="460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60"/>
      <c r="B111" s="460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60"/>
      <c r="B112" s="460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60"/>
      <c r="B113" s="461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60"/>
      <c r="B114" s="524" t="s">
        <v>21</v>
      </c>
      <c r="C114" s="463"/>
      <c r="D114" s="464"/>
      <c r="E114" s="88">
        <f>예산!G141</f>
        <v>683000000</v>
      </c>
      <c r="F114" s="94">
        <f>E114-215300000</f>
        <v>467700000</v>
      </c>
      <c r="G114" s="89"/>
      <c r="H114" s="88">
        <f>SUM(H69:H113)</f>
        <v>680838000</v>
      </c>
      <c r="I114" s="90"/>
      <c r="J114" s="89"/>
      <c r="K114" s="91">
        <f>H114/E114</f>
        <v>0.99683455344070282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60"/>
      <c r="B115" s="85" t="s">
        <v>94</v>
      </c>
      <c r="C115" s="11" t="s">
        <v>164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60"/>
      <c r="B116" s="85"/>
      <c r="C116" s="11" t="s">
        <v>166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60"/>
      <c r="B117" s="85"/>
      <c r="C117" s="11" t="s">
        <v>170</v>
      </c>
      <c r="D117" s="85"/>
      <c r="E117" s="86">
        <f>예산!$G147</f>
        <v>672872</v>
      </c>
      <c r="F117" s="85"/>
      <c r="G117" s="85" t="s">
        <v>226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60"/>
      <c r="B118" s="85"/>
      <c r="C118" s="11" t="s">
        <v>171</v>
      </c>
      <c r="D118" s="85"/>
      <c r="E118" s="86">
        <f>예산!$G148</f>
        <v>672872</v>
      </c>
      <c r="F118" s="85"/>
      <c r="G118" s="85" t="s">
        <v>226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60"/>
      <c r="B119" s="85"/>
      <c r="C119" s="11" t="s">
        <v>387</v>
      </c>
      <c r="D119" s="85"/>
      <c r="E119" s="86">
        <f>예산!$G149</f>
        <v>511595</v>
      </c>
      <c r="F119" s="85"/>
      <c r="G119" s="85" t="s">
        <v>389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60"/>
      <c r="B120" s="85"/>
      <c r="C120" s="11" t="s">
        <v>388</v>
      </c>
      <c r="D120" s="85"/>
      <c r="E120" s="86">
        <f>예산!$G150</f>
        <v>511595</v>
      </c>
      <c r="F120" s="85"/>
      <c r="G120" s="85" t="s">
        <v>389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60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60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60"/>
      <c r="B123" s="524" t="s">
        <v>21</v>
      </c>
      <c r="C123" s="463"/>
      <c r="D123" s="464"/>
      <c r="E123" s="88">
        <f>예산!G154</f>
        <v>2930468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0.80838077740483771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60"/>
      <c r="B124" s="85" t="s">
        <v>178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60"/>
      <c r="B125" s="524" t="s">
        <v>21</v>
      </c>
      <c r="C125" s="463"/>
      <c r="D125" s="464"/>
      <c r="E125" s="88">
        <f>예산!G160</f>
        <v>1174100</v>
      </c>
      <c r="F125" s="94"/>
      <c r="G125" s="89"/>
      <c r="H125" s="88">
        <f>H124</f>
        <v>0</v>
      </c>
      <c r="I125" s="90"/>
      <c r="J125" s="89"/>
      <c r="K125" s="91">
        <f>H125/E125</f>
        <v>0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60"/>
      <c r="B126" s="85" t="s">
        <v>269</v>
      </c>
      <c r="C126" s="11" t="s">
        <v>187</v>
      </c>
      <c r="D126" s="85"/>
      <c r="E126" s="86">
        <f>예산!$G165</f>
        <v>230000</v>
      </c>
      <c r="F126" s="85"/>
      <c r="G126" s="85" t="s">
        <v>226</v>
      </c>
      <c r="H126" s="86">
        <f>E126</f>
        <v>230000</v>
      </c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60"/>
      <c r="B127" s="85"/>
      <c r="C127" s="12" t="s">
        <v>188</v>
      </c>
      <c r="D127" s="85"/>
      <c r="E127" s="86">
        <f>예산!$G167</f>
        <v>230000</v>
      </c>
      <c r="F127" s="85"/>
      <c r="G127" s="85" t="s">
        <v>226</v>
      </c>
      <c r="H127" s="86">
        <f t="shared" ref="H127:H130" si="13">E127</f>
        <v>230000</v>
      </c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60"/>
      <c r="B128" s="85"/>
      <c r="C128" s="12" t="s">
        <v>189</v>
      </c>
      <c r="D128" s="85"/>
      <c r="E128" s="86">
        <f>예산!$G170</f>
        <v>11057430</v>
      </c>
      <c r="F128" s="85"/>
      <c r="G128" s="85" t="s">
        <v>226</v>
      </c>
      <c r="H128" s="86">
        <f t="shared" si="13"/>
        <v>11057430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60"/>
      <c r="B129" s="85"/>
      <c r="C129" s="12"/>
      <c r="D129" s="85"/>
      <c r="E129" s="86"/>
      <c r="F129" s="85"/>
      <c r="G129" s="85"/>
      <c r="H129" s="86"/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60"/>
      <c r="B130" s="85"/>
      <c r="C130" s="216" t="s">
        <v>190</v>
      </c>
      <c r="D130" s="236"/>
      <c r="E130" s="258">
        <f>예산!$G172</f>
        <v>2800000</v>
      </c>
      <c r="F130" s="236"/>
      <c r="G130" s="236" t="s">
        <v>226</v>
      </c>
      <c r="H130" s="258">
        <f t="shared" si="13"/>
        <v>2800000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60"/>
      <c r="B131" s="253"/>
      <c r="C131" s="262"/>
      <c r="D131" s="262"/>
      <c r="E131" s="262"/>
      <c r="F131" s="262"/>
      <c r="G131" s="262"/>
      <c r="H131" s="262"/>
      <c r="I131" s="256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73"/>
      <c r="B132" s="253"/>
      <c r="C132" s="262"/>
      <c r="D132" s="262"/>
      <c r="E132" s="262"/>
      <c r="F132" s="262"/>
      <c r="G132" s="262"/>
      <c r="H132" s="262"/>
      <c r="I132" s="256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73"/>
      <c r="B133" s="253"/>
      <c r="C133" s="262"/>
      <c r="D133" s="262"/>
      <c r="E133" s="262"/>
      <c r="F133" s="262"/>
      <c r="G133" s="262"/>
      <c r="H133" s="262"/>
      <c r="I133" s="256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73"/>
      <c r="B134" s="253"/>
      <c r="C134" s="262"/>
      <c r="D134" s="262"/>
      <c r="E134" s="262"/>
      <c r="F134" s="237"/>
      <c r="G134" s="237"/>
      <c r="H134" s="263"/>
      <c r="I134" s="256"/>
      <c r="J134" s="85" t="s">
        <v>404</v>
      </c>
      <c r="K134" s="93">
        <f>SUM(H126:H128,H130:H137,H117:H118,H146)/A2</f>
        <v>9.0039148964957388E-3</v>
      </c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73"/>
      <c r="B135" s="85"/>
      <c r="C135" s="396" t="s">
        <v>526</v>
      </c>
      <c r="D135" s="318"/>
      <c r="E135" s="257">
        <f>예산!$G173</f>
        <v>8750000</v>
      </c>
      <c r="F135" s="318"/>
      <c r="G135" s="318" t="s">
        <v>373</v>
      </c>
      <c r="H135" s="245">
        <f>E135</f>
        <v>8750000</v>
      </c>
      <c r="I135" s="256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73"/>
      <c r="B136" s="85"/>
      <c r="C136" s="11" t="s">
        <v>392</v>
      </c>
      <c r="D136" s="85"/>
      <c r="E136" s="120">
        <f>예산!F169</f>
        <v>700000</v>
      </c>
      <c r="F136" s="85"/>
      <c r="G136" s="85" t="s">
        <v>373</v>
      </c>
      <c r="H136" s="86">
        <f>E136</f>
        <v>700000</v>
      </c>
      <c r="I136" s="256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73"/>
      <c r="B137" s="85"/>
      <c r="C137" s="216" t="s">
        <v>391</v>
      </c>
      <c r="D137" s="236"/>
      <c r="E137" s="257">
        <f>예산!F168</f>
        <v>990000</v>
      </c>
      <c r="F137" s="236"/>
      <c r="G137" s="236" t="s">
        <v>373</v>
      </c>
      <c r="H137" s="258">
        <f>E137</f>
        <v>990000</v>
      </c>
      <c r="I137" s="256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73"/>
      <c r="B138" s="253"/>
      <c r="C138" s="398" t="s">
        <v>527</v>
      </c>
      <c r="D138" s="262"/>
      <c r="E138" s="399">
        <v>9373200</v>
      </c>
      <c r="F138" s="237"/>
      <c r="G138" s="237" t="s">
        <v>373</v>
      </c>
      <c r="H138" s="258">
        <f t="shared" ref="H138:H139" si="14">E138</f>
        <v>9373200</v>
      </c>
      <c r="I138" s="256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73"/>
      <c r="B139" s="253"/>
      <c r="C139" s="398" t="s">
        <v>528</v>
      </c>
      <c r="D139" s="262"/>
      <c r="E139" s="399">
        <v>545234</v>
      </c>
      <c r="F139" s="237"/>
      <c r="G139" s="237" t="s">
        <v>373</v>
      </c>
      <c r="H139" s="258">
        <f t="shared" si="14"/>
        <v>545234</v>
      </c>
      <c r="I139" s="256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73"/>
      <c r="B140" s="253"/>
      <c r="C140" s="262"/>
      <c r="D140" s="262"/>
      <c r="E140" s="262"/>
      <c r="F140" s="237"/>
      <c r="G140" s="237"/>
      <c r="H140" s="263"/>
      <c r="I140" s="256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73"/>
      <c r="B141" s="253"/>
      <c r="C141" s="262"/>
      <c r="D141" s="262"/>
      <c r="E141" s="262"/>
      <c r="F141" s="237"/>
      <c r="G141" s="237"/>
      <c r="H141" s="263"/>
      <c r="I141" s="256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73"/>
      <c r="B142" s="253"/>
      <c r="C142" s="262"/>
      <c r="D142" s="262"/>
      <c r="E142" s="262"/>
      <c r="F142" s="237"/>
      <c r="G142" s="237"/>
      <c r="H142" s="263"/>
      <c r="I142" s="256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60"/>
      <c r="B143" s="85"/>
      <c r="C143" s="211" t="s">
        <v>193</v>
      </c>
      <c r="D143" s="397"/>
      <c r="E143" s="263">
        <f>예산!$G181</f>
        <v>20000000</v>
      </c>
      <c r="F143" s="237"/>
      <c r="G143" s="237" t="s">
        <v>234</v>
      </c>
      <c r="H143" s="263">
        <f>E143</f>
        <v>20000000</v>
      </c>
      <c r="I143" s="256"/>
      <c r="J143" s="86">
        <f>SUM(H126:H128,H130:H137,H117:H118,H146)</f>
        <v>26619174</v>
      </c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60"/>
      <c r="B144" s="85"/>
      <c r="C144" s="14" t="s">
        <v>194</v>
      </c>
      <c r="D144" s="253"/>
      <c r="E144" s="263">
        <f>예산!$G182</f>
        <v>0</v>
      </c>
      <c r="F144" s="237"/>
      <c r="G144" s="237" t="s">
        <v>233</v>
      </c>
      <c r="H144" s="263">
        <f t="shared" ref="H144:H146" si="15">E144</f>
        <v>0</v>
      </c>
      <c r="I144" s="256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60"/>
      <c r="B145" s="85"/>
      <c r="C145" s="11" t="s">
        <v>196</v>
      </c>
      <c r="D145" s="253"/>
      <c r="E145" s="263">
        <f>예산!$G184</f>
        <v>10000000</v>
      </c>
      <c r="F145" s="237"/>
      <c r="G145" s="237" t="s">
        <v>234</v>
      </c>
      <c r="H145" s="263">
        <f t="shared" si="15"/>
        <v>10000000</v>
      </c>
      <c r="I145" s="256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60"/>
      <c r="B146" s="85"/>
      <c r="C146" s="92" t="s">
        <v>390</v>
      </c>
      <c r="D146" s="253"/>
      <c r="E146" s="264">
        <f>예산!G183</f>
        <v>516000</v>
      </c>
      <c r="F146" s="237"/>
      <c r="G146" s="237" t="s">
        <v>368</v>
      </c>
      <c r="H146" s="263">
        <f t="shared" si="15"/>
        <v>516000</v>
      </c>
      <c r="I146" s="256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60"/>
      <c r="B147" s="85"/>
      <c r="C147" s="216" t="s">
        <v>422</v>
      </c>
      <c r="D147" s="255"/>
      <c r="E147" s="262">
        <f>예산!G176</f>
        <v>11062500</v>
      </c>
      <c r="F147" s="262"/>
      <c r="G147" s="218" t="s">
        <v>373</v>
      </c>
      <c r="H147" s="262">
        <f>E147</f>
        <v>11062500</v>
      </c>
      <c r="I147" s="256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73"/>
      <c r="B148" s="253"/>
      <c r="C148" s="216" t="s">
        <v>421</v>
      </c>
      <c r="D148" s="255"/>
      <c r="E148" s="262">
        <f>예산!G177</f>
        <v>3584000</v>
      </c>
      <c r="F148" s="262"/>
      <c r="G148" s="218" t="s">
        <v>373</v>
      </c>
      <c r="H148" s="262">
        <f>E148</f>
        <v>3584000</v>
      </c>
      <c r="I148" s="256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73"/>
      <c r="B149" s="253"/>
      <c r="C149" s="265" t="s">
        <v>519</v>
      </c>
      <c r="D149" s="342"/>
      <c r="E149" s="254">
        <f>SUM(예산!G178:G180)</f>
        <v>3111911</v>
      </c>
      <c r="F149" s="254"/>
      <c r="G149" s="242"/>
      <c r="H149" s="262">
        <f>E149</f>
        <v>3111911</v>
      </c>
      <c r="I149" s="256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73"/>
      <c r="B150" s="253"/>
      <c r="C150" s="265"/>
      <c r="D150" s="342"/>
      <c r="E150" s="254"/>
      <c r="F150" s="254"/>
      <c r="G150" s="242"/>
      <c r="H150" s="254"/>
      <c r="I150" s="256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60"/>
      <c r="B151" s="524" t="s">
        <v>21</v>
      </c>
      <c r="C151" s="463"/>
      <c r="D151" s="464"/>
      <c r="E151" s="259">
        <f>예산!G186</f>
        <v>85728526</v>
      </c>
      <c r="F151" s="260"/>
      <c r="G151" s="261"/>
      <c r="H151" s="259">
        <f>SUM(H126:H150)</f>
        <v>82950275</v>
      </c>
      <c r="I151" s="90"/>
      <c r="J151" s="89"/>
      <c r="K151" s="91">
        <f>H151/E151</f>
        <v>0.96759245574804353</v>
      </c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60"/>
      <c r="B152" s="85" t="s">
        <v>116</v>
      </c>
      <c r="C152" s="11" t="s">
        <v>118</v>
      </c>
      <c r="D152" s="85"/>
      <c r="E152" s="86">
        <f>예산!$G190</f>
        <v>805000</v>
      </c>
      <c r="F152" s="85"/>
      <c r="G152" s="85" t="s">
        <v>379</v>
      </c>
      <c r="H152" s="86">
        <f>예산!$G190</f>
        <v>805000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60"/>
      <c r="B153" s="85"/>
      <c r="C153" s="11" t="s">
        <v>119</v>
      </c>
      <c r="D153" s="85"/>
      <c r="E153" s="86">
        <f>예산!$G191</f>
        <v>100000</v>
      </c>
      <c r="F153" s="85"/>
      <c r="G153" s="85" t="s">
        <v>379</v>
      </c>
      <c r="H153" s="86">
        <f>예산!$G191</f>
        <v>100000</v>
      </c>
      <c r="I153" s="87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60"/>
      <c r="B154" s="85"/>
      <c r="C154" s="26" t="s">
        <v>120</v>
      </c>
      <c r="D154" s="85"/>
      <c r="E154" s="86"/>
      <c r="F154" s="85"/>
      <c r="G154" s="85"/>
      <c r="H154" s="86"/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60"/>
      <c r="B155" s="85"/>
      <c r="C155" s="92"/>
      <c r="D155" s="85"/>
      <c r="E155" s="86"/>
      <c r="F155" s="85"/>
      <c r="G155" s="85"/>
      <c r="H155" s="86"/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60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60"/>
      <c r="B157" s="524" t="s">
        <v>21</v>
      </c>
      <c r="C157" s="463"/>
      <c r="D157" s="464"/>
      <c r="E157" s="88">
        <f>예산!G197</f>
        <v>1524100</v>
      </c>
      <c r="F157" s="94"/>
      <c r="G157" s="89"/>
      <c r="H157" s="88">
        <f>SUM(H152:H156)</f>
        <v>905000</v>
      </c>
      <c r="I157" s="90"/>
      <c r="J157" s="89"/>
      <c r="K157" s="91">
        <f>H157/E157</f>
        <v>0.59379305819828099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60"/>
      <c r="B158" s="85" t="s">
        <v>197</v>
      </c>
      <c r="C158" s="92"/>
      <c r="D158" s="85"/>
      <c r="E158" s="86">
        <f>예산!$G201</f>
        <v>150000</v>
      </c>
      <c r="F158" s="85"/>
      <c r="G158" s="85" t="s">
        <v>235</v>
      </c>
      <c r="H158" s="86">
        <f>예산!$G201</f>
        <v>150000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60"/>
      <c r="B159" s="524" t="s">
        <v>21</v>
      </c>
      <c r="C159" s="463"/>
      <c r="D159" s="464"/>
      <c r="E159" s="88">
        <f>E158</f>
        <v>150000</v>
      </c>
      <c r="F159" s="94"/>
      <c r="G159" s="89"/>
      <c r="H159" s="88">
        <f>H158</f>
        <v>150000</v>
      </c>
      <c r="I159" s="90"/>
      <c r="J159" s="89"/>
      <c r="K159" s="91">
        <f>H159/E159</f>
        <v>1</v>
      </c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60"/>
      <c r="B160" s="85" t="s">
        <v>121</v>
      </c>
      <c r="C160" s="11" t="s">
        <v>124</v>
      </c>
      <c r="D160" s="11" t="s">
        <v>198</v>
      </c>
      <c r="E160" s="86">
        <f>예산!$G206</f>
        <v>900000</v>
      </c>
      <c r="F160" s="85"/>
      <c r="G160" s="85" t="s">
        <v>374</v>
      </c>
      <c r="H160" s="86">
        <f>예산!$G206</f>
        <v>900000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60"/>
      <c r="B161" s="85"/>
      <c r="C161" s="11" t="s">
        <v>199</v>
      </c>
      <c r="D161" s="11" t="s">
        <v>200</v>
      </c>
      <c r="E161" s="86">
        <f>예산!$G207</f>
        <v>100000</v>
      </c>
      <c r="F161" s="85"/>
      <c r="G161" s="85" t="s">
        <v>379</v>
      </c>
      <c r="H161" s="86">
        <f>예산!$G207</f>
        <v>100000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60"/>
      <c r="B162" s="85"/>
      <c r="C162" s="11" t="s">
        <v>201</v>
      </c>
      <c r="D162" s="11" t="s">
        <v>202</v>
      </c>
      <c r="E162" s="86">
        <f>예산!$G208</f>
        <v>8829000</v>
      </c>
      <c r="F162" s="85"/>
      <c r="G162" s="85" t="s">
        <v>389</v>
      </c>
      <c r="H162" s="86">
        <f>예산!$G208</f>
        <v>8829000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60"/>
      <c r="B163" s="85"/>
      <c r="C163" s="11" t="s">
        <v>203</v>
      </c>
      <c r="D163" s="11" t="s">
        <v>204</v>
      </c>
      <c r="E163" s="86">
        <f>예산!$G209</f>
        <v>1830000</v>
      </c>
      <c r="F163" s="85"/>
      <c r="G163" s="85" t="s">
        <v>374</v>
      </c>
      <c r="H163" s="86">
        <f>예산!$G209</f>
        <v>1830000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60"/>
      <c r="B164" s="85"/>
      <c r="C164" s="92"/>
      <c r="D164" s="85"/>
      <c r="E164" s="86"/>
      <c r="F164" s="85"/>
      <c r="G164" s="85"/>
      <c r="H164" s="86"/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60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460"/>
      <c r="B166" s="85"/>
      <c r="C166" s="92"/>
      <c r="D166" s="85"/>
      <c r="E166" s="86"/>
      <c r="F166" s="85"/>
      <c r="G166" s="85"/>
      <c r="H166" s="86"/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460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460"/>
      <c r="B168" s="524" t="s">
        <v>21</v>
      </c>
      <c r="C168" s="463"/>
      <c r="D168" s="464"/>
      <c r="E168" s="88">
        <f>예산!G210</f>
        <v>11659000</v>
      </c>
      <c r="F168" s="94"/>
      <c r="G168" s="89"/>
      <c r="H168" s="88">
        <f>SUM(H160:H167)</f>
        <v>11659000</v>
      </c>
      <c r="I168" s="90"/>
      <c r="J168" s="89"/>
      <c r="K168" s="91">
        <f>H168/E168</f>
        <v>1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460"/>
      <c r="B169" s="85" t="s">
        <v>270</v>
      </c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460"/>
      <c r="B170" s="85"/>
      <c r="C170" s="27" t="s">
        <v>206</v>
      </c>
      <c r="D170" s="85"/>
      <c r="E170" s="86">
        <f>예산!$G214</f>
        <v>25000</v>
      </c>
      <c r="F170" s="85"/>
      <c r="G170" s="85" t="s">
        <v>235</v>
      </c>
      <c r="H170" s="86">
        <f>예산!$G214</f>
        <v>25000</v>
      </c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460"/>
      <c r="B171" s="85"/>
      <c r="C171" s="27" t="s">
        <v>207</v>
      </c>
      <c r="D171" s="85"/>
      <c r="E171" s="86">
        <f>예산!$G215</f>
        <v>2043000</v>
      </c>
      <c r="F171" s="85"/>
      <c r="G171" s="85" t="s">
        <v>235</v>
      </c>
      <c r="H171" s="86">
        <f>예산!$G215</f>
        <v>2043000</v>
      </c>
      <c r="I171" s="87"/>
      <c r="J171" s="85"/>
      <c r="K171" s="93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460"/>
      <c r="B172" s="524" t="s">
        <v>21</v>
      </c>
      <c r="C172" s="463"/>
      <c r="D172" s="464"/>
      <c r="E172" s="88">
        <f>예산!G216</f>
        <v>2068000</v>
      </c>
      <c r="F172" s="94"/>
      <c r="G172" s="89"/>
      <c r="H172" s="88">
        <f>SUM(H169:H171)</f>
        <v>2068000</v>
      </c>
      <c r="I172" s="90"/>
      <c r="J172" s="89"/>
      <c r="K172" s="91">
        <f>H172/E172</f>
        <v>1</v>
      </c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460"/>
      <c r="B173" s="85" t="s">
        <v>208</v>
      </c>
      <c r="C173" s="11" t="s">
        <v>209</v>
      </c>
      <c r="D173" s="11" t="s">
        <v>210</v>
      </c>
      <c r="E173" s="86">
        <f>예산!$G220</f>
        <v>696000</v>
      </c>
      <c r="F173" s="85"/>
      <c r="G173" s="85" t="s">
        <v>389</v>
      </c>
      <c r="H173" s="86">
        <f>예산!$G220</f>
        <v>696000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460"/>
      <c r="B174" s="85"/>
      <c r="C174" s="26" t="s">
        <v>211</v>
      </c>
      <c r="D174" s="11" t="s">
        <v>212</v>
      </c>
      <c r="E174" s="86">
        <f>예산!$G221</f>
        <v>1194800</v>
      </c>
      <c r="F174" s="85"/>
      <c r="G174" s="85" t="s">
        <v>227</v>
      </c>
      <c r="H174" s="86">
        <f>예산!$G221</f>
        <v>1194800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460"/>
      <c r="B175" s="85"/>
      <c r="C175" s="92"/>
      <c r="D175" s="85"/>
      <c r="E175" s="86"/>
      <c r="F175" s="85"/>
      <c r="G175" s="85"/>
      <c r="H175" s="86"/>
      <c r="I175" s="87"/>
      <c r="J175" s="85"/>
      <c r="K175" s="93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460"/>
      <c r="B176" s="524" t="s">
        <v>21</v>
      </c>
      <c r="C176" s="463"/>
      <c r="D176" s="464"/>
      <c r="E176" s="88">
        <f>예산!G222</f>
        <v>1890800</v>
      </c>
      <c r="F176" s="94"/>
      <c r="G176" s="89"/>
      <c r="H176" s="88">
        <f>SUM(H173:H175)</f>
        <v>1890800</v>
      </c>
      <c r="I176" s="90"/>
      <c r="J176" s="89"/>
      <c r="K176" s="91">
        <f>H176/E176</f>
        <v>1</v>
      </c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460"/>
      <c r="B177" s="85" t="s">
        <v>135</v>
      </c>
      <c r="C177" s="92" t="s">
        <v>281</v>
      </c>
      <c r="D177" s="85"/>
      <c r="E177" s="86">
        <f>예산!$G226</f>
        <v>151120240</v>
      </c>
      <c r="F177" s="85"/>
      <c r="G177" s="85" t="s">
        <v>228</v>
      </c>
      <c r="H177" s="86">
        <f>예산!$G226</f>
        <v>151120240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460"/>
      <c r="B178" s="85"/>
      <c r="C178" s="92" t="s">
        <v>282</v>
      </c>
      <c r="D178" s="85"/>
      <c r="E178" s="86">
        <f>예산!$G227</f>
        <v>186772440</v>
      </c>
      <c r="F178" s="85"/>
      <c r="G178" s="85" t="s">
        <v>380</v>
      </c>
      <c r="H178" s="86">
        <f>예산!$G227</f>
        <v>186772440</v>
      </c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460"/>
      <c r="B179" s="85"/>
      <c r="C179" s="92" t="s">
        <v>158</v>
      </c>
      <c r="D179" s="85"/>
      <c r="E179" s="86">
        <f>예산!$G228</f>
        <v>12743500</v>
      </c>
      <c r="F179" s="85"/>
      <c r="G179" s="85" t="s">
        <v>226</v>
      </c>
      <c r="H179" s="86">
        <f>예산!$G228</f>
        <v>12743500</v>
      </c>
      <c r="I179" s="87"/>
      <c r="J179" s="85"/>
      <c r="K179" s="93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460"/>
      <c r="B180" s="524" t="s">
        <v>21</v>
      </c>
      <c r="C180" s="463"/>
      <c r="D180" s="464"/>
      <c r="E180" s="88">
        <f>예산!G231</f>
        <v>350636180</v>
      </c>
      <c r="F180" s="94"/>
      <c r="G180" s="89"/>
      <c r="H180" s="88">
        <f>SUM(H177:H179)</f>
        <v>350636180</v>
      </c>
      <c r="I180" s="90"/>
      <c r="J180" s="89"/>
      <c r="K180" s="91">
        <f>H180/E180</f>
        <v>1</v>
      </c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460"/>
      <c r="B181" s="85" t="s">
        <v>143</v>
      </c>
      <c r="C181" s="92" t="s">
        <v>219</v>
      </c>
      <c r="D181" s="85"/>
      <c r="E181" s="86"/>
      <c r="F181" s="85"/>
      <c r="G181" s="85" t="s">
        <v>228</v>
      </c>
      <c r="H181" s="86">
        <f>SUM(예산!$G$245:$G$248)</f>
        <v>3600000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460"/>
      <c r="B182" s="85"/>
      <c r="C182" s="11" t="s">
        <v>216</v>
      </c>
      <c r="D182" s="18" t="s">
        <v>217</v>
      </c>
      <c r="E182" s="86"/>
      <c r="F182" s="85"/>
      <c r="G182" s="85" t="s">
        <v>228</v>
      </c>
      <c r="H182" s="86">
        <f>SUM(예산!$G$241:$G$244)</f>
        <v>1000000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460"/>
      <c r="B183" s="85"/>
      <c r="C183" s="11" t="s">
        <v>438</v>
      </c>
      <c r="D183" s="18" t="s">
        <v>218</v>
      </c>
      <c r="E183" s="86"/>
      <c r="F183" s="85"/>
      <c r="G183" s="85" t="s">
        <v>228</v>
      </c>
      <c r="H183" s="86">
        <f>SUM(예산!G249)</f>
        <v>2700000</v>
      </c>
      <c r="I183" s="87"/>
      <c r="J183" s="85"/>
      <c r="K183" s="93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460"/>
      <c r="B184" s="85"/>
      <c r="C184" s="92" t="s">
        <v>515</v>
      </c>
      <c r="D184" s="85" t="s">
        <v>520</v>
      </c>
      <c r="E184" s="86">
        <f>예산!G254</f>
        <v>0</v>
      </c>
      <c r="F184" s="85"/>
      <c r="G184" s="85" t="s">
        <v>379</v>
      </c>
      <c r="H184" s="86">
        <f>E184</f>
        <v>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461"/>
      <c r="B185" s="524" t="s">
        <v>21</v>
      </c>
      <c r="C185" s="463"/>
      <c r="D185" s="464"/>
      <c r="E185" s="88">
        <f>예산!G258</f>
        <v>21480000</v>
      </c>
      <c r="F185" s="94"/>
      <c r="G185" s="89"/>
      <c r="H185" s="95">
        <f>SUM(H181:H184)</f>
        <v>7300000</v>
      </c>
      <c r="I185" s="90"/>
      <c r="J185" s="89"/>
      <c r="K185" s="91">
        <f>H185/E185</f>
        <v>0.33985102420856611</v>
      </c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49" t="s">
        <v>271</v>
      </c>
      <c r="B186" s="550"/>
      <c r="C186" s="96">
        <f>예산!G129</f>
        <v>1162241174</v>
      </c>
      <c r="D186" s="107"/>
      <c r="E186" s="108">
        <f>SUM(E185,E176,E172,E168,E159,E157,E151,E125,E123,E114,E180)</f>
        <v>1162241174</v>
      </c>
      <c r="F186" s="109">
        <f>SUM(E185,E180,E176,E172,E168,E159,E157,E151,E123,E125)</f>
        <v>479241174</v>
      </c>
      <c r="G186" s="110"/>
      <c r="H186" s="101">
        <f>SUM(H185,H180,H176,H172,H168,H159,H157,H151,H125,H123,H114)</f>
        <v>1140766189</v>
      </c>
      <c r="I186" s="548"/>
      <c r="J186" s="515"/>
      <c r="K186" s="102">
        <f t="shared" ref="K186:K187" si="16">H186/C186</f>
        <v>0.98152278074430011</v>
      </c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111" t="s">
        <v>272</v>
      </c>
      <c r="B187" s="112"/>
      <c r="C187" s="113">
        <f>SUM(C186,C68,C48,C31,C18)</f>
        <v>2921936822.4000001</v>
      </c>
      <c r="D187" s="112"/>
      <c r="E187" s="114"/>
      <c r="F187" s="112"/>
      <c r="G187" s="112"/>
      <c r="H187" s="115">
        <f>SUM(H186,H68,H48,H31,H18)</f>
        <v>2866827837.4000001</v>
      </c>
      <c r="I187" s="116"/>
      <c r="J187" s="112"/>
      <c r="K187" s="117">
        <f t="shared" si="16"/>
        <v>0.98113956996690466</v>
      </c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</sheetData>
  <mergeCells count="66">
    <mergeCell ref="I186:J186"/>
    <mergeCell ref="B176:D176"/>
    <mergeCell ref="A186:B186"/>
    <mergeCell ref="A68:B68"/>
    <mergeCell ref="I68:J68"/>
    <mergeCell ref="B89:B91"/>
    <mergeCell ref="B172:D172"/>
    <mergeCell ref="B114:D114"/>
    <mergeCell ref="B123:D123"/>
    <mergeCell ref="B125:D125"/>
    <mergeCell ref="B159:D159"/>
    <mergeCell ref="B168:D168"/>
    <mergeCell ref="C93:C98"/>
    <mergeCell ref="A69:A185"/>
    <mergeCell ref="B99:B103"/>
    <mergeCell ref="B180:D180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B69:B88"/>
    <mergeCell ref="C84:C88"/>
    <mergeCell ref="C70:C78"/>
    <mergeCell ref="B185:D185"/>
    <mergeCell ref="B157:D157"/>
    <mergeCell ref="B151:D151"/>
    <mergeCell ref="B108:B113"/>
    <mergeCell ref="B104:B107"/>
    <mergeCell ref="C79:C83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</mergeCells>
  <phoneticPr fontId="27" type="noConversion"/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7" sqref="H7:H8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15" ht="18.75" customHeight="1">
      <c r="A1" s="556" t="s">
        <v>287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</row>
    <row r="2" spans="1:15" ht="17.25" customHeight="1">
      <c r="A2" s="558" t="s">
        <v>288</v>
      </c>
      <c r="B2" s="561" t="s">
        <v>289</v>
      </c>
      <c r="C2" s="562"/>
      <c r="D2" s="562"/>
      <c r="E2" s="562"/>
      <c r="F2" s="562"/>
      <c r="G2" s="563"/>
      <c r="H2" s="129" t="s">
        <v>290</v>
      </c>
      <c r="I2" s="566" t="s">
        <v>291</v>
      </c>
      <c r="J2" s="562"/>
      <c r="K2" s="567"/>
      <c r="M2" s="130"/>
    </row>
    <row r="3" spans="1:15" ht="16.5" customHeight="1">
      <c r="A3" s="559"/>
      <c r="B3" s="472"/>
      <c r="C3" s="564"/>
      <c r="D3" s="564"/>
      <c r="E3" s="564"/>
      <c r="F3" s="564"/>
      <c r="G3" s="565"/>
      <c r="H3" s="131" t="s">
        <v>292</v>
      </c>
      <c r="I3" s="472"/>
      <c r="J3" s="564"/>
      <c r="K3" s="568"/>
      <c r="M3" s="569" t="s">
        <v>293</v>
      </c>
    </row>
    <row r="4" spans="1:15" ht="16.5" customHeight="1">
      <c r="A4" s="559"/>
      <c r="B4" s="132" t="s">
        <v>294</v>
      </c>
      <c r="C4" s="570" t="s">
        <v>295</v>
      </c>
      <c r="D4" s="133" t="s">
        <v>296</v>
      </c>
      <c r="E4" s="570" t="s">
        <v>295</v>
      </c>
      <c r="F4" s="133" t="s">
        <v>297</v>
      </c>
      <c r="G4" s="133" t="s">
        <v>298</v>
      </c>
      <c r="H4" s="131" t="s">
        <v>299</v>
      </c>
      <c r="I4" s="134" t="s">
        <v>300</v>
      </c>
      <c r="J4" s="134" t="s">
        <v>301</v>
      </c>
      <c r="K4" s="135" t="s">
        <v>21</v>
      </c>
      <c r="M4" s="478"/>
    </row>
    <row r="5" spans="1:15" ht="16.5" customHeight="1">
      <c r="A5" s="560"/>
      <c r="B5" s="136" t="s">
        <v>302</v>
      </c>
      <c r="C5" s="461"/>
      <c r="D5" s="137" t="s">
        <v>303</v>
      </c>
      <c r="E5" s="461"/>
      <c r="F5" s="137" t="s">
        <v>304</v>
      </c>
      <c r="G5" s="137" t="s">
        <v>305</v>
      </c>
      <c r="H5" s="138"/>
      <c r="I5" s="139" t="s">
        <v>306</v>
      </c>
      <c r="J5" s="139" t="s">
        <v>307</v>
      </c>
      <c r="K5" s="140" t="s">
        <v>308</v>
      </c>
      <c r="M5" s="478"/>
    </row>
    <row r="6" spans="1:15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95.450847413218071</v>
      </c>
      <c r="I6" s="147"/>
      <c r="J6" s="148" t="s">
        <v>309</v>
      </c>
      <c r="K6" s="149"/>
      <c r="M6" s="478"/>
    </row>
    <row r="7" spans="1:15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5.9364383353485444</v>
      </c>
      <c r="I7" s="153"/>
      <c r="J7" s="148" t="s">
        <v>309</v>
      </c>
      <c r="K7" s="154"/>
      <c r="M7" s="478"/>
    </row>
    <row r="8" spans="1:15" ht="16.5" customHeight="1">
      <c r="A8" s="150" t="s">
        <v>240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5.7324528175058083</v>
      </c>
      <c r="I8" s="153"/>
      <c r="J8" s="148" t="s">
        <v>309</v>
      </c>
      <c r="K8" s="154"/>
    </row>
    <row r="9" spans="1:15" ht="16.5" customHeight="1">
      <c r="A9" s="150" t="s">
        <v>310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1250.3573899999999</v>
      </c>
      <c r="G9" s="152">
        <f t="shared" si="0"/>
        <v>1250.3573899999999</v>
      </c>
      <c r="H9" s="146">
        <f t="shared" si="1"/>
        <v>49.897158430469517</v>
      </c>
      <c r="I9" s="153"/>
      <c r="J9" s="148" t="s">
        <v>309</v>
      </c>
      <c r="K9" s="154"/>
    </row>
    <row r="10" spans="1:15" ht="31.5" customHeight="1">
      <c r="A10" s="150" t="s">
        <v>72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2.7824290471844888</v>
      </c>
      <c r="I10" s="153"/>
      <c r="J10" s="148" t="s">
        <v>309</v>
      </c>
      <c r="K10" s="154"/>
      <c r="O10" s="151">
        <v>4.91</v>
      </c>
    </row>
    <row r="11" spans="1:15" ht="31.5" customHeight="1">
      <c r="A11" s="150" t="s">
        <v>84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1162.241174</v>
      </c>
      <c r="G11" s="158">
        <f t="shared" si="0"/>
        <v>1162.241174</v>
      </c>
      <c r="H11" s="146">
        <f t="shared" si="1"/>
        <v>30.627810676696438</v>
      </c>
      <c r="I11" s="159"/>
      <c r="J11" s="148" t="s">
        <v>309</v>
      </c>
      <c r="K11" s="160"/>
      <c r="O11" s="151">
        <v>6.48</v>
      </c>
    </row>
    <row r="12" spans="1:15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2921.9368224</v>
      </c>
      <c r="G12" s="165">
        <f t="shared" si="2"/>
        <v>2921.9368224</v>
      </c>
      <c r="H12" s="166">
        <f t="shared" si="2"/>
        <v>94.976289307204809</v>
      </c>
      <c r="I12" s="167"/>
      <c r="J12" s="168" t="s">
        <v>309</v>
      </c>
      <c r="K12" s="169"/>
      <c r="O12" s="151">
        <v>49.97</v>
      </c>
    </row>
    <row r="13" spans="1:15" ht="16.5" customHeight="1">
      <c r="A13" s="141" t="s">
        <v>311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예산!C261/1000000</f>
        <v>155.6</v>
      </c>
      <c r="G13" s="171">
        <f t="shared" ref="G13:G14" si="3">F13</f>
        <v>155.6</v>
      </c>
      <c r="H13" s="146">
        <f>(SUM(B13,D13,F13,G13) / $C$17)*100</f>
        <v>5.0237106927952073</v>
      </c>
      <c r="I13" s="172"/>
      <c r="J13" s="173" t="s">
        <v>309</v>
      </c>
      <c r="K13" s="174"/>
      <c r="O13" s="151">
        <v>3.06</v>
      </c>
    </row>
    <row r="14" spans="1:15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5.0237106927952073</v>
      </c>
      <c r="I14" s="167"/>
      <c r="J14" s="168" t="s">
        <v>309</v>
      </c>
      <c r="K14" s="169"/>
      <c r="O14" s="157">
        <v>30.58</v>
      </c>
    </row>
    <row r="15" spans="1:15" ht="16.5" customHeight="1">
      <c r="A15" s="175" t="s">
        <v>312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3077.5368223999999</v>
      </c>
      <c r="G15" s="179">
        <f t="shared" si="4"/>
        <v>3077.5368223999999</v>
      </c>
      <c r="H15" s="180">
        <f t="shared" si="4"/>
        <v>100.00000000000001</v>
      </c>
      <c r="I15" s="181"/>
      <c r="J15" s="182" t="s">
        <v>309</v>
      </c>
      <c r="K15" s="183"/>
    </row>
    <row r="16" spans="1:15" ht="16.5" customHeight="1">
      <c r="A16" s="184" t="s">
        <v>313</v>
      </c>
    </row>
    <row r="17" spans="1:26" ht="16.5" customHeight="1">
      <c r="A17" s="578" t="s">
        <v>314</v>
      </c>
      <c r="B17" s="478"/>
      <c r="C17" s="579">
        <f>SUM(B15,D15,F15,G15)</f>
        <v>14524.323644799999</v>
      </c>
      <c r="D17" s="478"/>
      <c r="E17" s="478"/>
      <c r="F17" s="478"/>
      <c r="G17" s="478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581" t="s">
        <v>8</v>
      </c>
      <c r="B20" s="582"/>
      <c r="C20" s="575" t="s">
        <v>315</v>
      </c>
      <c r="D20" s="575" t="s">
        <v>316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472"/>
      <c r="B21" s="565"/>
      <c r="C21" s="461"/>
      <c r="D21" s="461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571">
        <f>SUM(C22:D28)</f>
        <v>104005000</v>
      </c>
      <c r="H22" s="571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478"/>
      <c r="H23" s="478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575" t="s">
        <v>84</v>
      </c>
      <c r="B24" s="575" t="s">
        <v>317</v>
      </c>
      <c r="C24" s="576">
        <v>39000000</v>
      </c>
      <c r="D24" s="577"/>
      <c r="E24" s="186">
        <f t="shared" si="5"/>
        <v>39000000</v>
      </c>
      <c r="F24" s="571">
        <f>SUM(E24:E28)</f>
        <v>89205000</v>
      </c>
      <c r="G24" s="478"/>
      <c r="H24" s="478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460"/>
      <c r="B25" s="461"/>
      <c r="C25" s="461"/>
      <c r="D25" s="461"/>
      <c r="E25" s="186">
        <f t="shared" si="5"/>
        <v>0</v>
      </c>
      <c r="F25" s="478"/>
      <c r="G25" s="478"/>
      <c r="H25" s="478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460"/>
      <c r="B26" s="187" t="s">
        <v>94</v>
      </c>
      <c r="C26" s="188">
        <v>5000000</v>
      </c>
      <c r="D26" s="189">
        <v>7875000</v>
      </c>
      <c r="E26" s="186">
        <f t="shared" si="5"/>
        <v>12875000</v>
      </c>
      <c r="F26" s="478"/>
      <c r="G26" s="478"/>
      <c r="H26" s="478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460"/>
      <c r="B27" s="187" t="s">
        <v>208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478"/>
      <c r="G27" s="478"/>
      <c r="H27" s="478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461"/>
      <c r="B28" s="187" t="s">
        <v>178</v>
      </c>
      <c r="C28" s="188">
        <v>6000000</v>
      </c>
      <c r="D28" s="189"/>
      <c r="E28" s="186">
        <f t="shared" si="5"/>
        <v>6000000</v>
      </c>
      <c r="F28" s="478"/>
      <c r="G28" s="478"/>
      <c r="H28" s="478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580" t="s">
        <v>311</v>
      </c>
      <c r="B29" s="464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478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571" t="s">
        <v>22</v>
      </c>
      <c r="B31" s="478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572" t="s">
        <v>318</v>
      </c>
      <c r="B32" s="478"/>
      <c r="C32" s="194">
        <v>61800000</v>
      </c>
      <c r="D32" s="195">
        <f>37500000+13330000</f>
        <v>50830000</v>
      </c>
      <c r="E32" s="573" t="s">
        <v>319</v>
      </c>
      <c r="F32" s="478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574" t="s">
        <v>320</v>
      </c>
      <c r="B36" s="478"/>
      <c r="C36" s="478"/>
      <c r="D36" s="478"/>
      <c r="E36" s="478"/>
      <c r="F36" s="478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  <mergeCell ref="A31:B31"/>
    <mergeCell ref="A32:B32"/>
    <mergeCell ref="E32:F32"/>
    <mergeCell ref="A36:F36"/>
    <mergeCell ref="A24:A28"/>
    <mergeCell ref="B24:B25"/>
    <mergeCell ref="C24:C25"/>
    <mergeCell ref="D24:D25"/>
    <mergeCell ref="A1:K1"/>
    <mergeCell ref="A2:A5"/>
    <mergeCell ref="B2:G3"/>
    <mergeCell ref="I2:K3"/>
    <mergeCell ref="M3:M7"/>
    <mergeCell ref="C4:C5"/>
    <mergeCell ref="E4:E5"/>
  </mergeCells>
  <phoneticPr fontId="27" type="noConversion"/>
  <pageMargins left="0.7" right="0.7" top="0.75" bottom="0.75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C9" sqref="C9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0.28515625" customWidth="1"/>
    <col min="4" max="4" width="13" customWidth="1"/>
    <col min="5" max="5" width="7.85546875" customWidth="1"/>
    <col min="6" max="26" width="7.5703125" customWidth="1"/>
  </cols>
  <sheetData>
    <row r="1" spans="1:8" ht="16.5" customHeight="1">
      <c r="A1" s="556" t="s">
        <v>321</v>
      </c>
      <c r="B1" s="557"/>
      <c r="C1" s="557"/>
      <c r="D1" s="557"/>
      <c r="E1" s="557"/>
      <c r="F1" s="557"/>
      <c r="G1" s="557"/>
      <c r="H1" s="557"/>
    </row>
    <row r="2" spans="1:8" ht="24.75" customHeight="1">
      <c r="A2" s="583" t="s">
        <v>288</v>
      </c>
      <c r="B2" s="563"/>
      <c r="C2" s="585" t="s">
        <v>322</v>
      </c>
      <c r="D2" s="129" t="s">
        <v>292</v>
      </c>
      <c r="E2" s="586" t="s">
        <v>295</v>
      </c>
      <c r="F2" s="587" t="s">
        <v>291</v>
      </c>
      <c r="G2" s="588"/>
      <c r="H2" s="589"/>
    </row>
    <row r="3" spans="1:8" ht="24.75" customHeight="1">
      <c r="A3" s="584"/>
      <c r="B3" s="565"/>
      <c r="C3" s="461"/>
      <c r="D3" s="137" t="s">
        <v>299</v>
      </c>
      <c r="E3" s="461"/>
      <c r="F3" s="196" t="s">
        <v>323</v>
      </c>
      <c r="G3" s="196" t="s">
        <v>324</v>
      </c>
      <c r="H3" s="197" t="s">
        <v>325</v>
      </c>
    </row>
    <row r="4" spans="1:8" ht="24.75" customHeight="1">
      <c r="A4" s="590" t="s">
        <v>7</v>
      </c>
      <c r="B4" s="170" t="s">
        <v>326</v>
      </c>
      <c r="C4" s="171">
        <f>예산!G14/1000000</f>
        <v>121.1387584</v>
      </c>
      <c r="D4" s="198">
        <f t="shared" ref="D4:D5" si="0">(C4/$C$27)*100</f>
        <v>3.9362245000055132</v>
      </c>
      <c r="E4" s="170">
        <v>4.03</v>
      </c>
      <c r="F4" s="172">
        <v>0</v>
      </c>
      <c r="G4" s="172"/>
      <c r="H4" s="172">
        <v>0</v>
      </c>
    </row>
    <row r="5" spans="1:8" ht="24.75" customHeight="1">
      <c r="A5" s="560"/>
      <c r="B5" s="170" t="s">
        <v>26</v>
      </c>
      <c r="C5" s="171">
        <f>예산!G19/1000000</f>
        <v>93.36</v>
      </c>
      <c r="D5" s="198">
        <f t="shared" si="0"/>
        <v>3.0335948970772573</v>
      </c>
      <c r="E5" s="170">
        <v>0</v>
      </c>
      <c r="F5" s="172">
        <v>10</v>
      </c>
      <c r="G5" s="172"/>
      <c r="H5" s="172">
        <v>10</v>
      </c>
    </row>
    <row r="6" spans="1:8" ht="24.75" customHeight="1">
      <c r="A6" s="591" t="s">
        <v>21</v>
      </c>
      <c r="B6" s="464"/>
      <c r="C6" s="165">
        <f>SUM(C4,C5)</f>
        <v>214.49875839999999</v>
      </c>
      <c r="D6" s="199">
        <f t="shared" ref="D6:F6" si="1">SUM(D4:D5)</f>
        <v>6.9698193970827704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</row>
    <row r="7" spans="1:8" ht="24.75" customHeight="1">
      <c r="A7" s="200" t="s">
        <v>25</v>
      </c>
      <c r="B7" s="201" t="s">
        <v>240</v>
      </c>
      <c r="C7" s="171">
        <f>예산!G64/1000000</f>
        <v>186.8</v>
      </c>
      <c r="D7" s="202">
        <f>(C7/$C$27)*100</f>
        <v>6.0697892756430134</v>
      </c>
      <c r="E7" s="201">
        <v>0</v>
      </c>
      <c r="F7" s="203">
        <v>0</v>
      </c>
      <c r="G7" s="204"/>
      <c r="H7" s="203">
        <v>0</v>
      </c>
    </row>
    <row r="8" spans="1:8" ht="24.75" customHeight="1">
      <c r="A8" s="591" t="s">
        <v>21</v>
      </c>
      <c r="B8" s="464"/>
      <c r="C8" s="165">
        <f t="shared" ref="C8:D8" si="2">SUM(C7)</f>
        <v>186.8</v>
      </c>
      <c r="D8" s="199">
        <f t="shared" si="2"/>
        <v>6.0697892756430134</v>
      </c>
      <c r="E8" s="164">
        <v>0</v>
      </c>
      <c r="F8" s="167">
        <v>0</v>
      </c>
      <c r="G8" s="167"/>
      <c r="H8" s="167">
        <v>0</v>
      </c>
    </row>
    <row r="9" spans="1:8" ht="24.75" customHeight="1">
      <c r="A9" s="590" t="s">
        <v>327</v>
      </c>
      <c r="B9" s="201" t="s">
        <v>32</v>
      </c>
      <c r="C9" s="171">
        <f>예산!G82/1000000</f>
        <v>1248.3573899999999</v>
      </c>
      <c r="D9" s="202">
        <f t="shared" ref="D9:D23" si="3">(C9/$C$27)*100</f>
        <v>40.563524079184695</v>
      </c>
      <c r="E9" s="201">
        <v>282.39999999999998</v>
      </c>
      <c r="F9" s="203">
        <v>0</v>
      </c>
      <c r="G9" s="204"/>
      <c r="H9" s="203">
        <v>0</v>
      </c>
    </row>
    <row r="10" spans="1:8" ht="24.75" customHeight="1">
      <c r="A10" s="560"/>
      <c r="B10" s="170" t="s">
        <v>56</v>
      </c>
      <c r="C10" s="171">
        <f>예산!G90/1000000</f>
        <v>2</v>
      </c>
      <c r="D10" s="198">
        <f t="shared" si="3"/>
        <v>6.4987037212451956E-2</v>
      </c>
      <c r="E10" s="170">
        <v>0</v>
      </c>
      <c r="F10" s="172">
        <v>3</v>
      </c>
      <c r="G10" s="172"/>
      <c r="H10" s="172">
        <v>3</v>
      </c>
    </row>
    <row r="11" spans="1:8" ht="24.75" customHeight="1">
      <c r="A11" s="200" t="s">
        <v>276</v>
      </c>
      <c r="B11" s="201" t="s">
        <v>73</v>
      </c>
      <c r="C11" s="171">
        <f>예산!G126/1000000</f>
        <v>108.0395</v>
      </c>
      <c r="D11" s="202">
        <f t="shared" si="3"/>
        <v>3.5105835034573518</v>
      </c>
      <c r="E11" s="201">
        <v>1.1399999999999999</v>
      </c>
      <c r="F11" s="203">
        <v>0</v>
      </c>
      <c r="G11" s="204"/>
      <c r="H11" s="203">
        <v>0</v>
      </c>
    </row>
    <row r="12" spans="1:8" ht="24.75" customHeight="1">
      <c r="A12" s="590" t="s">
        <v>328</v>
      </c>
      <c r="B12" s="170" t="s">
        <v>86</v>
      </c>
      <c r="C12" s="171">
        <f>예산!G141/1000000</f>
        <v>683</v>
      </c>
      <c r="D12" s="198">
        <f t="shared" si="3"/>
        <v>22.193073208052343</v>
      </c>
      <c r="E12" s="170">
        <v>0</v>
      </c>
      <c r="F12" s="172">
        <v>0</v>
      </c>
      <c r="G12" s="172"/>
      <c r="H12" s="172">
        <v>0</v>
      </c>
    </row>
    <row r="13" spans="1:8" ht="24.75" customHeight="1">
      <c r="A13" s="559"/>
      <c r="B13" s="170" t="s">
        <v>94</v>
      </c>
      <c r="C13" s="171">
        <f>예산!G154/1000000</f>
        <v>2.9304679999999999</v>
      </c>
      <c r="D13" s="198">
        <f t="shared" si="3"/>
        <v>9.522121648294983E-2</v>
      </c>
      <c r="E13" s="170">
        <v>0</v>
      </c>
      <c r="F13" s="172">
        <v>12.88</v>
      </c>
      <c r="G13" s="172"/>
      <c r="H13" s="172">
        <v>12.88</v>
      </c>
    </row>
    <row r="14" spans="1:8" ht="24.75" customHeight="1">
      <c r="A14" s="559"/>
      <c r="B14" s="170" t="s">
        <v>178</v>
      </c>
      <c r="C14" s="171">
        <f>예산!G160/1000000</f>
        <v>1.1740999999999999</v>
      </c>
      <c r="D14" s="198">
        <f t="shared" si="3"/>
        <v>3.8150640195569921E-2</v>
      </c>
      <c r="E14" s="170">
        <v>0</v>
      </c>
      <c r="F14" s="172">
        <v>5</v>
      </c>
      <c r="G14" s="172"/>
      <c r="H14" s="172">
        <v>5</v>
      </c>
    </row>
    <row r="15" spans="1:8" ht="24.75" customHeight="1">
      <c r="A15" s="559"/>
      <c r="B15" s="170" t="s">
        <v>100</v>
      </c>
      <c r="C15" s="171">
        <f>예산!G186/1000000</f>
        <v>85.728526000000002</v>
      </c>
      <c r="D15" s="198">
        <f t="shared" si="3"/>
        <v>2.7856214546653275</v>
      </c>
      <c r="E15" s="170">
        <v>0</v>
      </c>
      <c r="F15" s="172">
        <v>0</v>
      </c>
      <c r="G15" s="172"/>
      <c r="H15" s="172">
        <v>0</v>
      </c>
    </row>
    <row r="16" spans="1:8" ht="24.75" customHeight="1">
      <c r="A16" s="559"/>
      <c r="B16" s="170" t="s">
        <v>105</v>
      </c>
      <c r="C16" s="171">
        <f>예산!G237/1000000</f>
        <v>0</v>
      </c>
      <c r="D16" s="198">
        <f t="shared" si="3"/>
        <v>0</v>
      </c>
      <c r="E16" s="170">
        <v>39.6</v>
      </c>
      <c r="F16" s="172">
        <v>0</v>
      </c>
      <c r="G16" s="172"/>
      <c r="H16" s="172">
        <v>0</v>
      </c>
    </row>
    <row r="17" spans="1:8" ht="24.75" customHeight="1">
      <c r="A17" s="559"/>
      <c r="B17" s="170" t="s">
        <v>116</v>
      </c>
      <c r="C17" s="171">
        <f>예산!G197/1000000</f>
        <v>1.5241</v>
      </c>
      <c r="D17" s="198">
        <f t="shared" si="3"/>
        <v>4.9523371707749016E-2</v>
      </c>
      <c r="E17" s="170">
        <v>0.61</v>
      </c>
      <c r="F17" s="172">
        <v>0</v>
      </c>
      <c r="G17" s="172"/>
      <c r="H17" s="172">
        <v>0</v>
      </c>
    </row>
    <row r="18" spans="1:8" ht="24.75" customHeight="1">
      <c r="A18" s="559"/>
      <c r="B18" s="170" t="s">
        <v>197</v>
      </c>
      <c r="C18" s="171">
        <f>예산!G202/1000000</f>
        <v>0.15</v>
      </c>
      <c r="D18" s="198">
        <f t="shared" si="3"/>
        <v>4.8740277909338969E-3</v>
      </c>
      <c r="E18" s="170">
        <v>0</v>
      </c>
      <c r="F18" s="172">
        <v>0</v>
      </c>
      <c r="G18" s="172"/>
      <c r="H18" s="172">
        <v>0</v>
      </c>
    </row>
    <row r="19" spans="1:8" ht="24.75" customHeight="1">
      <c r="A19" s="559"/>
      <c r="B19" s="170" t="s">
        <v>121</v>
      </c>
      <c r="C19" s="171">
        <f>예산!G210/1000000</f>
        <v>11.659000000000001</v>
      </c>
      <c r="D19" s="198">
        <f t="shared" si="3"/>
        <v>0.37884193342998873</v>
      </c>
      <c r="E19" s="170">
        <v>0.15</v>
      </c>
      <c r="F19" s="172">
        <v>0</v>
      </c>
      <c r="G19" s="172"/>
      <c r="H19" s="172">
        <v>0</v>
      </c>
    </row>
    <row r="20" spans="1:8" ht="24.75" customHeight="1">
      <c r="A20" s="559"/>
      <c r="B20" s="170" t="s">
        <v>329</v>
      </c>
      <c r="C20" s="171">
        <f>예산!G216/1000000</f>
        <v>2.0680000000000001</v>
      </c>
      <c r="D20" s="198">
        <f t="shared" si="3"/>
        <v>6.7196596477675327E-2</v>
      </c>
      <c r="E20" s="170">
        <v>0</v>
      </c>
      <c r="F20" s="172">
        <v>0</v>
      </c>
      <c r="G20" s="172"/>
      <c r="H20" s="172">
        <v>0</v>
      </c>
    </row>
    <row r="21" spans="1:8" ht="24.75" customHeight="1">
      <c r="A21" s="559"/>
      <c r="B21" s="170" t="s">
        <v>135</v>
      </c>
      <c r="C21" s="171">
        <f>예산!G231/1000000</f>
        <v>350.63618000000002</v>
      </c>
      <c r="D21" s="198">
        <f t="shared" si="3"/>
        <v>11.393403238846002</v>
      </c>
      <c r="E21" s="170">
        <v>157.76</v>
      </c>
      <c r="F21" s="172">
        <v>0</v>
      </c>
      <c r="G21" s="172"/>
      <c r="H21" s="172">
        <v>0</v>
      </c>
    </row>
    <row r="22" spans="1:8" ht="24.75" customHeight="1">
      <c r="A22" s="559"/>
      <c r="B22" s="170" t="s">
        <v>208</v>
      </c>
      <c r="C22" s="171">
        <f>예산!G222/1000000</f>
        <v>1.8908</v>
      </c>
      <c r="D22" s="198">
        <f t="shared" si="3"/>
        <v>6.1438744980652077E-2</v>
      </c>
      <c r="E22" s="170">
        <v>0</v>
      </c>
      <c r="F22" s="172">
        <v>18</v>
      </c>
      <c r="G22" s="172"/>
      <c r="H22" s="172">
        <v>18</v>
      </c>
    </row>
    <row r="23" spans="1:8" ht="24.75" customHeight="1">
      <c r="A23" s="560"/>
      <c r="B23" s="170" t="s">
        <v>143</v>
      </c>
      <c r="C23" s="171">
        <f>예산!G258/1000000</f>
        <v>21.48</v>
      </c>
      <c r="D23" s="198">
        <f t="shared" si="3"/>
        <v>0.69796077966173398</v>
      </c>
      <c r="E23" s="170">
        <v>0</v>
      </c>
      <c r="F23" s="172">
        <v>38</v>
      </c>
      <c r="G23" s="172"/>
      <c r="H23" s="172">
        <v>38</v>
      </c>
    </row>
    <row r="24" spans="1:8" ht="24.75" customHeight="1">
      <c r="A24" s="591" t="s">
        <v>21</v>
      </c>
      <c r="B24" s="464"/>
      <c r="C24" s="165">
        <f t="shared" ref="C24:F24" si="4">SUM(C9:C23)</f>
        <v>2520.6380640000007</v>
      </c>
      <c r="D24" s="199">
        <f t="shared" si="4"/>
        <v>81.904399832145415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</row>
    <row r="25" spans="1:8" ht="24.75" customHeight="1">
      <c r="A25" s="597" t="s">
        <v>311</v>
      </c>
      <c r="B25" s="464"/>
      <c r="C25" s="171">
        <f>예산!C261/1000000</f>
        <v>155.6</v>
      </c>
      <c r="D25" s="198">
        <f>(C25/$C$27)*100</f>
        <v>5.0559914951287626</v>
      </c>
      <c r="E25" s="170">
        <v>0</v>
      </c>
      <c r="F25" s="172">
        <v>8.6199999999999992</v>
      </c>
      <c r="G25" s="172"/>
      <c r="H25" s="172">
        <v>8.6199999999999992</v>
      </c>
    </row>
    <row r="26" spans="1:8" ht="24.75" customHeight="1">
      <c r="A26" s="591" t="s">
        <v>21</v>
      </c>
      <c r="B26" s="464"/>
      <c r="C26" s="165">
        <f t="shared" ref="C26:D26" si="5">SUM(C25)</f>
        <v>155.6</v>
      </c>
      <c r="D26" s="199">
        <f t="shared" si="5"/>
        <v>5.0559914951287626</v>
      </c>
      <c r="E26" s="164">
        <v>0</v>
      </c>
      <c r="F26" s="167">
        <v>8.6199999999999992</v>
      </c>
      <c r="G26" s="167"/>
      <c r="H26" s="167">
        <v>8.6199999999999992</v>
      </c>
    </row>
    <row r="27" spans="1:8" ht="24.75" customHeight="1">
      <c r="A27" s="598" t="s">
        <v>312</v>
      </c>
      <c r="B27" s="599"/>
      <c r="C27" s="179">
        <f t="shared" ref="C27:D27" si="6">SUM(C6,C8,C24,C26)</f>
        <v>3077.5368224000008</v>
      </c>
      <c r="D27" s="205">
        <f t="shared" si="6"/>
        <v>99.999999999999957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</row>
    <row r="28" spans="1:8" ht="16.5" customHeight="1">
      <c r="A28" s="184" t="s">
        <v>313</v>
      </c>
      <c r="B28" s="17"/>
      <c r="D28" s="17"/>
      <c r="E28" s="17"/>
    </row>
    <row r="29" spans="1:8" ht="16.5" customHeight="1">
      <c r="B29" s="17"/>
      <c r="D29" s="17"/>
      <c r="E29" s="17"/>
    </row>
    <row r="30" spans="1:8" ht="16.5" customHeight="1">
      <c r="A30" s="592" t="s">
        <v>8</v>
      </c>
      <c r="B30" s="464"/>
      <c r="C30" s="207" t="s">
        <v>330</v>
      </c>
      <c r="D30" s="207" t="s">
        <v>331</v>
      </c>
    </row>
    <row r="31" spans="1:8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578">
        <f>SUM(E31:E37)</f>
        <v>88875000</v>
      </c>
    </row>
    <row r="32" spans="1:8" ht="54.75" customHeight="1">
      <c r="A32" s="593" t="s">
        <v>31</v>
      </c>
      <c r="B32" s="594"/>
      <c r="C32" s="595">
        <v>2000000</v>
      </c>
      <c r="D32" s="595">
        <v>0</v>
      </c>
      <c r="E32" s="596">
        <f>SUM(C32:D33)</f>
        <v>2000000</v>
      </c>
      <c r="G32" s="478"/>
    </row>
    <row r="33" spans="1:7" ht="16.5" customHeight="1">
      <c r="A33" s="461"/>
      <c r="B33" s="461"/>
      <c r="C33" s="461"/>
      <c r="D33" s="461"/>
      <c r="E33" s="458"/>
      <c r="G33" s="478"/>
    </row>
    <row r="34" spans="1:7" ht="16.5" customHeight="1">
      <c r="A34" s="593" t="s">
        <v>84</v>
      </c>
      <c r="B34" s="208" t="s">
        <v>143</v>
      </c>
      <c r="C34" s="210">
        <v>40000000</v>
      </c>
      <c r="D34" s="210">
        <v>0</v>
      </c>
      <c r="E34" s="63">
        <f t="shared" ref="E34:E38" si="7">SUM(C34:D34)</f>
        <v>40000000</v>
      </c>
      <c r="F34" s="578">
        <f>SUM(E34:E37)</f>
        <v>74875000</v>
      </c>
      <c r="G34" s="478"/>
    </row>
    <row r="35" spans="1:7" ht="16.5" customHeight="1">
      <c r="A35" s="460"/>
      <c r="B35" s="208" t="s">
        <v>94</v>
      </c>
      <c r="C35" s="210">
        <v>4500000</v>
      </c>
      <c r="D35" s="210">
        <v>7875000</v>
      </c>
      <c r="E35" s="63">
        <f t="shared" si="7"/>
        <v>12375000</v>
      </c>
      <c r="F35" s="478"/>
      <c r="G35" s="478"/>
    </row>
    <row r="36" spans="1:7" ht="16.5" customHeight="1">
      <c r="A36" s="460"/>
      <c r="B36" s="208" t="s">
        <v>208</v>
      </c>
      <c r="C36" s="210">
        <v>1000000</v>
      </c>
      <c r="D36" s="210">
        <v>17000000</v>
      </c>
      <c r="E36" s="63">
        <f t="shared" si="7"/>
        <v>18000000</v>
      </c>
      <c r="F36" s="478"/>
      <c r="G36" s="478"/>
    </row>
    <row r="37" spans="1:7" ht="16.5" customHeight="1">
      <c r="A37" s="461"/>
      <c r="B37" s="208" t="s">
        <v>178</v>
      </c>
      <c r="C37" s="210">
        <v>4500000</v>
      </c>
      <c r="D37" s="210">
        <v>0</v>
      </c>
      <c r="E37" s="63">
        <f t="shared" si="7"/>
        <v>4500000</v>
      </c>
      <c r="F37" s="478"/>
      <c r="G37" s="478"/>
    </row>
    <row r="38" spans="1:7" ht="16.5" customHeight="1">
      <c r="A38" s="592" t="s">
        <v>311</v>
      </c>
      <c r="B38" s="464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38:B38"/>
    <mergeCell ref="A24:B24"/>
    <mergeCell ref="A25:B25"/>
    <mergeCell ref="A26:B26"/>
    <mergeCell ref="A27:B27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4:A5"/>
    <mergeCell ref="A6:B6"/>
    <mergeCell ref="A8:B8"/>
    <mergeCell ref="A9:A10"/>
    <mergeCell ref="A12:A23"/>
    <mergeCell ref="A1:H1"/>
    <mergeCell ref="A2:B3"/>
    <mergeCell ref="C2:C3"/>
    <mergeCell ref="E2:E3"/>
    <mergeCell ref="F2:H2"/>
  </mergeCells>
  <phoneticPr fontId="27" type="noConversion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20"/>
  <sheetViews>
    <sheetView workbookViewId="0">
      <pane ySplit="3" topLeftCell="A4" activePane="bottomLeft" state="frozen"/>
      <selection pane="bottomLeft" activeCell="H15" sqref="H15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48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603" t="s">
        <v>411</v>
      </c>
      <c r="B1" s="478"/>
      <c r="C1" s="478"/>
      <c r="D1" s="478"/>
      <c r="E1" s="478"/>
      <c r="F1" s="478"/>
      <c r="G1" s="478"/>
      <c r="H1" s="478"/>
      <c r="I1" s="478"/>
      <c r="J1" s="478"/>
      <c r="K1" s="478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223</v>
      </c>
      <c r="AD1" s="64" t="s">
        <v>224</v>
      </c>
      <c r="AE1" s="64" t="s">
        <v>225</v>
      </c>
      <c r="AF1" s="64" t="s">
        <v>226</v>
      </c>
      <c r="AG1" s="64" t="s">
        <v>227</v>
      </c>
      <c r="AH1" s="64" t="s">
        <v>228</v>
      </c>
      <c r="AI1" s="64" t="s">
        <v>229</v>
      </c>
      <c r="AJ1" s="64" t="s">
        <v>230</v>
      </c>
      <c r="AK1" s="64" t="s">
        <v>231</v>
      </c>
      <c r="AL1" s="64" t="s">
        <v>232</v>
      </c>
      <c r="AM1" s="64" t="s">
        <v>233</v>
      </c>
      <c r="AN1" s="64" t="s">
        <v>234</v>
      </c>
      <c r="AO1" s="64" t="s">
        <v>235</v>
      </c>
      <c r="AP1" s="64" t="s">
        <v>236</v>
      </c>
      <c r="AQ1" s="64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02" t="s">
        <v>7</v>
      </c>
      <c r="Q2" s="464"/>
      <c r="R2" s="502" t="s">
        <v>240</v>
      </c>
      <c r="S2" s="464"/>
      <c r="T2" s="502" t="s">
        <v>31</v>
      </c>
      <c r="U2" s="464"/>
      <c r="V2" s="502" t="s">
        <v>72</v>
      </c>
      <c r="W2" s="464"/>
      <c r="X2" s="502" t="s">
        <v>84</v>
      </c>
      <c r="Y2" s="464"/>
      <c r="Z2" s="502" t="s">
        <v>241</v>
      </c>
      <c r="AA2" s="464"/>
      <c r="AD2" s="70">
        <f t="shared" ref="AD2:AO2" si="0">SUMIF($G4:$G168, AD1, $H4:$H168)</f>
        <v>14600000</v>
      </c>
      <c r="AE2" s="70">
        <f t="shared" si="0"/>
        <v>17381628</v>
      </c>
      <c r="AF2" s="70">
        <f t="shared" si="0"/>
        <v>75237443</v>
      </c>
      <c r="AG2" s="70">
        <f t="shared" si="0"/>
        <v>31124560</v>
      </c>
      <c r="AH2" s="70">
        <f t="shared" si="0"/>
        <v>425800124.92500001</v>
      </c>
      <c r="AI2" s="70">
        <f t="shared" si="0"/>
        <v>34766221.924999997</v>
      </c>
      <c r="AJ2" s="70">
        <f t="shared" si="0"/>
        <v>294111523.92500001</v>
      </c>
      <c r="AK2" s="70">
        <f t="shared" si="0"/>
        <v>864580663.92499995</v>
      </c>
      <c r="AL2" s="70">
        <f t="shared" si="0"/>
        <v>60386574.924999997</v>
      </c>
      <c r="AM2" s="70">
        <f t="shared" si="0"/>
        <v>45466768.924999997</v>
      </c>
      <c r="AN2" s="70">
        <f t="shared" si="0"/>
        <v>139065083.92500001</v>
      </c>
      <c r="AO2" s="70">
        <f t="shared" si="0"/>
        <v>673863083.92499995</v>
      </c>
      <c r="AP2" s="70">
        <f>SUM(AD2:AO2)</f>
        <v>2676383677.3999996</v>
      </c>
      <c r="AQ2" s="71">
        <f>$A$2-$AP$2</f>
        <v>280016322.60000038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16" t="s">
        <v>244</v>
      </c>
      <c r="E3" s="517"/>
      <c r="F3" s="518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179000000</v>
      </c>
      <c r="S3" s="81">
        <f>K31</f>
        <v>0.95824411134903642</v>
      </c>
      <c r="T3" s="80">
        <f>H46</f>
        <v>1229537390</v>
      </c>
      <c r="U3" s="81">
        <f>K46</f>
        <v>0.98334876078910527</v>
      </c>
      <c r="V3" s="80">
        <f>H66</f>
        <v>73075500</v>
      </c>
      <c r="W3" s="81">
        <f>K66</f>
        <v>0.67637762114782096</v>
      </c>
      <c r="X3" s="80">
        <f>H143</f>
        <v>8829000</v>
      </c>
      <c r="Y3" s="81">
        <f>K143</f>
        <v>0</v>
      </c>
      <c r="Z3" s="82">
        <f>H144</f>
        <v>1830000</v>
      </c>
      <c r="AA3" s="83">
        <f>K144</f>
        <v>0</v>
      </c>
      <c r="AD3" s="84">
        <f t="shared" ref="AD3:AQ3" si="1">AD2/$A$2</f>
        <v>4.9384386415911247E-3</v>
      </c>
      <c r="AE3" s="84">
        <f t="shared" si="1"/>
        <v>5.8793221485590585E-3</v>
      </c>
      <c r="AF3" s="84">
        <f t="shared" si="1"/>
        <v>2.5449006562034908E-2</v>
      </c>
      <c r="AG3" s="84">
        <f t="shared" si="1"/>
        <v>1.0527858205926126E-2</v>
      </c>
      <c r="AH3" s="84">
        <f t="shared" si="1"/>
        <v>0.14402656099479097</v>
      </c>
      <c r="AI3" s="84">
        <f t="shared" si="1"/>
        <v>1.1759647518941955E-2</v>
      </c>
      <c r="AJ3" s="84">
        <f t="shared" si="1"/>
        <v>9.9482994156744692E-2</v>
      </c>
      <c r="AK3" s="84">
        <f t="shared" si="1"/>
        <v>0.29244373695203624</v>
      </c>
      <c r="AL3" s="84">
        <f t="shared" si="1"/>
        <v>2.0425711989243672E-2</v>
      </c>
      <c r="AM3" s="84">
        <f t="shared" si="1"/>
        <v>1.537909921695305E-2</v>
      </c>
      <c r="AN3" s="84">
        <f t="shared" si="1"/>
        <v>4.7038656448721419E-2</v>
      </c>
      <c r="AO3" s="84">
        <f t="shared" si="1"/>
        <v>0.22793366389020428</v>
      </c>
      <c r="AP3" s="84">
        <f t="shared" si="1"/>
        <v>0.90528469672574741</v>
      </c>
      <c r="AQ3" s="84">
        <f t="shared" si="1"/>
        <v>9.4715303274252594E-2</v>
      </c>
    </row>
    <row r="4" spans="1:43" ht="16.5" customHeight="1">
      <c r="A4" s="526" t="s">
        <v>7</v>
      </c>
      <c r="B4" s="520" t="s">
        <v>251</v>
      </c>
      <c r="C4" s="523">
        <f>예산!G14</f>
        <v>121138758.40000001</v>
      </c>
      <c r="D4" s="85" t="s">
        <v>15</v>
      </c>
      <c r="E4" s="513">
        <f>예산!G7</f>
        <v>5871208</v>
      </c>
      <c r="F4" s="464"/>
      <c r="G4" s="309" t="s">
        <v>225</v>
      </c>
      <c r="H4" s="310">
        <f>1192128+예산!E8</f>
        <v>2781628</v>
      </c>
      <c r="I4" s="87">
        <v>45776</v>
      </c>
      <c r="J4" s="85"/>
      <c r="K4" s="504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60"/>
      <c r="B5" s="460"/>
      <c r="C5" s="460"/>
      <c r="D5" s="85" t="s">
        <v>19</v>
      </c>
      <c r="E5" s="513">
        <f>예산!G8</f>
        <v>4768500</v>
      </c>
      <c r="F5" s="464"/>
      <c r="G5" s="309" t="s">
        <v>226</v>
      </c>
      <c r="H5" s="310">
        <f>예산!E7+예산!E8</f>
        <v>3405260</v>
      </c>
      <c r="I5" s="87"/>
      <c r="J5" s="85"/>
      <c r="K5" s="460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460"/>
      <c r="B6" s="460"/>
      <c r="C6" s="460"/>
      <c r="D6" s="85" t="s">
        <v>252</v>
      </c>
      <c r="E6" s="513">
        <f>예산!G10</f>
        <v>37350216</v>
      </c>
      <c r="F6" s="464"/>
      <c r="G6" s="309" t="s">
        <v>227</v>
      </c>
      <c r="H6" s="310">
        <f>SUM(예산!$E$7:$E$8)</f>
        <v>3405260</v>
      </c>
      <c r="I6" s="87"/>
      <c r="J6" s="85"/>
      <c r="K6" s="460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460"/>
      <c r="B7" s="460"/>
      <c r="C7" s="460"/>
      <c r="D7" s="85" t="s">
        <v>252</v>
      </c>
      <c r="E7" s="513">
        <f>예산!G11</f>
        <v>32681439</v>
      </c>
      <c r="F7" s="464"/>
      <c r="G7" s="309" t="s">
        <v>228</v>
      </c>
      <c r="H7" s="310">
        <f>SUM(예산!$E$9:$E$10)</f>
        <v>7119884.9249999998</v>
      </c>
      <c r="I7" s="87"/>
      <c r="J7" s="85"/>
      <c r="K7" s="460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460"/>
      <c r="B8" s="460"/>
      <c r="C8" s="460"/>
      <c r="D8" s="600"/>
      <c r="E8" s="601"/>
      <c r="F8" s="582"/>
      <c r="G8" s="309" t="s">
        <v>229</v>
      </c>
      <c r="H8" s="310">
        <f>SUM(예산!$E$9:$E$11)+1047560</f>
        <v>12836221.925000001</v>
      </c>
      <c r="I8" s="87"/>
      <c r="J8" s="85"/>
      <c r="K8" s="460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460"/>
      <c r="B9" s="460"/>
      <c r="C9" s="460"/>
      <c r="D9" s="458"/>
      <c r="E9" s="478"/>
      <c r="F9" s="602"/>
      <c r="G9" s="309" t="s">
        <v>230</v>
      </c>
      <c r="H9" s="310">
        <f>SUM(예산!$E$9:$E$12)</f>
        <v>15265083.925000001</v>
      </c>
      <c r="I9" s="87"/>
      <c r="J9" s="85"/>
      <c r="K9" s="460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460"/>
      <c r="B10" s="460"/>
      <c r="C10" s="460"/>
      <c r="D10" s="458"/>
      <c r="E10" s="478"/>
      <c r="F10" s="602"/>
      <c r="G10" s="85" t="s">
        <v>231</v>
      </c>
      <c r="H10" s="86">
        <f>SUM(예산!$E$9:$E$12)</f>
        <v>15265083.925000001</v>
      </c>
      <c r="I10" s="87"/>
      <c r="J10" s="85"/>
      <c r="K10" s="460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60"/>
      <c r="B11" s="460"/>
      <c r="C11" s="460"/>
      <c r="D11" s="458"/>
      <c r="E11" s="478"/>
      <c r="F11" s="602"/>
      <c r="G11" s="85" t="s">
        <v>232</v>
      </c>
      <c r="H11" s="86">
        <f>SUM(예산!$E$9:$E$12)</f>
        <v>15265083.925000001</v>
      </c>
      <c r="I11" s="87"/>
      <c r="J11" s="85"/>
      <c r="K11" s="460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60"/>
      <c r="B12" s="460"/>
      <c r="C12" s="460"/>
      <c r="D12" s="458"/>
      <c r="E12" s="478"/>
      <c r="F12" s="602"/>
      <c r="G12" s="85" t="s">
        <v>233</v>
      </c>
      <c r="H12" s="86">
        <f>SUM(예산!$E$9:$E$12)</f>
        <v>15265083.925000001</v>
      </c>
      <c r="I12" s="87"/>
      <c r="J12" s="85"/>
      <c r="K12" s="460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60"/>
      <c r="B13" s="460"/>
      <c r="C13" s="460"/>
      <c r="D13" s="458"/>
      <c r="E13" s="478"/>
      <c r="F13" s="602"/>
      <c r="G13" s="85" t="s">
        <v>378</v>
      </c>
      <c r="H13" s="86">
        <f>SUM(예산!$E$9:$E$12)</f>
        <v>15265083.925000001</v>
      </c>
      <c r="I13" s="87"/>
      <c r="J13" s="85"/>
      <c r="K13" s="460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60"/>
      <c r="B14" s="461"/>
      <c r="C14" s="461"/>
      <c r="D14" s="472"/>
      <c r="E14" s="564"/>
      <c r="F14" s="565"/>
      <c r="G14" s="85" t="s">
        <v>374</v>
      </c>
      <c r="H14" s="86">
        <f>SUM(예산!$E$9:$E$12)</f>
        <v>15265083.925000001</v>
      </c>
      <c r="I14" s="87"/>
      <c r="J14" s="85"/>
      <c r="K14" s="461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60"/>
      <c r="B15" s="524" t="s">
        <v>21</v>
      </c>
      <c r="C15" s="463"/>
      <c r="D15" s="464"/>
      <c r="E15" s="88">
        <f>SUM(E4:E14)</f>
        <v>80671363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60"/>
      <c r="B16" s="85" t="s">
        <v>26</v>
      </c>
      <c r="C16" s="92">
        <f>예산!G19</f>
        <v>93360000</v>
      </c>
      <c r="D16" s="85"/>
      <c r="E16" s="86"/>
      <c r="F16" s="85"/>
      <c r="G16" s="85"/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61"/>
      <c r="B17" s="524" t="s">
        <v>21</v>
      </c>
      <c r="C17" s="463"/>
      <c r="D17" s="464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25" t="s">
        <v>253</v>
      </c>
      <c r="B18" s="463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22"/>
      <c r="J18" s="464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26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309" t="s">
        <v>224</v>
      </c>
      <c r="H19" s="311">
        <f t="shared" ref="H19:H21" si="2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60"/>
      <c r="B20" s="85"/>
      <c r="C20" s="103"/>
      <c r="D20" s="85"/>
      <c r="E20" s="86"/>
      <c r="F20" s="85"/>
      <c r="G20" s="309" t="s">
        <v>225</v>
      </c>
      <c r="H20" s="311">
        <f t="shared" si="2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60"/>
      <c r="B21" s="85"/>
      <c r="C21" s="92"/>
      <c r="D21" s="85"/>
      <c r="E21" s="86"/>
      <c r="F21" s="85"/>
      <c r="G21" s="309" t="s">
        <v>226</v>
      </c>
      <c r="H21" s="311">
        <f t="shared" si="2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60"/>
      <c r="B22" s="85"/>
      <c r="C22" s="92"/>
      <c r="D22" s="85"/>
      <c r="E22" s="86"/>
      <c r="F22" s="85"/>
      <c r="G22" s="309" t="s">
        <v>227</v>
      </c>
      <c r="H22" s="311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60"/>
      <c r="B23" s="85"/>
      <c r="C23" s="92"/>
      <c r="D23" s="85"/>
      <c r="E23" s="86"/>
      <c r="F23" s="85"/>
      <c r="G23" s="309" t="s">
        <v>228</v>
      </c>
      <c r="H23" s="311">
        <f t="shared" ref="H23:H24" si="3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60"/>
      <c r="B24" s="85"/>
      <c r="C24" s="92"/>
      <c r="D24" s="85"/>
      <c r="E24" s="86"/>
      <c r="F24" s="85"/>
      <c r="G24" s="309" t="s">
        <v>229</v>
      </c>
      <c r="H24" s="311">
        <f t="shared" si="3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60"/>
      <c r="B25" s="85"/>
      <c r="C25" s="92"/>
      <c r="D25" s="85"/>
      <c r="E25" s="86"/>
      <c r="F25" s="85"/>
      <c r="G25" s="309" t="s">
        <v>230</v>
      </c>
      <c r="H25" s="311">
        <f>1300000*4+900000*16</f>
        <v>19600000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60"/>
      <c r="B26" s="85"/>
      <c r="C26" s="92"/>
      <c r="D26" s="85"/>
      <c r="E26" s="86"/>
      <c r="F26" s="85"/>
      <c r="G26" s="85" t="s">
        <v>231</v>
      </c>
      <c r="H26" s="104">
        <f>1300000*4+900000*16</f>
        <v>19600000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60"/>
      <c r="B27" s="85"/>
      <c r="C27" s="92"/>
      <c r="D27" s="85"/>
      <c r="E27" s="86"/>
      <c r="F27" s="85"/>
      <c r="G27" s="85" t="s">
        <v>232</v>
      </c>
      <c r="H27" s="104">
        <f>1300000*4+900000*16</f>
        <v>19600000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60"/>
      <c r="B28" s="85"/>
      <c r="C28" s="92"/>
      <c r="D28" s="85"/>
      <c r="E28" s="86"/>
      <c r="F28" s="85"/>
      <c r="G28" s="85" t="s">
        <v>233</v>
      </c>
      <c r="H28" s="104">
        <f>1300000*4+900000*16</f>
        <v>19600000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60"/>
      <c r="B29" s="85"/>
      <c r="C29" s="92"/>
      <c r="D29" s="85"/>
      <c r="E29" s="86"/>
      <c r="F29" s="85"/>
      <c r="G29" s="85" t="s">
        <v>234</v>
      </c>
      <c r="H29" s="104">
        <f>1300000*4+900000*4</f>
        <v>8800000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61"/>
      <c r="B30" s="85"/>
      <c r="C30" s="105"/>
      <c r="D30" s="85"/>
      <c r="E30" s="86"/>
      <c r="F30" s="85"/>
      <c r="G30" s="85" t="s">
        <v>235</v>
      </c>
      <c r="H30" s="104">
        <f>1300000*4+900000*4</f>
        <v>8800000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25" t="s">
        <v>254</v>
      </c>
      <c r="B31" s="463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179000000</v>
      </c>
      <c r="I31" s="522"/>
      <c r="J31" s="464"/>
      <c r="K31" s="102">
        <f>H31/C31</f>
        <v>0.95824411134903642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26" t="s">
        <v>31</v>
      </c>
      <c r="B32" s="520" t="s">
        <v>255</v>
      </c>
      <c r="C32" s="11" t="s">
        <v>46</v>
      </c>
      <c r="D32" s="85"/>
      <c r="E32" s="86">
        <f>예산!G69+예산!G70</f>
        <v>503952190</v>
      </c>
      <c r="F32" s="85"/>
      <c r="G32" s="85" t="s">
        <v>373</v>
      </c>
      <c r="H32" s="104">
        <f>E32</f>
        <v>503952190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60"/>
      <c r="B33" s="460"/>
      <c r="C33" s="11" t="s">
        <v>99</v>
      </c>
      <c r="D33" s="85"/>
      <c r="E33" s="86">
        <f>예산!G71</f>
        <v>29920000</v>
      </c>
      <c r="F33" s="85"/>
      <c r="G33" s="309" t="s">
        <v>372</v>
      </c>
      <c r="H33" s="311">
        <f t="shared" ref="H33:H40" si="4">E33</f>
        <v>29920000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60"/>
      <c r="B34" s="460"/>
      <c r="C34" s="11" t="s">
        <v>101</v>
      </c>
      <c r="D34" s="85"/>
      <c r="E34" s="86">
        <f>예산!G72</f>
        <v>97163000</v>
      </c>
      <c r="F34" s="85"/>
      <c r="G34" s="85" t="s">
        <v>373</v>
      </c>
      <c r="H34" s="104">
        <f t="shared" si="4"/>
        <v>97163000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60"/>
      <c r="B35" s="460"/>
      <c r="C35" s="11" t="s">
        <v>103</v>
      </c>
      <c r="D35" s="85"/>
      <c r="E35" s="86">
        <f>예산!G73</f>
        <v>98474200</v>
      </c>
      <c r="F35" s="85"/>
      <c r="G35" s="85" t="s">
        <v>373</v>
      </c>
      <c r="H35" s="104">
        <f t="shared" si="4"/>
        <v>98474200</v>
      </c>
      <c r="I35" s="87"/>
      <c r="J35" s="85" t="s">
        <v>402</v>
      </c>
      <c r="K35" s="93">
        <f>SUM(H32:H35,H39:H40)/A2</f>
        <v>0.25691360776620215</v>
      </c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73"/>
      <c r="B36" s="473"/>
      <c r="C36" s="11" t="s">
        <v>337</v>
      </c>
      <c r="D36" s="85"/>
      <c r="E36" s="86">
        <v>340000000</v>
      </c>
      <c r="F36" s="85"/>
      <c r="G36" s="85" t="s">
        <v>374</v>
      </c>
      <c r="H36" s="86">
        <v>340000000</v>
      </c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73"/>
      <c r="B37" s="473"/>
      <c r="C37" s="11" t="s">
        <v>336</v>
      </c>
      <c r="D37" s="85"/>
      <c r="E37" s="86">
        <v>85000000</v>
      </c>
      <c r="F37" s="85"/>
      <c r="G37" s="85" t="s">
        <v>378</v>
      </c>
      <c r="H37" s="104">
        <f t="shared" si="4"/>
        <v>85000000</v>
      </c>
      <c r="I37" s="87"/>
      <c r="J37" s="85" t="s">
        <v>403</v>
      </c>
      <c r="K37" s="93">
        <f>SUM(H36:H38)/A2</f>
        <v>0.15829995941009337</v>
      </c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73"/>
      <c r="B38" s="473"/>
      <c r="C38" s="11" t="s">
        <v>375</v>
      </c>
      <c r="D38" s="85"/>
      <c r="E38" s="86">
        <v>42998000</v>
      </c>
      <c r="F38" s="85"/>
      <c r="G38" s="309" t="s">
        <v>380</v>
      </c>
      <c r="H38" s="311">
        <f t="shared" si="4"/>
        <v>42998000</v>
      </c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73"/>
      <c r="B39" s="473"/>
      <c r="C39" s="11" t="s">
        <v>376</v>
      </c>
      <c r="D39" s="85"/>
      <c r="E39" s="86">
        <v>22000000</v>
      </c>
      <c r="F39" s="85"/>
      <c r="G39" s="309" t="s">
        <v>380</v>
      </c>
      <c r="H39" s="311">
        <f t="shared" si="4"/>
        <v>22000000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60"/>
      <c r="B40" s="461"/>
      <c r="C40" s="244" t="s">
        <v>377</v>
      </c>
      <c r="D40" s="85"/>
      <c r="E40" s="86">
        <v>8030000</v>
      </c>
      <c r="F40" s="85"/>
      <c r="G40" s="309" t="s">
        <v>398</v>
      </c>
      <c r="H40" s="311">
        <f t="shared" si="4"/>
        <v>8030000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460"/>
      <c r="B41" s="524" t="s">
        <v>21</v>
      </c>
      <c r="C41" s="463"/>
      <c r="D41" s="464"/>
      <c r="E41" s="88"/>
      <c r="F41" s="94"/>
      <c r="G41" s="89"/>
      <c r="H41" s="88">
        <f>SUM(H32:H40)</f>
        <v>1227537390</v>
      </c>
      <c r="I41" s="90"/>
      <c r="J41" s="89"/>
      <c r="K41" s="91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460"/>
      <c r="B42" s="520" t="s">
        <v>70</v>
      </c>
      <c r="C42" s="29" t="s">
        <v>107</v>
      </c>
      <c r="D42" s="85"/>
      <c r="E42" s="86">
        <f>예산!G87</f>
        <v>0</v>
      </c>
      <c r="F42" s="85"/>
      <c r="G42" s="85" t="s">
        <v>235</v>
      </c>
      <c r="H42" s="86"/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60"/>
      <c r="B43" s="460"/>
      <c r="C43" s="11" t="s">
        <v>112</v>
      </c>
      <c r="D43" s="85"/>
      <c r="E43" s="86">
        <f>예산!G88</f>
        <v>0</v>
      </c>
      <c r="F43" s="85"/>
      <c r="G43" s="85" t="s">
        <v>235</v>
      </c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60"/>
      <c r="B44" s="461"/>
      <c r="C44" s="11" t="s">
        <v>114</v>
      </c>
      <c r="D44" s="85"/>
      <c r="E44" s="86">
        <f>예산!G89</f>
        <v>2000000</v>
      </c>
      <c r="F44" s="85"/>
      <c r="G44" s="85" t="s">
        <v>235</v>
      </c>
      <c r="H44" s="86">
        <f t="shared" ref="H44" si="5">E44</f>
        <v>2000000</v>
      </c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61"/>
      <c r="B45" s="524" t="s">
        <v>21</v>
      </c>
      <c r="C45" s="463"/>
      <c r="D45" s="464"/>
      <c r="E45" s="88"/>
      <c r="F45" s="89"/>
      <c r="G45" s="89"/>
      <c r="H45" s="95">
        <f>SUM(H42:H44)</f>
        <v>2000000</v>
      </c>
      <c r="I45" s="90"/>
      <c r="J45" s="89"/>
      <c r="K45" s="91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 thickBot="1">
      <c r="A46" s="525" t="s">
        <v>256</v>
      </c>
      <c r="B46" s="463"/>
      <c r="C46" s="96">
        <f>예산!G66</f>
        <v>1250357390</v>
      </c>
      <c r="D46" s="97"/>
      <c r="E46" s="98"/>
      <c r="F46" s="99"/>
      <c r="G46" s="100"/>
      <c r="H46" s="101">
        <f>H41+H45</f>
        <v>1229537390</v>
      </c>
      <c r="I46" s="522"/>
      <c r="J46" s="464"/>
      <c r="K46" s="102">
        <f>H46/C46</f>
        <v>0.98334876078910527</v>
      </c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27" t="s">
        <v>72</v>
      </c>
      <c r="B47" s="520" t="s">
        <v>276</v>
      </c>
      <c r="C47" s="103" t="s">
        <v>258</v>
      </c>
      <c r="D47" s="85"/>
      <c r="E47" s="86">
        <f>예산!$G100</f>
        <v>3075509</v>
      </c>
      <c r="F47" s="85"/>
      <c r="G47" s="309" t="s">
        <v>226</v>
      </c>
      <c r="H47" s="310">
        <f>예산!$G100</f>
        <v>3075509</v>
      </c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28"/>
      <c r="B48" s="460"/>
      <c r="C48" s="103" t="s">
        <v>259</v>
      </c>
      <c r="D48" s="85"/>
      <c r="E48" s="86">
        <f>예산!$G104+예산!$G105</f>
        <v>9608500</v>
      </c>
      <c r="F48" s="85"/>
      <c r="G48" s="309" t="s">
        <v>227</v>
      </c>
      <c r="H48" s="310">
        <f>예산!$G104+예산!$G105</f>
        <v>9608500</v>
      </c>
      <c r="I48" s="87"/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8"/>
      <c r="B49" s="460"/>
      <c r="C49" s="92" t="s">
        <v>260</v>
      </c>
      <c r="D49" s="85"/>
      <c r="E49" s="86">
        <f>예산!$G108</f>
        <v>19250000</v>
      </c>
      <c r="F49" s="85"/>
      <c r="G49" s="309" t="s">
        <v>226</v>
      </c>
      <c r="H49" s="310">
        <f>예산!$G108</f>
        <v>19250000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28"/>
      <c r="B50" s="461"/>
      <c r="C50" s="92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28"/>
      <c r="B51" s="539" t="s">
        <v>261</v>
      </c>
      <c r="C51" s="531" t="s">
        <v>262</v>
      </c>
      <c r="D51" s="85"/>
      <c r="E51" s="86">
        <f>예산!$G106-10640000</f>
        <v>24825491</v>
      </c>
      <c r="F51" s="85"/>
      <c r="G51" s="85" t="s">
        <v>232</v>
      </c>
      <c r="H51" s="86">
        <f>E51</f>
        <v>24825491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28"/>
      <c r="B52" s="540"/>
      <c r="C52" s="533"/>
      <c r="D52" s="85"/>
      <c r="E52" s="86">
        <v>10640000</v>
      </c>
      <c r="F52" s="85"/>
      <c r="G52" s="309" t="s">
        <v>372</v>
      </c>
      <c r="H52" s="314">
        <f>E52</f>
        <v>10640000</v>
      </c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28"/>
      <c r="B53" s="540"/>
      <c r="C53" s="542" t="s">
        <v>139</v>
      </c>
      <c r="D53" s="85"/>
      <c r="E53" s="86">
        <f>예산!$G109</f>
        <v>5676000</v>
      </c>
      <c r="F53" s="85"/>
      <c r="G53" s="253" t="s">
        <v>380</v>
      </c>
      <c r="H53" s="264">
        <f>예산!$G109</f>
        <v>5676000</v>
      </c>
      <c r="I53" s="316"/>
      <c r="J53" s="236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28"/>
      <c r="B54" s="540"/>
      <c r="C54" s="543"/>
      <c r="D54" s="235"/>
      <c r="E54" s="86"/>
      <c r="F54" s="85"/>
      <c r="G54" s="253"/>
      <c r="H54" s="264"/>
      <c r="I54" s="282"/>
      <c r="J54" s="237"/>
      <c r="K54" s="315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28"/>
      <c r="B55" s="540"/>
      <c r="C55" s="543"/>
      <c r="D55" s="235"/>
      <c r="E55" s="86"/>
      <c r="F55" s="85"/>
      <c r="G55" s="253"/>
      <c r="H55" s="264"/>
      <c r="I55" s="282"/>
      <c r="J55" s="237"/>
      <c r="K55" s="315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28"/>
      <c r="B56" s="540"/>
      <c r="C56" s="543"/>
      <c r="D56" s="235"/>
      <c r="E56" s="86"/>
      <c r="F56" s="85"/>
      <c r="G56" s="253"/>
      <c r="H56" s="264"/>
      <c r="I56" s="282"/>
      <c r="J56" s="237"/>
      <c r="K56" s="315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28"/>
      <c r="B57" s="540"/>
      <c r="C57" s="543"/>
      <c r="D57" s="235"/>
      <c r="E57" s="86"/>
      <c r="F57" s="85"/>
      <c r="G57" s="253"/>
      <c r="H57" s="264"/>
      <c r="I57" s="282"/>
      <c r="J57" s="237"/>
      <c r="K57" s="315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28"/>
      <c r="B58" s="540"/>
      <c r="C58" s="543"/>
      <c r="D58" s="235"/>
      <c r="E58" s="86"/>
      <c r="F58" s="85"/>
      <c r="G58" s="253"/>
      <c r="H58" s="264"/>
      <c r="I58" s="282"/>
      <c r="J58" s="237"/>
      <c r="K58" s="315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28"/>
      <c r="B59" s="540"/>
      <c r="C59" s="543"/>
      <c r="D59" s="235"/>
      <c r="E59" s="86"/>
      <c r="F59" s="85"/>
      <c r="G59" s="253"/>
      <c r="H59" s="264"/>
      <c r="I59" s="282"/>
      <c r="J59" s="237"/>
      <c r="K59" s="315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28"/>
      <c r="B60" s="540"/>
      <c r="C60" s="543"/>
      <c r="D60" s="235"/>
      <c r="E60" s="86"/>
      <c r="F60" s="85"/>
      <c r="G60" s="253"/>
      <c r="H60" s="264"/>
      <c r="I60" s="282"/>
      <c r="J60" s="237"/>
      <c r="K60" s="315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28"/>
      <c r="B61" s="540"/>
      <c r="C61" s="543"/>
      <c r="D61" s="235"/>
      <c r="E61" s="86"/>
      <c r="F61" s="85"/>
      <c r="G61" s="253"/>
      <c r="H61" s="264"/>
      <c r="I61" s="282"/>
      <c r="J61" s="237"/>
      <c r="K61" s="315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28"/>
      <c r="B62" s="540"/>
      <c r="C62" s="543"/>
      <c r="D62" s="235"/>
      <c r="E62" s="86"/>
      <c r="F62" s="85"/>
      <c r="G62" s="253"/>
      <c r="H62" s="264"/>
      <c r="I62" s="282"/>
      <c r="J62" s="237"/>
      <c r="K62" s="315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28"/>
      <c r="B63" s="540"/>
      <c r="C63" s="543"/>
      <c r="D63" s="235"/>
      <c r="E63" s="86"/>
      <c r="F63" s="85"/>
      <c r="G63" s="253"/>
      <c r="H63" s="264"/>
      <c r="I63" s="282"/>
      <c r="J63" s="237"/>
      <c r="K63" s="315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28"/>
      <c r="B64" s="540"/>
      <c r="C64" s="543"/>
      <c r="D64" s="235"/>
      <c r="E64" s="86"/>
      <c r="F64" s="85"/>
      <c r="G64" s="253"/>
      <c r="H64" s="264"/>
      <c r="I64" s="282"/>
      <c r="J64" s="237"/>
      <c r="K64" s="315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 thickBot="1">
      <c r="A65" s="529"/>
      <c r="B65" s="541"/>
      <c r="C65" s="544"/>
      <c r="D65" s="235"/>
      <c r="E65" s="86"/>
      <c r="F65" s="85"/>
      <c r="G65" s="253"/>
      <c r="H65" s="264"/>
      <c r="I65" s="282"/>
      <c r="J65" s="237"/>
      <c r="K65" s="315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 thickBot="1">
      <c r="A66" s="525" t="s">
        <v>263</v>
      </c>
      <c r="B66" s="463"/>
      <c r="C66" s="96">
        <f>예산!G97</f>
        <v>108039500</v>
      </c>
      <c r="D66" s="97"/>
      <c r="E66" s="98"/>
      <c r="F66" s="99"/>
      <c r="G66" s="100"/>
      <c r="H66" s="276">
        <f>SUM(H47:H53)</f>
        <v>73075500</v>
      </c>
      <c r="I66" s="536"/>
      <c r="J66" s="467"/>
      <c r="K66" s="102">
        <f>H66/C66</f>
        <v>0.67637762114782096</v>
      </c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26" t="s">
        <v>84</v>
      </c>
      <c r="B67" s="530" t="s">
        <v>264</v>
      </c>
      <c r="C67" s="103" t="s">
        <v>265</v>
      </c>
      <c r="D67" s="85" t="s">
        <v>266</v>
      </c>
      <c r="E67" s="86">
        <v>5500000</v>
      </c>
      <c r="F67" s="85"/>
      <c r="G67" s="309" t="s">
        <v>226</v>
      </c>
      <c r="H67" s="311">
        <f>E67</f>
        <v>5500000</v>
      </c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60"/>
      <c r="B68" s="521"/>
      <c r="C68" s="531" t="s">
        <v>369</v>
      </c>
      <c r="D68" s="85" t="s">
        <v>370</v>
      </c>
      <c r="E68" s="86">
        <v>5000000</v>
      </c>
      <c r="F68" s="85"/>
      <c r="G68" s="309" t="s">
        <v>372</v>
      </c>
      <c r="H68" s="311">
        <f>E68</f>
        <v>5000000</v>
      </c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60"/>
      <c r="B69" s="521"/>
      <c r="C69" s="532"/>
      <c r="D69" s="85" t="s">
        <v>394</v>
      </c>
      <c r="E69" s="86">
        <v>5000000</v>
      </c>
      <c r="F69" s="85"/>
      <c r="G69" s="309" t="s">
        <v>372</v>
      </c>
      <c r="H69" s="311">
        <f>E69</f>
        <v>5000000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60"/>
      <c r="B70" s="521"/>
      <c r="C70" s="532"/>
      <c r="D70" s="85" t="s">
        <v>371</v>
      </c>
      <c r="E70" s="86">
        <v>800000</v>
      </c>
      <c r="F70" s="85"/>
      <c r="G70" s="309" t="s">
        <v>372</v>
      </c>
      <c r="H70" s="311">
        <f>E70</f>
        <v>800000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73"/>
      <c r="B71" s="521"/>
      <c r="C71" s="532"/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73"/>
      <c r="B72" s="521"/>
      <c r="C72" s="532"/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3"/>
      <c r="B73" s="521"/>
      <c r="C73" s="532"/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3"/>
      <c r="B74" s="521"/>
      <c r="C74" s="533"/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3"/>
      <c r="B75" s="521"/>
      <c r="C75" s="531" t="s">
        <v>381</v>
      </c>
      <c r="D75" s="85" t="s">
        <v>383</v>
      </c>
      <c r="E75" s="86">
        <v>3300000</v>
      </c>
      <c r="F75" s="85"/>
      <c r="G75" s="309" t="s">
        <v>372</v>
      </c>
      <c r="H75" s="312">
        <f t="shared" ref="H75:H81" si="6">E75</f>
        <v>3300000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3"/>
      <c r="B76" s="521"/>
      <c r="C76" s="532"/>
      <c r="D76" s="85" t="s">
        <v>367</v>
      </c>
      <c r="E76" s="86">
        <v>3300000</v>
      </c>
      <c r="F76" s="85"/>
      <c r="G76" s="309" t="s">
        <v>372</v>
      </c>
      <c r="H76" s="312">
        <f t="shared" si="6"/>
        <v>3300000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3"/>
      <c r="B77" s="521"/>
      <c r="C77" s="532"/>
      <c r="D77" s="85" t="s">
        <v>384</v>
      </c>
      <c r="E77" s="86">
        <v>800000</v>
      </c>
      <c r="F77" s="85"/>
      <c r="G77" s="309" t="s">
        <v>372</v>
      </c>
      <c r="H77" s="312">
        <f t="shared" si="6"/>
        <v>800000</v>
      </c>
      <c r="I77" s="87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3"/>
      <c r="B78" s="521"/>
      <c r="C78" s="532"/>
      <c r="D78" s="85" t="s">
        <v>385</v>
      </c>
      <c r="E78" s="86">
        <v>2300000</v>
      </c>
      <c r="F78" s="85"/>
      <c r="G78" s="309" t="s">
        <v>372</v>
      </c>
      <c r="H78" s="312">
        <f t="shared" si="6"/>
        <v>2300000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3"/>
      <c r="B79" s="521"/>
      <c r="C79" s="533"/>
      <c r="D79" s="85" t="s">
        <v>386</v>
      </c>
      <c r="E79" s="86">
        <v>2300000</v>
      </c>
      <c r="F79" s="85"/>
      <c r="G79" s="309" t="s">
        <v>372</v>
      </c>
      <c r="H79" s="312">
        <f t="shared" si="6"/>
        <v>2300000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3"/>
      <c r="B80" s="555" t="s">
        <v>416</v>
      </c>
      <c r="C80" s="92" t="s">
        <v>417</v>
      </c>
      <c r="D80" s="85" t="s">
        <v>419</v>
      </c>
      <c r="E80" s="86">
        <v>14000000</v>
      </c>
      <c r="F80" s="85"/>
      <c r="G80" s="85" t="s">
        <v>373</v>
      </c>
      <c r="H80" s="245">
        <f t="shared" si="6"/>
        <v>14000000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3"/>
      <c r="B81" s="555"/>
      <c r="C81" s="92" t="s">
        <v>418</v>
      </c>
      <c r="D81" s="85" t="s">
        <v>420</v>
      </c>
      <c r="E81" s="86">
        <v>67000000</v>
      </c>
      <c r="F81" s="85"/>
      <c r="G81" s="85" t="s">
        <v>373</v>
      </c>
      <c r="H81" s="245">
        <f t="shared" si="6"/>
        <v>67000000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3"/>
      <c r="B82" s="555"/>
      <c r="C82" s="92"/>
      <c r="D82" s="85"/>
      <c r="E82" s="86"/>
      <c r="F82" s="85"/>
      <c r="G82" s="85"/>
      <c r="H82" s="245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60"/>
      <c r="B83" s="250"/>
      <c r="C83" s="92" t="s">
        <v>395</v>
      </c>
      <c r="D83" s="85" t="s">
        <v>396</v>
      </c>
      <c r="E83" s="86">
        <v>1000000</v>
      </c>
      <c r="F83" s="85"/>
      <c r="G83" s="309" t="s">
        <v>397</v>
      </c>
      <c r="H83" s="312">
        <f>E83</f>
        <v>1000000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3"/>
      <c r="B84" s="243"/>
      <c r="C84" s="531" t="s">
        <v>399</v>
      </c>
      <c r="D84" s="85" t="s">
        <v>423</v>
      </c>
      <c r="E84" s="86">
        <v>1000000</v>
      </c>
      <c r="F84" s="85"/>
      <c r="G84" s="309" t="s">
        <v>398</v>
      </c>
      <c r="H84" s="312">
        <f>E84</f>
        <v>1000000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3"/>
      <c r="B85" s="243"/>
      <c r="C85" s="532"/>
      <c r="D85" s="85" t="s">
        <v>424</v>
      </c>
      <c r="E85" s="86">
        <v>1000000</v>
      </c>
      <c r="F85" s="85"/>
      <c r="G85" s="309" t="s">
        <v>398</v>
      </c>
      <c r="H85" s="312">
        <f>E85</f>
        <v>1000000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3"/>
      <c r="B86" s="243"/>
      <c r="C86" s="532"/>
      <c r="D86" s="85">
        <v>3</v>
      </c>
      <c r="E86" s="86">
        <v>2000000</v>
      </c>
      <c r="F86" s="85"/>
      <c r="G86" s="85"/>
      <c r="H86" s="245"/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3"/>
      <c r="B87" s="243"/>
      <c r="C87" s="532"/>
      <c r="D87" s="85"/>
      <c r="E87" s="86">
        <v>2000000</v>
      </c>
      <c r="F87" s="85"/>
      <c r="G87" s="85"/>
      <c r="H87" s="245"/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3"/>
      <c r="B88" s="243"/>
      <c r="C88" s="532"/>
      <c r="D88" s="85"/>
      <c r="E88" s="86">
        <v>2000000</v>
      </c>
      <c r="F88" s="85"/>
      <c r="G88" s="85"/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3"/>
      <c r="B89" s="243"/>
      <c r="C89" s="533"/>
      <c r="D89" s="85"/>
      <c r="E89" s="86"/>
      <c r="F89" s="85"/>
      <c r="G89" s="85"/>
      <c r="H89" s="245"/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60"/>
      <c r="B90" s="520" t="s">
        <v>267</v>
      </c>
      <c r="C90" s="92"/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60"/>
      <c r="B91" s="460"/>
      <c r="C91" s="92"/>
      <c r="D91" s="85">
        <v>2</v>
      </c>
      <c r="E91" s="86">
        <v>5000000</v>
      </c>
      <c r="F91" s="85"/>
      <c r="G91" s="85"/>
      <c r="H91" s="86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60"/>
      <c r="B92" s="460"/>
      <c r="C92" s="92"/>
      <c r="D92" s="85">
        <v>3</v>
      </c>
      <c r="E92" s="86">
        <v>2500000</v>
      </c>
      <c r="F92" s="85"/>
      <c r="G92" s="85"/>
      <c r="H92" s="86"/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60"/>
      <c r="B93" s="460"/>
      <c r="C93" s="92"/>
      <c r="D93" s="85">
        <v>4</v>
      </c>
      <c r="E93" s="86">
        <v>7500000</v>
      </c>
      <c r="F93" s="85"/>
      <c r="G93" s="85"/>
      <c r="H93" s="86"/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60"/>
      <c r="B94" s="461"/>
      <c r="C94" s="92"/>
      <c r="D94" s="85"/>
      <c r="E94" s="86"/>
      <c r="F94" s="85"/>
      <c r="G94" s="85"/>
      <c r="H94" s="86"/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60"/>
      <c r="B95" s="520" t="s">
        <v>144</v>
      </c>
      <c r="C95" s="92" t="s">
        <v>366</v>
      </c>
      <c r="D95" s="85" t="s">
        <v>367</v>
      </c>
      <c r="E95" s="86">
        <v>1000000</v>
      </c>
      <c r="F95" s="85"/>
      <c r="G95" s="309" t="s">
        <v>368</v>
      </c>
      <c r="H95" s="312">
        <f t="shared" ref="H95:H97" si="7">E95</f>
        <v>1000000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60"/>
      <c r="B96" s="460"/>
      <c r="C96" s="92"/>
      <c r="D96" s="85" t="s">
        <v>384</v>
      </c>
      <c r="E96" s="86">
        <v>1800000</v>
      </c>
      <c r="F96" s="85"/>
      <c r="G96" s="309" t="s">
        <v>380</v>
      </c>
      <c r="H96" s="310">
        <f t="shared" si="7"/>
        <v>1800000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60"/>
      <c r="B97" s="460"/>
      <c r="C97" s="92"/>
      <c r="D97" s="85" t="s">
        <v>425</v>
      </c>
      <c r="E97" s="86">
        <v>2000000</v>
      </c>
      <c r="F97" s="85"/>
      <c r="G97" s="85" t="s">
        <v>373</v>
      </c>
      <c r="H97" s="86">
        <f t="shared" si="7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60"/>
      <c r="B98" s="461"/>
      <c r="C98" s="92"/>
      <c r="D98" s="85">
        <v>3</v>
      </c>
      <c r="E98" s="86">
        <v>1000000</v>
      </c>
      <c r="F98" s="85"/>
      <c r="G98" s="85"/>
      <c r="H98" s="86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60"/>
      <c r="B99" s="520" t="s">
        <v>268</v>
      </c>
      <c r="C99" s="92" t="s">
        <v>277</v>
      </c>
      <c r="D99" s="85" t="s">
        <v>278</v>
      </c>
      <c r="E99" s="86">
        <f>10000000*13+5000000*5+15000000*2</f>
        <v>185000000</v>
      </c>
      <c r="F99" s="85"/>
      <c r="G99" s="309" t="s">
        <v>372</v>
      </c>
      <c r="H99" s="310">
        <f>E99</f>
        <v>185000000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60"/>
      <c r="B100" s="460"/>
      <c r="C100" s="92" t="s">
        <v>279</v>
      </c>
      <c r="D100" s="85" t="s">
        <v>280</v>
      </c>
      <c r="E100" s="86">
        <f>8000000*41</f>
        <v>328000000</v>
      </c>
      <c r="F100" s="85"/>
      <c r="G100" s="85" t="s">
        <v>235</v>
      </c>
      <c r="H100" s="86">
        <f>예산!G140-'3차년도 사업비 소진현황 (지출)'!H99</f>
        <v>303000000</v>
      </c>
      <c r="I100" s="87"/>
      <c r="J100" s="85"/>
      <c r="K100" s="93">
        <f>H100/A2</f>
        <v>0.10248951427411716</v>
      </c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60"/>
      <c r="B101" s="460"/>
      <c r="C101" s="92"/>
      <c r="D101" s="85"/>
      <c r="E101" s="86"/>
      <c r="F101" s="85"/>
      <c r="G101" s="85"/>
      <c r="H101" s="86"/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60"/>
      <c r="B102" s="460"/>
      <c r="C102" s="92"/>
      <c r="D102" s="85"/>
      <c r="E102" s="86"/>
      <c r="F102" s="85"/>
      <c r="G102" s="85"/>
      <c r="H102" s="86"/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60"/>
      <c r="B103" s="460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60"/>
      <c r="B104" s="461"/>
      <c r="C104" s="92"/>
      <c r="D104" s="85"/>
      <c r="E104" s="86"/>
      <c r="F104" s="85"/>
      <c r="G104" s="85"/>
      <c r="H104" s="86"/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60"/>
      <c r="B105" s="524" t="s">
        <v>21</v>
      </c>
      <c r="C105" s="463"/>
      <c r="D105" s="464"/>
      <c r="E105" s="88">
        <f>예산!G141</f>
        <v>683000000</v>
      </c>
      <c r="F105" s="94">
        <f>E105-215300000</f>
        <v>467700000</v>
      </c>
      <c r="G105" s="89"/>
      <c r="H105" s="88">
        <f>SUM(H67:H104)</f>
        <v>605100000</v>
      </c>
      <c r="I105" s="90"/>
      <c r="J105" s="89"/>
      <c r="K105" s="91">
        <f>H105/E105</f>
        <v>0.88594436310395319</v>
      </c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60"/>
      <c r="B106" s="85" t="s">
        <v>94</v>
      </c>
      <c r="C106" s="11" t="s">
        <v>164</v>
      </c>
      <c r="D106" s="85"/>
      <c r="E106" s="86">
        <f>예산!$G145</f>
        <v>0</v>
      </c>
      <c r="F106" s="85"/>
      <c r="G106" s="85" t="s">
        <v>235</v>
      </c>
      <c r="H106" s="86">
        <f>예산!$G145</f>
        <v>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60"/>
      <c r="B107" s="85"/>
      <c r="C107" s="11" t="s">
        <v>166</v>
      </c>
      <c r="D107" s="85"/>
      <c r="E107" s="86">
        <f>예산!$G146</f>
        <v>0</v>
      </c>
      <c r="F107" s="85"/>
      <c r="G107" s="85" t="s">
        <v>235</v>
      </c>
      <c r="H107" s="86">
        <f>예산!$G146</f>
        <v>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60"/>
      <c r="B108" s="85"/>
      <c r="C108" s="11" t="s">
        <v>170</v>
      </c>
      <c r="D108" s="85"/>
      <c r="E108" s="86">
        <f>예산!$G147</f>
        <v>672872</v>
      </c>
      <c r="F108" s="85"/>
      <c r="G108" s="309" t="s">
        <v>226</v>
      </c>
      <c r="H108" s="310">
        <f>예산!$G147</f>
        <v>672872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60"/>
      <c r="B109" s="85"/>
      <c r="C109" s="11" t="s">
        <v>171</v>
      </c>
      <c r="D109" s="85"/>
      <c r="E109" s="86">
        <f>예산!$G148</f>
        <v>672872</v>
      </c>
      <c r="F109" s="85"/>
      <c r="G109" s="309" t="s">
        <v>226</v>
      </c>
      <c r="H109" s="310">
        <f>예산!$G148</f>
        <v>672872</v>
      </c>
      <c r="I109" s="87"/>
      <c r="J109" s="85"/>
      <c r="K109" s="93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60"/>
      <c r="B110" s="85"/>
      <c r="C110" s="11" t="s">
        <v>387</v>
      </c>
      <c r="D110" s="85"/>
      <c r="E110" s="86">
        <f>예산!$G149</f>
        <v>511595</v>
      </c>
      <c r="F110" s="85"/>
      <c r="G110" s="85" t="s">
        <v>373</v>
      </c>
      <c r="H110" s="86">
        <f>예산!$G149</f>
        <v>511595</v>
      </c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60"/>
      <c r="B111" s="85"/>
      <c r="C111" s="11" t="s">
        <v>388</v>
      </c>
      <c r="D111" s="85"/>
      <c r="E111" s="86">
        <f>예산!$G150</f>
        <v>511595</v>
      </c>
      <c r="F111" s="85"/>
      <c r="G111" s="85" t="s">
        <v>373</v>
      </c>
      <c r="H111" s="86">
        <f>예산!$G150</f>
        <v>511595</v>
      </c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60"/>
      <c r="B112" s="85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60"/>
      <c r="B113" s="85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60"/>
      <c r="B114" s="524" t="s">
        <v>21</v>
      </c>
      <c r="C114" s="463"/>
      <c r="D114" s="464"/>
      <c r="E114" s="88">
        <f>예산!G154</f>
        <v>2930468</v>
      </c>
      <c r="F114" s="94"/>
      <c r="G114" s="89"/>
      <c r="H114" s="88">
        <f>SUM(H106:H113)</f>
        <v>2368934</v>
      </c>
      <c r="I114" s="90"/>
      <c r="J114" s="89"/>
      <c r="K114" s="91">
        <f>H114/E114</f>
        <v>0.80838077740483771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60"/>
      <c r="B115" s="85" t="s">
        <v>178</v>
      </c>
      <c r="C115" s="92"/>
      <c r="D115" s="85"/>
      <c r="E115" s="86">
        <f>예산!$G158</f>
        <v>0</v>
      </c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60"/>
      <c r="B116" s="524" t="s">
        <v>21</v>
      </c>
      <c r="C116" s="463"/>
      <c r="D116" s="464"/>
      <c r="E116" s="88">
        <f>예산!G160</f>
        <v>1174100</v>
      </c>
      <c r="F116" s="94"/>
      <c r="G116" s="89"/>
      <c r="H116" s="88">
        <f>H115</f>
        <v>0</v>
      </c>
      <c r="I116" s="90"/>
      <c r="J116" s="89"/>
      <c r="K116" s="91">
        <f>H116/E116</f>
        <v>0</v>
      </c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60"/>
      <c r="B117" s="85" t="s">
        <v>269</v>
      </c>
      <c r="C117" s="11" t="s">
        <v>187</v>
      </c>
      <c r="D117" s="85"/>
      <c r="E117" s="86">
        <f>예산!$G165</f>
        <v>230000</v>
      </c>
      <c r="F117" s="85"/>
      <c r="G117" s="309" t="s">
        <v>226</v>
      </c>
      <c r="H117" s="310">
        <f>E117</f>
        <v>230000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60"/>
      <c r="B118" s="85"/>
      <c r="C118" s="12" t="s">
        <v>188</v>
      </c>
      <c r="D118" s="85"/>
      <c r="E118" s="86">
        <f>예산!$G167</f>
        <v>230000</v>
      </c>
      <c r="F118" s="85"/>
      <c r="G118" s="309" t="s">
        <v>226</v>
      </c>
      <c r="H118" s="310">
        <f t="shared" ref="H118:H124" si="8">E118</f>
        <v>230000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60"/>
      <c r="B119" s="85"/>
      <c r="C119" s="12" t="s">
        <v>189</v>
      </c>
      <c r="D119" s="85"/>
      <c r="E119" s="86">
        <f>예산!$G170</f>
        <v>11057430</v>
      </c>
      <c r="F119" s="85"/>
      <c r="G119" s="309" t="s">
        <v>226</v>
      </c>
      <c r="H119" s="310">
        <f t="shared" si="8"/>
        <v>11057430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60"/>
      <c r="B120" s="85"/>
      <c r="C120" s="12" t="s">
        <v>415</v>
      </c>
      <c r="D120" s="85"/>
      <c r="E120" s="86">
        <f>예산!$G171</f>
        <v>9696685</v>
      </c>
      <c r="F120" s="85"/>
      <c r="G120" s="85" t="s">
        <v>379</v>
      </c>
      <c r="H120" s="86">
        <f t="shared" si="8"/>
        <v>9696685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60"/>
      <c r="B121" s="85"/>
      <c r="C121" s="12" t="s">
        <v>190</v>
      </c>
      <c r="D121" s="85"/>
      <c r="E121" s="86">
        <f>예산!$G172</f>
        <v>2800000</v>
      </c>
      <c r="F121" s="85"/>
      <c r="G121" s="309" t="s">
        <v>226</v>
      </c>
      <c r="H121" s="310">
        <f t="shared" si="8"/>
        <v>2800000</v>
      </c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60"/>
      <c r="B122" s="85"/>
      <c r="C122" s="12" t="s">
        <v>412</v>
      </c>
      <c r="D122" s="85"/>
      <c r="E122" s="120">
        <f>예산!$G173</f>
        <v>8750000</v>
      </c>
      <c r="F122" s="85"/>
      <c r="G122" s="85" t="s">
        <v>373</v>
      </c>
      <c r="H122" s="86">
        <f t="shared" si="8"/>
        <v>8750000</v>
      </c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73"/>
      <c r="B123" s="85"/>
      <c r="C123" s="11" t="s">
        <v>414</v>
      </c>
      <c r="D123" s="85"/>
      <c r="E123" s="120">
        <f>예산!F169</f>
        <v>700000</v>
      </c>
      <c r="F123" s="85"/>
      <c r="G123" s="85" t="s">
        <v>373</v>
      </c>
      <c r="H123" s="86">
        <f t="shared" si="8"/>
        <v>700000</v>
      </c>
      <c r="I123" s="87"/>
      <c r="J123" s="85"/>
      <c r="K123" s="93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73"/>
      <c r="B124" s="85"/>
      <c r="C124" s="11" t="s">
        <v>413</v>
      </c>
      <c r="D124" s="85"/>
      <c r="E124" s="120">
        <f>예산!F168</f>
        <v>990000</v>
      </c>
      <c r="F124" s="85"/>
      <c r="G124" s="85" t="s">
        <v>373</v>
      </c>
      <c r="H124" s="86">
        <f t="shared" si="8"/>
        <v>990000</v>
      </c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73"/>
      <c r="B125" s="85"/>
      <c r="F125" s="85"/>
      <c r="G125" s="85"/>
      <c r="H125" s="120"/>
      <c r="I125" s="87"/>
      <c r="J125" s="85" t="s">
        <v>404</v>
      </c>
      <c r="K125" s="93">
        <f>SUM(H117:H119,H121:H124,H108:H109,H129)/A2</f>
        <v>9.0039148964957388E-3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60"/>
      <c r="B126" s="85"/>
      <c r="C126" s="11" t="s">
        <v>193</v>
      </c>
      <c r="D126" s="85"/>
      <c r="E126" s="120">
        <f>예산!$G181</f>
        <v>20000000</v>
      </c>
      <c r="F126" s="85"/>
      <c r="G126" s="85" t="s">
        <v>234</v>
      </c>
      <c r="H126" s="120">
        <f>E126</f>
        <v>20000000</v>
      </c>
      <c r="I126" s="87"/>
      <c r="J126" s="86">
        <f>SUM(H117:H119,H121:H124,H108:H109,H129)</f>
        <v>26619174</v>
      </c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60"/>
      <c r="B127" s="85"/>
      <c r="C127" s="14" t="s">
        <v>194</v>
      </c>
      <c r="D127" s="85"/>
      <c r="E127" s="120">
        <f>예산!$G182</f>
        <v>0</v>
      </c>
      <c r="F127" s="85"/>
      <c r="G127" s="85"/>
      <c r="H127" s="120"/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60"/>
      <c r="B128" s="85"/>
      <c r="C128" s="11" t="s">
        <v>196</v>
      </c>
      <c r="D128" s="85"/>
      <c r="E128" s="120">
        <f>예산!$G184</f>
        <v>10000000</v>
      </c>
      <c r="F128" s="85"/>
      <c r="G128" s="85" t="s">
        <v>234</v>
      </c>
      <c r="H128" s="120">
        <f t="shared" ref="H128:H129" si="9">E128</f>
        <v>10000000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60"/>
      <c r="B129" s="85"/>
      <c r="C129" s="92" t="s">
        <v>390</v>
      </c>
      <c r="D129" s="85"/>
      <c r="E129" s="86">
        <f>예산!G183</f>
        <v>516000</v>
      </c>
      <c r="F129" s="85"/>
      <c r="G129" s="309" t="s">
        <v>368</v>
      </c>
      <c r="H129" s="313">
        <f t="shared" si="9"/>
        <v>516000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60"/>
      <c r="C130" s="216" t="s">
        <v>407</v>
      </c>
      <c r="D130" s="31"/>
      <c r="E130">
        <v>20000000</v>
      </c>
      <c r="G130" s="11" t="s">
        <v>373</v>
      </c>
      <c r="H130">
        <v>20000000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73"/>
      <c r="C131" s="216" t="s">
        <v>421</v>
      </c>
      <c r="D131" s="31"/>
      <c r="E131">
        <v>6734000</v>
      </c>
      <c r="G131" s="11" t="s">
        <v>373</v>
      </c>
      <c r="H131">
        <v>6734000</v>
      </c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60"/>
      <c r="B132" s="604" t="s">
        <v>21</v>
      </c>
      <c r="C132" s="605"/>
      <c r="D132" s="606"/>
      <c r="E132" s="88">
        <f>예산!G186</f>
        <v>85728526</v>
      </c>
      <c r="F132" s="94"/>
      <c r="G132" s="89"/>
      <c r="H132" s="88">
        <f>SUM(H117:H130)</f>
        <v>84970115</v>
      </c>
      <c r="I132" s="90"/>
      <c r="J132" s="89"/>
      <c r="K132" s="91">
        <f>H132/E132</f>
        <v>0.99115334142103406</v>
      </c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60"/>
      <c r="B133" s="85" t="s">
        <v>116</v>
      </c>
      <c r="C133" s="11" t="s">
        <v>118</v>
      </c>
      <c r="D133" s="85"/>
      <c r="E133" s="86">
        <f>예산!$G190</f>
        <v>805000</v>
      </c>
      <c r="F133" s="85"/>
      <c r="G133" s="85" t="s">
        <v>379</v>
      </c>
      <c r="H133" s="86">
        <f>예산!$G190</f>
        <v>805000</v>
      </c>
      <c r="I133" s="87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60"/>
      <c r="B134" s="85"/>
      <c r="C134" s="11" t="s">
        <v>119</v>
      </c>
      <c r="D134" s="85"/>
      <c r="E134" s="86">
        <f>예산!$G191</f>
        <v>100000</v>
      </c>
      <c r="F134" s="85"/>
      <c r="G134" s="85" t="s">
        <v>379</v>
      </c>
      <c r="H134" s="86">
        <f>예산!$G191</f>
        <v>100000</v>
      </c>
      <c r="I134" s="87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60"/>
      <c r="B135" s="85"/>
      <c r="C135" s="26" t="s">
        <v>120</v>
      </c>
      <c r="D135" s="85"/>
      <c r="E135" s="86"/>
      <c r="F135" s="85"/>
      <c r="G135" s="85"/>
      <c r="H135" s="86"/>
      <c r="I135" s="87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60"/>
      <c r="B136" s="85"/>
      <c r="C136" s="92"/>
      <c r="D136" s="85"/>
      <c r="E136" s="86"/>
      <c r="F136" s="85"/>
      <c r="G136" s="85"/>
      <c r="H136" s="86"/>
      <c r="I136" s="87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60"/>
      <c r="B137" s="85"/>
      <c r="C137" s="92"/>
      <c r="D137" s="85"/>
      <c r="E137" s="86"/>
      <c r="F137" s="85"/>
      <c r="G137" s="85"/>
      <c r="H137" s="86"/>
      <c r="I137" s="87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60"/>
      <c r="B138" s="524" t="s">
        <v>21</v>
      </c>
      <c r="C138" s="463"/>
      <c r="D138" s="464"/>
      <c r="E138" s="88">
        <f>예산!G197</f>
        <v>1524100</v>
      </c>
      <c r="F138" s="94"/>
      <c r="G138" s="89"/>
      <c r="H138" s="88">
        <f>SUM(H133:H137)</f>
        <v>905000</v>
      </c>
      <c r="I138" s="90"/>
      <c r="J138" s="89"/>
      <c r="K138" s="91">
        <f>H138/E138</f>
        <v>0.59379305819828099</v>
      </c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60"/>
      <c r="B139" s="85" t="s">
        <v>197</v>
      </c>
      <c r="C139" s="92"/>
      <c r="D139" s="85"/>
      <c r="E139" s="86">
        <f>예산!$G201</f>
        <v>150000</v>
      </c>
      <c r="F139" s="85"/>
      <c r="G139" s="85"/>
      <c r="H139" s="86"/>
      <c r="I139" s="87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60"/>
      <c r="B140" s="524" t="s">
        <v>21</v>
      </c>
      <c r="C140" s="463"/>
      <c r="D140" s="464"/>
      <c r="E140" s="88">
        <f>E139</f>
        <v>150000</v>
      </c>
      <c r="F140" s="94"/>
      <c r="G140" s="89"/>
      <c r="H140" s="88">
        <f>H139</f>
        <v>0</v>
      </c>
      <c r="I140" s="90"/>
      <c r="J140" s="89"/>
      <c r="K140" s="91">
        <f>H140/E140</f>
        <v>0</v>
      </c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60"/>
      <c r="B141" s="85" t="s">
        <v>121</v>
      </c>
      <c r="C141" s="11" t="s">
        <v>124</v>
      </c>
      <c r="D141" s="11" t="s">
        <v>198</v>
      </c>
      <c r="E141" s="86">
        <f>예산!$G206</f>
        <v>900000</v>
      </c>
      <c r="F141" s="85"/>
      <c r="G141" s="85" t="s">
        <v>374</v>
      </c>
      <c r="H141" s="86">
        <f>예산!$G206</f>
        <v>900000</v>
      </c>
      <c r="I141" s="87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60"/>
      <c r="B142" s="85"/>
      <c r="C142" s="11" t="s">
        <v>199</v>
      </c>
      <c r="D142" s="11" t="s">
        <v>200</v>
      </c>
      <c r="E142" s="86">
        <f>예산!$G207</f>
        <v>100000</v>
      </c>
      <c r="F142" s="85"/>
      <c r="G142" s="85" t="s">
        <v>373</v>
      </c>
      <c r="H142" s="86">
        <f>예산!$G207</f>
        <v>100000</v>
      </c>
      <c r="I142" s="87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60"/>
      <c r="B143" s="85"/>
      <c r="C143" s="11" t="s">
        <v>201</v>
      </c>
      <c r="D143" s="11" t="s">
        <v>202</v>
      </c>
      <c r="E143" s="86">
        <f>예산!$G208</f>
        <v>8829000</v>
      </c>
      <c r="F143" s="85"/>
      <c r="G143" s="85" t="s">
        <v>373</v>
      </c>
      <c r="H143" s="86">
        <f>예산!$G208</f>
        <v>8829000</v>
      </c>
      <c r="I143" s="87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60"/>
      <c r="B144" s="85"/>
      <c r="C144" s="11" t="s">
        <v>203</v>
      </c>
      <c r="D144" s="11" t="s">
        <v>204</v>
      </c>
      <c r="E144" s="86">
        <f>예산!$G209</f>
        <v>1830000</v>
      </c>
      <c r="F144" s="85"/>
      <c r="G144" s="85" t="s">
        <v>374</v>
      </c>
      <c r="H144" s="86">
        <f>예산!$G209</f>
        <v>1830000</v>
      </c>
      <c r="I144" s="87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60"/>
      <c r="B145" s="85"/>
      <c r="C145" s="92"/>
      <c r="D145" s="85"/>
      <c r="E145" s="86"/>
      <c r="F145" s="85"/>
      <c r="G145" s="85"/>
      <c r="H145" s="86"/>
      <c r="I145" s="87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60"/>
      <c r="B146" s="85"/>
      <c r="C146" s="92"/>
      <c r="D146" s="85"/>
      <c r="E146" s="86"/>
      <c r="F146" s="85"/>
      <c r="G146" s="85"/>
      <c r="H146" s="86"/>
      <c r="I146" s="87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60"/>
      <c r="B147" s="85"/>
      <c r="C147" s="92"/>
      <c r="D147" s="85"/>
      <c r="E147" s="86"/>
      <c r="F147" s="85"/>
      <c r="G147" s="85"/>
      <c r="H147" s="86"/>
      <c r="I147" s="87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60"/>
      <c r="B148" s="85"/>
      <c r="C148" s="92"/>
      <c r="D148" s="85"/>
      <c r="E148" s="86"/>
      <c r="F148" s="85"/>
      <c r="G148" s="85"/>
      <c r="H148" s="86"/>
      <c r="I148" s="87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60"/>
      <c r="B149" s="524" t="s">
        <v>21</v>
      </c>
      <c r="C149" s="463"/>
      <c r="D149" s="464"/>
      <c r="E149" s="88">
        <f>예산!G210</f>
        <v>11659000</v>
      </c>
      <c r="F149" s="94"/>
      <c r="G149" s="89"/>
      <c r="H149" s="88">
        <f>SUM(H141:H148)</f>
        <v>11659000</v>
      </c>
      <c r="I149" s="90"/>
      <c r="J149" s="89"/>
      <c r="K149" s="91">
        <f>H149/E149</f>
        <v>1</v>
      </c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60"/>
      <c r="B150" s="85" t="s">
        <v>270</v>
      </c>
      <c r="C150" s="92"/>
      <c r="D150" s="85"/>
      <c r="E150" s="86"/>
      <c r="F150" s="85"/>
      <c r="G150" s="85"/>
      <c r="H150" s="86"/>
      <c r="I150" s="87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60"/>
      <c r="B151" s="85"/>
      <c r="C151" s="27" t="s">
        <v>206</v>
      </c>
      <c r="D151" s="85"/>
      <c r="E151" s="86">
        <f>예산!$G214</f>
        <v>25000</v>
      </c>
      <c r="F151" s="85"/>
      <c r="G151" s="85" t="s">
        <v>235</v>
      </c>
      <c r="H151" s="86">
        <f>예산!$G214</f>
        <v>25000</v>
      </c>
      <c r="I151" s="87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60"/>
      <c r="B152" s="85"/>
      <c r="C152" s="27" t="s">
        <v>207</v>
      </c>
      <c r="D152" s="85"/>
      <c r="E152" s="86">
        <f>예산!$G215</f>
        <v>2043000</v>
      </c>
      <c r="F152" s="85"/>
      <c r="G152" s="85" t="s">
        <v>235</v>
      </c>
      <c r="H152" s="86">
        <f>예산!$G215</f>
        <v>2043000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60"/>
      <c r="B153" s="524" t="s">
        <v>21</v>
      </c>
      <c r="C153" s="463"/>
      <c r="D153" s="464"/>
      <c r="E153" s="88">
        <f>예산!G216</f>
        <v>2068000</v>
      </c>
      <c r="F153" s="94"/>
      <c r="G153" s="89"/>
      <c r="H153" s="88">
        <f>SUM(H150:H152)</f>
        <v>2068000</v>
      </c>
      <c r="I153" s="90"/>
      <c r="J153" s="89"/>
      <c r="K153" s="91">
        <f>H153/E153</f>
        <v>1</v>
      </c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60"/>
      <c r="B154" s="85" t="s">
        <v>208</v>
      </c>
      <c r="C154" s="11" t="s">
        <v>209</v>
      </c>
      <c r="D154" s="11" t="s">
        <v>210</v>
      </c>
      <c r="E154" s="86">
        <f>예산!$G220</f>
        <v>696000</v>
      </c>
      <c r="F154" s="85"/>
      <c r="G154" s="85" t="s">
        <v>389</v>
      </c>
      <c r="H154" s="86">
        <f>예산!$G220</f>
        <v>696000</v>
      </c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60"/>
      <c r="B155" s="85"/>
      <c r="C155" s="26" t="s">
        <v>211</v>
      </c>
      <c r="D155" s="11" t="s">
        <v>212</v>
      </c>
      <c r="E155" s="86">
        <f>예산!$G221</f>
        <v>1194800</v>
      </c>
      <c r="F155" s="85"/>
      <c r="G155" s="309" t="s">
        <v>227</v>
      </c>
      <c r="H155" s="310">
        <f>예산!$G221</f>
        <v>1194800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60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60"/>
      <c r="B157" s="524" t="s">
        <v>21</v>
      </c>
      <c r="C157" s="463"/>
      <c r="D157" s="464"/>
      <c r="E157" s="88">
        <f>예산!G222</f>
        <v>1890800</v>
      </c>
      <c r="F157" s="94"/>
      <c r="G157" s="89"/>
      <c r="H157" s="88">
        <f>SUM(H154:H156)</f>
        <v>1890800</v>
      </c>
      <c r="I157" s="90"/>
      <c r="J157" s="89"/>
      <c r="K157" s="91">
        <f>H157/E157</f>
        <v>1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60"/>
      <c r="B158" s="85" t="s">
        <v>135</v>
      </c>
      <c r="C158" s="92" t="s">
        <v>281</v>
      </c>
      <c r="D158" s="85"/>
      <c r="E158" s="86">
        <f>예산!$G226</f>
        <v>151120240</v>
      </c>
      <c r="F158" s="85"/>
      <c r="G158" s="309" t="s">
        <v>228</v>
      </c>
      <c r="H158" s="310">
        <f>예산!$G226</f>
        <v>151120240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60"/>
      <c r="B159" s="85"/>
      <c r="C159" s="92" t="s">
        <v>282</v>
      </c>
      <c r="D159" s="85"/>
      <c r="E159" s="86">
        <f>예산!$G227</f>
        <v>186772440</v>
      </c>
      <c r="F159" s="85"/>
      <c r="G159" s="309" t="s">
        <v>380</v>
      </c>
      <c r="H159" s="310">
        <f>예산!$G227</f>
        <v>186772440</v>
      </c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60"/>
      <c r="B160" s="85"/>
      <c r="C160" s="92" t="s">
        <v>158</v>
      </c>
      <c r="D160" s="85"/>
      <c r="E160" s="86">
        <f>예산!$G228</f>
        <v>12743500</v>
      </c>
      <c r="F160" s="85"/>
      <c r="G160" s="309" t="s">
        <v>226</v>
      </c>
      <c r="H160" s="310">
        <f>예산!$G228</f>
        <v>12743500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60"/>
      <c r="B161" s="524" t="s">
        <v>21</v>
      </c>
      <c r="C161" s="463"/>
      <c r="D161" s="464"/>
      <c r="E161" s="88">
        <f>예산!G231</f>
        <v>350636180</v>
      </c>
      <c r="F161" s="94"/>
      <c r="G161" s="89"/>
      <c r="H161" s="88">
        <f>SUM(H158:H160)</f>
        <v>350636180</v>
      </c>
      <c r="I161" s="90"/>
      <c r="J161" s="89"/>
      <c r="K161" s="91">
        <f>H161/E161</f>
        <v>1</v>
      </c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60"/>
      <c r="B162" s="85" t="s">
        <v>143</v>
      </c>
      <c r="C162" s="92" t="s">
        <v>219</v>
      </c>
      <c r="D162" s="85"/>
      <c r="E162" s="86"/>
      <c r="F162" s="85"/>
      <c r="G162" s="309" t="s">
        <v>228</v>
      </c>
      <c r="H162" s="310">
        <f>SUM(예산!$G$245:$G$248)</f>
        <v>3600000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60"/>
      <c r="B163" s="85"/>
      <c r="C163" s="11" t="s">
        <v>216</v>
      </c>
      <c r="D163" s="18" t="s">
        <v>217</v>
      </c>
      <c r="E163" s="86"/>
      <c r="F163" s="85"/>
      <c r="G163" s="309" t="s">
        <v>228</v>
      </c>
      <c r="H163" s="310">
        <f>SUM(예산!$G$241:$G$244)</f>
        <v>1000000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60"/>
      <c r="B164" s="85"/>
      <c r="C164" s="11" t="s">
        <v>438</v>
      </c>
      <c r="D164" s="18" t="s">
        <v>218</v>
      </c>
      <c r="E164" s="86"/>
      <c r="F164" s="85"/>
      <c r="G164" s="309" t="s">
        <v>228</v>
      </c>
      <c r="H164" s="310">
        <v>2700000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60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 thickBot="1">
      <c r="A166" s="461"/>
      <c r="B166" s="524" t="s">
        <v>21</v>
      </c>
      <c r="C166" s="463"/>
      <c r="D166" s="464"/>
      <c r="E166" s="88">
        <f>예산!G258</f>
        <v>21480000</v>
      </c>
      <c r="F166" s="94"/>
      <c r="G166" s="89"/>
      <c r="H166" s="95">
        <f>SUM(H162:H165)</f>
        <v>7300000</v>
      </c>
      <c r="I166" s="90"/>
      <c r="J166" s="89"/>
      <c r="K166" s="91">
        <f>H166/E166</f>
        <v>0.33985102420856611</v>
      </c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 thickBot="1">
      <c r="A167" s="549" t="s">
        <v>271</v>
      </c>
      <c r="B167" s="550"/>
      <c r="C167" s="96">
        <f>예산!G129</f>
        <v>1162241174</v>
      </c>
      <c r="D167" s="107"/>
      <c r="E167" s="108">
        <f>SUM(E166,E157,E153,E149,E140,E138,E132,E116,E114,E105)</f>
        <v>811604994</v>
      </c>
      <c r="F167" s="109"/>
      <c r="G167" s="110"/>
      <c r="H167" s="101">
        <f>SUM(H166,H161,H157,H153,H149,H140,H138,H132,H116,H114,H105)</f>
        <v>1066898029</v>
      </c>
      <c r="I167" s="548"/>
      <c r="J167" s="515"/>
      <c r="K167" s="102">
        <f t="shared" ref="K167:K168" si="10">H167/C167</f>
        <v>0.91796612688237111</v>
      </c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 thickBot="1">
      <c r="A168" s="111" t="s">
        <v>272</v>
      </c>
      <c r="B168" s="112"/>
      <c r="C168" s="113">
        <f>SUM(C167,C66,C46,C31,C18)</f>
        <v>2921936822.4000001</v>
      </c>
      <c r="D168" s="112"/>
      <c r="E168" s="114"/>
      <c r="F168" s="112"/>
      <c r="G168" s="112"/>
      <c r="H168" s="115">
        <f>SUM(H167,H66,H46,H31,H18)</f>
        <v>2763009677.4000001</v>
      </c>
      <c r="I168" s="116"/>
      <c r="J168" s="112"/>
      <c r="K168" s="117">
        <f t="shared" si="10"/>
        <v>0.94560897286291712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</sheetData>
  <mergeCells count="60">
    <mergeCell ref="B67:B79"/>
    <mergeCell ref="B80:B82"/>
    <mergeCell ref="B157:D157"/>
    <mergeCell ref="B161:D161"/>
    <mergeCell ref="B166:D166"/>
    <mergeCell ref="B153:D153"/>
    <mergeCell ref="A167:B167"/>
    <mergeCell ref="I167:J167"/>
    <mergeCell ref="A67:A166"/>
    <mergeCell ref="C68:C74"/>
    <mergeCell ref="C75:C79"/>
    <mergeCell ref="C84:C89"/>
    <mergeCell ref="B90:B94"/>
    <mergeCell ref="B95:B98"/>
    <mergeCell ref="B99:B104"/>
    <mergeCell ref="B105:D105"/>
    <mergeCell ref="B114:D114"/>
    <mergeCell ref="B116:D116"/>
    <mergeCell ref="B132:D132"/>
    <mergeCell ref="B138:D138"/>
    <mergeCell ref="B140:D140"/>
    <mergeCell ref="B149:D149"/>
    <mergeCell ref="I31:J31"/>
    <mergeCell ref="I18:J18"/>
    <mergeCell ref="B32:B40"/>
    <mergeCell ref="B41:D41"/>
    <mergeCell ref="B42:B44"/>
    <mergeCell ref="A66:B66"/>
    <mergeCell ref="I66:J66"/>
    <mergeCell ref="A32:A45"/>
    <mergeCell ref="A46:B46"/>
    <mergeCell ref="B47:B50"/>
    <mergeCell ref="I46:J46"/>
    <mergeCell ref="B45:D45"/>
    <mergeCell ref="C51:C52"/>
    <mergeCell ref="A47:A65"/>
    <mergeCell ref="B51:B65"/>
    <mergeCell ref="C53:C65"/>
    <mergeCell ref="B15:D15"/>
    <mergeCell ref="B17:D17"/>
    <mergeCell ref="A18:B18"/>
    <mergeCell ref="A19:A30"/>
    <mergeCell ref="A31:B31"/>
    <mergeCell ref="A4:A17"/>
    <mergeCell ref="B4:B14"/>
    <mergeCell ref="C4:C14"/>
    <mergeCell ref="X2:Y2"/>
    <mergeCell ref="Z2:AA2"/>
    <mergeCell ref="E6:F6"/>
    <mergeCell ref="P2:Q2"/>
    <mergeCell ref="R2:S2"/>
    <mergeCell ref="T2:U2"/>
    <mergeCell ref="V2:W2"/>
    <mergeCell ref="E7:F7"/>
    <mergeCell ref="D8:F14"/>
    <mergeCell ref="K4:K14"/>
    <mergeCell ref="D3:F3"/>
    <mergeCell ref="A1:K1"/>
    <mergeCell ref="E4:F4"/>
    <mergeCell ref="E5:F5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603" t="s">
        <v>283</v>
      </c>
      <c r="B1" s="478"/>
      <c r="C1" s="478"/>
      <c r="D1" s="478"/>
      <c r="E1" s="478"/>
      <c r="F1" s="478"/>
      <c r="G1" s="478"/>
      <c r="H1" s="478"/>
      <c r="I1" s="478"/>
      <c r="J1" s="478"/>
      <c r="K1" s="478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121" t="s">
        <v>239</v>
      </c>
      <c r="P2" s="609" t="s">
        <v>7</v>
      </c>
      <c r="Q2" s="464"/>
      <c r="R2" s="502" t="s">
        <v>240</v>
      </c>
      <c r="S2" s="464"/>
      <c r="T2" s="609" t="s">
        <v>31</v>
      </c>
      <c r="U2" s="464"/>
      <c r="V2" s="609" t="s">
        <v>72</v>
      </c>
      <c r="W2" s="464"/>
      <c r="X2" s="609" t="s">
        <v>84</v>
      </c>
      <c r="Y2" s="464"/>
      <c r="Z2" s="609" t="s">
        <v>241</v>
      </c>
      <c r="AA2" s="464"/>
    </row>
    <row r="3" spans="1:27" ht="16.5" customHeight="1">
      <c r="A3" s="72" t="s">
        <v>242</v>
      </c>
      <c r="B3" s="73" t="s">
        <v>243</v>
      </c>
      <c r="C3" s="74" t="s">
        <v>0</v>
      </c>
      <c r="D3" s="516" t="s">
        <v>244</v>
      </c>
      <c r="E3" s="517"/>
      <c r="F3" s="518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122" t="s">
        <v>250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526" t="s">
        <v>7</v>
      </c>
      <c r="B4" s="520" t="s">
        <v>251</v>
      </c>
      <c r="C4" s="523">
        <f>예산!P5</f>
        <v>4028892</v>
      </c>
      <c r="D4" s="85" t="s">
        <v>15</v>
      </c>
      <c r="E4" s="513">
        <f>예산!P7</f>
        <v>2439392</v>
      </c>
      <c r="F4" s="464"/>
      <c r="G4" s="85" t="s">
        <v>224</v>
      </c>
      <c r="H4" s="86">
        <f>예산!N7+예산!N8</f>
        <v>3405260</v>
      </c>
      <c r="I4" s="87">
        <v>45776</v>
      </c>
      <c r="J4" s="85"/>
      <c r="K4" s="504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460"/>
      <c r="B5" s="460"/>
      <c r="C5" s="460"/>
      <c r="D5" s="85" t="s">
        <v>19</v>
      </c>
      <c r="E5" s="513">
        <f>예산!P8</f>
        <v>1589500</v>
      </c>
      <c r="F5" s="464"/>
      <c r="G5" s="85" t="s">
        <v>225</v>
      </c>
      <c r="H5" s="86">
        <f>예산!N7-1192128</f>
        <v>623632</v>
      </c>
      <c r="I5" s="87"/>
      <c r="J5" s="85"/>
      <c r="K5" s="460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460"/>
      <c r="B6" s="460"/>
      <c r="C6" s="460"/>
      <c r="D6" s="85" t="s">
        <v>252</v>
      </c>
      <c r="E6" s="513"/>
      <c r="F6" s="464"/>
      <c r="G6" s="85"/>
      <c r="H6" s="86"/>
      <c r="I6" s="87"/>
      <c r="J6" s="85"/>
      <c r="K6" s="460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460"/>
      <c r="B7" s="460"/>
      <c r="C7" s="460"/>
      <c r="D7" s="85" t="s">
        <v>252</v>
      </c>
      <c r="E7" s="513"/>
      <c r="F7" s="464"/>
      <c r="G7" s="85"/>
      <c r="H7" s="86"/>
      <c r="I7" s="87"/>
      <c r="J7" s="85"/>
      <c r="K7" s="460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460"/>
      <c r="B8" s="460"/>
      <c r="C8" s="460"/>
      <c r="D8" s="600"/>
      <c r="E8" s="601"/>
      <c r="F8" s="582"/>
      <c r="G8" s="85"/>
      <c r="H8" s="86"/>
      <c r="I8" s="87"/>
      <c r="J8" s="85"/>
      <c r="K8" s="460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460"/>
      <c r="B9" s="460"/>
      <c r="C9" s="460"/>
      <c r="D9" s="458"/>
      <c r="E9" s="478"/>
      <c r="F9" s="602"/>
      <c r="G9" s="85"/>
      <c r="H9" s="86"/>
      <c r="I9" s="87"/>
      <c r="J9" s="85"/>
      <c r="K9" s="460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460"/>
      <c r="B10" s="460"/>
      <c r="C10" s="460"/>
      <c r="D10" s="458"/>
      <c r="E10" s="478"/>
      <c r="F10" s="602"/>
      <c r="G10" s="85"/>
      <c r="H10" s="86"/>
      <c r="I10" s="87"/>
      <c r="J10" s="85"/>
      <c r="K10" s="460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460"/>
      <c r="B11" s="460"/>
      <c r="C11" s="460"/>
      <c r="D11" s="458"/>
      <c r="E11" s="478"/>
      <c r="F11" s="602"/>
      <c r="G11" s="85"/>
      <c r="H11" s="86"/>
      <c r="I11" s="87"/>
      <c r="J11" s="85"/>
      <c r="K11" s="460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460"/>
      <c r="B12" s="460"/>
      <c r="C12" s="460"/>
      <c r="D12" s="458"/>
      <c r="E12" s="478"/>
      <c r="F12" s="602"/>
      <c r="G12" s="85"/>
      <c r="H12" s="86"/>
      <c r="I12" s="87"/>
      <c r="J12" s="85"/>
      <c r="K12" s="460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460"/>
      <c r="B13" s="460"/>
      <c r="C13" s="460"/>
      <c r="D13" s="458"/>
      <c r="E13" s="478"/>
      <c r="F13" s="602"/>
      <c r="G13" s="85"/>
      <c r="H13" s="86"/>
      <c r="I13" s="87"/>
      <c r="J13" s="85"/>
      <c r="K13" s="460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460"/>
      <c r="B14" s="461"/>
      <c r="C14" s="461"/>
      <c r="D14" s="472"/>
      <c r="E14" s="564"/>
      <c r="F14" s="565"/>
      <c r="G14" s="85"/>
      <c r="H14" s="86"/>
      <c r="I14" s="87"/>
      <c r="J14" s="85"/>
      <c r="K14" s="461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460"/>
      <c r="B15" s="524" t="s">
        <v>21</v>
      </c>
      <c r="C15" s="463"/>
      <c r="D15" s="464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460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61"/>
      <c r="B17" s="524" t="s">
        <v>21</v>
      </c>
      <c r="C17" s="463"/>
      <c r="D17" s="464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25" t="s">
        <v>253</v>
      </c>
      <c r="B18" s="463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522"/>
      <c r="J18" s="464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26" t="s">
        <v>240</v>
      </c>
      <c r="B19" s="520" t="s">
        <v>240</v>
      </c>
      <c r="C19" s="607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60"/>
      <c r="B20" s="460"/>
      <c r="C20" s="460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60"/>
      <c r="B21" s="460"/>
      <c r="C21" s="460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60"/>
      <c r="B22" s="460"/>
      <c r="C22" s="460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60"/>
      <c r="B23" s="460"/>
      <c r="C23" s="460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60"/>
      <c r="B24" s="460"/>
      <c r="C24" s="460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60"/>
      <c r="B25" s="460"/>
      <c r="C25" s="460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60"/>
      <c r="B26" s="460"/>
      <c r="C26" s="460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60"/>
      <c r="B27" s="460"/>
      <c r="C27" s="460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60"/>
      <c r="B28" s="460"/>
      <c r="C28" s="460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61"/>
      <c r="B29" s="461"/>
      <c r="C29" s="608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25" t="s">
        <v>254</v>
      </c>
      <c r="B30" s="463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522"/>
      <c r="J30" s="464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26" t="s">
        <v>31</v>
      </c>
      <c r="B31" s="520" t="s">
        <v>255</v>
      </c>
      <c r="C31" s="607">
        <f>예산!P26</f>
        <v>282398210</v>
      </c>
      <c r="D31" s="85" t="s">
        <v>284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460"/>
      <c r="B32" s="460"/>
      <c r="C32" s="460"/>
      <c r="D32" s="85" t="s">
        <v>285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60"/>
      <c r="B33" s="460"/>
      <c r="C33" s="460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60"/>
      <c r="B34" s="460"/>
      <c r="C34" s="460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60"/>
      <c r="B35" s="461"/>
      <c r="C35" s="461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60"/>
      <c r="B36" s="524" t="s">
        <v>21</v>
      </c>
      <c r="C36" s="463"/>
      <c r="D36" s="464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60"/>
      <c r="B37" s="520" t="s">
        <v>70</v>
      </c>
      <c r="C37" s="523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60"/>
      <c r="B38" s="460"/>
      <c r="C38" s="460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60"/>
      <c r="B39" s="461"/>
      <c r="C39" s="461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61"/>
      <c r="B40" s="524" t="s">
        <v>21</v>
      </c>
      <c r="C40" s="463"/>
      <c r="D40" s="464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25" t="s">
        <v>256</v>
      </c>
      <c r="B41" s="463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522"/>
      <c r="J41" s="464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26" t="s">
        <v>72</v>
      </c>
      <c r="B42" s="520" t="s">
        <v>257</v>
      </c>
      <c r="C42" s="607">
        <f>예산!P53</f>
        <v>1144000</v>
      </c>
      <c r="D42" s="85" t="s">
        <v>258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60"/>
      <c r="B43" s="460"/>
      <c r="C43" s="460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60"/>
      <c r="B44" s="460"/>
      <c r="C44" s="460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60"/>
      <c r="B45" s="461"/>
      <c r="C45" s="461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460"/>
      <c r="B46" s="520" t="s">
        <v>261</v>
      </c>
      <c r="C46" s="523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461"/>
      <c r="B47" s="461"/>
      <c r="C47" s="608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25" t="s">
        <v>263</v>
      </c>
      <c r="B48" s="463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522"/>
      <c r="J48" s="464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6" t="s">
        <v>84</v>
      </c>
      <c r="B49" s="520" t="s">
        <v>94</v>
      </c>
      <c r="C49" s="523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460"/>
      <c r="B50" s="460"/>
      <c r="C50" s="460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460"/>
      <c r="B51" s="460"/>
      <c r="C51" s="460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460"/>
      <c r="B52" s="460"/>
      <c r="C52" s="460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460"/>
      <c r="B53" s="460"/>
      <c r="C53" s="460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460"/>
      <c r="B54" s="460"/>
      <c r="C54" s="460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460"/>
      <c r="B55" s="460"/>
      <c r="C55" s="460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460"/>
      <c r="B56" s="461"/>
      <c r="C56" s="461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460"/>
      <c r="B57" s="524" t="s">
        <v>21</v>
      </c>
      <c r="C57" s="463"/>
      <c r="D57" s="464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460"/>
      <c r="B58" s="85" t="s">
        <v>121</v>
      </c>
      <c r="C58" s="92">
        <f>예산!P102</f>
        <v>150000</v>
      </c>
      <c r="D58" s="85" t="s">
        <v>286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460"/>
      <c r="B59" s="524" t="s">
        <v>21</v>
      </c>
      <c r="C59" s="463"/>
      <c r="D59" s="464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460"/>
      <c r="B60" s="520" t="s">
        <v>135</v>
      </c>
      <c r="C60" s="523">
        <f>예산!P128</f>
        <v>157759520</v>
      </c>
      <c r="D60" s="85" t="s">
        <v>281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460"/>
      <c r="B61" s="460"/>
      <c r="C61" s="460"/>
      <c r="D61" s="85" t="s">
        <v>282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460"/>
      <c r="B62" s="460"/>
      <c r="C62" s="460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460"/>
      <c r="B63" s="460"/>
      <c r="C63" s="460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460"/>
      <c r="B64" s="460"/>
      <c r="C64" s="460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460"/>
      <c r="B65" s="460"/>
      <c r="C65" s="460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460"/>
      <c r="B66" s="460"/>
      <c r="C66" s="460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460"/>
      <c r="B67" s="460"/>
      <c r="C67" s="460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60"/>
      <c r="B68" s="460"/>
      <c r="C68" s="460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60"/>
      <c r="B69" s="460"/>
      <c r="C69" s="460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60"/>
      <c r="B70" s="461"/>
      <c r="C70" s="461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60"/>
      <c r="B71" s="524" t="s">
        <v>21</v>
      </c>
      <c r="C71" s="463"/>
      <c r="D71" s="464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60"/>
      <c r="B72" s="520" t="s">
        <v>116</v>
      </c>
      <c r="C72" s="523"/>
      <c r="D72" s="11" t="s">
        <v>118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60"/>
      <c r="B73" s="460"/>
      <c r="C73" s="460"/>
      <c r="D73" s="11" t="s">
        <v>119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60"/>
      <c r="B74" s="460"/>
      <c r="C74" s="460"/>
      <c r="D74" s="11" t="s">
        <v>120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60"/>
      <c r="B75" s="460"/>
      <c r="C75" s="460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60"/>
      <c r="B76" s="461"/>
      <c r="C76" s="461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60"/>
      <c r="B77" s="524" t="s">
        <v>21</v>
      </c>
      <c r="C77" s="463"/>
      <c r="D77" s="464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60"/>
      <c r="B78" s="520" t="s">
        <v>105</v>
      </c>
      <c r="C78" s="523">
        <f>예산!P89</f>
        <v>39600000</v>
      </c>
      <c r="D78" s="85" t="s">
        <v>108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60"/>
      <c r="B79" s="460"/>
      <c r="C79" s="460"/>
      <c r="D79" s="85" t="s">
        <v>113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60"/>
      <c r="B80" s="460"/>
      <c r="C80" s="460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60"/>
      <c r="B81" s="460"/>
      <c r="C81" s="460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60"/>
      <c r="B82" s="460"/>
      <c r="C82" s="460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60"/>
      <c r="B83" s="460"/>
      <c r="C83" s="460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60"/>
      <c r="B84" s="460"/>
      <c r="C84" s="460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60"/>
      <c r="B85" s="461"/>
      <c r="C85" s="461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60"/>
      <c r="B86" s="524" t="s">
        <v>21</v>
      </c>
      <c r="C86" s="463"/>
      <c r="D86" s="464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60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548"/>
      <c r="J87" s="515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60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60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60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60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60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60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60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60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60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60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60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60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60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60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60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60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60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60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60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60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60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60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60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60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60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60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60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60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60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60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60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60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60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61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271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272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  <mergeCell ref="B15:D15"/>
    <mergeCell ref="D3:F3"/>
    <mergeCell ref="A4:A17"/>
    <mergeCell ref="B4:B14"/>
    <mergeCell ref="C4:C14"/>
    <mergeCell ref="E4:F4"/>
    <mergeCell ref="E5:F5"/>
    <mergeCell ref="B17:D17"/>
    <mergeCell ref="X2:Y2"/>
    <mergeCell ref="Z2:AA2"/>
    <mergeCell ref="E6:F6"/>
    <mergeCell ref="E7:F7"/>
    <mergeCell ref="D8:F14"/>
    <mergeCell ref="K4:K14"/>
    <mergeCell ref="A1:K1"/>
    <mergeCell ref="P2:Q2"/>
    <mergeCell ref="R2:S2"/>
    <mergeCell ref="T2:U2"/>
    <mergeCell ref="V2:W2"/>
    <mergeCell ref="I87:J87"/>
    <mergeCell ref="B49:B56"/>
    <mergeCell ref="C49:C56"/>
    <mergeCell ref="B57:D57"/>
    <mergeCell ref="B59:D59"/>
    <mergeCell ref="B60:B70"/>
    <mergeCell ref="C60:C70"/>
    <mergeCell ref="B71:D71"/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</mergeCells>
  <phoneticPr fontId="27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3차년도 전체요약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2025-11-26T08:42:56Z</dcterms:modified>
</cp:coreProperties>
</file>