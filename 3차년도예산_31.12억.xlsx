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7AE7757A-4397-4D85-AFA0-A3D5BF5CE98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F220" i="1" l="1"/>
  <c r="G194" i="1"/>
  <c r="G190" i="1" s="1"/>
  <c r="G219" i="1"/>
  <c r="E219" i="1"/>
  <c r="G159" i="1"/>
  <c r="G251" i="1"/>
  <c r="G252" i="1"/>
  <c r="G255" i="1"/>
  <c r="G250" i="1"/>
  <c r="G256" i="1"/>
  <c r="G254" i="1"/>
  <c r="G249" i="1"/>
  <c r="E12" i="7"/>
  <c r="J10" i="7"/>
  <c r="F151" i="1"/>
  <c r="F171" i="1"/>
  <c r="F150" i="1"/>
  <c r="F149" i="1"/>
  <c r="H138" i="3" l="1"/>
  <c r="H139" i="3"/>
  <c r="E13" i="7"/>
  <c r="I10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7" i="3" s="1"/>
  <c r="H147" i="3" s="1"/>
  <c r="F178" i="1"/>
  <c r="G178" i="1" s="1"/>
  <c r="G158" i="1"/>
  <c r="G160" i="1" s="1"/>
  <c r="H101" i="3"/>
  <c r="H100" i="3"/>
  <c r="E109" i="3"/>
  <c r="E135" i="1"/>
  <c r="H77" i="3"/>
  <c r="AN7" i="3" s="1"/>
  <c r="G171" i="1"/>
  <c r="H107" i="3"/>
  <c r="G81" i="1"/>
  <c r="G80" i="1"/>
  <c r="L126" i="1"/>
  <c r="P126" i="1" s="1"/>
  <c r="R126" i="1" s="1"/>
  <c r="C225" i="1" s="1"/>
  <c r="G225" i="1" s="1"/>
  <c r="G192" i="1"/>
  <c r="E84" i="3"/>
  <c r="G79" i="1"/>
  <c r="G241" i="1"/>
  <c r="G242" i="1"/>
  <c r="G243" i="1"/>
  <c r="G245" i="1"/>
  <c r="G246" i="1"/>
  <c r="G247" i="1"/>
  <c r="G248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9" i="1"/>
  <c r="G228" i="1"/>
  <c r="E9" i="1"/>
  <c r="H11" i="2" s="1"/>
  <c r="Q8" i="1"/>
  <c r="G236" i="1"/>
  <c r="C16" i="6" s="1"/>
  <c r="G240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4" i="1"/>
  <c r="G227" i="1"/>
  <c r="H160" i="2" s="1"/>
  <c r="G220" i="1"/>
  <c r="H174" i="3" s="1"/>
  <c r="H154" i="2"/>
  <c r="G214" i="1"/>
  <c r="H152" i="2" s="1"/>
  <c r="G213" i="1"/>
  <c r="H170" i="3" s="1"/>
  <c r="G208" i="1"/>
  <c r="H144" i="2" s="1"/>
  <c r="Z3" i="2" s="1"/>
  <c r="G207" i="1"/>
  <c r="E162" i="3" s="1"/>
  <c r="G206" i="1"/>
  <c r="E161" i="3" s="1"/>
  <c r="G205" i="1"/>
  <c r="E160" i="3" s="1"/>
  <c r="G200" i="1"/>
  <c r="H158" i="3" s="1"/>
  <c r="H159" i="3" s="1"/>
  <c r="G195" i="1"/>
  <c r="G191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G257" i="1" l="1"/>
  <c r="E42" i="2"/>
  <c r="H55" i="3"/>
  <c r="F125" i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201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6" i="1" s="1"/>
  <c r="G226" i="1" s="1"/>
  <c r="H159" i="2" s="1"/>
  <c r="P128" i="1"/>
  <c r="C60" i="4" s="1"/>
  <c r="E120" i="3"/>
  <c r="H120" i="3"/>
  <c r="H111" i="2"/>
  <c r="E60" i="4"/>
  <c r="G209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6" i="1"/>
  <c r="C260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6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5" i="1"/>
  <c r="G154" i="1"/>
  <c r="E160" i="2"/>
  <c r="E111" i="2"/>
  <c r="E32" i="3"/>
  <c r="H32" i="3" s="1"/>
  <c r="H173" i="3"/>
  <c r="H176" i="3" s="1"/>
  <c r="G221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F2" i="2" l="1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30" i="1"/>
  <c r="G11" i="7" s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" i="2" l="1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<sst xmlns="http://schemas.openxmlformats.org/spreadsheetml/2006/main" count="1426" uniqueCount="555">
  <si>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</si>
  <si>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</si>
  <si>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</si>
  <si>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</si>
  <si>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</si>
  <si>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</si>
  <si>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</si>
  <si>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</si>
  <si>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</si>
  <si>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</si>
  <si>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</si>
  <si>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</si>
  <si>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</si>
  <si>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</si>
  <si>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</si>
  <si>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</si>
  <si>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</si>
  <si>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</si>
  <si>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</si>
  <si>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</si>
  <si>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</si>
  <si>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</si>
  <si>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</si>
  <si>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</si>
  <si>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</si>
  <si>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</si>
  <si>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</si>
  <si>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</si>
  <si>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</si>
  <si>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</si>
  <si>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</si>
  <si>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</si>
  <si>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</si>
  <si>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</si>
  <si>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</si>
  <si>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</si>
  <si>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</si>
  <si>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</si>
  <si>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</si>
  <si>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</si>
  <si>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</si>
  <si>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</si>
  <si>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</si>
  <si>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</si>
  <si>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</si>
  <si>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</si>
  <si>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</si>
  <si>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</si>
  <si>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</si>
  <si>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</si>
  <si>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</si>
  <si>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</si>
  <si>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</si>
  <si>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</si>
  <si>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</si>
  <si>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</si>
  <si>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</si>
  <si>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</si>
  <si>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</si>
  <si>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</si>
  <si>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</si>
  <si>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</si>
  <si>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</si>
  <si>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</si>
  <si>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</si>
  <si>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</si>
  <si>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</si>
  <si>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</si>
  <si>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</si>
  <si>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</si>
  <si>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</si>
  <si>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</si>
  <si>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</si>
  <si>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</si>
  <si>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</si>
  <si>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</si>
  <si>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</si>
  <si>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</si>
  <si>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</si>
  <si>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</si>
  <si>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</si>
  <si>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</si>
  <si>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</si>
  <si>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</si>
  <si>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</si>
  <si>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</si>
  <si>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</si>
  <si>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</si>
  <si>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</si>
  <si>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</si>
  <si>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</si>
  <si>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</si>
  <si>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</si>
  <si>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</si>
  <si>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</si>
  <si>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</si>
  <si>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</si>
  <si>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</si>
  <si>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</si>
  <si>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</si>
  <si>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</si>
  <si>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</si>
  <si>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</si>
  <si>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</si>
  <si>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</si>
  <si>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</si>
  <si>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</si>
  <si>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</si>
  <si>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</si>
  <si>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</si>
  <si>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</si>
  <si>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</si>
  <si>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</si>
  <si>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</si>
  <si>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</si>
  <si>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</si>
  <si>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</si>
  <si>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</si>
  <si>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</si>
  <si>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</si>
  <si>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</si>
  <si>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</si>
  <si>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</si>
  <si>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</si>
  <si>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</si>
  <si>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</si>
  <si>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</si>
  <si>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</si>
  <si>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</si>
  <si>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</si>
  <si>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</si>
  <si>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</si>
  <si>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</si>
  <si>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</si>
  <si>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</si>
  <si>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</si>
  <si>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</si>
  <si>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</si>
  <si>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</si>
  <si>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</si>
  <si>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</si>
  <si>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</si>
  <si>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</si>
  <si>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</si>
  <si>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</si>
  <si>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</si>
  <si>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</si>
  <si>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</si>
  <si>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</si>
  <si>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</si>
  <si>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</si>
  <si>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</si>
  <si>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</si>
  <si>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</si>
  <si>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</si>
  <si>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</si>
  <si>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</si>
  <si>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</si>
  <si>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</si>
  <si>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</si>
  <si>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</si>
  <si>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</si>
  <si>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</si>
  <si>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</si>
  <si>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</si>
  <si>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</si>
  <si>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</si>
  <si>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</si>
  <si>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</si>
  <si>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</si>
  <si>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</si>
  <si>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</si>
  <si>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</si>
  <si>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</si>
  <si>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</si>
  <si>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</si>
  <si>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</si>
  <si>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</si>
  <si>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</si>
  <si>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</si>
  <si>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</si>
  <si>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</si>
  <si>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</si>
  <si>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</si>
  <si>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</si>
  <si>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</si>
  <si>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</si>
  <si>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</si>
  <si>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</si>
  <si>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</si>
  <si>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</si>
  <si>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</si>
  <si>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</si>
  <si>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</si>
  <si>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</si>
  <si>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</si>
  <si>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</si>
  <si>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</si>
  <si>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</si>
  <si>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</si>
  <si>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</si>
  <si>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</si>
  <si>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</si>
  <si>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</si>
  <si>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</si>
  <si>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</si>
  <si>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</si>
  <si>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</si>
  <si>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</si>
  <si>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</si>
  <si>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</si>
  <si>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</si>
  <si>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</si>
  <si>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</si>
  <si>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</si>
  <si>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</si>
  <si>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</si>
  <si>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</si>
  <si>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</si>
  <si>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</si>
  <si>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</si>
  <si>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</si>
  <si>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</si>
  <si>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</si>
  <si>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</si>
  <si>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</si>
  <si>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</si>
  <si>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</si>
  <si>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</si>
  <si>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</si>
  <si>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</si>
  <si>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</si>
  <si>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</si>
  <si>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</si>
  <si>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</si>
  <si>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</si>
  <si>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</si>
  <si>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</si>
  <si>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</si>
  <si>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</si>
  <si>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</si>
  <si>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</si>
  <si>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</si>
  <si>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</si>
  <si>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</si>
  <si>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</si>
  <si>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</si>
  <si>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</si>
  <si>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</si>
  <si>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</si>
  <si>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</si>
  <si>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</si>
  <si>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</si>
  <si>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</si>
  <si>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</si>
  <si>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</si>
  <si>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</si>
  <si>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</si>
  <si>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</si>
  <si>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</si>
  <si>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</si>
  <si>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</si>
  <si>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</si>
  <si>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</si>
  <si>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</si>
  <si>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</si>
  <si>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</si>
  <si>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</si>
  <si>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</si>
  <si>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</si>
  <si>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</si>
  <si>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</si>
  <si>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</si>
  <si>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</si>
  <si>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</si>
  <si>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</si>
  <si>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</si>
  <si>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</si>
  <si>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</si>
  <si>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</si>
  <si>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</si>
  <si>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</si>
  <si>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</si>
  <si>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</si>
  <si>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</si>
  <si>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</si>
  <si>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</si>
  <si>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</si>
  <si>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</si>
  <si>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</si>
  <si>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</si>
  <si>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</si>
  <si>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</si>
  <si>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</si>
  <si>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</si>
  <si>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</si>
  <si>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</si>
  <si>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</si>
  <si>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</si>
  <si>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</si>
  <si>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</si>
  <si>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</si>
  <si>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</si>
  <si>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</si>
  <si>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</si>
  <si>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</si>
  <si>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</si>
  <si>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</si>
  <si>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</si>
  <si>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</si>
  <si>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</si>
  <si>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</si>
  <si>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</si>
  <si>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</si>
  <si>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</si>
  <si>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</si>
  <si>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</si>
  <si>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</si>
  <si>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</si>
  <si>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</si>
  <si>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</si>
  <si>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</si>
  <si>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</si>
  <si>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</si>
  <si>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</si>
  <si>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</si>
  <si>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</si>
  <si>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</si>
  <si>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</si>
  <si>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</si>
  <si>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</si>
  <si>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</si>
  <si>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</si>
  <si>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</si>
  <si>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</si>
  <si>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</si>
  <si>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</si>
  <si>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</si>
  <si>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</si>
  <si>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</si>
  <si>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</si>
  <si>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</si>
  <si>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</si>
  <si>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</si>
  <si>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</si>
  <si>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</si>
  <si>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</si>
  <si>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</si>
  <si>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</si>
  <si>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</si>
  <si>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</si>
  <si>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</si>
  <si>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</si>
  <si>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</si>
  <si>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</si>
  <si>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</si>
  <si>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</si>
  <si>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</si>
  <si>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</si>
  <si>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</si>
  <si>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</si>
  <si>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</si>
  <si>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</si>
  <si>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</si>
  <si>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</si>
  <si>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</si>
  <si>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</si>
  <si>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</si>
  <si>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</si>
  <si>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</si>
  <si>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</si>
  <si>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</si>
  <si>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</si>
  <si>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</si>
  <si>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</si>
  <si>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</si>
  <si>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</si>
  <si>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</si>
  <si>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</si>
  <si>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</si>
  <si>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</si>
  <si>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</si>
  <si>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</si>
  <si>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</si>
  <si>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</si>
  <si>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</si>
  <si>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</si>
  <si>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</si>
  <si>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</si>
  <si>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</si>
  <si>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</si>
  <si>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</si>
  <si>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</si>
  <si>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</si>
  <si>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</si>
  <si>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</si>
  <si>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</si>
  <si>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</si>
  <si>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</si>
  <si>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</si>
  <si>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</si>
  <si>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</si>
  <si>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</si>
  <si>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</si>
  <si>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</si>
  <si>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</si>
  <si>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</si>
  <si>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</si>
  <si>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</si>
  <si>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</si>
  <si>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</si>
  <si>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</si>
  <si>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</si>
  <si>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</si>
  <si>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</si>
  <si>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</si>
  <si>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</si>
  <si>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</si>
  <si>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</si>
  <si>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</si>
  <si>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</si>
  <si>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</si>
  <si>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</si>
  <si>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</si>
  <si>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</si>
  <si>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</si>
  <si>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</si>
  <si>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</si>
  <si>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</si>
  <si>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</si>
  <si>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</si>
  <si>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</si>
  <si>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</si>
  <si>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</si>
  <si>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</si>
  <si>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</si>
  <si>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</si>
  <si>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</si>
  <si>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</si>
  <si>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</si>
  <si>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</si>
  <si>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</si>
  <si>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</si>
  <si>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</si>
  <si>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</si>
  <si>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</si>
  <si>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</si>
  <si>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</si>
  <si>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</si>
  <si>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</si>
  <si>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</si>
  <si>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</si>
  <si>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</si>
  <si>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</si>
  <si>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</si>
  <si>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</si>
  <si>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</si>
  <si>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</si>
  <si>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</si>
  <si>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</si>
  <si>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</si>
  <si>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</si>
  <si>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</si>
  <si>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</si>
  <si>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</si>
  <si>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</si>
  <si>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</si>
  <si>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</si>
  <si>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</si>
  <si>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</si>
  <si>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</si>
  <si>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</si>
  <si>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</si>
  <si>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</si>
  <si>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</si>
  <si>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</si>
  <si>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</si>
  <si>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</si>
  <si>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</si>
  <si>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</si>
  <si>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</si>
  <si>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</si>
  <si>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</si>
  <si>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</si>
  <si>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</si>
  <si>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</si>
  <si>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</si>
  <si>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</si>
  <si>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</si>
  <si>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</si>
  <si>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</si>
  <si>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</si>
  <si>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</si>
  <si>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</si>
  <si>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</si>
  <si>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</si>
  <si>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</si>
  <si>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</si>
  <si>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</si>
  <si>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</si>
  <si>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</si>
  <si>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</si>
  <si>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</si>
  <si>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</si>
  <si>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</si>
  <si>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</si>
  <si>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</si>
  <si>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</si>
  <si>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</si>
  <si>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</si>
  <si>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</si>
  <si>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</si>
  <si>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</si>
  <si>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</si>
  <si>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</si>
  <si>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</si>
  <si>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</si>
  <si>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</si>
  <si>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</si>
  <si>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</si>
  <si>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</si>
  <si>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</si>
  <si>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</si>
  <si>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</si>
  <si>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</si>
  <si>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</si>
  <si>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</si>
  <si>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</si>
  <si>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</si>
  <si>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</si>
  <si>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</si>
  <si>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</si>
  <si>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</si>
  <si>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</si>
  <si>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</si>
  <si>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</si>
  <si>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</si>
  <si>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</si>
  <si>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</si>
  <si>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</si>
  <si>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</si>
  <si>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</si>
  <si>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</si>
  <si>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</si>
  <si>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(25.11.06 기준)</t>
    <phoneticPr fontId="27" type="noConversion"/>
  </si>
  <si>
    <t>(현시점 25.11.12 기준)</t>
    <phoneticPr fontId="27" type="noConversion"/>
  </si>
  <si>
    <t>유니위크 점심식사 지원</t>
    <phoneticPr fontId="27" type="noConversion"/>
  </si>
  <si>
    <t>11/12 기준 학생 25명 점심식사 신청 + 여유분 편성</t>
    <phoneticPr fontId="27" type="noConversion"/>
  </si>
  <si>
    <t>기존 343만원 -&gt; 첨융만 60만원</t>
    <phoneticPr fontId="27" type="noConversion"/>
  </si>
  <si>
    <t>물티슈 구매 11/12</t>
    <phoneticPr fontId="27" type="noConversion"/>
  </si>
  <si>
    <t xml:space="preserve">(Δ: -547) </t>
    <phoneticPr fontId="27" type="noConversion"/>
  </si>
  <si>
    <t>한호철 연구원 자료 반영 (25.11.12)</t>
    <phoneticPr fontId="27" type="noConversion"/>
  </si>
  <si>
    <t>솔버톤 회의비</t>
    <phoneticPr fontId="27" type="noConversion"/>
  </si>
  <si>
    <r>
      <t xml:space="preserve">(Δ: +3,000) </t>
    </r>
    <r>
      <rPr>
        <vertAlign val="superscript"/>
        <sz val="15"/>
        <color rgb="FF292929"/>
        <rFont val="함초롬돋움"/>
        <family val="3"/>
        <charset val="129"/>
      </rPr>
      <t>1) 2) 3)</t>
    </r>
    <phoneticPr fontId="27" type="noConversion"/>
  </si>
  <si>
    <t xml:space="preserve">(Δ: +3,000) 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</si>
</sst>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3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0.63229085192294687</c:v>
                </c:pt>
                <c:pt idx="9">
                  <c:v>0.64692658589839003</c:v>
                </c:pt>
                <c:pt idx="10">
                  <c:v>0.81888068004160475</c:v>
                </c:pt>
                <c:pt idx="11">
                  <c:v>0.96557026329319451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258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G11" sqref="G11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13" t="s">
        <v>490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</row>
    <row r="2" spans="1:13" ht="20.25" customHeight="1" thickBot="1">
      <c r="A2" s="334"/>
      <c r="B2" s="424" t="s">
        <v>242</v>
      </c>
      <c r="C2" s="426" t="s">
        <v>524</v>
      </c>
      <c r="D2" s="427"/>
      <c r="E2" s="427"/>
      <c r="F2" s="435" t="s">
        <v>525</v>
      </c>
      <c r="G2" s="436"/>
      <c r="H2" s="355" t="s">
        <v>487</v>
      </c>
      <c r="I2" s="356" t="s">
        <v>480</v>
      </c>
      <c r="J2" s="354" t="s">
        <v>481</v>
      </c>
      <c r="K2" s="428"/>
      <c r="L2" s="430" t="s">
        <v>529</v>
      </c>
      <c r="M2" s="254"/>
    </row>
    <row r="3" spans="1:13" ht="22.5" thickBot="1">
      <c r="A3" s="322"/>
      <c r="B3" s="425"/>
      <c r="C3" s="432" t="s">
        <v>544</v>
      </c>
      <c r="D3" s="433"/>
      <c r="E3" s="434"/>
      <c r="F3" s="437" t="s">
        <v>545</v>
      </c>
      <c r="G3" s="438"/>
      <c r="H3" s="357" t="s">
        <v>516</v>
      </c>
      <c r="I3" s="347" t="s">
        <v>545</v>
      </c>
      <c r="J3" s="347" t="s">
        <v>495</v>
      </c>
      <c r="K3" s="429"/>
      <c r="L3" s="431"/>
      <c r="M3" s="326"/>
    </row>
    <row r="4" spans="1:13" ht="53.25" customHeight="1" thickBot="1">
      <c r="A4" s="324"/>
      <c r="B4" s="358" t="s">
        <v>7</v>
      </c>
      <c r="C4" s="359"/>
      <c r="D4" s="360"/>
      <c r="E4" s="361">
        <v>401299</v>
      </c>
      <c r="F4" s="362" t="s">
        <v>484</v>
      </c>
      <c r="G4" s="363">
        <f>ROUND((예산!G5+예산!G26)/1000,0)</f>
        <v>401299</v>
      </c>
      <c r="H4" s="348" t="s">
        <v>515</v>
      </c>
      <c r="I4" s="364">
        <f>SUM(소진일정!H4:H10,소진일정!H19:H25)/SUM(소진일정!H18,소진일정!H31)</f>
        <v>0.40861931233924298</v>
      </c>
      <c r="J4" s="365">
        <v>1</v>
      </c>
      <c r="K4" s="366" t="s">
        <v>509</v>
      </c>
      <c r="L4" s="367" t="s">
        <v>531</v>
      </c>
      <c r="M4" s="329"/>
    </row>
    <row r="5" spans="1:13" ht="62.25" customHeight="1" thickBot="1">
      <c r="A5" s="325"/>
      <c r="B5" s="442" t="s">
        <v>482</v>
      </c>
      <c r="C5" s="444">
        <f>SUM(E5:E8)</f>
        <v>1250357</v>
      </c>
      <c r="D5" s="368" t="s">
        <v>485</v>
      </c>
      <c r="E5" s="369">
        <v>300225</v>
      </c>
      <c r="F5" s="362" t="s">
        <v>484</v>
      </c>
      <c r="G5" s="369">
        <f>ROUND((SUM(예산!G69,예산!G79:G80))/1000,0)</f>
        <v>300225</v>
      </c>
      <c r="H5" s="348" t="s">
        <v>515</v>
      </c>
      <c r="I5" s="370">
        <v>0</v>
      </c>
      <c r="J5" s="371">
        <v>1</v>
      </c>
      <c r="K5" s="372" t="s">
        <v>509</v>
      </c>
      <c r="L5" s="373" t="s">
        <v>507</v>
      </c>
      <c r="M5" s="328"/>
    </row>
    <row r="6" spans="1:13" ht="35.25" thickBot="1">
      <c r="A6" s="324"/>
      <c r="B6" s="424"/>
      <c r="C6" s="445"/>
      <c r="D6" s="439" t="s">
        <v>486</v>
      </c>
      <c r="E6" s="415">
        <v>950132</v>
      </c>
      <c r="F6" s="421" t="s">
        <v>484</v>
      </c>
      <c r="G6" s="415">
        <f>ROUND((SUM(예산!G70:G78,예산!G89))/1000,0)</f>
        <v>950132</v>
      </c>
      <c r="H6" s="418" t="s">
        <v>515</v>
      </c>
      <c r="I6" s="450">
        <f>SUM(소진일정!H34,소진일정!H39,소진일정!H40,소진일정!H41)/SUM(소진일정!H33:H41)</f>
        <v>0.10841568601044735</v>
      </c>
      <c r="J6" s="453">
        <v>1</v>
      </c>
      <c r="K6" s="374" t="s">
        <v>509</v>
      </c>
      <c r="L6" s="375" t="s">
        <v>511</v>
      </c>
      <c r="M6" s="329"/>
    </row>
    <row r="7" spans="1:13" ht="35.25" thickBot="1">
      <c r="A7" s="254"/>
      <c r="B7" s="424"/>
      <c r="C7" s="445"/>
      <c r="D7" s="440"/>
      <c r="E7" s="416"/>
      <c r="F7" s="422"/>
      <c r="G7" s="416"/>
      <c r="H7" s="419"/>
      <c r="I7" s="451"/>
      <c r="J7" s="451"/>
      <c r="K7" s="374" t="s">
        <v>509</v>
      </c>
      <c r="L7" s="345" t="s">
        <v>530</v>
      </c>
      <c r="M7" s="329"/>
    </row>
    <row r="8" spans="1:13" ht="27" thickBot="1">
      <c r="A8" s="324"/>
      <c r="B8" s="443"/>
      <c r="C8" s="446"/>
      <c r="D8" s="441"/>
      <c r="E8" s="417"/>
      <c r="F8" s="423"/>
      <c r="G8" s="417"/>
      <c r="H8" s="420"/>
      <c r="I8" s="452"/>
      <c r="J8" s="454"/>
      <c r="K8" s="376" t="s">
        <v>510</v>
      </c>
      <c r="L8" s="377" t="s">
        <v>539</v>
      </c>
      <c r="M8" s="329"/>
    </row>
    <row r="9" spans="1:13" ht="59.25" customHeight="1" thickBot="1">
      <c r="A9" s="322"/>
      <c r="B9" s="378" t="s">
        <v>72</v>
      </c>
      <c r="C9" s="379"/>
      <c r="D9" s="380"/>
      <c r="E9" s="381">
        <v>108040</v>
      </c>
      <c r="F9" s="362" t="s">
        <v>484</v>
      </c>
      <c r="G9" s="369">
        <f>ROUND(예산!G97/1000,0)</f>
        <v>108040</v>
      </c>
      <c r="H9" s="348" t="s">
        <v>515</v>
      </c>
      <c r="I9" s="370">
        <f>SUM(예산!G100,예산!G104,예산!G105,예산!G107:G120)/예산!G97</f>
        <v>0.58716940563405051</v>
      </c>
      <c r="J9" s="382">
        <v>1</v>
      </c>
      <c r="K9" s="383" t="s">
        <v>509</v>
      </c>
      <c r="L9" s="377" t="s">
        <v>508</v>
      </c>
      <c r="M9" s="326"/>
    </row>
    <row r="10" spans="1:13" ht="44.25" customHeight="1" thickBot="1">
      <c r="A10" s="326"/>
      <c r="B10" s="442" t="s">
        <v>84</v>
      </c>
      <c r="C10" s="455">
        <f>SUM(E10:E11)</f>
        <v>1158461</v>
      </c>
      <c r="D10" s="384" t="s">
        <v>488</v>
      </c>
      <c r="E10" s="385">
        <v>683000</v>
      </c>
      <c r="F10" s="362" t="s">
        <v>484</v>
      </c>
      <c r="G10" s="369">
        <f>ROUND(예산!G141/1000,0)</f>
        <v>683000</v>
      </c>
      <c r="H10" s="348" t="s">
        <v>515</v>
      </c>
      <c r="I10" s="370">
        <f>242737/683000</f>
        <v>0.35539824304538797</v>
      </c>
      <c r="J10" s="371">
        <f>648287/683000</f>
        <v>0.94917569546120062</v>
      </c>
      <c r="K10" s="383" t="s">
        <v>509</v>
      </c>
      <c r="L10" s="349" t="s">
        <v>551</v>
      </c>
    </row>
    <row r="11" spans="1:13" ht="51.75" customHeight="1" thickBot="1">
      <c r="B11" s="443"/>
      <c r="C11" s="456"/>
      <c r="D11" s="386" t="s">
        <v>489</v>
      </c>
      <c r="E11" s="381">
        <v>475461</v>
      </c>
      <c r="F11" s="362" t="s">
        <v>543</v>
      </c>
      <c r="G11" s="369">
        <f>ROUND(SUM(예산!G154,예산!G160,예산!G186,예산!G196,예산!G201,예산!G209,예산!G215,예산!G221,예산!G230,예산!G257)/1000,0)</f>
        <v>475461</v>
      </c>
      <c r="H11" s="348" t="s">
        <v>553</v>
      </c>
      <c r="I11" s="346">
        <f>SUM(소진일정!E117:E120,소진일정!E126:E130,소진일정!E135:E139,소진일정!E146:E149,소진일정!E171,소진일정!E174,소진일정!E177:E179,소진일정!H181:H183)/소진일정!F186</f>
        <v>0.87575242594938485</v>
      </c>
      <c r="J11" s="371">
        <v>1</v>
      </c>
      <c r="K11" s="383" t="s">
        <v>509</v>
      </c>
      <c r="L11" s="387" t="s">
        <v>520</v>
      </c>
      <c r="M11" s="327"/>
    </row>
    <row r="12" spans="1:13" ht="51" customHeight="1" thickBot="1">
      <c r="A12" s="323"/>
      <c r="B12" s="378" t="s">
        <v>183</v>
      </c>
      <c r="C12" s="388"/>
      <c r="D12" s="389"/>
      <c r="E12" s="385">
        <f>SUM(E4:E11)</f>
        <v>2918157</v>
      </c>
      <c r="F12" s="362" t="s">
        <v>542</v>
      </c>
      <c r="G12" s="369">
        <f>ROUND(예산!G3/1000,0)</f>
        <v>2918157</v>
      </c>
      <c r="H12" s="348" t="s">
        <v>554</v>
      </c>
      <c r="I12" s="346">
        <f>SUM(I4*G4,I5*G5,I6*G6,I9*G9,I10*G10,I11*G11)/2956400</f>
        <v>0.33471405790215386</v>
      </c>
      <c r="J12" s="371">
        <f>G12/C18</f>
        <v>0.9870643350020295</v>
      </c>
      <c r="K12" s="390"/>
      <c r="L12" s="391"/>
      <c r="M12" s="326"/>
    </row>
    <row r="13" spans="1:13" ht="27" thickBot="1">
      <c r="A13" s="322"/>
      <c r="B13" s="392" t="s">
        <v>483</v>
      </c>
      <c r="C13" s="393"/>
      <c r="D13" s="394"/>
      <c r="E13" s="395">
        <f>2956400-E12</f>
        <v>38243</v>
      </c>
      <c r="F13" s="396"/>
      <c r="G13" s="397">
        <f>2956400-G12</f>
        <v>38243</v>
      </c>
      <c r="H13" s="348" t="s">
        <v>550</v>
      </c>
      <c r="I13" s="398"/>
      <c r="J13" s="399">
        <f>G13/C18</f>
        <v>1.2935664997970504E-2</v>
      </c>
      <c r="K13" s="400"/>
      <c r="L13" s="387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543</v>
      </c>
    </row>
    <row r="22" spans="2:17" ht="25.5" thickBot="1">
      <c r="O22" s="333" t="s">
        <v>484</v>
      </c>
      <c r="Q22" s="340" t="s">
        <v>521</v>
      </c>
    </row>
    <row r="23" spans="2:17">
      <c r="O23" s="447" t="s">
        <v>484</v>
      </c>
    </row>
    <row r="24" spans="2:17">
      <c r="O24" s="448"/>
    </row>
    <row r="25" spans="2:17" ht="15.75" thickBot="1">
      <c r="O25" s="449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519</v>
      </c>
      <c r="P28" s="228" t="s">
        <v>526</v>
      </c>
    </row>
    <row r="29" spans="2:17" ht="15" customHeight="1">
      <c r="O29" s="405" t="s">
        <v>526</v>
      </c>
    </row>
    <row r="30" spans="2:17" ht="15" customHeight="1">
      <c r="O30" s="406"/>
    </row>
    <row r="31" spans="2:17" ht="15.75" customHeight="1" thickBot="1">
      <c r="O31" s="407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4"/>
  <sheetViews>
    <sheetView topLeftCell="A142" workbookViewId="0">
      <selection activeCell="E185" sqref="E18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94" t="s">
        <v>0</v>
      </c>
      <c r="B1" s="478"/>
      <c r="C1" s="478"/>
      <c r="D1" s="478"/>
      <c r="E1" s="478"/>
      <c r="F1" s="478"/>
      <c r="G1" s="478"/>
      <c r="H1" s="478"/>
      <c r="I1" s="2"/>
      <c r="J1" s="494" t="s">
        <v>1</v>
      </c>
      <c r="K1" s="478"/>
      <c r="L1" s="478"/>
      <c r="M1" s="478"/>
      <c r="N1" s="478"/>
      <c r="O1" s="478"/>
      <c r="P1" s="478"/>
      <c r="Q1" s="478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2918156722.4000001</v>
      </c>
      <c r="H3" s="3">
        <f>C3-G3</f>
        <v>38243277.599999905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69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1" t="s">
        <v>17</v>
      </c>
      <c r="I7" s="4"/>
      <c r="J7" s="3"/>
      <c r="K7" s="495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70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8"/>
      <c r="I8" s="4"/>
      <c r="J8" s="3"/>
      <c r="K8" s="470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1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1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80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70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80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72"/>
      <c r="L11" s="496" t="s">
        <v>21</v>
      </c>
      <c r="M11" s="485"/>
      <c r="N11" s="485"/>
      <c r="O11" s="486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80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83"/>
      <c r="C13" s="460" t="s">
        <v>21</v>
      </c>
      <c r="D13" s="497"/>
      <c r="E13" s="497"/>
      <c r="F13" s="497"/>
      <c r="G13" s="218">
        <f>SUM(G7:G12)</f>
        <v>121138758.40000001</v>
      </c>
      <c r="H13" s="3"/>
      <c r="I13" s="4"/>
      <c r="J13" s="3"/>
      <c r="K13" s="484" t="s">
        <v>22</v>
      </c>
      <c r="L13" s="485"/>
      <c r="M13" s="485"/>
      <c r="N13" s="485"/>
      <c r="O13" s="486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6" t="s">
        <v>22</v>
      </c>
      <c r="C14" s="491"/>
      <c r="D14" s="491"/>
      <c r="E14" s="491"/>
      <c r="F14" s="493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6" t="s">
        <v>28</v>
      </c>
      <c r="D17" s="485"/>
      <c r="E17" s="485"/>
      <c r="F17" s="486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6" t="s">
        <v>22</v>
      </c>
      <c r="C19" s="485"/>
      <c r="D19" s="485"/>
      <c r="E19" s="485"/>
      <c r="F19" s="486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6" t="s">
        <v>28</v>
      </c>
      <c r="D22" s="485"/>
      <c r="E22" s="485"/>
      <c r="F22" s="486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6" t="s">
        <v>22</v>
      </c>
      <c r="C24" s="485"/>
      <c r="D24" s="485"/>
      <c r="E24" s="485"/>
      <c r="F24" s="486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69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7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70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80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70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70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89" t="s">
        <v>52</v>
      </c>
      <c r="I31" s="4"/>
      <c r="J31" s="3"/>
      <c r="K31" s="492" t="s">
        <v>22</v>
      </c>
      <c r="L31" s="491"/>
      <c r="M31" s="491"/>
      <c r="N31" s="491"/>
      <c r="O31" s="493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70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80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70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70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70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7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70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80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70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89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70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80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70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70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70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89" t="s">
        <v>68</v>
      </c>
      <c r="I41" s="4"/>
      <c r="J41" s="3"/>
      <c r="K41" s="484" t="s">
        <v>22</v>
      </c>
      <c r="L41" s="485"/>
      <c r="M41" s="485"/>
      <c r="N41" s="485"/>
      <c r="O41" s="486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70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80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70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80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70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80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70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80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70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80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70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80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70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80"/>
      <c r="I48" s="4"/>
      <c r="J48" s="3"/>
      <c r="K48" s="484" t="s">
        <v>22</v>
      </c>
      <c r="L48" s="485"/>
      <c r="M48" s="485"/>
      <c r="N48" s="485"/>
      <c r="O48" s="486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70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80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70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80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70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80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70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80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70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80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72"/>
      <c r="C54" s="496" t="s">
        <v>21</v>
      </c>
      <c r="D54" s="485"/>
      <c r="E54" s="485"/>
      <c r="F54" s="486"/>
      <c r="G54" s="11">
        <f>SUM(G28:G53)</f>
        <v>108800000</v>
      </c>
      <c r="H54" s="3"/>
      <c r="I54" s="4"/>
      <c r="J54" s="3"/>
      <c r="K54" s="484" t="s">
        <v>22</v>
      </c>
      <c r="L54" s="485"/>
      <c r="M54" s="485"/>
      <c r="N54" s="485"/>
      <c r="O54" s="486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69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70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70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70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70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89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70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80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70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84" t="s">
        <v>22</v>
      </c>
      <c r="L61" s="485"/>
      <c r="M61" s="485"/>
      <c r="N61" s="485"/>
      <c r="O61" s="486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70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72"/>
      <c r="C63" s="496" t="s">
        <v>21</v>
      </c>
      <c r="D63" s="485"/>
      <c r="E63" s="485"/>
      <c r="F63" s="486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6" t="s">
        <v>22</v>
      </c>
      <c r="C64" s="485"/>
      <c r="D64" s="485"/>
      <c r="E64" s="485"/>
      <c r="F64" s="486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69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70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70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72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84" t="s">
        <v>22</v>
      </c>
      <c r="L69" s="485"/>
      <c r="M69" s="485"/>
      <c r="N69" s="485"/>
      <c r="O69" s="486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99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7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89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80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89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7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89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80"/>
      <c r="I73" s="4"/>
      <c r="J73" s="3"/>
      <c r="K73" s="457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89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59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89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514</v>
      </c>
      <c r="I75" s="212"/>
      <c r="J75" s="3"/>
      <c r="K75" s="459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89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59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89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59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89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59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59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61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59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62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59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58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84" t="s">
        <v>22</v>
      </c>
      <c r="L83" s="485"/>
      <c r="M83" s="485"/>
      <c r="N83" s="485"/>
      <c r="O83" s="486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7"/>
      <c r="X85" s="478"/>
      <c r="Y85" s="478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7"/>
      <c r="X86" s="478"/>
      <c r="Y86" s="478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9" t="s">
        <v>109</v>
      </c>
      <c r="R87" s="481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82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80"/>
      <c r="R88" s="478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83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7" t="s">
        <v>115</v>
      </c>
      <c r="I89" s="4"/>
      <c r="J89" s="3"/>
      <c r="K89" s="484" t="s">
        <v>22</v>
      </c>
      <c r="L89" s="485"/>
      <c r="M89" s="485"/>
      <c r="N89" s="485"/>
      <c r="O89" s="486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80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69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70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72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84" t="s">
        <v>22</v>
      </c>
      <c r="L96" s="485"/>
      <c r="M96" s="485"/>
      <c r="N96" s="485"/>
      <c r="O96" s="486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69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70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84" t="s">
        <v>22</v>
      </c>
      <c r="L102" s="485"/>
      <c r="M102" s="485"/>
      <c r="N102" s="485"/>
      <c r="O102" s="486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70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70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72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57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58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60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60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60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60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60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61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76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76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76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76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62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60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60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60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60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60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60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SUM(G141,G154,G160,G186,G196,G201,G209,G215,G221,G230,G236,G257)</f>
        <v>1158461074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69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89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72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80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84" t="s">
        <v>22</v>
      </c>
      <c r="L135" s="485"/>
      <c r="M135" s="485"/>
      <c r="N135" s="485"/>
      <c r="O135" s="486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57" t="s">
        <v>356</v>
      </c>
      <c r="C138" s="11" t="s">
        <v>357</v>
      </c>
      <c r="D138" s="457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58"/>
      <c r="C139" s="11" t="s">
        <v>361</v>
      </c>
      <c r="D139" s="458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98" t="s">
        <v>157</v>
      </c>
      <c r="L142" s="56" t="s">
        <v>158</v>
      </c>
      <c r="M142" s="56">
        <v>12000000</v>
      </c>
      <c r="N142" s="489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72"/>
      <c r="L143" s="11" t="s">
        <v>159</v>
      </c>
      <c r="M143" s="11">
        <v>100000000</v>
      </c>
      <c r="N143" s="480"/>
      <c r="O143" s="477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69" t="s">
        <v>161</v>
      </c>
      <c r="L144" s="11" t="s">
        <v>162</v>
      </c>
      <c r="M144" s="11">
        <v>40000000</v>
      </c>
      <c r="N144" s="489" t="s">
        <v>163</v>
      </c>
      <c r="O144" s="478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82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72"/>
      <c r="L145" s="11" t="s">
        <v>165</v>
      </c>
      <c r="M145" s="11">
        <v>20000000</v>
      </c>
      <c r="N145" s="480"/>
      <c r="O145" s="478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80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80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87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80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80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80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87" t="s">
        <v>535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80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80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80"/>
      <c r="C151" s="216" t="s">
        <v>512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80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7" t="s">
        <v>536</v>
      </c>
      <c r="I152" s="4"/>
      <c r="J152" s="3"/>
      <c r="K152" s="490" t="s">
        <v>151</v>
      </c>
      <c r="L152" s="491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83"/>
      <c r="C153" s="3"/>
      <c r="D153" s="3"/>
      <c r="E153" s="3"/>
      <c r="F153" s="3"/>
      <c r="G153" s="3"/>
      <c r="H153" s="480"/>
      <c r="I153" s="4"/>
      <c r="J153" s="3"/>
      <c r="K153" s="57" t="s">
        <v>172</v>
      </c>
      <c r="L153" s="58">
        <f>500+400+300+200</f>
        <v>1400</v>
      </c>
      <c r="M153" s="479" t="s">
        <v>173</v>
      </c>
      <c r="N153" s="478"/>
      <c r="O153" s="478"/>
      <c r="P153" s="478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9" t="s">
        <v>175</v>
      </c>
      <c r="N154" s="478"/>
      <c r="O154" s="478"/>
      <c r="P154" s="478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89" t="s">
        <v>177</v>
      </c>
      <c r="N155" s="478"/>
      <c r="O155" s="478"/>
      <c r="P155" s="478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89" t="s">
        <v>180</v>
      </c>
      <c r="N156" s="478"/>
      <c r="O156" s="478"/>
      <c r="P156" s="478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9" t="s">
        <v>182</v>
      </c>
      <c r="N157" s="478"/>
      <c r="O157" s="478"/>
      <c r="P157" s="478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9" t="s">
        <v>184</v>
      </c>
      <c r="N158" s="478"/>
      <c r="O158" s="478"/>
      <c r="P158" s="478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9" t="s">
        <v>546</v>
      </c>
      <c r="C159" s="410"/>
      <c r="D159" s="410"/>
      <c r="E159" s="410">
        <v>30</v>
      </c>
      <c r="F159" s="410">
        <v>19900</v>
      </c>
      <c r="G159" s="319">
        <f t="shared" si="15"/>
        <v>597000</v>
      </c>
      <c r="H159" s="41" t="s">
        <v>547</v>
      </c>
      <c r="I159" s="212"/>
      <c r="J159" s="3"/>
      <c r="K159" s="408"/>
      <c r="L159" s="408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597000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69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70"/>
      <c r="C165" s="292" t="s">
        <v>187</v>
      </c>
      <c r="D165" s="293"/>
      <c r="E165" s="293">
        <v>1</v>
      </c>
      <c r="F165" s="293">
        <v>230000</v>
      </c>
      <c r="G165" s="292">
        <f t="shared" ref="G165:G184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70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70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1"/>
      <c r="C168" s="294" t="s">
        <v>342</v>
      </c>
      <c r="D168" s="411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1"/>
      <c r="C169" s="294" t="s">
        <v>344</v>
      </c>
      <c r="D169" s="411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70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70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70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72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73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74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74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74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513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74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74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75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99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89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87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89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87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89"/>
      <c r="C184" s="216" t="s">
        <v>196</v>
      </c>
      <c r="D184" s="610"/>
      <c r="E184" s="240">
        <v>1</v>
      </c>
      <c r="F184" s="611">
        <v>10000000</v>
      </c>
      <c r="G184" s="216">
        <f t="shared" si="16"/>
        <v>10000000</v>
      </c>
      <c r="H184" s="480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09"/>
      <c r="C185" s="218" t="s">
        <v>552</v>
      </c>
      <c r="D185" s="231"/>
      <c r="E185" s="269"/>
      <c r="F185" s="231"/>
      <c r="G185" s="218"/>
      <c r="H185" s="536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612"/>
      <c r="D186" s="612"/>
      <c r="E186" s="612"/>
      <c r="F186" s="229"/>
      <c r="G186" s="211">
        <f>SUM(G164:G184)</f>
        <v>82728526</v>
      </c>
      <c r="H186" s="480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69" t="s">
        <v>117</v>
      </c>
      <c r="C190" s="350" t="s">
        <v>118</v>
      </c>
      <c r="D190" s="351"/>
      <c r="E190" s="352">
        <v>500000</v>
      </c>
      <c r="F190" s="350">
        <v>2</v>
      </c>
      <c r="G190" s="350">
        <f>E190*F190-G194</f>
        <v>904000</v>
      </c>
      <c r="H190" s="3" t="s">
        <v>527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0"/>
      <c r="C191" s="11" t="s">
        <v>119</v>
      </c>
      <c r="D191" s="27"/>
      <c r="E191" s="31">
        <v>50000</v>
      </c>
      <c r="F191" s="11">
        <v>2</v>
      </c>
      <c r="G191" s="11">
        <f t="shared" ref="G191:G195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1"/>
      <c r="C192" s="292" t="s">
        <v>451</v>
      </c>
      <c r="D192" s="293"/>
      <c r="E192" s="297">
        <v>371600</v>
      </c>
      <c r="F192" s="292">
        <v>1</v>
      </c>
      <c r="G192" s="292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1"/>
      <c r="C193" s="292" t="s">
        <v>479</v>
      </c>
      <c r="D193" s="293"/>
      <c r="E193" s="297">
        <v>52500</v>
      </c>
      <c r="F193" s="292">
        <v>1</v>
      </c>
      <c r="G193" s="292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71"/>
      <c r="C194" s="292" t="s">
        <v>451</v>
      </c>
      <c r="D194" s="293"/>
      <c r="E194" s="297">
        <v>96000</v>
      </c>
      <c r="F194" s="292">
        <v>1</v>
      </c>
      <c r="G194" s="292">
        <f t="shared" si="17"/>
        <v>96000</v>
      </c>
      <c r="H194" s="3" t="s">
        <v>549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472"/>
      <c r="C195" s="26" t="s">
        <v>120</v>
      </c>
      <c r="D195" s="35"/>
      <c r="E195" s="40">
        <v>0</v>
      </c>
      <c r="F195" s="26">
        <v>1</v>
      </c>
      <c r="G195" s="26">
        <f t="shared" si="17"/>
        <v>0</v>
      </c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15" t="s">
        <v>22</v>
      </c>
      <c r="C196" s="18"/>
      <c r="D196" s="18"/>
      <c r="E196" s="18"/>
      <c r="F196" s="29"/>
      <c r="G196" s="11">
        <f>SUM(G190:G195)</f>
        <v>1524100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3"/>
      <c r="C197" s="3"/>
      <c r="D197" s="3"/>
      <c r="E197" s="3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 t="s">
        <v>197</v>
      </c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11" t="s">
        <v>8</v>
      </c>
      <c r="C199" s="15" t="s">
        <v>28</v>
      </c>
      <c r="D199" s="18"/>
      <c r="E199" s="18"/>
      <c r="F199" s="29"/>
      <c r="G199" s="11" t="s">
        <v>13</v>
      </c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197</v>
      </c>
      <c r="C200" s="28">
        <v>30000</v>
      </c>
      <c r="D200" s="42"/>
      <c r="E200" s="42"/>
      <c r="F200" s="29">
        <v>5</v>
      </c>
      <c r="G200" s="11">
        <f>C200*F200</f>
        <v>150000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5" t="s">
        <v>22</v>
      </c>
      <c r="C201" s="18"/>
      <c r="D201" s="18"/>
      <c r="E201" s="18"/>
      <c r="F201" s="29"/>
      <c r="G201" s="11">
        <f>G200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3"/>
      <c r="C202" s="3"/>
      <c r="D202" s="3"/>
      <c r="E202" s="3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 t="s">
        <v>121</v>
      </c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8</v>
      </c>
      <c r="C204" s="15" t="s">
        <v>28</v>
      </c>
      <c r="D204" s="18"/>
      <c r="E204" s="18"/>
      <c r="F204" s="29"/>
      <c r="G204" s="11" t="s">
        <v>13</v>
      </c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2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124</v>
      </c>
      <c r="C205" s="11" t="s">
        <v>198</v>
      </c>
      <c r="D205" s="27"/>
      <c r="E205" s="27">
        <v>180</v>
      </c>
      <c r="F205" s="11">
        <v>5000</v>
      </c>
      <c r="G205" s="11">
        <f t="shared" ref="G205:G208" si="18">E205*F205</f>
        <v>900000</v>
      </c>
      <c r="H205" s="8" t="s">
        <v>474</v>
      </c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199</v>
      </c>
      <c r="C206" s="11" t="s">
        <v>200</v>
      </c>
      <c r="D206" s="27"/>
      <c r="E206" s="27">
        <v>2</v>
      </c>
      <c r="F206" s="11">
        <v>50000</v>
      </c>
      <c r="G206" s="11">
        <f t="shared" si="18"/>
        <v>100000</v>
      </c>
      <c r="H206" s="3"/>
      <c r="I206" s="4"/>
      <c r="J206" s="3"/>
      <c r="K206" s="8"/>
      <c r="L206" s="488"/>
      <c r="M206" s="478"/>
      <c r="N206" s="478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201</v>
      </c>
      <c r="C207" s="11" t="s">
        <v>202</v>
      </c>
      <c r="D207" s="27"/>
      <c r="E207" s="27">
        <v>81</v>
      </c>
      <c r="F207" s="11">
        <v>109000</v>
      </c>
      <c r="G207" s="11">
        <f t="shared" si="18"/>
        <v>8829000</v>
      </c>
      <c r="H207" s="3"/>
      <c r="I207" s="4"/>
      <c r="J207" s="3"/>
      <c r="K207" s="8"/>
      <c r="L207" s="478"/>
      <c r="M207" s="478"/>
      <c r="N207" s="478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203</v>
      </c>
      <c r="C208" s="11" t="s">
        <v>204</v>
      </c>
      <c r="D208" s="27"/>
      <c r="E208" s="27">
        <v>61</v>
      </c>
      <c r="F208" s="11">
        <v>30000</v>
      </c>
      <c r="G208" s="11">
        <f t="shared" si="18"/>
        <v>1830000</v>
      </c>
      <c r="H208" s="30" t="s">
        <v>156</v>
      </c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5" t="s">
        <v>22</v>
      </c>
      <c r="C209" s="18"/>
      <c r="D209" s="18"/>
      <c r="E209" s="18"/>
      <c r="F209" s="29"/>
      <c r="G209" s="11">
        <f>SUM(G205:G208)</f>
        <v>11659000</v>
      </c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3"/>
      <c r="C210" s="3"/>
      <c r="D210" s="3"/>
      <c r="E210" s="3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 t="s">
        <v>205</v>
      </c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1" t="s">
        <v>8</v>
      </c>
      <c r="C212" s="15" t="s">
        <v>28</v>
      </c>
      <c r="D212" s="18"/>
      <c r="E212" s="18"/>
      <c r="F212" s="29"/>
      <c r="G212" s="11" t="s">
        <v>13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/>
      <c r="C213" s="27" t="s">
        <v>206</v>
      </c>
      <c r="D213" s="27"/>
      <c r="E213" s="27">
        <v>5</v>
      </c>
      <c r="F213" s="11">
        <v>5000</v>
      </c>
      <c r="G213" s="11">
        <f t="shared" ref="G213:G214" si="19">E213*F213</f>
        <v>25000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93" t="s">
        <v>207</v>
      </c>
      <c r="D214" s="293"/>
      <c r="E214" s="293">
        <v>1</v>
      </c>
      <c r="F214" s="292">
        <v>2043000</v>
      </c>
      <c r="G214" s="292">
        <f t="shared" si="19"/>
        <v>2043000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5" t="s">
        <v>22</v>
      </c>
      <c r="C215" s="18"/>
      <c r="D215" s="18"/>
      <c r="E215" s="18"/>
      <c r="F215" s="29"/>
      <c r="G215" s="11">
        <f>SUM(G213:G214)</f>
        <v>2068000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3"/>
      <c r="C216" s="3"/>
      <c r="D216" s="3"/>
      <c r="E216" s="3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 t="s">
        <v>208</v>
      </c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1" t="s">
        <v>8</v>
      </c>
      <c r="C218" s="15" t="s">
        <v>28</v>
      </c>
      <c r="D218" s="18"/>
      <c r="E218" s="18"/>
      <c r="F218" s="29"/>
      <c r="G218" s="11" t="s">
        <v>13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2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19" t="s">
        <v>209</v>
      </c>
      <c r="C219" s="319" t="s">
        <v>210</v>
      </c>
      <c r="D219" s="412"/>
      <c r="E219" s="319">
        <f>20</f>
        <v>20</v>
      </c>
      <c r="F219" s="319">
        <v>30000</v>
      </c>
      <c r="G219" s="319">
        <f>E219*F219</f>
        <v>600000</v>
      </c>
      <c r="H219" s="3" t="s">
        <v>548</v>
      </c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53" t="s">
        <v>211</v>
      </c>
      <c r="C220" s="350" t="s">
        <v>212</v>
      </c>
      <c r="D220" s="350"/>
      <c r="E220" s="350">
        <v>42</v>
      </c>
      <c r="F220" s="350">
        <f>25900</f>
        <v>25900</v>
      </c>
      <c r="G220" s="350">
        <f>E220*F220</f>
        <v>1087800</v>
      </c>
      <c r="H220" s="8" t="s">
        <v>528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5" t="s">
        <v>22</v>
      </c>
      <c r="C221" s="18"/>
      <c r="D221" s="18"/>
      <c r="E221" s="18"/>
      <c r="F221" s="29"/>
      <c r="G221" s="11">
        <f>SUM(G219:G220)</f>
        <v>1687800</v>
      </c>
      <c r="H221" s="8" t="s">
        <v>213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"/>
      <c r="C222" s="3"/>
      <c r="D222" s="3"/>
      <c r="E222" s="3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07" t="s">
        <v>135</v>
      </c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1" t="s">
        <v>8</v>
      </c>
      <c r="C224" s="28" t="s">
        <v>28</v>
      </c>
      <c r="D224" s="42"/>
      <c r="E224" s="42"/>
      <c r="F224" s="42"/>
      <c r="G224" s="11" t="s">
        <v>13</v>
      </c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292" t="s">
        <v>140</v>
      </c>
      <c r="C225" s="297">
        <f>R126</f>
        <v>151120240</v>
      </c>
      <c r="D225" s="293"/>
      <c r="E225" s="293"/>
      <c r="F225" s="293"/>
      <c r="G225" s="292">
        <f t="shared" ref="G225:G227" si="20">C225</f>
        <v>151120240</v>
      </c>
      <c r="H225" s="3" t="s">
        <v>214</v>
      </c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7.25" customHeight="1">
      <c r="A226" s="3"/>
      <c r="B226" s="292" t="s">
        <v>142</v>
      </c>
      <c r="C226" s="302">
        <f>R127</f>
        <v>186772440</v>
      </c>
      <c r="D226" s="295"/>
      <c r="E226" s="295"/>
      <c r="F226" s="295"/>
      <c r="G226" s="294">
        <f t="shared" si="20"/>
        <v>186772440</v>
      </c>
      <c r="H226" s="3" t="s">
        <v>455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303" t="s">
        <v>158</v>
      </c>
      <c r="C227" s="304">
        <v>12743500</v>
      </c>
      <c r="D227" s="305"/>
      <c r="E227" s="305"/>
      <c r="F227" s="305"/>
      <c r="G227" s="306">
        <f t="shared" si="20"/>
        <v>12743500</v>
      </c>
      <c r="H227" s="220" t="s">
        <v>215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11" t="s">
        <v>363</v>
      </c>
      <c r="C228" s="230">
        <v>0</v>
      </c>
      <c r="D228" s="291"/>
      <c r="E228" s="291"/>
      <c r="F228" s="291"/>
      <c r="G228" s="211">
        <f t="shared" ref="G228:G229" si="21">C228</f>
        <v>0</v>
      </c>
      <c r="H228" s="220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364</v>
      </c>
      <c r="C229" s="31">
        <v>0</v>
      </c>
      <c r="D229" s="27"/>
      <c r="E229" s="27"/>
      <c r="F229" s="27"/>
      <c r="G229" s="11">
        <f t="shared" si="21"/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5" t="s">
        <v>22</v>
      </c>
      <c r="C230" s="18"/>
      <c r="D230" s="18"/>
      <c r="E230" s="18"/>
      <c r="F230" s="29"/>
      <c r="G230" s="11">
        <f>SUM(G225:G229)</f>
        <v>350636180</v>
      </c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242"/>
      <c r="C231" s="242"/>
      <c r="D231" s="242"/>
      <c r="E231" s="242"/>
      <c r="F231" s="242"/>
      <c r="G231" s="242"/>
      <c r="H231" s="3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 t="s">
        <v>105</v>
      </c>
      <c r="C232" s="3"/>
      <c r="D232" s="3"/>
      <c r="E232" s="3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8" customHeight="1">
      <c r="A233" s="3"/>
      <c r="B233" s="11" t="s">
        <v>8</v>
      </c>
      <c r="C233" s="11" t="s">
        <v>28</v>
      </c>
      <c r="D233" s="11"/>
      <c r="E233" s="11"/>
      <c r="F233" s="11"/>
      <c r="G233" s="11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7.25" customHeight="1">
      <c r="A234" s="3"/>
      <c r="B234" s="11" t="s">
        <v>108</v>
      </c>
      <c r="C234" s="11">
        <v>18480000</v>
      </c>
      <c r="D234" s="11"/>
      <c r="E234" s="11"/>
      <c r="F234" s="11"/>
      <c r="G234" s="11">
        <v>0</v>
      </c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>
      <c r="A235" s="8"/>
      <c r="B235" s="11" t="s">
        <v>113</v>
      </c>
      <c r="C235" s="11">
        <v>21120000</v>
      </c>
      <c r="D235" s="11"/>
      <c r="E235" s="11"/>
      <c r="F235" s="11"/>
      <c r="G235" s="11">
        <v>0</v>
      </c>
      <c r="H235" s="8">
        <v>0</v>
      </c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484" t="s">
        <v>22</v>
      </c>
      <c r="C236" s="485"/>
      <c r="D236" s="485"/>
      <c r="E236" s="485"/>
      <c r="F236" s="486"/>
      <c r="G236" s="11">
        <f>SUM(G234,G235)</f>
        <v>0</v>
      </c>
      <c r="H236" s="8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3"/>
      <c r="B237" s="3"/>
      <c r="C237" s="3"/>
      <c r="D237" s="3"/>
      <c r="E237" s="3"/>
      <c r="F237" s="3"/>
      <c r="G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3" t="s">
        <v>143</v>
      </c>
      <c r="C238" s="3"/>
      <c r="D238" s="3"/>
      <c r="E238" s="3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216" t="s">
        <v>8</v>
      </c>
      <c r="C239" s="217" t="s">
        <v>28</v>
      </c>
      <c r="D239" s="265"/>
      <c r="E239" s="265"/>
      <c r="F239" s="266"/>
      <c r="G239" s="216" t="s">
        <v>13</v>
      </c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66" t="s">
        <v>216</v>
      </c>
      <c r="C240" s="306" t="s">
        <v>441</v>
      </c>
      <c r="D240" s="306"/>
      <c r="E240" s="306">
        <v>1</v>
      </c>
      <c r="F240" s="306">
        <v>290000</v>
      </c>
      <c r="G240" s="306">
        <f t="shared" ref="G240:G252" si="22">E240*F240</f>
        <v>290000</v>
      </c>
      <c r="H240" s="220" t="s">
        <v>220</v>
      </c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67"/>
      <c r="C241" s="306" t="s">
        <v>442</v>
      </c>
      <c r="D241" s="306"/>
      <c r="E241" s="306">
        <v>1</v>
      </c>
      <c r="F241" s="306">
        <v>290000</v>
      </c>
      <c r="G241" s="306">
        <f t="shared" si="22"/>
        <v>290000</v>
      </c>
      <c r="H241" s="220"/>
      <c r="I241" s="2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67"/>
      <c r="C242" s="306" t="s">
        <v>443</v>
      </c>
      <c r="D242" s="306"/>
      <c r="E242" s="306">
        <v>1</v>
      </c>
      <c r="F242" s="306">
        <v>210000</v>
      </c>
      <c r="G242" s="306">
        <f t="shared" si="22"/>
        <v>210000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68"/>
      <c r="C243" s="306" t="s">
        <v>444</v>
      </c>
      <c r="D243" s="306"/>
      <c r="E243" s="306">
        <v>1</v>
      </c>
      <c r="F243" s="306">
        <v>210000</v>
      </c>
      <c r="G243" s="306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63" t="s">
        <v>434</v>
      </c>
      <c r="C244" s="308" t="s">
        <v>435</v>
      </c>
      <c r="D244" s="308"/>
      <c r="E244" s="308">
        <v>1</v>
      </c>
      <c r="F244" s="308">
        <v>540000</v>
      </c>
      <c r="G244" s="308">
        <f t="shared" si="22"/>
        <v>540000</v>
      </c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64"/>
      <c r="C245" s="292" t="s">
        <v>436</v>
      </c>
      <c r="D245" s="292"/>
      <c r="E245" s="292">
        <v>1</v>
      </c>
      <c r="F245" s="292">
        <v>540000</v>
      </c>
      <c r="G245" s="292">
        <f t="shared" si="22"/>
        <v>540000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64"/>
      <c r="C246" s="292" t="s">
        <v>437</v>
      </c>
      <c r="D246" s="292"/>
      <c r="E246" s="292">
        <v>1</v>
      </c>
      <c r="F246" s="292">
        <v>1260000</v>
      </c>
      <c r="G246" s="292">
        <f t="shared" si="22"/>
        <v>1260000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65"/>
      <c r="C247" s="292" t="s">
        <v>440</v>
      </c>
      <c r="D247" s="292"/>
      <c r="E247" s="292">
        <v>1</v>
      </c>
      <c r="F247" s="292">
        <v>1260000</v>
      </c>
      <c r="G247" s="292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308" t="s">
        <v>438</v>
      </c>
      <c r="C248" s="292" t="s">
        <v>439</v>
      </c>
      <c r="D248" s="292"/>
      <c r="E248" s="292">
        <v>1</v>
      </c>
      <c r="F248" s="292">
        <v>2700000</v>
      </c>
      <c r="G248" s="292">
        <f t="shared" si="22"/>
        <v>2700000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57" t="s">
        <v>518</v>
      </c>
      <c r="C249" s="11"/>
      <c r="D249" s="11"/>
      <c r="E249" s="319">
        <v>24</v>
      </c>
      <c r="F249" s="319">
        <v>30000</v>
      </c>
      <c r="G249" s="319">
        <f t="shared" si="22"/>
        <v>720000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59"/>
      <c r="C250" s="11"/>
      <c r="D250" s="11"/>
      <c r="E250" s="11">
        <v>100</v>
      </c>
      <c r="F250" s="11">
        <v>30000</v>
      </c>
      <c r="G250" s="11">
        <f t="shared" si="22"/>
        <v>3000000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59"/>
      <c r="C251" s="11"/>
      <c r="D251" s="11"/>
      <c r="E251" s="11">
        <v>50</v>
      </c>
      <c r="F251" s="11">
        <v>30000</v>
      </c>
      <c r="G251" s="11">
        <f t="shared" si="22"/>
        <v>1500000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59"/>
      <c r="C252" s="11"/>
      <c r="D252" s="11"/>
      <c r="E252" s="11">
        <v>200</v>
      </c>
      <c r="F252" s="11">
        <v>30000</v>
      </c>
      <c r="G252" s="11">
        <f t="shared" si="22"/>
        <v>6000000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58"/>
      <c r="C253" s="11"/>
      <c r="D253" s="11"/>
      <c r="E253" s="11"/>
      <c r="F253" s="11"/>
      <c r="G253" s="11"/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57" t="s">
        <v>540</v>
      </c>
      <c r="C254" s="11"/>
      <c r="D254" s="11"/>
      <c r="E254" s="319">
        <v>1</v>
      </c>
      <c r="F254" s="319">
        <v>370000</v>
      </c>
      <c r="G254" s="319">
        <f t="shared" ref="G254:G256" si="23">E254*F254</f>
        <v>370000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458"/>
      <c r="C255" s="11"/>
      <c r="D255" s="11"/>
      <c r="E255" s="319">
        <v>1</v>
      </c>
      <c r="F255" s="319">
        <v>370000</v>
      </c>
      <c r="G255" s="319">
        <f t="shared" ref="G255" si="24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211" t="s">
        <v>541</v>
      </c>
      <c r="C256" s="11"/>
      <c r="D256" s="11"/>
      <c r="E256" s="319">
        <v>1</v>
      </c>
      <c r="F256" s="319">
        <v>2220000</v>
      </c>
      <c r="G256" s="319">
        <f t="shared" si="23"/>
        <v>2220000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11" t="s">
        <v>22</v>
      </c>
      <c r="C257" s="11"/>
      <c r="D257" s="11"/>
      <c r="E257" s="11"/>
      <c r="F257" s="11"/>
      <c r="G257" s="11">
        <f>SUM(G240:G256)</f>
        <v>21480000</v>
      </c>
      <c r="H257" s="3"/>
      <c r="I257" s="4"/>
      <c r="J257" s="488"/>
      <c r="K257" s="478"/>
      <c r="L257" s="478"/>
      <c r="M257" s="478"/>
      <c r="N257" s="478"/>
      <c r="O257" s="478"/>
      <c r="P257" s="478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23"/>
      <c r="C258" s="23"/>
      <c r="D258" s="23"/>
      <c r="E258" s="23"/>
      <c r="F258" s="23"/>
      <c r="G258" s="3"/>
      <c r="H258" s="3"/>
      <c r="I258" s="4"/>
      <c r="J258" s="478"/>
      <c r="K258" s="478"/>
      <c r="L258" s="478"/>
      <c r="M258" s="478"/>
      <c r="N258" s="478"/>
      <c r="O258" s="478"/>
      <c r="P258" s="478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/>
      <c r="C259" s="3"/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 t="s">
        <v>221</v>
      </c>
      <c r="C260" s="3">
        <f>C2*0.05</f>
        <v>155600000</v>
      </c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23"/>
      <c r="L262" s="2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2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2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23"/>
      <c r="D273" s="23"/>
      <c r="E273" s="23"/>
      <c r="F273" s="2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2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2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8.7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5" customHeight="1">
      <c r="B1070" s="3"/>
      <c r="C1070" s="3"/>
      <c r="D1070" s="3"/>
      <c r="E1070" s="3"/>
      <c r="F1070" s="3"/>
      <c r="G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6:F236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7:P258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6:N207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4:B255"/>
    <mergeCell ref="B249:B253"/>
    <mergeCell ref="B120:B125"/>
    <mergeCell ref="B80:B81"/>
    <mergeCell ref="B244:B247"/>
    <mergeCell ref="B240:B243"/>
    <mergeCell ref="B190:B195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35" t="s">
        <v>273</v>
      </c>
      <c r="B1" s="536"/>
      <c r="C1" s="536"/>
      <c r="D1" s="536"/>
      <c r="E1" s="536"/>
      <c r="F1" s="536"/>
      <c r="G1" s="536"/>
      <c r="H1" s="536"/>
      <c r="I1" s="536"/>
      <c r="J1" s="536"/>
      <c r="K1" s="536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6"/>
      <c r="R2" s="537" t="s">
        <v>240</v>
      </c>
      <c r="S2" s="486"/>
      <c r="T2" s="537" t="s">
        <v>31</v>
      </c>
      <c r="U2" s="486"/>
      <c r="V2" s="537" t="s">
        <v>72</v>
      </c>
      <c r="W2" s="486"/>
      <c r="X2" s="537" t="s">
        <v>84</v>
      </c>
      <c r="Y2" s="486"/>
      <c r="Z2" s="537" t="s">
        <v>241</v>
      </c>
      <c r="AA2" s="486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31017560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789732154.92499995</v>
      </c>
      <c r="AM2" s="247">
        <f t="shared" si="0"/>
        <v>43269083.924999997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2854611926.4000001</v>
      </c>
      <c r="AQ2" s="248">
        <f>$A$2-$AP$2</f>
        <v>101788073.5999999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1140662189</v>
      </c>
      <c r="Y3" s="81">
        <f>K186</f>
        <v>0.98463575048012364</v>
      </c>
      <c r="Z3" s="82">
        <f>H187</f>
        <v>2866723837.4000001</v>
      </c>
      <c r="AA3" s="83">
        <f>K187</f>
        <v>0.98237487225919118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4.6758432891354354E-2</v>
      </c>
      <c r="AH3" s="249">
        <f t="shared" si="1"/>
        <v>0.19078499388614534</v>
      </c>
      <c r="AI3" s="249">
        <f t="shared" si="1"/>
        <v>0.20186814296103373</v>
      </c>
      <c r="AJ3" s="249">
        <f t="shared" si="1"/>
        <v>0.28804170672946833</v>
      </c>
      <c r="AK3" s="249">
        <f t="shared" si="1"/>
        <v>0.36516456491002575</v>
      </c>
      <c r="AL3" s="249">
        <f t="shared" si="1"/>
        <v>0.63229085192294687</v>
      </c>
      <c r="AM3" s="249">
        <f t="shared" si="1"/>
        <v>0.64692658589839003</v>
      </c>
      <c r="AN3" s="249">
        <f t="shared" si="1"/>
        <v>0.81888068004160475</v>
      </c>
      <c r="AO3" s="249">
        <f t="shared" si="1"/>
        <v>0.96557026329319451</v>
      </c>
      <c r="AP3" s="249">
        <f t="shared" ref="AP3:AQ3" si="2">AP2/$A$2</f>
        <v>0.96557026329319451</v>
      </c>
      <c r="AQ3" s="249">
        <f t="shared" si="2"/>
        <v>3.442973670680554E-2</v>
      </c>
    </row>
    <row r="4" spans="1:43" ht="16.5" customHeight="1">
      <c r="A4" s="513" t="s">
        <v>7</v>
      </c>
      <c r="B4" s="514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6"/>
      <c r="G4" s="85" t="s">
        <v>225</v>
      </c>
      <c r="H4" s="86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70"/>
      <c r="B5" s="470"/>
      <c r="C5" s="470"/>
      <c r="D5" s="236" t="s">
        <v>19</v>
      </c>
      <c r="E5" s="551">
        <f>예산!G8</f>
        <v>4768500</v>
      </c>
      <c r="F5" s="501"/>
      <c r="G5" s="85" t="s">
        <v>226</v>
      </c>
      <c r="H5" s="86">
        <f>예산!E7+예산!E8</f>
        <v>3405260</v>
      </c>
      <c r="I5" s="87"/>
      <c r="J5" s="85"/>
      <c r="K5" s="47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70"/>
      <c r="B6" s="470"/>
      <c r="C6" s="480"/>
      <c r="D6" s="238" t="s">
        <v>354</v>
      </c>
      <c r="E6" s="551">
        <f>예산!G9</f>
        <v>19608863.399999999</v>
      </c>
      <c r="F6" s="501"/>
      <c r="G6" s="235" t="s">
        <v>227</v>
      </c>
      <c r="H6" s="86">
        <f>SUM(예산!$E$7:$E$8)</f>
        <v>3405260</v>
      </c>
      <c r="I6" s="87"/>
      <c r="J6" s="85"/>
      <c r="K6" s="47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70"/>
      <c r="B7" s="470"/>
      <c r="C7" s="480"/>
      <c r="D7" s="237" t="s">
        <v>332</v>
      </c>
      <c r="E7" s="540">
        <f>예산!G10</f>
        <v>37350216</v>
      </c>
      <c r="F7" s="497"/>
      <c r="G7" s="235" t="s">
        <v>228</v>
      </c>
      <c r="H7" s="86">
        <f>SUM(예산!$E$9:$E$10)</f>
        <v>7119884.9249999998</v>
      </c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70"/>
      <c r="B8" s="470"/>
      <c r="C8" s="480"/>
      <c r="D8" s="237" t="s">
        <v>382</v>
      </c>
      <c r="E8" s="548">
        <f>예산!G11</f>
        <v>32681439</v>
      </c>
      <c r="F8" s="549"/>
      <c r="G8" s="235" t="s">
        <v>229</v>
      </c>
      <c r="H8" s="86">
        <f>SUM(예산!$E$9:$E$11)+1047560</f>
        <v>12836221.925000001</v>
      </c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70"/>
      <c r="B9" s="470"/>
      <c r="C9" s="470"/>
      <c r="D9" s="237" t="s">
        <v>408</v>
      </c>
      <c r="E9" s="548">
        <f>예산!G12</f>
        <v>20858532</v>
      </c>
      <c r="F9" s="549"/>
      <c r="G9" s="85" t="s">
        <v>230</v>
      </c>
      <c r="H9" s="86">
        <f>SUM(예산!$E$9:$E$12)</f>
        <v>15265083.925000001</v>
      </c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70"/>
      <c r="B10" s="470"/>
      <c r="C10" s="470"/>
      <c r="D10" s="542"/>
      <c r="E10" s="543"/>
      <c r="F10" s="544"/>
      <c r="G10" s="85" t="s">
        <v>231</v>
      </c>
      <c r="H10" s="86">
        <f>SUM(예산!$E$9:$E$12)</f>
        <v>15265083.925000001</v>
      </c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70"/>
      <c r="B11" s="470"/>
      <c r="C11" s="470"/>
      <c r="D11" s="542"/>
      <c r="E11" s="543"/>
      <c r="F11" s="544"/>
      <c r="G11" s="85" t="s">
        <v>232</v>
      </c>
      <c r="H11" s="86">
        <f>SUM(예산!$E$9:$E$12)</f>
        <v>15265083.925000001</v>
      </c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70"/>
      <c r="B12" s="470"/>
      <c r="C12" s="470"/>
      <c r="D12" s="542"/>
      <c r="E12" s="543"/>
      <c r="F12" s="544"/>
      <c r="G12" s="85" t="s">
        <v>233</v>
      </c>
      <c r="H12" s="86">
        <f>SUM(예산!$E$9:$E$12)</f>
        <v>15265083.925000001</v>
      </c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70"/>
      <c r="B13" s="470"/>
      <c r="C13" s="470"/>
      <c r="D13" s="542"/>
      <c r="E13" s="543"/>
      <c r="F13" s="544"/>
      <c r="G13" s="85" t="s">
        <v>234</v>
      </c>
      <c r="H13" s="86">
        <f>SUM(예산!$E$9:$E$12)</f>
        <v>15265083.925000001</v>
      </c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70"/>
      <c r="B14" s="472"/>
      <c r="C14" s="472"/>
      <c r="D14" s="545"/>
      <c r="E14" s="546"/>
      <c r="F14" s="547"/>
      <c r="G14" s="85" t="s">
        <v>235</v>
      </c>
      <c r="H14" s="86">
        <f>SUM(예산!$E$9:$E$12)</f>
        <v>15265083.925000001</v>
      </c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70"/>
      <c r="B15" s="502" t="s">
        <v>21</v>
      </c>
      <c r="C15" s="485"/>
      <c r="D15" s="486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70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6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0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2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8" t="s">
        <v>254</v>
      </c>
      <c r="B31" s="485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38"/>
      <c r="J31" s="486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9" t="s">
        <v>31</v>
      </c>
      <c r="B32" s="514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0"/>
      <c r="B33" s="532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0"/>
      <c r="B34" s="470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0"/>
      <c r="B35" s="470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0"/>
      <c r="B36" s="470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0"/>
      <c r="B37" s="471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0"/>
      <c r="B38" s="471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0"/>
      <c r="B39" s="471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0"/>
      <c r="B40" s="471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0"/>
      <c r="B41" s="472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0"/>
      <c r="B42" s="502" t="s">
        <v>21</v>
      </c>
      <c r="C42" s="485"/>
      <c r="D42" s="486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0"/>
      <c r="B43" s="514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0"/>
      <c r="B44" s="470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0"/>
      <c r="B45" s="472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0"/>
      <c r="B46" s="516" t="s">
        <v>21</v>
      </c>
      <c r="C46" s="517"/>
      <c r="D46" s="501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1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8" t="s">
        <v>256</v>
      </c>
      <c r="B48" s="491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15"/>
      <c r="J48" s="493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9" t="s">
        <v>72</v>
      </c>
      <c r="B49" s="514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0"/>
      <c r="B50" s="470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0"/>
      <c r="B51" s="470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0"/>
      <c r="B52" s="472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0"/>
      <c r="B53" s="522" t="s">
        <v>261</v>
      </c>
      <c r="C53" s="510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0"/>
      <c r="B54" s="523"/>
      <c r="C54" s="512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0"/>
      <c r="B55" s="523"/>
      <c r="C55" s="525" t="s">
        <v>139</v>
      </c>
      <c r="D55" s="528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0"/>
      <c r="B56" s="523"/>
      <c r="C56" s="526"/>
      <c r="D56" s="529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0"/>
      <c r="B57" s="523"/>
      <c r="C57" s="526"/>
      <c r="D57" s="529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0"/>
      <c r="B58" s="523"/>
      <c r="C58" s="526"/>
      <c r="D58" s="530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0"/>
      <c r="B59" s="523"/>
      <c r="C59" s="526"/>
      <c r="D59" s="528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0"/>
      <c r="B60" s="523"/>
      <c r="C60" s="526"/>
      <c r="D60" s="529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0"/>
      <c r="B61" s="523"/>
      <c r="C61" s="526"/>
      <c r="D61" s="529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0"/>
      <c r="B62" s="523"/>
      <c r="C62" s="526"/>
      <c r="D62" s="529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0"/>
      <c r="B63" s="523"/>
      <c r="C63" s="526"/>
      <c r="D63" s="530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0"/>
      <c r="B64" s="523"/>
      <c r="C64" s="526"/>
      <c r="D64" s="528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0"/>
      <c r="B65" s="523"/>
      <c r="C65" s="526"/>
      <c r="D65" s="529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0"/>
      <c r="B66" s="523"/>
      <c r="C66" s="526"/>
      <c r="D66" s="529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1"/>
      <c r="B67" s="524"/>
      <c r="C67" s="527"/>
      <c r="D67" s="530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05" t="s">
        <v>263</v>
      </c>
      <c r="B68" s="506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07"/>
      <c r="J68" s="508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13" t="s">
        <v>84</v>
      </c>
      <c r="B69" s="531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532"/>
      <c r="C70" s="510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32"/>
      <c r="C71" s="511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32"/>
      <c r="C72" s="511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1"/>
      <c r="B73" s="532"/>
      <c r="C73" s="511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1"/>
      <c r="B74" s="532"/>
      <c r="C74" s="511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1"/>
      <c r="B75" s="532"/>
      <c r="C75" s="511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1"/>
      <c r="B76" s="532"/>
      <c r="C76" s="511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1"/>
      <c r="B77" s="532"/>
      <c r="C77" s="533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1"/>
      <c r="B78" s="532"/>
      <c r="C78" s="534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1"/>
      <c r="B79" s="532"/>
      <c r="C79" s="510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1"/>
      <c r="B80" s="532"/>
      <c r="C80" s="511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1"/>
      <c r="B81" s="532"/>
      <c r="C81" s="511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1"/>
      <c r="B82" s="532"/>
      <c r="C82" s="511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1"/>
      <c r="B83" s="532"/>
      <c r="C83" s="512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1"/>
      <c r="B84" s="532"/>
      <c r="C84" s="510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1"/>
      <c r="B85" s="532"/>
      <c r="C85" s="511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1"/>
      <c r="B86" s="532"/>
      <c r="C86" s="511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1"/>
      <c r="B87" s="532"/>
      <c r="C87" s="511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1"/>
      <c r="B88" s="532"/>
      <c r="C88" s="512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1"/>
      <c r="B89" s="509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1"/>
      <c r="B90" s="509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1"/>
      <c r="B91" s="509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1"/>
      <c r="B93" s="243"/>
      <c r="C93" s="510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1"/>
      <c r="B94" s="243"/>
      <c r="C94" s="511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1"/>
      <c r="B95" s="243"/>
      <c r="C95" s="511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1"/>
      <c r="B96" s="243"/>
      <c r="C96" s="511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1"/>
      <c r="B97" s="243"/>
      <c r="C97" s="511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1"/>
      <c r="B98" s="243"/>
      <c r="C98" s="512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B99" s="514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B100" s="470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B101" s="470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B102" s="470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B103" s="472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B104" s="514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B105" s="470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B106" s="470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B107" s="472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B108" s="514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B109" s="470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B110" s="470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B111" s="470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B112" s="470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B113" s="472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B114" s="502" t="s">
        <v>21</v>
      </c>
      <c r="C114" s="485"/>
      <c r="D114" s="486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0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70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0"/>
      <c r="B123" s="502" t="s">
        <v>21</v>
      </c>
      <c r="C123" s="485"/>
      <c r="D123" s="486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0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0"/>
      <c r="B125" s="502" t="s">
        <v>21</v>
      </c>
      <c r="C125" s="485"/>
      <c r="D125" s="486"/>
      <c r="E125" s="88">
        <f>예산!G160</f>
        <v>597000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70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70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70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70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70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0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1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1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1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1"/>
      <c r="B135" s="85"/>
      <c r="C135" s="401" t="s">
        <v>532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1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1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1"/>
      <c r="B138" s="253"/>
      <c r="C138" s="403" t="s">
        <v>533</v>
      </c>
      <c r="D138" s="262"/>
      <c r="E138" s="404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1"/>
      <c r="B139" s="253"/>
      <c r="C139" s="403" t="s">
        <v>534</v>
      </c>
      <c r="D139" s="262"/>
      <c r="E139" s="404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1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1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1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70"/>
      <c r="B143" s="85"/>
      <c r="C143" s="211" t="s">
        <v>193</v>
      </c>
      <c r="D143" s="402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70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70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70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70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1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1"/>
      <c r="B149" s="253"/>
      <c r="C149" s="265" t="s">
        <v>522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1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70"/>
      <c r="B151" s="502" t="s">
        <v>21</v>
      </c>
      <c r="C151" s="485"/>
      <c r="D151" s="486"/>
      <c r="E151" s="259">
        <f>예산!G186</f>
        <v>82728526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70"/>
      <c r="B152" s="85" t="s">
        <v>116</v>
      </c>
      <c r="C152" s="11" t="s">
        <v>118</v>
      </c>
      <c r="D152" s="85"/>
      <c r="E152" s="86">
        <f>예산!$G190</f>
        <v>904000</v>
      </c>
      <c r="F152" s="85"/>
      <c r="G152" s="85" t="s">
        <v>379</v>
      </c>
      <c r="H152" s="86">
        <f>예산!$G190</f>
        <v>904000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70"/>
      <c r="B153" s="85"/>
      <c r="C153" s="11" t="s">
        <v>119</v>
      </c>
      <c r="D153" s="85"/>
      <c r="E153" s="86">
        <f>예산!$G191</f>
        <v>100000</v>
      </c>
      <c r="F153" s="85"/>
      <c r="G153" s="85" t="s">
        <v>379</v>
      </c>
      <c r="H153" s="86">
        <f>예산!$G191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70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70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7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70"/>
      <c r="B157" s="502" t="s">
        <v>21</v>
      </c>
      <c r="C157" s="485"/>
      <c r="D157" s="486"/>
      <c r="E157" s="88">
        <f>예산!G196</f>
        <v>1524100</v>
      </c>
      <c r="F157" s="94"/>
      <c r="G157" s="89"/>
      <c r="H157" s="88">
        <f>SUM(H152:H156)</f>
        <v>1004000</v>
      </c>
      <c r="I157" s="90"/>
      <c r="J157" s="89"/>
      <c r="K157" s="91">
        <f>H157/E157</f>
        <v>0.65874942589068963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70"/>
      <c r="B158" s="85" t="s">
        <v>197</v>
      </c>
      <c r="C158" s="92"/>
      <c r="D158" s="85"/>
      <c r="E158" s="86">
        <f>예산!$G200</f>
        <v>150000</v>
      </c>
      <c r="F158" s="85"/>
      <c r="G158" s="85" t="s">
        <v>235</v>
      </c>
      <c r="H158" s="86">
        <f>예산!$G200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70"/>
      <c r="B159" s="502" t="s">
        <v>21</v>
      </c>
      <c r="C159" s="485"/>
      <c r="D159" s="486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70"/>
      <c r="B160" s="85" t="s">
        <v>121</v>
      </c>
      <c r="C160" s="11" t="s">
        <v>124</v>
      </c>
      <c r="D160" s="11" t="s">
        <v>198</v>
      </c>
      <c r="E160" s="86">
        <f>예산!$G205</f>
        <v>900000</v>
      </c>
      <c r="F160" s="85"/>
      <c r="G160" s="85" t="s">
        <v>374</v>
      </c>
      <c r="H160" s="86">
        <f>예산!$G205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70"/>
      <c r="B161" s="85"/>
      <c r="C161" s="11" t="s">
        <v>199</v>
      </c>
      <c r="D161" s="11" t="s">
        <v>200</v>
      </c>
      <c r="E161" s="86">
        <f>예산!$G206</f>
        <v>100000</v>
      </c>
      <c r="F161" s="85"/>
      <c r="G161" s="85" t="s">
        <v>379</v>
      </c>
      <c r="H161" s="86">
        <f>예산!$G206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70"/>
      <c r="B162" s="85"/>
      <c r="C162" s="11" t="s">
        <v>201</v>
      </c>
      <c r="D162" s="11" t="s">
        <v>202</v>
      </c>
      <c r="E162" s="86">
        <f>예산!$G207</f>
        <v>8829000</v>
      </c>
      <c r="F162" s="85"/>
      <c r="G162" s="85" t="s">
        <v>389</v>
      </c>
      <c r="H162" s="86">
        <f>예산!$G207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70"/>
      <c r="B163" s="85"/>
      <c r="C163" s="11" t="s">
        <v>203</v>
      </c>
      <c r="D163" s="11" t="s">
        <v>204</v>
      </c>
      <c r="E163" s="86">
        <f>예산!$G208</f>
        <v>1830000</v>
      </c>
      <c r="F163" s="85"/>
      <c r="G163" s="85" t="s">
        <v>374</v>
      </c>
      <c r="H163" s="86">
        <f>예산!$G208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70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7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70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70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70"/>
      <c r="B168" s="502" t="s">
        <v>21</v>
      </c>
      <c r="C168" s="485"/>
      <c r="D168" s="486"/>
      <c r="E168" s="88">
        <f>예산!G209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70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70"/>
      <c r="B170" s="85"/>
      <c r="C170" s="27" t="s">
        <v>206</v>
      </c>
      <c r="D170" s="85"/>
      <c r="E170" s="86">
        <f>예산!$G213</f>
        <v>25000</v>
      </c>
      <c r="F170" s="85"/>
      <c r="G170" s="85" t="s">
        <v>235</v>
      </c>
      <c r="H170" s="86">
        <f>예산!$G213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70"/>
      <c r="B171" s="85"/>
      <c r="C171" s="27" t="s">
        <v>207</v>
      </c>
      <c r="D171" s="85"/>
      <c r="E171" s="86">
        <f>예산!$G214</f>
        <v>2043000</v>
      </c>
      <c r="F171" s="85"/>
      <c r="G171" s="85" t="s">
        <v>235</v>
      </c>
      <c r="H171" s="86">
        <f>예산!$G214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70"/>
      <c r="B172" s="502" t="s">
        <v>21</v>
      </c>
      <c r="C172" s="485"/>
      <c r="D172" s="486"/>
      <c r="E172" s="88">
        <f>예산!G215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70"/>
      <c r="B173" s="85" t="s">
        <v>208</v>
      </c>
      <c r="C173" s="11" t="s">
        <v>209</v>
      </c>
      <c r="D173" s="11" t="s">
        <v>210</v>
      </c>
      <c r="E173" s="86">
        <f>예산!$G219</f>
        <v>600000</v>
      </c>
      <c r="F173" s="85"/>
      <c r="G173" s="85" t="s">
        <v>389</v>
      </c>
      <c r="H173" s="86">
        <f>예산!$G219</f>
        <v>600000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70"/>
      <c r="B174" s="85"/>
      <c r="C174" s="26" t="s">
        <v>211</v>
      </c>
      <c r="D174" s="11" t="s">
        <v>212</v>
      </c>
      <c r="E174" s="86">
        <f>예산!$G220</f>
        <v>1087800</v>
      </c>
      <c r="F174" s="85"/>
      <c r="G174" s="85" t="s">
        <v>227</v>
      </c>
      <c r="H174" s="86">
        <f>예산!$G220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70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70"/>
      <c r="B176" s="502" t="s">
        <v>21</v>
      </c>
      <c r="C176" s="485"/>
      <c r="D176" s="486"/>
      <c r="E176" s="88">
        <f>예산!G221</f>
        <v>1687800</v>
      </c>
      <c r="F176" s="94"/>
      <c r="G176" s="89"/>
      <c r="H176" s="88">
        <f>SUM(H173:H175)</f>
        <v>1687800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70"/>
      <c r="B177" s="85" t="s">
        <v>135</v>
      </c>
      <c r="C177" s="92" t="s">
        <v>281</v>
      </c>
      <c r="D177" s="85"/>
      <c r="E177" s="86">
        <f>예산!$G225</f>
        <v>151120240</v>
      </c>
      <c r="F177" s="85"/>
      <c r="G177" s="85" t="s">
        <v>228</v>
      </c>
      <c r="H177" s="86">
        <f>예산!$G225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70"/>
      <c r="B178" s="85"/>
      <c r="C178" s="92" t="s">
        <v>282</v>
      </c>
      <c r="D178" s="85"/>
      <c r="E178" s="86">
        <f>예산!$G226</f>
        <v>186772440</v>
      </c>
      <c r="F178" s="85"/>
      <c r="G178" s="85" t="s">
        <v>380</v>
      </c>
      <c r="H178" s="86">
        <f>예산!$G226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70"/>
      <c r="B179" s="85"/>
      <c r="C179" s="92" t="s">
        <v>158</v>
      </c>
      <c r="D179" s="85"/>
      <c r="E179" s="86">
        <f>예산!$G227</f>
        <v>12743500</v>
      </c>
      <c r="F179" s="85"/>
      <c r="G179" s="85" t="s">
        <v>226</v>
      </c>
      <c r="H179" s="86">
        <f>예산!$G227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70"/>
      <c r="B180" s="502" t="s">
        <v>21</v>
      </c>
      <c r="C180" s="485"/>
      <c r="D180" s="486"/>
      <c r="E180" s="88">
        <f>예산!G230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70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SUM(예산!$G$244:$G$247)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70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SUM(예산!$G$240:$G$243)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70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SUM(예산!G248)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70"/>
      <c r="B184" s="85"/>
      <c r="C184" s="92" t="s">
        <v>518</v>
      </c>
      <c r="D184" s="85" t="s">
        <v>523</v>
      </c>
      <c r="E184" s="86">
        <f>예산!G253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72"/>
      <c r="B185" s="502" t="s">
        <v>21</v>
      </c>
      <c r="C185" s="485"/>
      <c r="D185" s="486"/>
      <c r="E185" s="88">
        <f>예산!G257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03" t="s">
        <v>271</v>
      </c>
      <c r="B186" s="504"/>
      <c r="C186" s="96">
        <f>예산!G129</f>
        <v>1158461074</v>
      </c>
      <c r="D186" s="107"/>
      <c r="E186" s="108">
        <f>SUM(E185,E176,E172,E168,E159,E157,E151,E125,E123,E114,E180)</f>
        <v>1158461074</v>
      </c>
      <c r="F186" s="109">
        <f>SUM(E185,E180,E176,E172,E168,E159,E157,E151,E123,E125)</f>
        <v>475461074</v>
      </c>
      <c r="G186" s="110"/>
      <c r="H186" s="101">
        <f>SUM(H185,H180,H176,H172,H168,H159,H157,H151,H125,H123,H114)</f>
        <v>1140662189</v>
      </c>
      <c r="I186" s="500"/>
      <c r="J186" s="501"/>
      <c r="K186" s="102">
        <f t="shared" ref="K186:K187" si="16">H186/C186</f>
        <v>0.98463575048012364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2918156722.4000001</v>
      </c>
      <c r="D187" s="112"/>
      <c r="E187" s="114"/>
      <c r="F187" s="112"/>
      <c r="G187" s="112"/>
      <c r="H187" s="115">
        <f>SUM(H186,H68,H48,H31,H18)</f>
        <v>2866723837.4000001</v>
      </c>
      <c r="I187" s="116"/>
      <c r="J187" s="112"/>
      <c r="K187" s="117">
        <f t="shared" si="16"/>
        <v>0.98237487225919118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68" t="s">
        <v>287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</row>
    <row r="2" spans="1:15" ht="17.25" customHeight="1">
      <c r="A2" s="570" t="s">
        <v>288</v>
      </c>
      <c r="B2" s="573" t="s">
        <v>289</v>
      </c>
      <c r="C2" s="574"/>
      <c r="D2" s="574"/>
      <c r="E2" s="574"/>
      <c r="F2" s="574"/>
      <c r="G2" s="575"/>
      <c r="H2" s="129" t="s">
        <v>290</v>
      </c>
      <c r="I2" s="577" t="s">
        <v>291</v>
      </c>
      <c r="J2" s="574"/>
      <c r="K2" s="578"/>
      <c r="M2" s="130"/>
    </row>
    <row r="3" spans="1:15" ht="16.5" customHeight="1">
      <c r="A3" s="571"/>
      <c r="B3" s="483"/>
      <c r="C3" s="576"/>
      <c r="D3" s="576"/>
      <c r="E3" s="576"/>
      <c r="F3" s="576"/>
      <c r="G3" s="562"/>
      <c r="H3" s="131" t="s">
        <v>292</v>
      </c>
      <c r="I3" s="483"/>
      <c r="J3" s="576"/>
      <c r="K3" s="579"/>
      <c r="M3" s="580" t="s">
        <v>293</v>
      </c>
    </row>
    <row r="4" spans="1:15" ht="16.5" customHeight="1">
      <c r="A4" s="571"/>
      <c r="B4" s="132" t="s">
        <v>294</v>
      </c>
      <c r="C4" s="581" t="s">
        <v>295</v>
      </c>
      <c r="D4" s="133" t="s">
        <v>296</v>
      </c>
      <c r="E4" s="581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8"/>
    </row>
    <row r="5" spans="1:15" ht="16.5" customHeight="1">
      <c r="A5" s="572"/>
      <c r="B5" s="136" t="s">
        <v>302</v>
      </c>
      <c r="C5" s="472"/>
      <c r="D5" s="137" t="s">
        <v>303</v>
      </c>
      <c r="E5" s="472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8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95.500557357129296</v>
      </c>
      <c r="I6" s="147"/>
      <c r="J6" s="148" t="s">
        <v>309</v>
      </c>
      <c r="K6" s="149"/>
      <c r="M6" s="478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5.9395299791074008</v>
      </c>
      <c r="I7" s="153"/>
      <c r="J7" s="148" t="s">
        <v>309</v>
      </c>
      <c r="K7" s="154"/>
      <c r="M7" s="478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5.7354382274393458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49.923144422360927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2.7838781112380921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1158.4610740000001</v>
      </c>
      <c r="G11" s="158">
        <f t="shared" si="0"/>
        <v>1158.4610740000001</v>
      </c>
      <c r="H11" s="146">
        <f t="shared" si="1"/>
        <v>30.591682263657521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2918.1567224</v>
      </c>
      <c r="G12" s="165">
        <f t="shared" si="2"/>
        <v>2918.1567224</v>
      </c>
      <c r="H12" s="166">
        <f t="shared" si="2"/>
        <v>94.973673003803285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예산!C260/1000000</f>
        <v>155.6</v>
      </c>
      <c r="G13" s="171">
        <f t="shared" ref="G13:G14" si="3">F13</f>
        <v>155.6</v>
      </c>
      <c r="H13" s="146">
        <f>(SUM(B13,D13,F13,G13) / $C$17)*100</f>
        <v>5.0263269961967252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5.0263269961967252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3073.7567223999999</v>
      </c>
      <c r="G15" s="179">
        <f t="shared" si="4"/>
        <v>3073.7567223999999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56" t="s">
        <v>314</v>
      </c>
      <c r="B17" s="478"/>
      <c r="C17" s="557">
        <f>SUM(B15,D15,F15,G15)</f>
        <v>14516.763444799999</v>
      </c>
      <c r="D17" s="478"/>
      <c r="E17" s="478"/>
      <c r="F17" s="478"/>
      <c r="G17" s="478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60" t="s">
        <v>8</v>
      </c>
      <c r="B20" s="561"/>
      <c r="C20" s="558" t="s">
        <v>315</v>
      </c>
      <c r="D20" s="558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83"/>
      <c r="B21" s="562"/>
      <c r="C21" s="472"/>
      <c r="D21" s="472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55">
        <f>SUM(C22:D28)</f>
        <v>104005000</v>
      </c>
      <c r="H22" s="555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8"/>
      <c r="H23" s="478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58" t="s">
        <v>84</v>
      </c>
      <c r="B24" s="558" t="s">
        <v>317</v>
      </c>
      <c r="C24" s="566">
        <v>39000000</v>
      </c>
      <c r="D24" s="567"/>
      <c r="E24" s="186">
        <f t="shared" si="5"/>
        <v>39000000</v>
      </c>
      <c r="F24" s="555">
        <f>SUM(E24:E28)</f>
        <v>89205000</v>
      </c>
      <c r="G24" s="478"/>
      <c r="H24" s="478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70"/>
      <c r="B25" s="472"/>
      <c r="C25" s="472"/>
      <c r="D25" s="472"/>
      <c r="E25" s="186">
        <f t="shared" si="5"/>
        <v>0</v>
      </c>
      <c r="F25" s="478"/>
      <c r="G25" s="478"/>
      <c r="H25" s="478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70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8"/>
      <c r="G26" s="478"/>
      <c r="H26" s="478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70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8"/>
      <c r="G27" s="478"/>
      <c r="H27" s="478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72"/>
      <c r="B28" s="187" t="s">
        <v>178</v>
      </c>
      <c r="C28" s="188">
        <v>6000000</v>
      </c>
      <c r="D28" s="189"/>
      <c r="E28" s="186">
        <f t="shared" si="5"/>
        <v>6000000</v>
      </c>
      <c r="F28" s="478"/>
      <c r="G28" s="478"/>
      <c r="H28" s="47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59" t="s">
        <v>311</v>
      </c>
      <c r="B29" s="486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55" t="s">
        <v>22</v>
      </c>
      <c r="B31" s="478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3" t="s">
        <v>318</v>
      </c>
      <c r="B32" s="478"/>
      <c r="C32" s="194">
        <v>61800000</v>
      </c>
      <c r="D32" s="195">
        <f>37500000+13330000</f>
        <v>50830000</v>
      </c>
      <c r="E32" s="564" t="s">
        <v>319</v>
      </c>
      <c r="F32" s="478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5" t="s">
        <v>320</v>
      </c>
      <c r="B36" s="478"/>
      <c r="C36" s="478"/>
      <c r="D36" s="478"/>
      <c r="E36" s="478"/>
      <c r="F36" s="478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68" t="s">
        <v>321</v>
      </c>
      <c r="B1" s="569"/>
      <c r="C1" s="569"/>
      <c r="D1" s="569"/>
      <c r="E1" s="569"/>
      <c r="F1" s="569"/>
      <c r="G1" s="569"/>
      <c r="H1" s="569"/>
    </row>
    <row r="2" spans="1:8" ht="24.75" customHeight="1">
      <c r="A2" s="592" t="s">
        <v>288</v>
      </c>
      <c r="B2" s="575"/>
      <c r="C2" s="594" t="s">
        <v>322</v>
      </c>
      <c r="D2" s="129" t="s">
        <v>292</v>
      </c>
      <c r="E2" s="595" t="s">
        <v>295</v>
      </c>
      <c r="F2" s="596" t="s">
        <v>291</v>
      </c>
      <c r="G2" s="597"/>
      <c r="H2" s="598"/>
    </row>
    <row r="3" spans="1:8" ht="24.75" customHeight="1">
      <c r="A3" s="593"/>
      <c r="B3" s="562"/>
      <c r="C3" s="472"/>
      <c r="D3" s="137" t="s">
        <v>299</v>
      </c>
      <c r="E3" s="472"/>
      <c r="F3" s="196" t="s">
        <v>323</v>
      </c>
      <c r="G3" s="196" t="s">
        <v>324</v>
      </c>
      <c r="H3" s="197" t="s">
        <v>325</v>
      </c>
    </row>
    <row r="4" spans="1:8" ht="24.75" customHeight="1">
      <c r="A4" s="591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3.9410652611900394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72"/>
      <c r="B5" s="170" t="s">
        <v>26</v>
      </c>
      <c r="C5" s="171">
        <f>예산!G19/1000000</f>
        <v>93.36</v>
      </c>
      <c r="D5" s="198">
        <f t="shared" si="0"/>
        <v>3.0373256061430967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3" t="s">
        <v>21</v>
      </c>
      <c r="B6" s="486"/>
      <c r="C6" s="165">
        <f>SUM(C4,C5)</f>
        <v>214.49875839999999</v>
      </c>
      <c r="D6" s="199">
        <f t="shared" ref="D6:F6" si="1">SUM(D4:D5)</f>
        <v>6.9783908673331361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6.0772538906119369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3" t="s">
        <v>21</v>
      </c>
      <c r="B8" s="486"/>
      <c r="C8" s="165">
        <f t="shared" ref="C8:D8" si="2">SUM(C7)</f>
        <v>186.8</v>
      </c>
      <c r="D8" s="199">
        <f t="shared" si="2"/>
        <v>6.0772538906119369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1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40.61340902168984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72"/>
      <c r="B10" s="170" t="s">
        <v>56</v>
      </c>
      <c r="C10" s="171">
        <f>예산!G90/1000000</f>
        <v>2</v>
      </c>
      <c r="D10" s="198">
        <f t="shared" si="3"/>
        <v>6.5066958143596754E-2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3.5149008121775607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1" t="s">
        <v>328</v>
      </c>
      <c r="B12" s="170" t="s">
        <v>86</v>
      </c>
      <c r="C12" s="171">
        <f>예산!G141/1000000</f>
        <v>683</v>
      </c>
      <c r="D12" s="198">
        <f t="shared" si="3"/>
        <v>22.220366206038292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71"/>
      <c r="B13" s="170" t="s">
        <v>94</v>
      </c>
      <c r="C13" s="171">
        <f>예산!G154/1000000</f>
        <v>2.9304679999999999</v>
      </c>
      <c r="D13" s="198">
        <f t="shared" si="3"/>
        <v>9.533831934857484E-2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71"/>
      <c r="B14" s="170" t="s">
        <v>178</v>
      </c>
      <c r="C14" s="171">
        <f>예산!G160/1000000</f>
        <v>0.59699999999999998</v>
      </c>
      <c r="D14" s="198">
        <f t="shared" si="3"/>
        <v>1.9422487005863631E-2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71"/>
      <c r="B15" s="170" t="s">
        <v>100</v>
      </c>
      <c r="C15" s="171">
        <f>예산!G186/1000000</f>
        <v>82.728526000000002</v>
      </c>
      <c r="D15" s="198">
        <f t="shared" si="3"/>
        <v>2.6914467692617281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71"/>
      <c r="B16" s="170" t="s">
        <v>105</v>
      </c>
      <c r="C16" s="171">
        <f>예산!G236/1000000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71"/>
      <c r="B17" s="170" t="s">
        <v>116</v>
      </c>
      <c r="C17" s="171">
        <f>예산!G196/1000000</f>
        <v>1.5241</v>
      </c>
      <c r="D17" s="198">
        <f t="shared" si="3"/>
        <v>4.9584275453327907E-2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71"/>
      <c r="B18" s="170" t="s">
        <v>197</v>
      </c>
      <c r="C18" s="171">
        <f>예산!G201/1000000</f>
        <v>0.15</v>
      </c>
      <c r="D18" s="198">
        <f t="shared" si="3"/>
        <v>4.8800218607697567E-3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71"/>
      <c r="B19" s="170" t="s">
        <v>121</v>
      </c>
      <c r="C19" s="171">
        <f>예산!G209/1000000</f>
        <v>11.659000000000001</v>
      </c>
      <c r="D19" s="198">
        <f t="shared" si="3"/>
        <v>0.3793078324980973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71"/>
      <c r="B20" s="170" t="s">
        <v>329</v>
      </c>
      <c r="C20" s="171">
        <f>예산!G215/1000000</f>
        <v>2.0680000000000001</v>
      </c>
      <c r="D20" s="198">
        <f t="shared" si="3"/>
        <v>6.7279234720479045E-2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71"/>
      <c r="B21" s="170" t="s">
        <v>135</v>
      </c>
      <c r="C21" s="171">
        <f>예산!G230/1000000</f>
        <v>350.63618000000002</v>
      </c>
      <c r="D21" s="198">
        <f t="shared" si="3"/>
        <v>11.407414823845329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71"/>
      <c r="B22" s="170" t="s">
        <v>208</v>
      </c>
      <c r="C22" s="171">
        <f>예산!G221/1000000</f>
        <v>1.6878</v>
      </c>
      <c r="D22" s="198">
        <f t="shared" si="3"/>
        <v>5.4910005977381306E-2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72"/>
      <c r="B23" s="170" t="s">
        <v>143</v>
      </c>
      <c r="C23" s="171">
        <f>예산!G257/1000000</f>
        <v>21.48</v>
      </c>
      <c r="D23" s="198">
        <f t="shared" si="3"/>
        <v>0.6988191304622291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3" t="s">
        <v>21</v>
      </c>
      <c r="B24" s="486"/>
      <c r="C24" s="165">
        <f t="shared" ref="C24:F24" si="4">SUM(C9:C23)</f>
        <v>2516.8579640000007</v>
      </c>
      <c r="D24" s="199">
        <f t="shared" si="4"/>
        <v>81.88214589848306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84" t="s">
        <v>311</v>
      </c>
      <c r="B25" s="486"/>
      <c r="C25" s="171">
        <f>예산!C260/1000000</f>
        <v>155.6</v>
      </c>
      <c r="D25" s="198">
        <f>(C25/$C$27)*100</f>
        <v>5.0622093435718272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3" t="s">
        <v>21</v>
      </c>
      <c r="B26" s="486"/>
      <c r="C26" s="165">
        <f t="shared" ref="C26:D26" si="5">SUM(C25)</f>
        <v>155.6</v>
      </c>
      <c r="D26" s="199">
        <f t="shared" si="5"/>
        <v>5.0622093435718272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85" t="s">
        <v>312</v>
      </c>
      <c r="B27" s="586"/>
      <c r="C27" s="179">
        <f t="shared" ref="C27:D27" si="6">SUM(C6,C8,C24,C26)</f>
        <v>3073.7567224000009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2" t="s">
        <v>8</v>
      </c>
      <c r="B30" s="486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56">
        <f>SUM(E31:E37)</f>
        <v>88875000</v>
      </c>
    </row>
    <row r="32" spans="1:8" ht="54.75" customHeight="1">
      <c r="A32" s="587" t="s">
        <v>31</v>
      </c>
      <c r="B32" s="588"/>
      <c r="C32" s="589">
        <v>2000000</v>
      </c>
      <c r="D32" s="589">
        <v>0</v>
      </c>
      <c r="E32" s="590">
        <f>SUM(C32:D33)</f>
        <v>2000000</v>
      </c>
      <c r="G32" s="478"/>
    </row>
    <row r="33" spans="1:7" ht="16.5" customHeight="1">
      <c r="A33" s="472"/>
      <c r="B33" s="472"/>
      <c r="C33" s="472"/>
      <c r="D33" s="472"/>
      <c r="E33" s="480"/>
      <c r="G33" s="478"/>
    </row>
    <row r="34" spans="1:7" ht="16.5" customHeight="1">
      <c r="A34" s="587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56">
        <f>SUM(E34:E37)</f>
        <v>74875000</v>
      </c>
      <c r="G34" s="478"/>
    </row>
    <row r="35" spans="1:7" ht="16.5" customHeight="1">
      <c r="A35" s="470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8"/>
      <c r="G35" s="478"/>
    </row>
    <row r="36" spans="1:7" ht="16.5" customHeight="1">
      <c r="A36" s="470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8"/>
      <c r="G36" s="478"/>
    </row>
    <row r="37" spans="1:7" ht="16.5" customHeight="1">
      <c r="A37" s="472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8"/>
      <c r="G37" s="478"/>
    </row>
    <row r="38" spans="1:7" ht="16.5" customHeight="1">
      <c r="A38" s="582" t="s">
        <v>311</v>
      </c>
      <c r="B38" s="486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5" t="s">
        <v>411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6"/>
      <c r="R2" s="537" t="s">
        <v>240</v>
      </c>
      <c r="S2" s="486"/>
      <c r="T2" s="537" t="s">
        <v>31</v>
      </c>
      <c r="U2" s="486"/>
      <c r="V2" s="537" t="s">
        <v>72</v>
      </c>
      <c r="W2" s="486"/>
      <c r="X2" s="537" t="s">
        <v>84</v>
      </c>
      <c r="Y2" s="486"/>
      <c r="Z2" s="537" t="s">
        <v>241</v>
      </c>
      <c r="AA2" s="486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60290574.924999997</v>
      </c>
      <c r="AM2" s="70">
        <f t="shared" si="0"/>
        <v>45565768.924999997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2676279677.3999996</v>
      </c>
      <c r="AQ2" s="71">
        <f>$A$2-$AP$2</f>
        <v>280120322.60000038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2.0393240063929102E-2</v>
      </c>
      <c r="AM3" s="84">
        <f t="shared" si="1"/>
        <v>1.5412585889933703E-2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0.90524951880665661</v>
      </c>
      <c r="AQ3" s="84">
        <f t="shared" si="1"/>
        <v>9.475048119334338E-2</v>
      </c>
    </row>
    <row r="4" spans="1:43" ht="16.5" customHeight="1">
      <c r="A4" s="513" t="s">
        <v>7</v>
      </c>
      <c r="B4" s="514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6"/>
      <c r="G4" s="309" t="s">
        <v>225</v>
      </c>
      <c r="H4" s="310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70"/>
      <c r="B5" s="470"/>
      <c r="C5" s="470"/>
      <c r="D5" s="85" t="s">
        <v>19</v>
      </c>
      <c r="E5" s="550">
        <f>예산!G8</f>
        <v>4768500</v>
      </c>
      <c r="F5" s="486"/>
      <c r="G5" s="309" t="s">
        <v>226</v>
      </c>
      <c r="H5" s="310">
        <f>예산!E7+예산!E8</f>
        <v>3405260</v>
      </c>
      <c r="I5" s="87"/>
      <c r="J5" s="85"/>
      <c r="K5" s="470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70"/>
      <c r="B6" s="470"/>
      <c r="C6" s="470"/>
      <c r="D6" s="85" t="s">
        <v>252</v>
      </c>
      <c r="E6" s="550">
        <f>예산!G10</f>
        <v>37350216</v>
      </c>
      <c r="F6" s="486"/>
      <c r="G6" s="309" t="s">
        <v>227</v>
      </c>
      <c r="H6" s="310">
        <f>SUM(예산!$E$7:$E$8)</f>
        <v>3405260</v>
      </c>
      <c r="I6" s="87"/>
      <c r="J6" s="85"/>
      <c r="K6" s="470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70"/>
      <c r="B7" s="470"/>
      <c r="C7" s="470"/>
      <c r="D7" s="85" t="s">
        <v>252</v>
      </c>
      <c r="E7" s="550">
        <f>예산!G11</f>
        <v>32681439</v>
      </c>
      <c r="F7" s="486"/>
      <c r="G7" s="309" t="s">
        <v>228</v>
      </c>
      <c r="H7" s="310">
        <f>SUM(예산!$E$9:$E$10)</f>
        <v>7119884.9249999998</v>
      </c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70"/>
      <c r="B8" s="470"/>
      <c r="C8" s="470"/>
      <c r="D8" s="602"/>
      <c r="E8" s="603"/>
      <c r="F8" s="561"/>
      <c r="G8" s="309" t="s">
        <v>229</v>
      </c>
      <c r="H8" s="310">
        <f>SUM(예산!$E$9:$E$11)+1047560</f>
        <v>12836221.925000001</v>
      </c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70"/>
      <c r="B9" s="470"/>
      <c r="C9" s="470"/>
      <c r="D9" s="480"/>
      <c r="E9" s="478"/>
      <c r="F9" s="604"/>
      <c r="G9" s="309" t="s">
        <v>230</v>
      </c>
      <c r="H9" s="310">
        <f>SUM(예산!$E$9:$E$12)</f>
        <v>15265083.925000001</v>
      </c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70"/>
      <c r="B10" s="470"/>
      <c r="C10" s="470"/>
      <c r="D10" s="480"/>
      <c r="E10" s="478"/>
      <c r="F10" s="604"/>
      <c r="G10" s="85" t="s">
        <v>231</v>
      </c>
      <c r="H10" s="86">
        <f>SUM(예산!$E$9:$E$12)</f>
        <v>15265083.925000001</v>
      </c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70"/>
      <c r="B11" s="470"/>
      <c r="C11" s="470"/>
      <c r="D11" s="480"/>
      <c r="E11" s="478"/>
      <c r="F11" s="604"/>
      <c r="G11" s="85" t="s">
        <v>232</v>
      </c>
      <c r="H11" s="86">
        <f>SUM(예산!$E$9:$E$12)</f>
        <v>15265083.925000001</v>
      </c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70"/>
      <c r="B12" s="470"/>
      <c r="C12" s="470"/>
      <c r="D12" s="480"/>
      <c r="E12" s="478"/>
      <c r="F12" s="604"/>
      <c r="G12" s="85" t="s">
        <v>233</v>
      </c>
      <c r="H12" s="86">
        <f>SUM(예산!$E$9:$E$12)</f>
        <v>15265083.925000001</v>
      </c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70"/>
      <c r="B13" s="470"/>
      <c r="C13" s="470"/>
      <c r="D13" s="480"/>
      <c r="E13" s="478"/>
      <c r="F13" s="604"/>
      <c r="G13" s="85" t="s">
        <v>378</v>
      </c>
      <c r="H13" s="86">
        <f>SUM(예산!$E$9:$E$12)</f>
        <v>15265083.925000001</v>
      </c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70"/>
      <c r="B14" s="472"/>
      <c r="C14" s="472"/>
      <c r="D14" s="483"/>
      <c r="E14" s="576"/>
      <c r="F14" s="562"/>
      <c r="G14" s="85" t="s">
        <v>374</v>
      </c>
      <c r="H14" s="86">
        <f>SUM(예산!$E$9:$E$12)</f>
        <v>15265083.925000001</v>
      </c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70"/>
      <c r="B15" s="502" t="s">
        <v>21</v>
      </c>
      <c r="C15" s="485"/>
      <c r="D15" s="486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70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6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0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2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8" t="s">
        <v>254</v>
      </c>
      <c r="B31" s="485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38"/>
      <c r="J31" s="486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3" t="s">
        <v>31</v>
      </c>
      <c r="B32" s="514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70"/>
      <c r="B33" s="470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70"/>
      <c r="B34" s="470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70"/>
      <c r="B35" s="470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1"/>
      <c r="B36" s="471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1"/>
      <c r="B37" s="471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1"/>
      <c r="B38" s="471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1"/>
      <c r="B39" s="471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0"/>
      <c r="B40" s="472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70"/>
      <c r="B41" s="502" t="s">
        <v>21</v>
      </c>
      <c r="C41" s="485"/>
      <c r="D41" s="486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70"/>
      <c r="B42" s="514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70"/>
      <c r="B43" s="470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70"/>
      <c r="B44" s="472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2"/>
      <c r="B45" s="502" t="s">
        <v>21</v>
      </c>
      <c r="C45" s="485"/>
      <c r="D45" s="486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8" t="s">
        <v>256</v>
      </c>
      <c r="B46" s="485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38"/>
      <c r="J46" s="486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19" t="s">
        <v>72</v>
      </c>
      <c r="B47" s="514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0"/>
      <c r="B48" s="470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0"/>
      <c r="B49" s="470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0"/>
      <c r="B50" s="472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0"/>
      <c r="B51" s="522" t="s">
        <v>261</v>
      </c>
      <c r="C51" s="510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0"/>
      <c r="B52" s="523"/>
      <c r="C52" s="512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0"/>
      <c r="B53" s="523"/>
      <c r="C53" s="525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0"/>
      <c r="B54" s="523"/>
      <c r="C54" s="526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0"/>
      <c r="B55" s="523"/>
      <c r="C55" s="526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0"/>
      <c r="B56" s="523"/>
      <c r="C56" s="526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0"/>
      <c r="B57" s="523"/>
      <c r="C57" s="526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0"/>
      <c r="B58" s="523"/>
      <c r="C58" s="526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0"/>
      <c r="B59" s="523"/>
      <c r="C59" s="526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0"/>
      <c r="B60" s="523"/>
      <c r="C60" s="526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0"/>
      <c r="B61" s="523"/>
      <c r="C61" s="526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0"/>
      <c r="B62" s="523"/>
      <c r="C62" s="526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0"/>
      <c r="B63" s="523"/>
      <c r="C63" s="526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0"/>
      <c r="B64" s="523"/>
      <c r="C64" s="526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1"/>
      <c r="B65" s="524"/>
      <c r="C65" s="527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8" t="s">
        <v>263</v>
      </c>
      <c r="B66" s="485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15"/>
      <c r="J66" s="493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13" t="s">
        <v>84</v>
      </c>
      <c r="B67" s="531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70"/>
      <c r="B68" s="532"/>
      <c r="C68" s="510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70"/>
      <c r="B69" s="532"/>
      <c r="C69" s="511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532"/>
      <c r="C70" s="511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1"/>
      <c r="B71" s="532"/>
      <c r="C71" s="511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1"/>
      <c r="B72" s="532"/>
      <c r="C72" s="511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1"/>
      <c r="B73" s="532"/>
      <c r="C73" s="511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1"/>
      <c r="B74" s="532"/>
      <c r="C74" s="512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1"/>
      <c r="B75" s="532"/>
      <c r="C75" s="510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1"/>
      <c r="B76" s="532"/>
      <c r="C76" s="511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1"/>
      <c r="B77" s="532"/>
      <c r="C77" s="511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1"/>
      <c r="B78" s="532"/>
      <c r="C78" s="511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1"/>
      <c r="B79" s="532"/>
      <c r="C79" s="512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1"/>
      <c r="B80" s="509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1"/>
      <c r="B81" s="509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1"/>
      <c r="B82" s="509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1"/>
      <c r="B84" s="243"/>
      <c r="C84" s="510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1"/>
      <c r="B85" s="243"/>
      <c r="C85" s="511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1"/>
      <c r="B86" s="243"/>
      <c r="C86" s="511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1"/>
      <c r="B87" s="243"/>
      <c r="C87" s="511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1"/>
      <c r="B88" s="243"/>
      <c r="C88" s="511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1"/>
      <c r="B89" s="243"/>
      <c r="C89" s="512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B90" s="514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B91" s="470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B92" s="470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B93" s="470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B94" s="472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B95" s="514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B96" s="470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B97" s="470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B98" s="472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B99" s="514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B100" s="470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B101" s="470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B102" s="470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B103" s="47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B104" s="472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B105" s="502" t="s">
        <v>21</v>
      </c>
      <c r="C105" s="485"/>
      <c r="D105" s="486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B114" s="502" t="s">
        <v>21</v>
      </c>
      <c r="C114" s="485"/>
      <c r="D114" s="486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B116" s="502" t="s">
        <v>21</v>
      </c>
      <c r="C116" s="485"/>
      <c r="D116" s="486"/>
      <c r="E116" s="88">
        <f>예산!G160</f>
        <v>597000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0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70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1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1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1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70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70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70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70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70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1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0"/>
      <c r="B132" s="599" t="s">
        <v>21</v>
      </c>
      <c r="C132" s="600"/>
      <c r="D132" s="601"/>
      <c r="E132" s="88">
        <f>예산!G186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0"/>
      <c r="B133" s="85" t="s">
        <v>116</v>
      </c>
      <c r="C133" s="11" t="s">
        <v>118</v>
      </c>
      <c r="D133" s="85"/>
      <c r="E133" s="86">
        <f>예산!$G190</f>
        <v>904000</v>
      </c>
      <c r="F133" s="85"/>
      <c r="G133" s="85" t="s">
        <v>379</v>
      </c>
      <c r="H133" s="86">
        <f>예산!$G190</f>
        <v>904000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0"/>
      <c r="B134" s="85"/>
      <c r="C134" s="11" t="s">
        <v>119</v>
      </c>
      <c r="D134" s="85"/>
      <c r="E134" s="86">
        <f>예산!$G191</f>
        <v>100000</v>
      </c>
      <c r="F134" s="85"/>
      <c r="G134" s="85" t="s">
        <v>379</v>
      </c>
      <c r="H134" s="86">
        <f>예산!$G191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0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0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0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0"/>
      <c r="B138" s="502" t="s">
        <v>21</v>
      </c>
      <c r="C138" s="485"/>
      <c r="D138" s="486"/>
      <c r="E138" s="88">
        <f>예산!G196</f>
        <v>1524100</v>
      </c>
      <c r="F138" s="94"/>
      <c r="G138" s="89"/>
      <c r="H138" s="88">
        <f>SUM(H133:H137)</f>
        <v>1004000</v>
      </c>
      <c r="I138" s="90"/>
      <c r="J138" s="89"/>
      <c r="K138" s="91">
        <f>H138/E138</f>
        <v>0.65874942589068963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0"/>
      <c r="B139" s="85" t="s">
        <v>197</v>
      </c>
      <c r="C139" s="92"/>
      <c r="D139" s="85"/>
      <c r="E139" s="86">
        <f>예산!$G200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0"/>
      <c r="B140" s="502" t="s">
        <v>21</v>
      </c>
      <c r="C140" s="485"/>
      <c r="D140" s="486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0"/>
      <c r="B141" s="85" t="s">
        <v>121</v>
      </c>
      <c r="C141" s="11" t="s">
        <v>124</v>
      </c>
      <c r="D141" s="11" t="s">
        <v>198</v>
      </c>
      <c r="E141" s="86">
        <f>예산!$G205</f>
        <v>900000</v>
      </c>
      <c r="F141" s="85"/>
      <c r="G141" s="85" t="s">
        <v>374</v>
      </c>
      <c r="H141" s="86">
        <f>예산!$G205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0"/>
      <c r="B142" s="85"/>
      <c r="C142" s="11" t="s">
        <v>199</v>
      </c>
      <c r="D142" s="11" t="s">
        <v>200</v>
      </c>
      <c r="E142" s="86">
        <f>예산!$G206</f>
        <v>100000</v>
      </c>
      <c r="F142" s="85"/>
      <c r="G142" s="85" t="s">
        <v>373</v>
      </c>
      <c r="H142" s="86">
        <f>예산!$G206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70"/>
      <c r="B143" s="85"/>
      <c r="C143" s="11" t="s">
        <v>201</v>
      </c>
      <c r="D143" s="11" t="s">
        <v>202</v>
      </c>
      <c r="E143" s="86">
        <f>예산!$G207</f>
        <v>8829000</v>
      </c>
      <c r="F143" s="85"/>
      <c r="G143" s="85" t="s">
        <v>373</v>
      </c>
      <c r="H143" s="86">
        <f>예산!$G207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70"/>
      <c r="B144" s="85"/>
      <c r="C144" s="11" t="s">
        <v>203</v>
      </c>
      <c r="D144" s="11" t="s">
        <v>204</v>
      </c>
      <c r="E144" s="86">
        <f>예산!$G208</f>
        <v>1830000</v>
      </c>
      <c r="F144" s="85"/>
      <c r="G144" s="85" t="s">
        <v>374</v>
      </c>
      <c r="H144" s="86">
        <f>예산!$G208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70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70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70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0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0"/>
      <c r="B149" s="502" t="s">
        <v>21</v>
      </c>
      <c r="C149" s="485"/>
      <c r="D149" s="486"/>
      <c r="E149" s="88">
        <f>예산!G209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0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70"/>
      <c r="B151" s="85"/>
      <c r="C151" s="27" t="s">
        <v>206</v>
      </c>
      <c r="D151" s="85"/>
      <c r="E151" s="86">
        <f>예산!$G213</f>
        <v>25000</v>
      </c>
      <c r="F151" s="85"/>
      <c r="G151" s="85" t="s">
        <v>235</v>
      </c>
      <c r="H151" s="86">
        <f>예산!$G213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70"/>
      <c r="B152" s="85"/>
      <c r="C152" s="27" t="s">
        <v>207</v>
      </c>
      <c r="D152" s="85"/>
      <c r="E152" s="86">
        <f>예산!$G214</f>
        <v>2043000</v>
      </c>
      <c r="F152" s="85"/>
      <c r="G152" s="85" t="s">
        <v>235</v>
      </c>
      <c r="H152" s="86">
        <f>예산!$G214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70"/>
      <c r="B153" s="502" t="s">
        <v>21</v>
      </c>
      <c r="C153" s="485"/>
      <c r="D153" s="486"/>
      <c r="E153" s="88">
        <f>예산!G215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70"/>
      <c r="B154" s="85" t="s">
        <v>208</v>
      </c>
      <c r="C154" s="11" t="s">
        <v>209</v>
      </c>
      <c r="D154" s="11" t="s">
        <v>210</v>
      </c>
      <c r="E154" s="86">
        <f>예산!$G219</f>
        <v>600000</v>
      </c>
      <c r="F154" s="85"/>
      <c r="G154" s="85" t="s">
        <v>389</v>
      </c>
      <c r="H154" s="86">
        <f>예산!$G219</f>
        <v>600000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70"/>
      <c r="B155" s="85"/>
      <c r="C155" s="26" t="s">
        <v>211</v>
      </c>
      <c r="D155" s="11" t="s">
        <v>212</v>
      </c>
      <c r="E155" s="86">
        <f>예산!$G220</f>
        <v>1087800</v>
      </c>
      <c r="F155" s="85"/>
      <c r="G155" s="309" t="s">
        <v>227</v>
      </c>
      <c r="H155" s="310">
        <f>예산!$G220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7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70"/>
      <c r="B157" s="502" t="s">
        <v>21</v>
      </c>
      <c r="C157" s="485"/>
      <c r="D157" s="486"/>
      <c r="E157" s="88">
        <f>예산!G221</f>
        <v>1687800</v>
      </c>
      <c r="F157" s="94"/>
      <c r="G157" s="89"/>
      <c r="H157" s="88">
        <f>SUM(H154:H156)</f>
        <v>1687800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70"/>
      <c r="B158" s="85" t="s">
        <v>135</v>
      </c>
      <c r="C158" s="92" t="s">
        <v>281</v>
      </c>
      <c r="D158" s="85"/>
      <c r="E158" s="86">
        <f>예산!$G225</f>
        <v>151120240</v>
      </c>
      <c r="F158" s="85"/>
      <c r="G158" s="309" t="s">
        <v>228</v>
      </c>
      <c r="H158" s="310">
        <f>예산!$G225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70"/>
      <c r="B159" s="85"/>
      <c r="C159" s="92" t="s">
        <v>282</v>
      </c>
      <c r="D159" s="85"/>
      <c r="E159" s="86">
        <f>예산!$G226</f>
        <v>186772440</v>
      </c>
      <c r="F159" s="85"/>
      <c r="G159" s="309" t="s">
        <v>380</v>
      </c>
      <c r="H159" s="310">
        <f>예산!$G226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70"/>
      <c r="B160" s="85"/>
      <c r="C160" s="92" t="s">
        <v>158</v>
      </c>
      <c r="D160" s="85"/>
      <c r="E160" s="86">
        <f>예산!$G227</f>
        <v>12743500</v>
      </c>
      <c r="F160" s="85"/>
      <c r="G160" s="309" t="s">
        <v>226</v>
      </c>
      <c r="H160" s="310">
        <f>예산!$G227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70"/>
      <c r="B161" s="502" t="s">
        <v>21</v>
      </c>
      <c r="C161" s="485"/>
      <c r="D161" s="486"/>
      <c r="E161" s="88">
        <f>예산!G230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70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SUM(예산!$G$244:$G$247)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70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SUM(예산!$G$240:$G$243)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70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7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72"/>
      <c r="B166" s="502" t="s">
        <v>21</v>
      </c>
      <c r="C166" s="485"/>
      <c r="D166" s="486"/>
      <c r="E166" s="88">
        <f>예산!G257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03" t="s">
        <v>271</v>
      </c>
      <c r="B167" s="504"/>
      <c r="C167" s="96">
        <f>예산!G129</f>
        <v>1158461074</v>
      </c>
      <c r="D167" s="107"/>
      <c r="E167" s="108">
        <f>SUM(E166,E157,E153,E149,E140,E138,E132,E116,E114,E105)</f>
        <v>807824894</v>
      </c>
      <c r="F167" s="109"/>
      <c r="G167" s="110"/>
      <c r="H167" s="101">
        <f>SUM(H166,H161,H157,H153,H149,H140,H138,H132,H116,H114,H105)</f>
        <v>1066794029</v>
      </c>
      <c r="I167" s="500"/>
      <c r="J167" s="501"/>
      <c r="K167" s="102">
        <f t="shared" ref="K167:K168" si="10">H167/C167</f>
        <v>0.92087170897897597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2918156722.4000001</v>
      </c>
      <c r="D168" s="112"/>
      <c r="E168" s="114"/>
      <c r="F168" s="112"/>
      <c r="G168" s="112"/>
      <c r="H168" s="115">
        <f>SUM(H167,H66,H46,H31,H18)</f>
        <v>2762905677.4000001</v>
      </c>
      <c r="I168" s="116"/>
      <c r="J168" s="112"/>
      <c r="K168" s="117">
        <f t="shared" si="10"/>
        <v>0.94679824979642768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E7:F7"/>
    <mergeCell ref="D8:F14"/>
    <mergeCell ref="K4:K14"/>
    <mergeCell ref="D3:F3"/>
    <mergeCell ref="A1:K1"/>
    <mergeCell ref="E4:F4"/>
    <mergeCell ref="E5:F5"/>
    <mergeCell ref="X2:Y2"/>
    <mergeCell ref="Z2:AA2"/>
    <mergeCell ref="E6:F6"/>
    <mergeCell ref="P2:Q2"/>
    <mergeCell ref="R2:S2"/>
    <mergeCell ref="T2:U2"/>
    <mergeCell ref="V2:W2"/>
    <mergeCell ref="B15:D15"/>
    <mergeCell ref="B17:D17"/>
    <mergeCell ref="A18:B18"/>
    <mergeCell ref="A19:A30"/>
    <mergeCell ref="A31:B31"/>
    <mergeCell ref="A4:A17"/>
    <mergeCell ref="B4:B14"/>
    <mergeCell ref="C4:C1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I31:J31"/>
    <mergeCell ref="I18:J18"/>
    <mergeCell ref="B32:B40"/>
    <mergeCell ref="B41:D41"/>
    <mergeCell ref="B42:B44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B67:B79"/>
    <mergeCell ref="B80:B82"/>
    <mergeCell ref="B157:D157"/>
    <mergeCell ref="B161:D161"/>
    <mergeCell ref="B166:D166"/>
    <mergeCell ref="B153:D153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5" t="s">
        <v>283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8" t="s">
        <v>7</v>
      </c>
      <c r="Q2" s="486"/>
      <c r="R2" s="537" t="s">
        <v>240</v>
      </c>
      <c r="S2" s="486"/>
      <c r="T2" s="608" t="s">
        <v>31</v>
      </c>
      <c r="U2" s="486"/>
      <c r="V2" s="608" t="s">
        <v>72</v>
      </c>
      <c r="W2" s="486"/>
      <c r="X2" s="608" t="s">
        <v>84</v>
      </c>
      <c r="Y2" s="486"/>
      <c r="Z2" s="608" t="s">
        <v>241</v>
      </c>
      <c r="AA2" s="486"/>
    </row>
    <row r="3" spans="1:27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13" t="s">
        <v>7</v>
      </c>
      <c r="B4" s="514" t="s">
        <v>251</v>
      </c>
      <c r="C4" s="539">
        <f>예산!P5</f>
        <v>4028892</v>
      </c>
      <c r="D4" s="85" t="s">
        <v>15</v>
      </c>
      <c r="E4" s="550">
        <f>예산!P7</f>
        <v>2439392</v>
      </c>
      <c r="F4" s="486"/>
      <c r="G4" s="85" t="s">
        <v>224</v>
      </c>
      <c r="H4" s="86">
        <f>예산!N7+예산!N8</f>
        <v>3405260</v>
      </c>
      <c r="I4" s="87">
        <v>45776</v>
      </c>
      <c r="J4" s="85"/>
      <c r="K4" s="541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70"/>
      <c r="B5" s="470"/>
      <c r="C5" s="470"/>
      <c r="D5" s="85" t="s">
        <v>19</v>
      </c>
      <c r="E5" s="550">
        <f>예산!P8</f>
        <v>1589500</v>
      </c>
      <c r="F5" s="486"/>
      <c r="G5" s="85" t="s">
        <v>225</v>
      </c>
      <c r="H5" s="86">
        <f>예산!N7-1192128</f>
        <v>623632</v>
      </c>
      <c r="I5" s="87"/>
      <c r="J5" s="85"/>
      <c r="K5" s="47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70"/>
      <c r="B6" s="470"/>
      <c r="C6" s="470"/>
      <c r="D6" s="85" t="s">
        <v>252</v>
      </c>
      <c r="E6" s="550"/>
      <c r="F6" s="486"/>
      <c r="G6" s="85"/>
      <c r="H6" s="86"/>
      <c r="I6" s="87"/>
      <c r="J6" s="85"/>
      <c r="K6" s="47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70"/>
      <c r="B7" s="470"/>
      <c r="C7" s="470"/>
      <c r="D7" s="85" t="s">
        <v>252</v>
      </c>
      <c r="E7" s="550"/>
      <c r="F7" s="486"/>
      <c r="G7" s="85"/>
      <c r="H7" s="86"/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70"/>
      <c r="B8" s="470"/>
      <c r="C8" s="470"/>
      <c r="D8" s="602"/>
      <c r="E8" s="603"/>
      <c r="F8" s="561"/>
      <c r="G8" s="85"/>
      <c r="H8" s="86"/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70"/>
      <c r="B9" s="470"/>
      <c r="C9" s="470"/>
      <c r="D9" s="480"/>
      <c r="E9" s="478"/>
      <c r="F9" s="604"/>
      <c r="G9" s="85"/>
      <c r="H9" s="86"/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70"/>
      <c r="B10" s="470"/>
      <c r="C10" s="470"/>
      <c r="D10" s="480"/>
      <c r="E10" s="478"/>
      <c r="F10" s="604"/>
      <c r="G10" s="85"/>
      <c r="H10" s="86"/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70"/>
      <c r="B11" s="470"/>
      <c r="C11" s="470"/>
      <c r="D11" s="480"/>
      <c r="E11" s="478"/>
      <c r="F11" s="604"/>
      <c r="G11" s="85"/>
      <c r="H11" s="86"/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70"/>
      <c r="B12" s="470"/>
      <c r="C12" s="470"/>
      <c r="D12" s="480"/>
      <c r="E12" s="478"/>
      <c r="F12" s="604"/>
      <c r="G12" s="85"/>
      <c r="H12" s="86"/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70"/>
      <c r="B13" s="470"/>
      <c r="C13" s="470"/>
      <c r="D13" s="480"/>
      <c r="E13" s="478"/>
      <c r="F13" s="604"/>
      <c r="G13" s="85"/>
      <c r="H13" s="86"/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70"/>
      <c r="B14" s="472"/>
      <c r="C14" s="472"/>
      <c r="D14" s="483"/>
      <c r="E14" s="576"/>
      <c r="F14" s="562"/>
      <c r="G14" s="85"/>
      <c r="H14" s="86"/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70"/>
      <c r="B15" s="502" t="s">
        <v>21</v>
      </c>
      <c r="C15" s="485"/>
      <c r="D15" s="486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70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38"/>
      <c r="J18" s="486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514" t="s">
        <v>240</v>
      </c>
      <c r="C19" s="606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470"/>
      <c r="C20" s="470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470"/>
      <c r="C21" s="470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470"/>
      <c r="C22" s="470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470"/>
      <c r="C23" s="470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470"/>
      <c r="C24" s="470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470"/>
      <c r="C25" s="470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470"/>
      <c r="C26" s="470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470"/>
      <c r="C27" s="470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470"/>
      <c r="C28" s="470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2"/>
      <c r="B29" s="472"/>
      <c r="C29" s="607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8" t="s">
        <v>254</v>
      </c>
      <c r="B30" s="485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38"/>
      <c r="J30" s="486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3" t="s">
        <v>31</v>
      </c>
      <c r="B31" s="514" t="s">
        <v>255</v>
      </c>
      <c r="C31" s="606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70"/>
      <c r="B32" s="470"/>
      <c r="C32" s="470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70"/>
      <c r="B33" s="470"/>
      <c r="C33" s="470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70"/>
      <c r="B34" s="470"/>
      <c r="C34" s="470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70"/>
      <c r="B35" s="472"/>
      <c r="C35" s="472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0"/>
      <c r="B36" s="502" t="s">
        <v>21</v>
      </c>
      <c r="C36" s="485"/>
      <c r="D36" s="486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0"/>
      <c r="B37" s="514" t="s">
        <v>70</v>
      </c>
      <c r="C37" s="539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0"/>
      <c r="B38" s="470"/>
      <c r="C38" s="470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0"/>
      <c r="B39" s="472"/>
      <c r="C39" s="472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2"/>
      <c r="B40" s="502" t="s">
        <v>21</v>
      </c>
      <c r="C40" s="485"/>
      <c r="D40" s="486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8" t="s">
        <v>256</v>
      </c>
      <c r="B41" s="485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38"/>
      <c r="J41" s="486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3" t="s">
        <v>72</v>
      </c>
      <c r="B42" s="514" t="s">
        <v>257</v>
      </c>
      <c r="C42" s="606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70"/>
      <c r="B43" s="470"/>
      <c r="C43" s="470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70"/>
      <c r="B44" s="470"/>
      <c r="C44" s="470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0"/>
      <c r="B45" s="472"/>
      <c r="C45" s="472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70"/>
      <c r="B46" s="514" t="s">
        <v>261</v>
      </c>
      <c r="C46" s="539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72"/>
      <c r="B47" s="472"/>
      <c r="C47" s="607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8" t="s">
        <v>263</v>
      </c>
      <c r="B48" s="485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38"/>
      <c r="J48" s="486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3" t="s">
        <v>84</v>
      </c>
      <c r="B49" s="514" t="s">
        <v>94</v>
      </c>
      <c r="C49" s="539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70"/>
      <c r="B50" s="470"/>
      <c r="C50" s="470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70"/>
      <c r="B51" s="470"/>
      <c r="C51" s="470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70"/>
      <c r="B52" s="470"/>
      <c r="C52" s="470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70"/>
      <c r="B53" s="470"/>
      <c r="C53" s="470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70"/>
      <c r="B54" s="470"/>
      <c r="C54" s="470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70"/>
      <c r="B55" s="470"/>
      <c r="C55" s="470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70"/>
      <c r="B56" s="472"/>
      <c r="C56" s="472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70"/>
      <c r="B57" s="502" t="s">
        <v>21</v>
      </c>
      <c r="C57" s="485"/>
      <c r="D57" s="486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70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70"/>
      <c r="B59" s="502" t="s">
        <v>21</v>
      </c>
      <c r="C59" s="485"/>
      <c r="D59" s="486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70"/>
      <c r="B60" s="514" t="s">
        <v>135</v>
      </c>
      <c r="C60" s="539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70"/>
      <c r="B61" s="470"/>
      <c r="C61" s="470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70"/>
      <c r="B62" s="470"/>
      <c r="C62" s="470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70"/>
      <c r="B63" s="470"/>
      <c r="C63" s="470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70"/>
      <c r="B64" s="470"/>
      <c r="C64" s="470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70"/>
      <c r="B65" s="470"/>
      <c r="C65" s="470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70"/>
      <c r="B66" s="470"/>
      <c r="C66" s="470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70"/>
      <c r="B67" s="470"/>
      <c r="C67" s="470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70"/>
      <c r="B68" s="470"/>
      <c r="C68" s="470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70"/>
      <c r="B69" s="470"/>
      <c r="C69" s="470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472"/>
      <c r="C70" s="472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02" t="s">
        <v>21</v>
      </c>
      <c r="C71" s="485"/>
      <c r="D71" s="486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14" t="s">
        <v>116</v>
      </c>
      <c r="C72" s="539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470"/>
      <c r="C73" s="470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470"/>
      <c r="C74" s="470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470"/>
      <c r="C75" s="470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472"/>
      <c r="C76" s="472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02" t="s">
        <v>21</v>
      </c>
      <c r="C77" s="485"/>
      <c r="D77" s="486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14" t="s">
        <v>105</v>
      </c>
      <c r="C78" s="539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470"/>
      <c r="C79" s="470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470"/>
      <c r="C80" s="470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470"/>
      <c r="C81" s="470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470"/>
      <c r="C82" s="470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470"/>
      <c r="C83" s="470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470"/>
      <c r="C84" s="470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472"/>
      <c r="C85" s="472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502" t="s">
        <v>21</v>
      </c>
      <c r="C86" s="485"/>
      <c r="D86" s="486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00"/>
      <c r="J87" s="501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2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2025-11-17T09:00:45Z</dcterms:modified>
</cp:coreProperties>
</file>