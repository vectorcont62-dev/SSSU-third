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1745AB3E-E769-4A6D-9B16-4120593700FF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3차년도 전체요약" sheetId="7" r:id="rId1"/>
    <sheet name="예산" sheetId="1" r:id="rId2"/>
    <sheet name="소진일정" sheetId="3" r:id="rId3"/>
    <sheet name="재정투자 계획 총괄표, 대응자금" sheetId="5" r:id="rId4"/>
    <sheet name="3차년도 사업비 편성 총괄표" sheetId="6" r:id="rId5"/>
    <sheet name="3차년도 사업비 소진현황 (지출)" sheetId="2" r:id="rId6"/>
    <sheet name="이월금일정" sheetId="4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I11" i="7" l="1"/>
  <c r="E12" i="7"/>
  <c r="J10" i="7"/>
  <c r="F151" i="1"/>
  <c r="F170" i="1"/>
  <c r="F150" i="1"/>
  <c r="F149" i="1"/>
  <c r="H138" i="3" l="1"/>
  <c r="H139" i="3"/>
  <c r="G83" i="1"/>
  <c r="F125" i="1"/>
  <c r="E13" i="7"/>
  <c r="I10" i="7"/>
  <c r="H30" i="3"/>
  <c r="H29" i="3"/>
  <c r="H26" i="3"/>
  <c r="H27" i="3"/>
  <c r="H28" i="3"/>
  <c r="H25" i="3"/>
  <c r="E184" i="3"/>
  <c r="H184" i="3" s="1"/>
  <c r="F176" i="1" l="1"/>
  <c r="G179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1" i="1"/>
  <c r="F175" i="1"/>
  <c r="G175" i="1" s="1"/>
  <c r="E147" i="3" s="1"/>
  <c r="H147" i="3" s="1"/>
  <c r="F177" i="1"/>
  <c r="G177" i="1" s="1"/>
  <c r="G158" i="1"/>
  <c r="G159" i="1" s="1"/>
  <c r="H101" i="3"/>
  <c r="H100" i="3"/>
  <c r="E109" i="3"/>
  <c r="E135" i="1"/>
  <c r="H77" i="3"/>
  <c r="AN7" i="3" s="1"/>
  <c r="G170" i="1"/>
  <c r="H107" i="3"/>
  <c r="G81" i="1"/>
  <c r="G80" i="1"/>
  <c r="L126" i="1"/>
  <c r="P126" i="1" s="1"/>
  <c r="R126" i="1" s="1"/>
  <c r="C222" i="1" s="1"/>
  <c r="G222" i="1" s="1"/>
  <c r="G190" i="1"/>
  <c r="E84" i="3"/>
  <c r="G79" i="1"/>
  <c r="G238" i="1"/>
  <c r="G239" i="1"/>
  <c r="G240" i="1"/>
  <c r="G242" i="1"/>
  <c r="G243" i="1"/>
  <c r="G244" i="1"/>
  <c r="G245" i="1"/>
  <c r="H183" i="3" s="1"/>
  <c r="H99" i="3"/>
  <c r="E87" i="3"/>
  <c r="H87" i="3" s="1"/>
  <c r="E86" i="3"/>
  <c r="H86" i="3" s="1"/>
  <c r="H85" i="3"/>
  <c r="H76" i="3"/>
  <c r="H73" i="3"/>
  <c r="H74" i="3"/>
  <c r="H75" i="3"/>
  <c r="H97" i="2"/>
  <c r="E90" i="3"/>
  <c r="H90" i="3" s="1"/>
  <c r="E89" i="3"/>
  <c r="H89" i="3" s="1"/>
  <c r="AD2" i="2"/>
  <c r="E100" i="2"/>
  <c r="H81" i="2"/>
  <c r="H80" i="2"/>
  <c r="H140" i="2"/>
  <c r="E124" i="2"/>
  <c r="H124" i="2" s="1"/>
  <c r="E123" i="2"/>
  <c r="H123" i="2" s="1"/>
  <c r="H116" i="2"/>
  <c r="E99" i="2"/>
  <c r="H99" i="2"/>
  <c r="H96" i="2"/>
  <c r="H95" i="2"/>
  <c r="H85" i="2"/>
  <c r="H84" i="2"/>
  <c r="H83" i="2"/>
  <c r="H79" i="2"/>
  <c r="H78" i="2"/>
  <c r="H77" i="2"/>
  <c r="H76" i="2"/>
  <c r="H75" i="2"/>
  <c r="H70" i="2"/>
  <c r="H69" i="2"/>
  <c r="H68" i="2"/>
  <c r="H67" i="2"/>
  <c r="H52" i="2"/>
  <c r="H40" i="2"/>
  <c r="H39" i="2"/>
  <c r="H38" i="2"/>
  <c r="H37" i="2"/>
  <c r="H30" i="2"/>
  <c r="H29" i="2"/>
  <c r="H28" i="2"/>
  <c r="H27" i="2"/>
  <c r="H26" i="2"/>
  <c r="H25" i="2"/>
  <c r="H24" i="2"/>
  <c r="H23" i="2"/>
  <c r="H22" i="2"/>
  <c r="H21" i="2"/>
  <c r="H20" i="2"/>
  <c r="H19" i="2"/>
  <c r="H6" i="2"/>
  <c r="H5" i="2"/>
  <c r="H4" i="2"/>
  <c r="AE2" i="2" s="1"/>
  <c r="G136" i="1"/>
  <c r="H31" i="2"/>
  <c r="G173" i="1"/>
  <c r="G174" i="1"/>
  <c r="G176" i="1"/>
  <c r="E148" i="3" s="1"/>
  <c r="H148" i="3" s="1"/>
  <c r="G178" i="1"/>
  <c r="G180" i="1"/>
  <c r="E126" i="2" s="1"/>
  <c r="H126" i="2" s="1"/>
  <c r="F152" i="1"/>
  <c r="G152" i="1"/>
  <c r="H96" i="3"/>
  <c r="H97" i="3"/>
  <c r="H94" i="3"/>
  <c r="H95" i="3"/>
  <c r="H93" i="3"/>
  <c r="AM7" i="3"/>
  <c r="H106" i="3"/>
  <c r="H105" i="3"/>
  <c r="AJ7" i="3"/>
  <c r="H102" i="3"/>
  <c r="H104" i="3"/>
  <c r="AG7" i="3" s="1"/>
  <c r="H92" i="3"/>
  <c r="AD8" i="3"/>
  <c r="AE8" i="3" s="1"/>
  <c r="AE7" i="3"/>
  <c r="AD7" i="3"/>
  <c r="E108" i="3"/>
  <c r="H108" i="3" s="1"/>
  <c r="E136" i="3"/>
  <c r="H136" i="3" s="1"/>
  <c r="E137" i="3"/>
  <c r="H137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26" i="1"/>
  <c r="G225" i="1"/>
  <c r="E9" i="1"/>
  <c r="H11" i="2" s="1"/>
  <c r="Q8" i="1"/>
  <c r="G233" i="1"/>
  <c r="C16" i="6" s="1"/>
  <c r="G237" i="1"/>
  <c r="G7" i="1"/>
  <c r="E4" i="2" s="1"/>
  <c r="G138" i="1"/>
  <c r="H4" i="3"/>
  <c r="G78" i="1"/>
  <c r="G135" i="1"/>
  <c r="F148" i="1"/>
  <c r="G148" i="1"/>
  <c r="E109" i="2" s="1"/>
  <c r="F147" i="1"/>
  <c r="G147" i="1"/>
  <c r="E117" i="3" s="1"/>
  <c r="F169" i="1"/>
  <c r="G169" i="1" s="1"/>
  <c r="E119" i="2" s="1"/>
  <c r="H119" i="2" s="1"/>
  <c r="G167" i="1"/>
  <c r="G168" i="1"/>
  <c r="G182" i="1"/>
  <c r="E146" i="3" s="1"/>
  <c r="H146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109" i="3"/>
  <c r="H24" i="3"/>
  <c r="H23" i="3"/>
  <c r="H22" i="3"/>
  <c r="H21" i="3"/>
  <c r="H20" i="3"/>
  <c r="H19" i="3"/>
  <c r="AD2" i="3" s="1"/>
  <c r="H5" i="3"/>
  <c r="G241" i="1"/>
  <c r="G224" i="1"/>
  <c r="H160" i="2" s="1"/>
  <c r="G217" i="1"/>
  <c r="H174" i="3" s="1"/>
  <c r="G216" i="1"/>
  <c r="H154" i="2" s="1"/>
  <c r="G211" i="1"/>
  <c r="H152" i="2" s="1"/>
  <c r="G210" i="1"/>
  <c r="H170" i="3" s="1"/>
  <c r="G205" i="1"/>
  <c r="H144" i="2" s="1"/>
  <c r="Z3" i="2" s="1"/>
  <c r="G204" i="1"/>
  <c r="E162" i="3" s="1"/>
  <c r="G203" i="1"/>
  <c r="E161" i="3" s="1"/>
  <c r="G202" i="1"/>
  <c r="E160" i="3" s="1"/>
  <c r="G197" i="1"/>
  <c r="H158" i="3" s="1"/>
  <c r="H159" i="3" s="1"/>
  <c r="G192" i="1"/>
  <c r="G189" i="1"/>
  <c r="E134" i="2" s="1"/>
  <c r="G188" i="1"/>
  <c r="H133" i="2" s="1"/>
  <c r="G183" i="1"/>
  <c r="E128" i="2" s="1"/>
  <c r="H128" i="2" s="1"/>
  <c r="G181" i="1"/>
  <c r="E144" i="3" s="1"/>
  <c r="H144" i="3" s="1"/>
  <c r="G172" i="1"/>
  <c r="E122" i="2" s="1"/>
  <c r="H122" i="2" s="1"/>
  <c r="G171" i="1"/>
  <c r="E130" i="3" s="1"/>
  <c r="H130" i="3" s="1"/>
  <c r="G166" i="1"/>
  <c r="E127" i="3" s="1"/>
  <c r="H127" i="3" s="1"/>
  <c r="G165" i="1"/>
  <c r="G164" i="1"/>
  <c r="E117" i="2" s="1"/>
  <c r="H117" i="2" s="1"/>
  <c r="C158" i="1"/>
  <c r="L156" i="1"/>
  <c r="L154" i="1"/>
  <c r="L153" i="1"/>
  <c r="G149" i="1"/>
  <c r="H119" i="3" s="1"/>
  <c r="G146" i="1"/>
  <c r="E107" i="2" s="1"/>
  <c r="G145" i="1"/>
  <c r="H106" i="2" s="1"/>
  <c r="G140" i="1"/>
  <c r="G137" i="1"/>
  <c r="P134" i="1"/>
  <c r="G134" i="1"/>
  <c r="P133" i="1"/>
  <c r="G133" i="1"/>
  <c r="G132" i="1"/>
  <c r="L127" i="1"/>
  <c r="P127" i="1" s="1"/>
  <c r="G109" i="1"/>
  <c r="H55" i="3" s="1"/>
  <c r="G108" i="1"/>
  <c r="E51" i="3" s="1"/>
  <c r="F106" i="1"/>
  <c r="G105" i="1"/>
  <c r="G104" i="1"/>
  <c r="P100" i="1"/>
  <c r="P102" i="1" s="1"/>
  <c r="C58" i="4" s="1"/>
  <c r="G100" i="1"/>
  <c r="H47" i="2" s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E42" i="2"/>
  <c r="P83" i="1"/>
  <c r="G73" i="1"/>
  <c r="E36" i="3" s="1"/>
  <c r="H36" i="3" s="1"/>
  <c r="G72" i="1"/>
  <c r="E34" i="2" s="1"/>
  <c r="H34" i="2" s="1"/>
  <c r="G71" i="1"/>
  <c r="E34" i="3" s="1"/>
  <c r="H34" i="3" s="1"/>
  <c r="P69" i="1"/>
  <c r="G69" i="1"/>
  <c r="E32" i="2" s="1"/>
  <c r="H32" i="2" s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E6" i="2"/>
  <c r="P8" i="1"/>
  <c r="E5" i="4" s="1"/>
  <c r="G8" i="1"/>
  <c r="E5" i="2" s="1"/>
  <c r="P7" i="1"/>
  <c r="E4" i="4" s="1"/>
  <c r="Q3" i="1"/>
  <c r="C2" i="1"/>
  <c r="C3" i="1" s="1"/>
  <c r="F27" i="6"/>
  <c r="T3" i="4"/>
  <c r="H125" i="3"/>
  <c r="F24" i="5"/>
  <c r="R3" i="2"/>
  <c r="AA3" i="2"/>
  <c r="Y3" i="2"/>
  <c r="AF7" i="3" l="1"/>
  <c r="AO7" i="3"/>
  <c r="E88" i="3"/>
  <c r="AF8" i="3"/>
  <c r="AG8" i="3" s="1"/>
  <c r="AH8" i="3" s="1"/>
  <c r="AI8" i="3" s="1"/>
  <c r="AJ8" i="3" s="1"/>
  <c r="AK8" i="3" s="1"/>
  <c r="AL8" i="3" s="1"/>
  <c r="AM8" i="3" s="1"/>
  <c r="AN8" i="3" s="1"/>
  <c r="AO8" i="3" s="1"/>
  <c r="G251" i="1"/>
  <c r="E55" i="3"/>
  <c r="E149" i="3"/>
  <c r="H149" i="3" s="1"/>
  <c r="H84" i="3"/>
  <c r="AK7" i="3"/>
  <c r="AH7" i="3"/>
  <c r="AL7" i="3"/>
  <c r="AE2" i="3"/>
  <c r="H31" i="3"/>
  <c r="R3" i="3" s="1"/>
  <c r="H114" i="3"/>
  <c r="H151" i="2"/>
  <c r="H153" i="2" s="1"/>
  <c r="E58" i="4"/>
  <c r="E59" i="4" s="1"/>
  <c r="E141" i="2"/>
  <c r="E144" i="2"/>
  <c r="E43" i="2"/>
  <c r="H8" i="3"/>
  <c r="AI2" i="3" s="1"/>
  <c r="H10" i="3"/>
  <c r="AK2" i="3" s="1"/>
  <c r="H13" i="3"/>
  <c r="E7" i="2"/>
  <c r="E15" i="2" s="1"/>
  <c r="E50" i="3"/>
  <c r="L158" i="1"/>
  <c r="H11" i="3"/>
  <c r="H12" i="3"/>
  <c r="H7" i="2"/>
  <c r="H9" i="2"/>
  <c r="H12" i="2"/>
  <c r="H163" i="3"/>
  <c r="H15" i="4"/>
  <c r="H18" i="4" s="1"/>
  <c r="H88" i="4" s="1"/>
  <c r="H14" i="2"/>
  <c r="H7" i="3"/>
  <c r="P54" i="1"/>
  <c r="P50" i="1" s="1"/>
  <c r="R50" i="1" s="1"/>
  <c r="E53" i="2"/>
  <c r="E35" i="3"/>
  <c r="H35" i="3" s="1"/>
  <c r="P135" i="1"/>
  <c r="E86" i="4"/>
  <c r="H50" i="3"/>
  <c r="AG2" i="3" s="1"/>
  <c r="E106" i="2"/>
  <c r="H53" i="2"/>
  <c r="E49" i="2"/>
  <c r="H49" i="2"/>
  <c r="E151" i="2"/>
  <c r="E179" i="3"/>
  <c r="E124" i="3"/>
  <c r="E153" i="3"/>
  <c r="E4" i="3"/>
  <c r="H153" i="3"/>
  <c r="E42" i="4"/>
  <c r="E48" i="4" s="1"/>
  <c r="H182" i="3"/>
  <c r="E33" i="2"/>
  <c r="H33" i="2" s="1"/>
  <c r="H134" i="2"/>
  <c r="H138" i="2" s="1"/>
  <c r="E126" i="3"/>
  <c r="H126" i="3" s="1"/>
  <c r="E135" i="3"/>
  <c r="H135" i="3" s="1"/>
  <c r="H179" i="3"/>
  <c r="E129" i="2"/>
  <c r="H129" i="2" s="1"/>
  <c r="H51" i="3"/>
  <c r="H49" i="3"/>
  <c r="G125" i="1"/>
  <c r="G198" i="1"/>
  <c r="C18" i="6" s="1"/>
  <c r="E155" i="2"/>
  <c r="G9" i="1"/>
  <c r="E6" i="3" s="1"/>
  <c r="H9" i="3"/>
  <c r="H107" i="2"/>
  <c r="H110" i="2"/>
  <c r="H78" i="1"/>
  <c r="H14" i="3"/>
  <c r="E116" i="2"/>
  <c r="K116" i="2" s="1"/>
  <c r="C14" i="6"/>
  <c r="E125" i="3"/>
  <c r="K125" i="3" s="1"/>
  <c r="R26" i="1"/>
  <c r="C31" i="4"/>
  <c r="C41" i="4"/>
  <c r="K41" i="4" s="1"/>
  <c r="U3" i="4" s="1"/>
  <c r="E61" i="4"/>
  <c r="R127" i="1"/>
  <c r="C223" i="1" s="1"/>
  <c r="G223" i="1" s="1"/>
  <c r="H159" i="2" s="1"/>
  <c r="P128" i="1"/>
  <c r="C60" i="4" s="1"/>
  <c r="E120" i="3"/>
  <c r="H120" i="3"/>
  <c r="H111" i="2"/>
  <c r="E60" i="4"/>
  <c r="G206" i="1"/>
  <c r="C19" i="6" s="1"/>
  <c r="E44" i="2"/>
  <c r="H44" i="2" s="1"/>
  <c r="H45" i="2" s="1"/>
  <c r="E15" i="4"/>
  <c r="H163" i="2"/>
  <c r="H141" i="2"/>
  <c r="E115" i="2"/>
  <c r="E128" i="3"/>
  <c r="H128" i="3" s="1"/>
  <c r="E118" i="3"/>
  <c r="H162" i="3"/>
  <c r="G184" i="1"/>
  <c r="C254" i="1"/>
  <c r="H118" i="3"/>
  <c r="H109" i="2"/>
  <c r="H143" i="2"/>
  <c r="X3" i="2" s="1"/>
  <c r="E170" i="3"/>
  <c r="G54" i="1"/>
  <c r="E171" i="3"/>
  <c r="G141" i="1"/>
  <c r="E114" i="3" s="1"/>
  <c r="H171" i="3"/>
  <c r="H172" i="3" s="1"/>
  <c r="E158" i="3"/>
  <c r="E159" i="3" s="1"/>
  <c r="K159" i="3" s="1"/>
  <c r="E31" i="4"/>
  <c r="E36" i="4" s="1"/>
  <c r="E41" i="4" s="1"/>
  <c r="E154" i="2"/>
  <c r="E139" i="2"/>
  <c r="E140" i="2" s="1"/>
  <c r="K140" i="2" s="1"/>
  <c r="H162" i="2"/>
  <c r="E174" i="3"/>
  <c r="H160" i="3"/>
  <c r="E152" i="2"/>
  <c r="H8" i="2"/>
  <c r="AI2" i="2" s="1"/>
  <c r="E143" i="2"/>
  <c r="E5" i="3"/>
  <c r="E163" i="3"/>
  <c r="H13" i="2"/>
  <c r="AN2" i="2" s="1"/>
  <c r="G18" i="1"/>
  <c r="G19" i="1" s="1"/>
  <c r="C5" i="6" s="1"/>
  <c r="H10" i="2"/>
  <c r="E158" i="2"/>
  <c r="H177" i="3"/>
  <c r="E177" i="3"/>
  <c r="H158" i="2"/>
  <c r="P96" i="1"/>
  <c r="E74" i="4"/>
  <c r="E77" i="4" s="1"/>
  <c r="G106" i="1"/>
  <c r="E120" i="2"/>
  <c r="H120" i="2" s="1"/>
  <c r="AM2" i="2" s="1"/>
  <c r="G6" i="7"/>
  <c r="E33" i="3"/>
  <c r="H33" i="3" s="1"/>
  <c r="A2" i="3"/>
  <c r="AD3" i="3" s="1"/>
  <c r="A2" i="2"/>
  <c r="AE3" i="2" s="1"/>
  <c r="F6" i="5"/>
  <c r="G6" i="5" s="1"/>
  <c r="G90" i="1"/>
  <c r="C10" i="6" s="1"/>
  <c r="E119" i="3"/>
  <c r="E48" i="2"/>
  <c r="G193" i="1"/>
  <c r="P11" i="1"/>
  <c r="P13" i="1" s="1"/>
  <c r="P5" i="1" s="1"/>
  <c r="E49" i="3"/>
  <c r="E127" i="2"/>
  <c r="H48" i="2"/>
  <c r="H155" i="2"/>
  <c r="H157" i="2" s="1"/>
  <c r="G63" i="1"/>
  <c r="H100" i="2"/>
  <c r="E118" i="2"/>
  <c r="H118" i="2" s="1"/>
  <c r="E173" i="3"/>
  <c r="G212" i="1"/>
  <c r="G154" i="1"/>
  <c r="E160" i="2"/>
  <c r="E111" i="2"/>
  <c r="E32" i="3"/>
  <c r="H32" i="3" s="1"/>
  <c r="H173" i="3"/>
  <c r="H176" i="3" s="1"/>
  <c r="G218" i="1"/>
  <c r="E110" i="2"/>
  <c r="E121" i="2"/>
  <c r="H121" i="2" s="1"/>
  <c r="AF2" i="2" s="1"/>
  <c r="AF3" i="2" s="1"/>
  <c r="G5" i="7"/>
  <c r="H161" i="3"/>
  <c r="E108" i="2"/>
  <c r="H108" i="2"/>
  <c r="H117" i="3"/>
  <c r="E142" i="2"/>
  <c r="E133" i="2"/>
  <c r="H181" i="3"/>
  <c r="E35" i="2"/>
  <c r="H35" i="2" s="1"/>
  <c r="H142" i="2"/>
  <c r="E143" i="3"/>
  <c r="H143" i="3" s="1"/>
  <c r="E47" i="2"/>
  <c r="E145" i="3"/>
  <c r="H145" i="3" s="1"/>
  <c r="G82" i="1"/>
  <c r="C9" i="6" s="1"/>
  <c r="C26" i="1"/>
  <c r="H152" i="3"/>
  <c r="E152" i="3"/>
  <c r="AP7" i="3" l="1"/>
  <c r="AP9" i="3" s="1"/>
  <c r="H151" i="3"/>
  <c r="AE3" i="3"/>
  <c r="I6" i="7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68" i="3"/>
  <c r="H185" i="3"/>
  <c r="G227" i="1"/>
  <c r="G11" i="7" s="1"/>
  <c r="AM3" i="2"/>
  <c r="H15" i="2"/>
  <c r="AG2" i="2"/>
  <c r="AG3" i="2" s="1"/>
  <c r="H149" i="2"/>
  <c r="AO2" i="2"/>
  <c r="AO3" i="2" s="1"/>
  <c r="G64" i="1"/>
  <c r="C12" i="6"/>
  <c r="H166" i="2"/>
  <c r="G10" i="7"/>
  <c r="E105" i="2"/>
  <c r="F105" i="2" s="1"/>
  <c r="G13" i="1"/>
  <c r="G14" i="1" s="1"/>
  <c r="G5" i="1" s="1"/>
  <c r="F7" i="5" s="1"/>
  <c r="G7" i="5" s="1"/>
  <c r="E149" i="2"/>
  <c r="AD3" i="2"/>
  <c r="H114" i="2"/>
  <c r="H178" i="3"/>
  <c r="H180" i="3" s="1"/>
  <c r="E178" i="3"/>
  <c r="E159" i="2"/>
  <c r="E151" i="3"/>
  <c r="E132" i="2"/>
  <c r="J126" i="2"/>
  <c r="AN2" i="3"/>
  <c r="AK2" i="2"/>
  <c r="AK3" i="2" s="1"/>
  <c r="C16" i="2"/>
  <c r="E17" i="2" s="1"/>
  <c r="C16" i="3"/>
  <c r="H16" i="3" s="1"/>
  <c r="AH2" i="3"/>
  <c r="H168" i="3"/>
  <c r="C15" i="6"/>
  <c r="E138" i="2"/>
  <c r="K138" i="2" s="1"/>
  <c r="J143" i="3"/>
  <c r="F13" i="5"/>
  <c r="C25" i="6"/>
  <c r="C26" i="6" s="1"/>
  <c r="E161" i="2"/>
  <c r="C21" i="6"/>
  <c r="C17" i="6"/>
  <c r="C87" i="4"/>
  <c r="E157" i="3"/>
  <c r="C13" i="6"/>
  <c r="E123" i="3"/>
  <c r="E114" i="2"/>
  <c r="C20" i="6"/>
  <c r="E172" i="3"/>
  <c r="K172" i="3" s="1"/>
  <c r="E153" i="2"/>
  <c r="K153" i="2" s="1"/>
  <c r="H41" i="2"/>
  <c r="H46" i="2" s="1"/>
  <c r="T3" i="2" s="1"/>
  <c r="K109" i="3"/>
  <c r="K38" i="3"/>
  <c r="K36" i="3"/>
  <c r="K134" i="3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F2" i="3"/>
  <c r="H123" i="3"/>
  <c r="K125" i="2"/>
  <c r="K37" i="2"/>
  <c r="K35" i="2"/>
  <c r="H132" i="2"/>
  <c r="G126" i="1"/>
  <c r="E53" i="3"/>
  <c r="H53" i="3" s="1"/>
  <c r="H68" i="3" s="1"/>
  <c r="E51" i="2"/>
  <c r="H51" i="2" s="1"/>
  <c r="AL2" i="2" s="1"/>
  <c r="AL3" i="2" s="1"/>
  <c r="C18" i="4"/>
  <c r="R5" i="1"/>
  <c r="C4" i="4"/>
  <c r="P3" i="1"/>
  <c r="R3" i="1" s="1"/>
  <c r="H42" i="3"/>
  <c r="H48" i="3" s="1"/>
  <c r="T3" i="3" s="1"/>
  <c r="G66" i="1"/>
  <c r="C48" i="3" s="1"/>
  <c r="K100" i="2"/>
  <c r="H105" i="2"/>
  <c r="K114" i="3"/>
  <c r="AI3" i="2"/>
  <c r="E166" i="2"/>
  <c r="E185" i="3"/>
  <c r="K185" i="3" s="1"/>
  <c r="C23" i="6"/>
  <c r="Z3" i="4"/>
  <c r="E176" i="3"/>
  <c r="K176" i="3" s="1"/>
  <c r="E157" i="2"/>
  <c r="C22" i="6"/>
  <c r="H161" i="2"/>
  <c r="AH2" i="2"/>
  <c r="AH3" i="2" s="1"/>
  <c r="AN3" i="2"/>
  <c r="AJ2" i="3"/>
  <c r="H157" i="3"/>
  <c r="E180" i="3" l="1"/>
  <c r="E186" i="3" s="1"/>
  <c r="AF3" i="3"/>
  <c r="AG3" i="3" s="1"/>
  <c r="AH3" i="3" s="1"/>
  <c r="AI3" i="3" s="1"/>
  <c r="AJ3" i="3" s="1"/>
  <c r="AK3" i="3" s="1"/>
  <c r="G129" i="1"/>
  <c r="C167" i="2" s="1"/>
  <c r="K167" i="2" s="1"/>
  <c r="K168" i="3"/>
  <c r="K149" i="2"/>
  <c r="K114" i="2"/>
  <c r="K48" i="3"/>
  <c r="U3" i="3" s="1"/>
  <c r="K105" i="2"/>
  <c r="K132" i="2"/>
  <c r="K166" i="2"/>
  <c r="C4" i="6"/>
  <c r="C6" i="6" s="1"/>
  <c r="C4" i="3"/>
  <c r="C18" i="3" s="1"/>
  <c r="E18" i="3" s="1"/>
  <c r="G26" i="1"/>
  <c r="G4" i="7" s="1"/>
  <c r="C7" i="6"/>
  <c r="C8" i="6" s="1"/>
  <c r="E167" i="2"/>
  <c r="C4" i="2"/>
  <c r="C18" i="2" s="1"/>
  <c r="E18" i="2" s="1"/>
  <c r="H66" i="2"/>
  <c r="V3" i="2" s="1"/>
  <c r="E17" i="3"/>
  <c r="K157" i="2"/>
  <c r="H16" i="2"/>
  <c r="H17" i="2" s="1"/>
  <c r="H18" i="2" s="1"/>
  <c r="K18" i="2" s="1"/>
  <c r="Q3" i="2" s="1"/>
  <c r="AL2" i="3"/>
  <c r="F14" i="5"/>
  <c r="G14" i="5" s="1"/>
  <c r="G13" i="5"/>
  <c r="K151" i="3"/>
  <c r="K161" i="2"/>
  <c r="H167" i="2"/>
  <c r="K123" i="3"/>
  <c r="K87" i="4"/>
  <c r="Y3" i="4" s="1"/>
  <c r="C88" i="4"/>
  <c r="K88" i="4" s="1"/>
  <c r="AA3" i="4" s="1"/>
  <c r="AP2" i="2"/>
  <c r="AQ2" i="2" s="1"/>
  <c r="AQ3" i="2" s="1"/>
  <c r="H17" i="3"/>
  <c r="H18" i="3" s="1"/>
  <c r="I4" i="7" s="1"/>
  <c r="AO2" i="3"/>
  <c r="V3" i="3"/>
  <c r="G97" i="1"/>
  <c r="C11" i="6"/>
  <c r="C24" i="6" s="1"/>
  <c r="C46" i="2"/>
  <c r="K46" i="2" s="1"/>
  <c r="U3" i="2" s="1"/>
  <c r="F9" i="5"/>
  <c r="G9" i="5" s="1"/>
  <c r="E18" i="4"/>
  <c r="K18" i="4"/>
  <c r="Q3" i="4" s="1"/>
  <c r="K157" i="3"/>
  <c r="H186" i="3"/>
  <c r="K180" i="3" l="1"/>
  <c r="F186" i="3"/>
  <c r="F11" i="5"/>
  <c r="G11" i="5" s="1"/>
  <c r="C186" i="3"/>
  <c r="K186" i="3" s="1"/>
  <c r="Y3" i="3" s="1"/>
  <c r="C27" i="6"/>
  <c r="D17" i="6" s="1"/>
  <c r="P3" i="2"/>
  <c r="H168" i="2"/>
  <c r="AP2" i="3"/>
  <c r="AP3" i="3" s="1"/>
  <c r="C19" i="2"/>
  <c r="C31" i="2" s="1"/>
  <c r="F8" i="5"/>
  <c r="G8" i="5" s="1"/>
  <c r="C19" i="3"/>
  <c r="C31" i="3" s="1"/>
  <c r="AL3" i="3"/>
  <c r="AM3" i="3" s="1"/>
  <c r="AN3" i="3" s="1"/>
  <c r="AO3" i="3" s="1"/>
  <c r="AP3" i="2"/>
  <c r="K18" i="3"/>
  <c r="Q3" i="3" s="1"/>
  <c r="P3" i="3"/>
  <c r="I9" i="7"/>
  <c r="F10" i="5"/>
  <c r="G9" i="7"/>
  <c r="C68" i="3"/>
  <c r="C66" i="2"/>
  <c r="G3" i="1"/>
  <c r="H187" i="3"/>
  <c r="X3" i="3"/>
  <c r="I12" i="7" l="1"/>
  <c r="D7" i="6"/>
  <c r="D8" i="6" s="1"/>
  <c r="D12" i="6"/>
  <c r="D14" i="6"/>
  <c r="D22" i="6"/>
  <c r="D25" i="6"/>
  <c r="D26" i="6" s="1"/>
  <c r="D18" i="6"/>
  <c r="D19" i="6"/>
  <c r="D9" i="6"/>
  <c r="D23" i="6"/>
  <c r="D15" i="6"/>
  <c r="D21" i="6"/>
  <c r="D13" i="6"/>
  <c r="D16" i="6"/>
  <c r="D4" i="6"/>
  <c r="D20" i="6"/>
  <c r="D11" i="6"/>
  <c r="D5" i="6"/>
  <c r="D10" i="6"/>
  <c r="K31" i="2"/>
  <c r="S3" i="2" s="1"/>
  <c r="E31" i="2"/>
  <c r="E31" i="3"/>
  <c r="K31" i="3"/>
  <c r="S3" i="3" s="1"/>
  <c r="AQ2" i="3"/>
  <c r="AQ3" i="3" s="1"/>
  <c r="C168" i="2"/>
  <c r="K168" i="2" s="1"/>
  <c r="K66" i="2"/>
  <c r="W3" i="2" s="1"/>
  <c r="G12" i="7"/>
  <c r="G13" i="7" s="1"/>
  <c r="H3" i="1"/>
  <c r="K68" i="3"/>
  <c r="W3" i="3" s="1"/>
  <c r="C187" i="3"/>
  <c r="K187" i="3" s="1"/>
  <c r="AA3" i="3" s="1"/>
  <c r="G10" i="5"/>
  <c r="G12" i="5" s="1"/>
  <c r="G15" i="5" s="1"/>
  <c r="F12" i="5"/>
  <c r="F15" i="5" s="1"/>
  <c r="Z3" i="3"/>
  <c r="D6" i="6" l="1"/>
  <c r="D24" i="6"/>
  <c r="C17" i="5"/>
  <c r="H10" i="5" s="1"/>
  <c r="J13" i="7"/>
  <c r="J12" i="7"/>
  <c r="D27" i="6" l="1"/>
  <c r="H13" i="5"/>
  <c r="H14" i="5" s="1"/>
  <c r="H9" i="5"/>
  <c r="H11" i="5"/>
  <c r="H7" i="5"/>
  <c r="H6" i="5"/>
  <c r="H8" i="5"/>
  <c r="H12" i="5" l="1"/>
  <c r="H15" i="5" s="1"/>
</calcChain>
</file>

<file path=xl/sharedStrings.xml><?xml version="1.0" encoding="utf-8"?>
<sst xmlns="http://schemas.openxmlformats.org/spreadsheetml/2006/main" count="1417" uniqueCount="544">
  <si>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</si>
  <si>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</si>
  <si>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</si>
  <si>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</si>
  <si>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</si>
  <si>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</si>
  <si>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</si>
  <si>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</si>
  <si>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</si>
  <si>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</si>
  <si>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</si>
  <si>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</si>
  <si>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</si>
  <si>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</si>
  <si>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</si>
  <si>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</si>
  <si>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</si>
  <si>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</si>
  <si>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</si>
  <si>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</si>
  <si>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</si>
  <si>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</si>
  <si>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</si>
  <si>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</si>
  <si>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</si>
  <si>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</si>
  <si>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</si>
  <si>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</si>
  <si>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</si>
  <si>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</si>
  <si>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</si>
  <si>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</si>
  <si>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</si>
  <si>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</si>
  <si>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</si>
  <si>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</si>
  <si>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</si>
  <si>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</si>
  <si>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</si>
  <si>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</si>
  <si>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</si>
  <si>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</si>
  <si>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</si>
  <si>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</si>
  <si>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</si>
  <si>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</si>
  <si>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</si>
  <si>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</si>
  <si>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</si>
  <si>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</si>
  <si>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</si>
  <si>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</si>
  <si>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</si>
  <si>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</si>
  <si>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</si>
  <si>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</si>
  <si>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</si>
  <si>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</si>
  <si>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</si>
  <si>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</si>
  <si>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</si>
  <si>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</si>
  <si>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</si>
  <si>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</si>
  <si>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</si>
  <si>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</si>
  <si>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</si>
  <si>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</si>
  <si>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</si>
  <si>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</si>
  <si>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</si>
  <si>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</si>
  <si>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</si>
  <si>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</si>
  <si>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</si>
  <si>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</si>
  <si>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</si>
  <si>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</si>
  <si>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</si>
  <si>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</si>
  <si>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</si>
  <si>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</si>
  <si>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</si>
  <si>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</si>
  <si>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</si>
  <si>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</si>
  <si>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</si>
  <si>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</si>
  <si>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</si>
  <si>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</si>
  <si>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</si>
  <si>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</si>
  <si>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</si>
  <si>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</si>
  <si>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</si>
  <si>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</si>
  <si>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</si>
  <si>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</si>
  <si>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</si>
  <si>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</si>
  <si>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</si>
  <si>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</si>
  <si>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</si>
  <si>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</si>
  <si>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</si>
  <si>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</si>
  <si>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</si>
  <si>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</si>
  <si>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</si>
  <si>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</si>
  <si>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</si>
  <si>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</si>
  <si>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</si>
  <si>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</si>
  <si>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</si>
  <si>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</si>
  <si>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</si>
  <si>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</si>
  <si>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</si>
  <si>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</si>
  <si>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</si>
  <si>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</si>
  <si>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</si>
  <si>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</si>
  <si>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</si>
  <si>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</si>
  <si>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</si>
  <si>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</si>
  <si>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</si>
  <si>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</si>
  <si>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</si>
  <si>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</si>
  <si>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</si>
  <si>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</si>
  <si>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</si>
  <si>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</si>
  <si>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</si>
  <si>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</si>
  <si>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</si>
  <si>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</si>
  <si>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</si>
  <si>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</si>
  <si>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</si>
  <si>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</si>
  <si>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</si>
  <si>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</si>
  <si>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</si>
  <si>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</si>
  <si>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</si>
  <si>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</si>
  <si>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</si>
  <si>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</si>
  <si>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</si>
  <si>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</si>
  <si>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단가 기준 : 750만원 x 80%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</si>
  <si>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</si>
  <si>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</si>
  <si>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</si>
  <si>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</si>
  <si>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</si>
  <si>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</si>
  <si>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</si>
  <si>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</si>
  <si>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</si>
  <si>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</si>
  <si>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</si>
  <si>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</si>
  <si>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</si>
  <si>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</si>
  <si>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</si>
  <si>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</si>
  <si>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</si>
  <si>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</si>
  <si>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</si>
  <si>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</si>
  <si>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</si>
  <si>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</si>
  <si>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</si>
  <si>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</si>
  <si>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</si>
  <si>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</si>
  <si>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</si>
  <si>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</si>
  <si>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</si>
  <si>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</si>
  <si>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</si>
  <si>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</si>
  <si>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</si>
  <si>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</si>
  <si>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</si>
  <si>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</si>
  <si>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</si>
  <si>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</si>
  <si>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</si>
  <si>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</si>
  <si>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</si>
  <si>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</si>
  <si>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</si>
  <si>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</si>
  <si>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</si>
  <si>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</si>
  <si>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</si>
  <si>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</si>
  <si>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</si>
  <si>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</si>
  <si>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</si>
  <si>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</si>
  <si>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</si>
  <si>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</si>
  <si>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</si>
  <si>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</si>
  <si>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</si>
  <si>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</si>
  <si>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</si>
  <si>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</si>
  <si>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</si>
  <si>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</si>
  <si>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</si>
  <si>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</si>
  <si>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</si>
  <si>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</si>
  <si>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</si>
  <si>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</si>
  <si>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</si>
  <si>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</si>
  <si>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</si>
  <si>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</si>
  <si>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</si>
  <si>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</si>
  <si>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</si>
  <si>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</si>
  <si>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</si>
  <si>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</si>
  <si>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</si>
  <si>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</si>
  <si>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</si>
  <si>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</si>
  <si>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</si>
  <si>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</si>
  <si>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</si>
  <si>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</si>
  <si>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</si>
  <si>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</si>
  <si>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</si>
  <si>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</si>
  <si>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</si>
  <si>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</si>
  <si>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</si>
  <si>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</si>
  <si>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</si>
  <si>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</si>
  <si>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</si>
  <si>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</si>
  <si>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</si>
  <si>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</si>
  <si>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</si>
  <si>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</si>
  <si>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</si>
  <si>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</si>
  <si>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</si>
  <si>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</si>
  <si>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</si>
  <si>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</si>
  <si>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</si>
  <si>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</si>
  <si>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</si>
  <si>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</si>
  <si>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</si>
  <si>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</si>
  <si>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</si>
  <si>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</si>
  <si>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</si>
  <si>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</si>
  <si>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</si>
  <si>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</si>
  <si>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</si>
  <si>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</si>
  <si>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</si>
  <si>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</si>
  <si>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</si>
  <si>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</si>
  <si>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</si>
  <si>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</si>
  <si>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</si>
  <si>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</si>
  <si>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</si>
  <si>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</si>
  <si>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</si>
  <si>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</si>
  <si>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</si>
  <si>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</si>
  <si>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</si>
  <si>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</si>
  <si>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</si>
  <si>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</si>
  <si>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</si>
  <si>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</si>
  <si>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</si>
  <si>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</si>
  <si>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</si>
  <si>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</si>
  <si>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</si>
  <si>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</si>
  <si>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</si>
  <si>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</si>
  <si>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</si>
  <si>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</si>
  <si>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</si>
  <si>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</si>
  <si>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</si>
  <si>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</si>
  <si>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</si>
  <si>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</si>
  <si>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</si>
  <si>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</si>
  <si>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</si>
  <si>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</si>
  <si>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</si>
  <si>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</si>
  <si>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</si>
  <si>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</si>
  <si>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</si>
  <si>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</si>
  <si>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</si>
  <si>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</si>
  <si>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</si>
  <si>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</si>
  <si>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</si>
  <si>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</si>
  <si>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</si>
  <si>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</si>
  <si>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</si>
  <si>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</si>
  <si>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</si>
  <si>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</si>
  <si>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</si>
  <si>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</si>
  <si>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</si>
  <si>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</si>
  <si>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</si>
  <si>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</si>
  <si>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</si>
  <si>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</si>
  <si>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</si>
  <si>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</si>
  <si>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</si>
  <si>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</si>
  <si>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</si>
  <si>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</si>
  <si>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</si>
  <si>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</si>
  <si>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</si>
  <si>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</si>
  <si>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</si>
  <si>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</si>
  <si>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</si>
  <si>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</si>
  <si>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</si>
  <si>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</si>
  <si>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543,018,500 -&gt; 실제구매가 498,000,000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</si>
  <si>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</si>
  <si>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</si>
  <si>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</si>
  <si>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</si>
  <si>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</si>
  <si>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</si>
  <si>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</si>
  <si>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</si>
  <si>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</si>
  <si>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</si>
  <si>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</si>
  <si>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</si>
  <si>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</si>
  <si>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</si>
  <si>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</si>
  <si>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</si>
  <si>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</si>
  <si>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</si>
  <si>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</si>
  <si>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</si>
  <si>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</si>
  <si>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</si>
  <si>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</si>
  <si>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</si>
  <si>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</si>
  <si>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</si>
  <si>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</si>
  <si>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</si>
  <si>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</si>
  <si>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</si>
  <si>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</si>
  <si>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</si>
  <si>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</si>
  <si>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</si>
  <si>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</si>
  <si>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</si>
  <si>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</si>
  <si>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</si>
  <si>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</si>
  <si>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</si>
  <si>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</si>
  <si>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</si>
  <si>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</si>
  <si>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</si>
  <si>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</si>
  <si>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</si>
  <si>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</si>
  <si>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</si>
  <si>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</si>
  <si>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</si>
  <si>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</si>
  <si>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</si>
  <si>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장학생 학회등록비 (IEEE ICCE-aisa 2024, 10)</t>
    <phoneticPr fontId="27" type="noConversion"/>
  </si>
  <si>
    <t>하반기 출장 인솔 TA 학회등록비 (IEEE ICCE-aisa 2024, 10)</t>
    <phoneticPr fontId="27" type="noConversion"/>
  </si>
  <si>
    <t>하반기 출장 인솔 직원 학회등록비 (IEEE ICCE-aisa 2024, 10)</t>
    <phoneticPr fontId="27" type="noConversion"/>
  </si>
  <si>
    <t>장학생 여비 (항공권, 숙박비) (IEEE ICCE-aisa 2024, 10)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</si>
  <si>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</si>
  <si>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</si>
  <si>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</si>
  <si>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</si>
  <si>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</si>
  <si>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</si>
  <si>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</si>
  <si>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</si>
  <si>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</si>
  <si>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</si>
  <si>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</si>
  <si>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</si>
  <si>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</si>
  <si>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</si>
  <si>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</si>
  <si>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</si>
  <si>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</si>
  <si>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</si>
  <si>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</si>
  <si>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</si>
  <si>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</si>
  <si>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</si>
  <si>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</si>
  <si>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</si>
  <si>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</si>
  <si>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</si>
  <si>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</si>
  <si>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</si>
  <si>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</si>
  <si>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</si>
  <si>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</si>
  <si>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</si>
  <si>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</si>
  <si>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</si>
  <si>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</si>
  <si>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</si>
  <si>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</si>
  <si>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</si>
  <si>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</si>
  <si>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</si>
  <si>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</si>
  <si>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</si>
  <si>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</si>
  <si>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</si>
  <si>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</si>
  <si>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</si>
  <si>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</si>
  <si>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</si>
  <si>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</si>
  <si>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</si>
  <si>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</si>
  <si>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</si>
  <si>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</si>
  <si>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</si>
  <si>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</si>
  <si>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</si>
  <si>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46,500천원 제외시 6.83억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</si>
  <si>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</si>
  <si>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</si>
  <si>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</si>
  <si>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</si>
  <si>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</si>
  <si>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</si>
  <si>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</si>
  <si>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</si>
  <si>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</si>
  <si>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</si>
  <si>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</si>
  <si>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</si>
  <si>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</si>
  <si>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</si>
  <si>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</si>
  <si>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</si>
  <si>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</si>
  <si>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</si>
  <si>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</si>
  <si>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</si>
  <si>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</si>
  <si>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</si>
  <si>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</si>
  <si>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</si>
  <si>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</si>
  <si>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</si>
  <si>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</si>
  <si>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</si>
  <si>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</si>
  <si>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</si>
  <si>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</si>
  <si>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</si>
  <si>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</si>
  <si>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</si>
  <si>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11월 말 컴공 GPU 3대 도입 예정 (100%)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</si>
  <si>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</si>
  <si>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</si>
  <si>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O</t>
    <phoneticPr fontId="27" type="noConversion"/>
  </si>
  <si>
    <t>11월 말 첨융 GPU 3대 + 프로브 스테이션 + B1500 도입 예정 (42%)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</si>
  <si>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</si>
  <si>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</si>
  <si>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</si>
  <si>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</si>
  <si>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</si>
  <si>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</si>
  <si>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</si>
  <si>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</si>
  <si>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유니위크 분담금, 간담회 등 (16%)</t>
    <phoneticPr fontId="27" type="noConversion"/>
  </si>
  <si>
    <t>(Δ: +16,488)</t>
    <phoneticPr fontId="27" type="noConversion"/>
  </si>
  <si>
    <t>MIT 학회등록비 + ESTA</t>
    <phoneticPr fontId="27" type="noConversion"/>
  </si>
  <si>
    <t>총 1140만원 : 추후 취합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</si>
  <si>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</si>
  <si>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</si>
  <si>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</si>
  <si>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t>기존 50만, 부산 최신화하면서 조정하기</t>
    <phoneticPr fontId="27" type="noConversion"/>
  </si>
  <si>
    <t>실제소요금액 1,194,800 원 -&gt; 나중에 수정 필요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</si>
  <si>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</si>
  <si>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스위치매트릭스 : 입찰가 확정완료 및 도입 예정일 11월 14일 (10%)</t>
    <phoneticPr fontId="27" type="noConversion"/>
  </si>
  <si>
    <t>월별 순차지급 (36%) + 인센티브 (23%) 3차년도 종료후 일괄 지급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</si>
  <si>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</si>
  <si>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</si>
  <si>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</si>
  <si>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</si>
  <si>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</si>
  <si>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</si>
  <si>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</si>
  <si>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t>한호철 연구원 자료 반영 (25.11.04)</t>
    <phoneticPr fontId="27" type="noConversion"/>
  </si>
  <si>
    <t>ALD : 입찰 마감, 최종계약금액 산정 중 (37%)</t>
    <phoneticPr fontId="27" type="noConversion"/>
  </si>
  <si>
    <r>
      <t xml:space="preserve">(Δ: 0) </t>
    </r>
    <r>
      <rPr>
        <vertAlign val="superscript"/>
        <sz val="15"/>
        <color rgb="FF292929"/>
        <rFont val="함초롬돋움"/>
        <family val="3"/>
        <charset val="129"/>
      </rPr>
      <t>1) 2)</t>
    </r>
    <phoneticPr fontId="27" type="noConversion"/>
  </si>
  <si>
    <t>(25.11.04 기준)</t>
    <phoneticPr fontId="27" type="noConversion"/>
  </si>
  <si>
    <t>(현시점 25.11.10 기준)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</si>
</sst>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0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8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08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37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3" fillId="19" borderId="0" xfId="0" applyNumberFormat="1" applyFont="1" applyFill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20" borderId="82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2" borderId="5" xfId="0" applyNumberFormat="1" applyFont="1" applyFill="1" applyBorder="1" applyAlignment="1">
      <alignment horizontal="center" vertical="center"/>
    </xf>
    <xf numFmtId="176" fontId="2" fillId="22" borderId="5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center" vertical="center"/>
    </xf>
    <xf numFmtId="176" fontId="2" fillId="22" borderId="21" xfId="0" applyNumberFormat="1" applyFont="1" applyFill="1" applyBorder="1" applyAlignment="1">
      <alignment vertical="center"/>
    </xf>
    <xf numFmtId="176" fontId="2" fillId="22" borderId="22" xfId="0" applyNumberFormat="1" applyFont="1" applyFill="1" applyBorder="1" applyAlignment="1">
      <alignment horizontal="right" vertical="center"/>
    </xf>
    <xf numFmtId="176" fontId="2" fillId="22" borderId="5" xfId="0" applyNumberFormat="1" applyFont="1" applyFill="1" applyBorder="1" applyAlignment="1">
      <alignment horizontal="right" vertical="center"/>
    </xf>
    <xf numFmtId="176" fontId="2" fillId="22" borderId="6" xfId="0" applyNumberFormat="1" applyFont="1" applyFill="1" applyBorder="1" applyAlignment="1">
      <alignment horizontal="center" vertical="center"/>
    </xf>
    <xf numFmtId="176" fontId="2" fillId="22" borderId="13" xfId="0" applyNumberFormat="1" applyFont="1" applyFill="1" applyBorder="1" applyAlignment="1">
      <alignment horizontal="right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22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right" vertical="center"/>
    </xf>
    <xf numFmtId="176" fontId="2" fillId="22" borderId="9" xfId="0" applyNumberFormat="1" applyFont="1" applyFill="1" applyBorder="1" applyAlignment="1">
      <alignment horizontal="center" vertical="center"/>
    </xf>
    <xf numFmtId="176" fontId="2" fillId="22" borderId="82" xfId="0" applyNumberFormat="1" applyFont="1" applyFill="1" applyBorder="1" applyAlignment="1">
      <alignment horizontal="right" vertical="center"/>
    </xf>
    <xf numFmtId="176" fontId="2" fillId="22" borderId="82" xfId="0" applyNumberFormat="1" applyFont="1" applyFill="1" applyBorder="1" applyAlignment="1">
      <alignment vertical="center"/>
    </xf>
    <xf numFmtId="176" fontId="2" fillId="22" borderId="82" xfId="0" applyNumberFormat="1" applyFont="1" applyFill="1" applyBorder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0" fontId="2" fillId="22" borderId="5" xfId="0" applyFont="1" applyFill="1" applyBorder="1" applyAlignment="1">
      <alignment vertical="center"/>
    </xf>
    <xf numFmtId="3" fontId="2" fillId="22" borderId="5" xfId="0" applyNumberFormat="1" applyFont="1" applyFill="1" applyBorder="1" applyAlignment="1">
      <alignment vertical="center"/>
    </xf>
    <xf numFmtId="3" fontId="2" fillId="22" borderId="10" xfId="0" applyNumberFormat="1" applyFont="1" applyFill="1" applyBorder="1" applyAlignment="1">
      <alignment vertical="center"/>
    </xf>
    <xf numFmtId="3" fontId="2" fillId="22" borderId="59" xfId="0" applyNumberFormat="1" applyFont="1" applyFill="1" applyBorder="1" applyAlignment="1">
      <alignment vertical="center"/>
    </xf>
    <xf numFmtId="176" fontId="7" fillId="22" borderId="0" xfId="0" applyNumberFormat="1" applyFont="1" applyFill="1" applyAlignment="1">
      <alignment vertical="center"/>
    </xf>
    <xf numFmtId="3" fontId="2" fillId="22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177" fontId="2" fillId="0" borderId="37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3" fontId="2" fillId="22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176" fontId="2" fillId="20" borderId="21" xfId="0" applyNumberFormat="1" applyFont="1" applyFill="1" applyBorder="1" applyAlignment="1">
      <alignment horizontal="center" vertical="center"/>
    </xf>
    <xf numFmtId="176" fontId="2" fillId="20" borderId="22" xfId="0" applyNumberFormat="1" applyFont="1" applyFill="1" applyBorder="1" applyAlignment="1">
      <alignment horizontal="right" vertical="center"/>
    </xf>
    <xf numFmtId="176" fontId="2" fillId="20" borderId="5" xfId="0" applyNumberFormat="1" applyFont="1" applyFill="1" applyBorder="1" applyAlignment="1">
      <alignment horizontal="right" vertical="center"/>
    </xf>
    <xf numFmtId="0" fontId="0" fillId="0" borderId="170" xfId="0" applyBorder="1" applyAlignment="1">
      <alignment vertical="center"/>
    </xf>
    <xf numFmtId="0" fontId="0" fillId="0" borderId="171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8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2" borderId="22" xfId="0" applyNumberFormat="1" applyFont="1" applyFill="1" applyBorder="1" applyAlignment="1">
      <alignment horizontal="center" vertical="center"/>
    </xf>
    <xf numFmtId="176" fontId="2" fillId="22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5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horizontal="right" vertical="center"/>
    </xf>
    <xf numFmtId="176" fontId="3" fillId="19" borderId="5" xfId="0" applyNumberFormat="1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20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7" fillId="20" borderId="168" xfId="0" applyFont="1" applyFill="1" applyBorder="1" applyAlignment="1">
      <alignment horizontal="center" vertical="center" wrapText="1"/>
    </xf>
    <xf numFmtId="0" fontId="42" fillId="0" borderId="157" xfId="0" applyFont="1" applyBorder="1" applyAlignment="1">
      <alignment horizontal="left" vertical="center" wrapText="1" readingOrder="1"/>
    </xf>
    <xf numFmtId="0" fontId="47" fillId="20" borderId="103" xfId="0" applyFont="1" applyFill="1" applyBorder="1" applyAlignment="1">
      <alignment horizontal="center" vertical="center" wrapText="1"/>
    </xf>
    <xf numFmtId="0" fontId="42" fillId="0" borderId="160" xfId="0" applyFont="1" applyBorder="1" applyAlignment="1">
      <alignment horizontal="left" vertical="center" wrapText="1" readingOrder="1"/>
    </xf>
    <xf numFmtId="0" fontId="47" fillId="23" borderId="110" xfId="0" applyFont="1" applyFill="1" applyBorder="1" applyAlignment="1">
      <alignment horizontal="center" vertical="center" wrapText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20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1" xfId="0" applyFont="1" applyBorder="1" applyAlignment="1">
      <alignment vertical="center" wrapText="1" readingOrder="1"/>
    </xf>
    <xf numFmtId="0" fontId="46" fillId="0" borderId="169" xfId="0" applyFont="1" applyBorder="1" applyAlignment="1">
      <alignment horizontal="center" vertical="center" wrapText="1" readingOrder="1"/>
    </xf>
    <xf numFmtId="0" fontId="45" fillId="0" borderId="177" xfId="0" applyFont="1" applyBorder="1" applyAlignment="1">
      <alignment vertical="center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80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right" vertical="center" wrapText="1" readingOrder="1"/>
    </xf>
    <xf numFmtId="9" fontId="47" fillId="0" borderId="173" xfId="0" applyNumberFormat="1" applyFont="1" applyBorder="1" applyAlignment="1">
      <alignment vertical="top" wrapText="1"/>
    </xf>
    <xf numFmtId="178" fontId="48" fillId="0" borderId="173" xfId="0" applyNumberFormat="1" applyFont="1" applyBorder="1" applyAlignment="1">
      <alignment horizontal="left" vertical="top" wrapText="1"/>
    </xf>
    <xf numFmtId="0" fontId="47" fillId="0" borderId="173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49" fontId="41" fillId="0" borderId="115" xfId="0" applyNumberFormat="1" applyFont="1" applyBorder="1" applyAlignment="1">
      <alignment horizontal="center" vertical="center" wrapText="1" readingOrder="1"/>
    </xf>
    <xf numFmtId="49" fontId="41" fillId="0" borderId="94" xfId="0" applyNumberFormat="1" applyFont="1" applyBorder="1" applyAlignment="1">
      <alignment horizontal="center" vertical="center" wrapText="1" readingOrder="1"/>
    </xf>
    <xf numFmtId="49" fontId="41" fillId="0" borderId="102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3" fontId="41" fillId="0" borderId="176" xfId="0" applyNumberFormat="1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176" fontId="2" fillId="0" borderId="21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2" borderId="85" xfId="0" applyNumberFormat="1" applyFont="1" applyFill="1" applyBorder="1" applyAlignment="1">
      <alignment horizontal="center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176" fontId="2" fillId="22" borderId="86" xfId="0" applyNumberFormat="1" applyFont="1" applyFill="1" applyBorder="1" applyAlignment="1">
      <alignment horizontal="center" vertical="center"/>
    </xf>
    <xf numFmtId="176" fontId="2" fillId="22" borderId="43" xfId="0" applyNumberFormat="1" applyFont="1" applyFill="1" applyBorder="1" applyAlignment="1">
      <alignment horizontal="center" vertical="center"/>
    </xf>
    <xf numFmtId="176" fontId="2" fillId="22" borderId="87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2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58" xfId="0" applyFont="1" applyBorder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0" fontId="8" fillId="7" borderId="9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 wrapText="1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2" fillId="10" borderId="30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22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4.6758432891354354E-2</c:v>
                </c:pt>
                <c:pt idx="4">
                  <c:v>0.19078499388614534</c:v>
                </c:pt>
                <c:pt idx="5">
                  <c:v>0.20186814296103373</c:v>
                </c:pt>
                <c:pt idx="6">
                  <c:v>0.28804170672946833</c:v>
                </c:pt>
                <c:pt idx="7">
                  <c:v>0.36516456491002575</c:v>
                </c:pt>
                <c:pt idx="8">
                  <c:v>0.63324809722128261</c:v>
                </c:pt>
                <c:pt idx="9">
                  <c:v>0.65177234425314567</c:v>
                </c:pt>
                <c:pt idx="10">
                  <c:v>0.82372643839636039</c:v>
                </c:pt>
                <c:pt idx="11">
                  <c:v>0.97041602164795016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252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activeCell="Q4" sqref="Q4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12" t="s">
        <v>490</v>
      </c>
      <c r="B1" s="413"/>
      <c r="C1" s="413"/>
      <c r="D1" s="413"/>
      <c r="E1" s="413"/>
      <c r="F1" s="413"/>
      <c r="G1" s="413"/>
      <c r="H1" s="413"/>
      <c r="I1" s="413"/>
      <c r="J1" s="413"/>
      <c r="K1" s="413"/>
      <c r="L1" s="413"/>
      <c r="M1" s="413"/>
    </row>
    <row r="2" spans="1:13" ht="20.25" customHeight="1" thickBot="1">
      <c r="A2" s="335"/>
      <c r="B2" s="423" t="s">
        <v>242</v>
      </c>
      <c r="C2" s="425" t="s">
        <v>524</v>
      </c>
      <c r="D2" s="426"/>
      <c r="E2" s="426"/>
      <c r="F2" s="434" t="s">
        <v>525</v>
      </c>
      <c r="G2" s="435"/>
      <c r="H2" s="359" t="s">
        <v>487</v>
      </c>
      <c r="I2" s="360" t="s">
        <v>480</v>
      </c>
      <c r="J2" s="358" t="s">
        <v>481</v>
      </c>
      <c r="K2" s="427"/>
      <c r="L2" s="429" t="s">
        <v>529</v>
      </c>
      <c r="M2" s="255"/>
    </row>
    <row r="3" spans="1:13" ht="22.5" thickBot="1">
      <c r="A3" s="323"/>
      <c r="B3" s="424"/>
      <c r="C3" s="431" t="s">
        <v>542</v>
      </c>
      <c r="D3" s="432"/>
      <c r="E3" s="433"/>
      <c r="F3" s="436" t="s">
        <v>543</v>
      </c>
      <c r="G3" s="437"/>
      <c r="H3" s="361" t="s">
        <v>516</v>
      </c>
      <c r="I3" s="351" t="s">
        <v>543</v>
      </c>
      <c r="J3" s="351" t="s">
        <v>495</v>
      </c>
      <c r="K3" s="428"/>
      <c r="L3" s="430"/>
      <c r="M3" s="327"/>
    </row>
    <row r="4" spans="1:13" ht="53.25" customHeight="1" thickBot="1">
      <c r="A4" s="325"/>
      <c r="B4" s="362" t="s">
        <v>7</v>
      </c>
      <c r="C4" s="363"/>
      <c r="D4" s="364"/>
      <c r="E4" s="365">
        <v>401299</v>
      </c>
      <c r="F4" s="366" t="s">
        <v>484</v>
      </c>
      <c r="G4" s="367">
        <f>ROUND((예산!G5+예산!G26)/1000,0)</f>
        <v>401299</v>
      </c>
      <c r="H4" s="352" t="s">
        <v>515</v>
      </c>
      <c r="I4" s="368">
        <f>SUM(소진일정!H4:H10,소진일정!H19:H25)/SUM(소진일정!H18,소진일정!H31)</f>
        <v>0.40861931233924298</v>
      </c>
      <c r="J4" s="369">
        <v>1</v>
      </c>
      <c r="K4" s="370" t="s">
        <v>509</v>
      </c>
      <c r="L4" s="371" t="s">
        <v>531</v>
      </c>
      <c r="M4" s="330"/>
    </row>
    <row r="5" spans="1:13" ht="62.25" customHeight="1" thickBot="1">
      <c r="A5" s="326"/>
      <c r="B5" s="441" t="s">
        <v>482</v>
      </c>
      <c r="C5" s="443">
        <f>SUM(E5:E8)</f>
        <v>1250357</v>
      </c>
      <c r="D5" s="372" t="s">
        <v>485</v>
      </c>
      <c r="E5" s="373">
        <v>300225</v>
      </c>
      <c r="F5" s="366" t="s">
        <v>484</v>
      </c>
      <c r="G5" s="373">
        <f>ROUND((SUM(예산!G69,예산!G79:G80))/1000,0)</f>
        <v>300225</v>
      </c>
      <c r="H5" s="352" t="s">
        <v>515</v>
      </c>
      <c r="I5" s="374">
        <v>0</v>
      </c>
      <c r="J5" s="375">
        <v>1</v>
      </c>
      <c r="K5" s="376" t="s">
        <v>509</v>
      </c>
      <c r="L5" s="377" t="s">
        <v>507</v>
      </c>
      <c r="M5" s="329"/>
    </row>
    <row r="6" spans="1:13" ht="35.25" thickBot="1">
      <c r="A6" s="325"/>
      <c r="B6" s="423"/>
      <c r="C6" s="444"/>
      <c r="D6" s="438" t="s">
        <v>486</v>
      </c>
      <c r="E6" s="414">
        <v>950132</v>
      </c>
      <c r="F6" s="420" t="s">
        <v>484</v>
      </c>
      <c r="G6" s="414">
        <f>ROUND((SUM(예산!G70:G78,예산!G89))/1000,0)</f>
        <v>950132</v>
      </c>
      <c r="H6" s="417" t="s">
        <v>515</v>
      </c>
      <c r="I6" s="449">
        <f>SUM(소진일정!H34,소진일정!H39,소진일정!H40,소진일정!H41)/SUM(소진일정!H33:H41)</f>
        <v>0.10841568601044735</v>
      </c>
      <c r="J6" s="452">
        <v>1</v>
      </c>
      <c r="K6" s="378" t="s">
        <v>509</v>
      </c>
      <c r="L6" s="379" t="s">
        <v>511</v>
      </c>
      <c r="M6" s="330"/>
    </row>
    <row r="7" spans="1:13" ht="35.25" thickBot="1">
      <c r="A7" s="255"/>
      <c r="B7" s="423"/>
      <c r="C7" s="444"/>
      <c r="D7" s="439"/>
      <c r="E7" s="415"/>
      <c r="F7" s="421"/>
      <c r="G7" s="415"/>
      <c r="H7" s="418"/>
      <c r="I7" s="450"/>
      <c r="J7" s="450"/>
      <c r="K7" s="378" t="s">
        <v>509</v>
      </c>
      <c r="L7" s="349" t="s">
        <v>530</v>
      </c>
      <c r="M7" s="330"/>
    </row>
    <row r="8" spans="1:13" ht="27" thickBot="1">
      <c r="A8" s="325"/>
      <c r="B8" s="442"/>
      <c r="C8" s="445"/>
      <c r="D8" s="440"/>
      <c r="E8" s="416"/>
      <c r="F8" s="422"/>
      <c r="G8" s="416"/>
      <c r="H8" s="419"/>
      <c r="I8" s="451"/>
      <c r="J8" s="453"/>
      <c r="K8" s="380" t="s">
        <v>510</v>
      </c>
      <c r="L8" s="381" t="s">
        <v>540</v>
      </c>
      <c r="M8" s="330"/>
    </row>
    <row r="9" spans="1:13" ht="59.25" customHeight="1" thickBot="1">
      <c r="A9" s="323"/>
      <c r="B9" s="382" t="s">
        <v>72</v>
      </c>
      <c r="C9" s="383"/>
      <c r="D9" s="384"/>
      <c r="E9" s="385">
        <v>108040</v>
      </c>
      <c r="F9" s="366" t="s">
        <v>484</v>
      </c>
      <c r="G9" s="373">
        <f>ROUND(예산!G97/1000,0)</f>
        <v>108040</v>
      </c>
      <c r="H9" s="352" t="s">
        <v>515</v>
      </c>
      <c r="I9" s="374">
        <f>SUM(예산!G100,예산!G104,예산!G105,예산!G107:G120)/예산!G97</f>
        <v>0.58716940563405051</v>
      </c>
      <c r="J9" s="386">
        <v>1</v>
      </c>
      <c r="K9" s="387" t="s">
        <v>509</v>
      </c>
      <c r="L9" s="381" t="s">
        <v>508</v>
      </c>
      <c r="M9" s="327"/>
    </row>
    <row r="10" spans="1:13" ht="44.25" customHeight="1" thickBot="1">
      <c r="A10" s="327"/>
      <c r="B10" s="441" t="s">
        <v>84</v>
      </c>
      <c r="C10" s="454">
        <f>SUM(E10:E11)</f>
        <v>1157914</v>
      </c>
      <c r="D10" s="388" t="s">
        <v>488</v>
      </c>
      <c r="E10" s="389">
        <v>683000</v>
      </c>
      <c r="F10" s="366" t="s">
        <v>484</v>
      </c>
      <c r="G10" s="373">
        <f>ROUND(예산!G141/1000,0)</f>
        <v>683000</v>
      </c>
      <c r="H10" s="352" t="s">
        <v>515</v>
      </c>
      <c r="I10" s="374">
        <f>242737/683000</f>
        <v>0.35539824304538797</v>
      </c>
      <c r="J10" s="375">
        <f>648287/683000</f>
        <v>0.94917569546120062</v>
      </c>
      <c r="K10" s="387" t="s">
        <v>509</v>
      </c>
      <c r="L10" s="353" t="s">
        <v>539</v>
      </c>
    </row>
    <row r="11" spans="1:13" ht="51.75" customHeight="1" thickBot="1">
      <c r="B11" s="442"/>
      <c r="C11" s="455"/>
      <c r="D11" s="390" t="s">
        <v>489</v>
      </c>
      <c r="E11" s="385">
        <v>474914</v>
      </c>
      <c r="F11" s="366" t="s">
        <v>484</v>
      </c>
      <c r="G11" s="373">
        <f>ROUND(SUM(예산!G154,예산!G184,예산!G193,예산!G198,예산!G206,예산!G212,예산!G218,예산!G227,예산!G251)/1000,0)</f>
        <v>474914</v>
      </c>
      <c r="H11" s="352" t="s">
        <v>541</v>
      </c>
      <c r="I11" s="350">
        <f>SUM(소진일정!E117:E120,소진일정!E126:E130,소진일정!E135:E139,소진일정!E146:E149,소진일정!E171,소진일정!E174,소진일정!E177:E179,소진일정!H181:H183)/소진일정!F186</f>
        <v>0.87676110647333649</v>
      </c>
      <c r="J11" s="375">
        <v>1</v>
      </c>
      <c r="K11" s="387" t="s">
        <v>509</v>
      </c>
      <c r="L11" s="391" t="s">
        <v>520</v>
      </c>
      <c r="M11" s="328"/>
    </row>
    <row r="12" spans="1:13" ht="51" customHeight="1" thickBot="1">
      <c r="A12" s="324"/>
      <c r="B12" s="382" t="s">
        <v>183</v>
      </c>
      <c r="C12" s="392"/>
      <c r="D12" s="393"/>
      <c r="E12" s="389">
        <f>SUM(E4:E11)</f>
        <v>2917610</v>
      </c>
      <c r="F12" s="366"/>
      <c r="G12" s="373">
        <f>ROUND(예산!G3/1000,0)</f>
        <v>2917610</v>
      </c>
      <c r="H12" s="352" t="s">
        <v>515</v>
      </c>
      <c r="I12" s="350">
        <f>SUM(I4*G4,I5*G5,I6*G6,I9*G9,I10*G10,I11*G11)/2956400</f>
        <v>0.33471405787690606</v>
      </c>
      <c r="J12" s="375">
        <f>G12/C18</f>
        <v>0.98687931267758089</v>
      </c>
      <c r="K12" s="394"/>
      <c r="L12" s="395"/>
      <c r="M12" s="327"/>
    </row>
    <row r="13" spans="1:13" ht="27" thickBot="1">
      <c r="A13" s="323"/>
      <c r="B13" s="396" t="s">
        <v>483</v>
      </c>
      <c r="C13" s="397"/>
      <c r="D13" s="398"/>
      <c r="E13" s="399">
        <f>2956400-E12</f>
        <v>38790</v>
      </c>
      <c r="F13" s="400"/>
      <c r="G13" s="401">
        <f>2956400-G12</f>
        <v>38790</v>
      </c>
      <c r="H13" s="352" t="s">
        <v>515</v>
      </c>
      <c r="I13" s="402"/>
      <c r="J13" s="403">
        <f>G13/C18</f>
        <v>1.3120687322419158E-2</v>
      </c>
      <c r="K13" s="404"/>
      <c r="L13" s="391"/>
      <c r="M13" s="328"/>
    </row>
    <row r="14" spans="1:13" ht="15.75" customHeight="1" thickBot="1">
      <c r="A14" s="323"/>
      <c r="B14" s="341"/>
      <c r="C14" s="341"/>
      <c r="D14" s="345"/>
      <c r="E14" s="342"/>
      <c r="F14" s="343"/>
      <c r="G14" s="343"/>
      <c r="H14" s="255"/>
      <c r="I14" s="341"/>
      <c r="J14" s="341"/>
      <c r="K14" s="341"/>
      <c r="L14" s="345"/>
      <c r="M14" s="328"/>
    </row>
    <row r="18" spans="2:17" ht="16.5">
      <c r="B18" s="332" t="s">
        <v>494</v>
      </c>
      <c r="C18" s="333">
        <v>2956400</v>
      </c>
    </row>
    <row r="20" spans="2:17" ht="15.75" thickBot="1"/>
    <row r="21" spans="2:17" ht="27" thickBot="1">
      <c r="O21" s="334" t="s">
        <v>519</v>
      </c>
    </row>
    <row r="22" spans="2:17" ht="25.5" thickBot="1">
      <c r="O22" s="334" t="s">
        <v>484</v>
      </c>
      <c r="Q22" s="344" t="s">
        <v>521</v>
      </c>
    </row>
    <row r="23" spans="2:17">
      <c r="O23" s="446" t="s">
        <v>484</v>
      </c>
    </row>
    <row r="24" spans="2:17">
      <c r="O24" s="447"/>
    </row>
    <row r="25" spans="2:17" ht="15.75" thickBot="1">
      <c r="O25" s="448"/>
    </row>
    <row r="26" spans="2:17" ht="25.5" thickBot="1">
      <c r="O26" s="334" t="s">
        <v>484</v>
      </c>
    </row>
    <row r="27" spans="2:17" ht="25.5" thickBot="1">
      <c r="O27" s="334" t="s">
        <v>484</v>
      </c>
    </row>
    <row r="28" spans="2:17" ht="27" thickBot="1">
      <c r="O28" s="334" t="s">
        <v>519</v>
      </c>
      <c r="P28" s="228" t="s">
        <v>526</v>
      </c>
    </row>
    <row r="29" spans="2:17" ht="15" customHeight="1">
      <c r="O29" s="409" t="s">
        <v>526</v>
      </c>
    </row>
    <row r="30" spans="2:17" ht="15" customHeight="1">
      <c r="O30" s="410"/>
    </row>
    <row r="31" spans="2:17" ht="15.75" customHeight="1" thickBot="1">
      <c r="O31" s="411"/>
    </row>
  </sheetData>
  <mergeCells count="20">
    <mergeCell ref="B10:B11"/>
    <mergeCell ref="O23:O25"/>
    <mergeCell ref="I6:I8"/>
    <mergeCell ref="J6:J8"/>
    <mergeCell ref="C10:C11"/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68"/>
  <sheetViews>
    <sheetView topLeftCell="A94" workbookViewId="0">
      <selection activeCell="G172" activeCellId="3" sqref="G149:G151 G167:G168 G170 G172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493" t="s">
        <v>0</v>
      </c>
      <c r="B1" s="477"/>
      <c r="C1" s="477"/>
      <c r="D1" s="477"/>
      <c r="E1" s="477"/>
      <c r="F1" s="477"/>
      <c r="G1" s="477"/>
      <c r="H1" s="477"/>
      <c r="I1" s="2"/>
      <c r="J1" s="493" t="s">
        <v>1</v>
      </c>
      <c r="K1" s="477"/>
      <c r="L1" s="477"/>
      <c r="M1" s="477"/>
      <c r="N1" s="477"/>
      <c r="O1" s="477"/>
      <c r="P1" s="477"/>
      <c r="Q1" s="477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2917609722.4000001</v>
      </c>
      <c r="H3" s="3">
        <f>C3-G3</f>
        <v>38790277.599999905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362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68" t="s">
        <v>14</v>
      </c>
      <c r="C7" s="11" t="s">
        <v>360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480" t="s">
        <v>17</v>
      </c>
      <c r="I7" s="4"/>
      <c r="J7" s="3"/>
      <c r="K7" s="494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69"/>
      <c r="C8" s="11" t="s">
        <v>334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477"/>
      <c r="I8" s="4"/>
      <c r="J8" s="3"/>
      <c r="K8" s="469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470"/>
      <c r="C9" s="216" t="s">
        <v>333</v>
      </c>
      <c r="D9" s="217" t="s">
        <v>335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470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79"/>
      <c r="C10" s="218" t="s">
        <v>332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69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79"/>
      <c r="C11" s="218" t="s">
        <v>382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71"/>
      <c r="L11" s="495" t="s">
        <v>21</v>
      </c>
      <c r="M11" s="484"/>
      <c r="N11" s="484"/>
      <c r="O11" s="485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79"/>
      <c r="C12" s="218" t="s">
        <v>408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482"/>
      <c r="C13" s="459" t="s">
        <v>21</v>
      </c>
      <c r="D13" s="496"/>
      <c r="E13" s="496"/>
      <c r="F13" s="496"/>
      <c r="G13" s="218">
        <f>SUM(G7:G12)</f>
        <v>121138758.40000001</v>
      </c>
      <c r="H13" s="3"/>
      <c r="I13" s="4"/>
      <c r="J13" s="3"/>
      <c r="K13" s="483" t="s">
        <v>22</v>
      </c>
      <c r="L13" s="484"/>
      <c r="M13" s="484"/>
      <c r="N13" s="484"/>
      <c r="O13" s="485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95" t="s">
        <v>22</v>
      </c>
      <c r="C14" s="490"/>
      <c r="D14" s="490"/>
      <c r="E14" s="490"/>
      <c r="F14" s="492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95" t="s">
        <v>28</v>
      </c>
      <c r="D17" s="484"/>
      <c r="E17" s="484"/>
      <c r="F17" s="485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95" t="s">
        <v>22</v>
      </c>
      <c r="C19" s="484"/>
      <c r="D19" s="484"/>
      <c r="E19" s="484"/>
      <c r="F19" s="485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448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95" t="s">
        <v>28</v>
      </c>
      <c r="D22" s="484"/>
      <c r="E22" s="484"/>
      <c r="F22" s="485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95" t="s">
        <v>22</v>
      </c>
      <c r="C24" s="484"/>
      <c r="D24" s="484"/>
      <c r="E24" s="484"/>
      <c r="F24" s="485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3"/>
      <c r="C25" s="119"/>
      <c r="D25" s="119"/>
      <c r="E25" s="119"/>
      <c r="F25" s="119"/>
      <c r="G25" s="243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68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86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69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79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69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69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488" t="s">
        <v>52</v>
      </c>
      <c r="I31" s="4"/>
      <c r="J31" s="3"/>
      <c r="K31" s="491" t="s">
        <v>22</v>
      </c>
      <c r="L31" s="490"/>
      <c r="M31" s="490"/>
      <c r="N31" s="490"/>
      <c r="O31" s="492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69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79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69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69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69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86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69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79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69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488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69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79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69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69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69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488" t="s">
        <v>68</v>
      </c>
      <c r="I41" s="4"/>
      <c r="J41" s="3"/>
      <c r="K41" s="483" t="s">
        <v>22</v>
      </c>
      <c r="L41" s="484"/>
      <c r="M41" s="484"/>
      <c r="N41" s="484"/>
      <c r="O41" s="485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69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79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69"/>
      <c r="C43" s="11" t="s">
        <v>461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79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69"/>
      <c r="C44" s="11" t="s">
        <v>462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79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69"/>
      <c r="C45" s="11" t="s">
        <v>463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79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69"/>
      <c r="C46" s="11" t="s">
        <v>464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79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69"/>
      <c r="C47" s="11" t="s">
        <v>465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79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69"/>
      <c r="C48" s="11" t="s">
        <v>466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79"/>
      <c r="I48" s="4"/>
      <c r="J48" s="3"/>
      <c r="K48" s="483" t="s">
        <v>22</v>
      </c>
      <c r="L48" s="484"/>
      <c r="M48" s="484"/>
      <c r="N48" s="484"/>
      <c r="O48" s="485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69"/>
      <c r="C49" s="11" t="s">
        <v>467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79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69"/>
      <c r="C50" s="11" t="s">
        <v>468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79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69"/>
      <c r="C51" s="11" t="s">
        <v>469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79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69"/>
      <c r="C52" s="11" t="s">
        <v>470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79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69"/>
      <c r="C53" s="11" t="s">
        <v>471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79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71"/>
      <c r="C54" s="495" t="s">
        <v>21</v>
      </c>
      <c r="D54" s="484"/>
      <c r="E54" s="484"/>
      <c r="F54" s="485"/>
      <c r="G54" s="11">
        <f>SUM(G28:G53)</f>
        <v>108800000</v>
      </c>
      <c r="H54" s="3"/>
      <c r="I54" s="4"/>
      <c r="J54" s="3"/>
      <c r="K54" s="483" t="s">
        <v>22</v>
      </c>
      <c r="L54" s="484"/>
      <c r="M54" s="484"/>
      <c r="N54" s="484"/>
      <c r="O54" s="485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68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69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69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69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69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488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69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79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69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483" t="s">
        <v>22</v>
      </c>
      <c r="L61" s="484"/>
      <c r="M61" s="484"/>
      <c r="N61" s="484"/>
      <c r="O61" s="485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69"/>
      <c r="C62" s="11" t="s">
        <v>517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71"/>
      <c r="C63" s="495" t="s">
        <v>21</v>
      </c>
      <c r="D63" s="484"/>
      <c r="E63" s="484"/>
      <c r="F63" s="485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95" t="s">
        <v>22</v>
      </c>
      <c r="C64" s="484"/>
      <c r="D64" s="484"/>
      <c r="E64" s="484"/>
      <c r="F64" s="485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68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1250357390</v>
      </c>
      <c r="H66" s="8"/>
      <c r="I66" s="4"/>
      <c r="J66" s="3"/>
      <c r="K66" s="469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69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71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483" t="s">
        <v>22</v>
      </c>
      <c r="L69" s="484"/>
      <c r="M69" s="484"/>
      <c r="N69" s="484"/>
      <c r="O69" s="485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498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86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488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79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488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86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488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79"/>
      <c r="I73" s="4"/>
      <c r="J73" s="3"/>
      <c r="K73" s="456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488"/>
      <c r="C74" s="218" t="s">
        <v>336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457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488"/>
      <c r="C75" s="286" t="s">
        <v>337</v>
      </c>
      <c r="D75" s="286"/>
      <c r="E75" s="286">
        <v>1</v>
      </c>
      <c r="F75" s="286">
        <v>352000000</v>
      </c>
      <c r="G75" s="286">
        <f t="shared" si="5"/>
        <v>352000000</v>
      </c>
      <c r="H75" s="119" t="s">
        <v>514</v>
      </c>
      <c r="I75" s="212"/>
      <c r="J75" s="3"/>
      <c r="K75" s="457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488"/>
      <c r="C76" s="218" t="s">
        <v>338</v>
      </c>
      <c r="D76" s="218"/>
      <c r="E76" s="218">
        <v>1</v>
      </c>
      <c r="F76" s="218">
        <v>22000000</v>
      </c>
      <c r="G76" s="218">
        <f t="shared" si="5"/>
        <v>22000000</v>
      </c>
      <c r="H76" s="119"/>
      <c r="I76" s="212"/>
      <c r="J76" s="3"/>
      <c r="K76" s="457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488"/>
      <c r="C77" s="218" t="s">
        <v>339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457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488"/>
      <c r="C78" s="269" t="s">
        <v>353</v>
      </c>
      <c r="D78" s="269"/>
      <c r="E78" s="269">
        <v>1</v>
      </c>
      <c r="F78" s="269">
        <v>42988000</v>
      </c>
      <c r="G78" s="269">
        <f t="shared" si="5"/>
        <v>42988000</v>
      </c>
      <c r="H78" s="234">
        <f>SUM(G74:G78)</f>
        <v>518593000</v>
      </c>
      <c r="I78" s="212"/>
      <c r="J78" s="3"/>
      <c r="K78" s="457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445</v>
      </c>
      <c r="C79" s="218" t="s">
        <v>446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457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460" t="s">
        <v>456</v>
      </c>
      <c r="C80" s="218" t="s">
        <v>457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457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461"/>
      <c r="C81" s="218" t="s">
        <v>458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457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70"/>
      <c r="D82" s="270"/>
      <c r="E82" s="270"/>
      <c r="F82" s="270"/>
      <c r="G82" s="271">
        <f>SUM(G69:G81)</f>
        <v>1248357390</v>
      </c>
      <c r="H82" s="252" t="s">
        <v>359</v>
      </c>
      <c r="I82" s="4"/>
      <c r="J82" s="3"/>
      <c r="K82" s="458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1269357390</v>
      </c>
      <c r="H83" s="3"/>
      <c r="I83" s="4"/>
      <c r="J83" s="3"/>
      <c r="K83" s="483" t="s">
        <v>22</v>
      </c>
      <c r="L83" s="484"/>
      <c r="M83" s="484"/>
      <c r="N83" s="484"/>
      <c r="O83" s="485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476"/>
      <c r="X85" s="477"/>
      <c r="Y85" s="477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476"/>
      <c r="X86" s="477"/>
      <c r="Y86" s="477"/>
      <c r="Z86" s="21"/>
    </row>
    <row r="87" spans="1:26" ht="16.5" customHeight="1">
      <c r="A87" s="3"/>
      <c r="B87" s="12" t="s">
        <v>106</v>
      </c>
      <c r="C87" s="287" t="s">
        <v>107</v>
      </c>
      <c r="D87" s="288"/>
      <c r="E87" s="288">
        <v>0</v>
      </c>
      <c r="F87" s="289">
        <v>20000000</v>
      </c>
      <c r="G87" s="288">
        <f t="shared" ref="G87:G89" si="6">F87*E87</f>
        <v>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478" t="s">
        <v>109</v>
      </c>
      <c r="R87" s="480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481" t="s">
        <v>111</v>
      </c>
      <c r="C88" s="288" t="s">
        <v>112</v>
      </c>
      <c r="D88" s="288"/>
      <c r="E88" s="288">
        <v>0</v>
      </c>
      <c r="F88" s="289">
        <v>8000000</v>
      </c>
      <c r="G88" s="288">
        <f t="shared" si="6"/>
        <v>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79"/>
      <c r="R88" s="477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482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86" t="s">
        <v>115</v>
      </c>
      <c r="I89" s="4"/>
      <c r="J89" s="3"/>
      <c r="K89" s="483" t="s">
        <v>22</v>
      </c>
      <c r="L89" s="484"/>
      <c r="M89" s="484"/>
      <c r="N89" s="484"/>
      <c r="O89" s="485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479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68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69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71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483" t="s">
        <v>22</v>
      </c>
      <c r="L96" s="484"/>
      <c r="M96" s="484"/>
      <c r="N96" s="484"/>
      <c r="O96" s="485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3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68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3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69"/>
      <c r="C102" s="16" t="s">
        <v>128</v>
      </c>
      <c r="D102" s="16" t="s">
        <v>122</v>
      </c>
      <c r="E102" s="16">
        <v>0</v>
      </c>
      <c r="F102" s="53">
        <v>152000</v>
      </c>
      <c r="G102" s="293">
        <f t="shared" si="8"/>
        <v>0</v>
      </c>
      <c r="H102" s="41"/>
      <c r="I102" s="4"/>
      <c r="J102" s="3"/>
      <c r="K102" s="483" t="s">
        <v>22</v>
      </c>
      <c r="L102" s="484"/>
      <c r="M102" s="484"/>
      <c r="N102" s="484"/>
      <c r="O102" s="485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69"/>
      <c r="C103" s="16" t="s">
        <v>129</v>
      </c>
      <c r="D103" s="16" t="s">
        <v>122</v>
      </c>
      <c r="E103" s="16">
        <v>0</v>
      </c>
      <c r="F103" s="53">
        <v>20000</v>
      </c>
      <c r="G103" s="293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69"/>
      <c r="C104" s="16" t="s">
        <v>130</v>
      </c>
      <c r="D104" s="16" t="s">
        <v>122</v>
      </c>
      <c r="E104" s="216">
        <v>55</v>
      </c>
      <c r="F104" s="216">
        <v>150700</v>
      </c>
      <c r="G104" s="293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71"/>
      <c r="C105" s="11" t="s">
        <v>131</v>
      </c>
      <c r="D105" s="219" t="s">
        <v>122</v>
      </c>
      <c r="E105" s="218">
        <v>10</v>
      </c>
      <c r="F105" s="218">
        <v>132000</v>
      </c>
      <c r="G105" s="347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456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458"/>
      <c r="C107" s="211" t="s">
        <v>506</v>
      </c>
      <c r="D107" s="24"/>
      <c r="E107" s="243">
        <v>8</v>
      </c>
      <c r="F107" s="336">
        <f>10640000/8</f>
        <v>1330000</v>
      </c>
      <c r="G107" s="348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3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459" t="s">
        <v>452</v>
      </c>
      <c r="C109" s="229" t="s">
        <v>496</v>
      </c>
      <c r="D109" s="16"/>
      <c r="E109" s="16">
        <v>1</v>
      </c>
      <c r="F109" s="16">
        <v>5676000</v>
      </c>
      <c r="G109" s="293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459"/>
      <c r="C110" s="229" t="s">
        <v>498</v>
      </c>
      <c r="D110" s="211"/>
      <c r="E110" s="16">
        <v>1</v>
      </c>
      <c r="F110" s="211">
        <v>1531200</v>
      </c>
      <c r="G110" s="293">
        <f t="shared" si="8"/>
        <v>1531200</v>
      </c>
      <c r="H110" s="3"/>
      <c r="I110" s="212"/>
      <c r="J110" s="3"/>
      <c r="K110" s="26"/>
      <c r="L110" s="290"/>
      <c r="M110" s="291"/>
      <c r="N110" s="291"/>
      <c r="O110" s="291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459"/>
      <c r="C111" s="229" t="s">
        <v>499</v>
      </c>
      <c r="D111" s="211"/>
      <c r="E111" s="16">
        <v>1</v>
      </c>
      <c r="F111" s="211">
        <v>935000</v>
      </c>
      <c r="G111" s="293">
        <f t="shared" si="8"/>
        <v>935000</v>
      </c>
      <c r="H111" s="3"/>
      <c r="I111" s="212"/>
      <c r="J111" s="3"/>
      <c r="K111" s="26"/>
      <c r="L111" s="290"/>
      <c r="M111" s="291"/>
      <c r="N111" s="291"/>
      <c r="O111" s="291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459"/>
      <c r="C112" s="229" t="s">
        <v>500</v>
      </c>
      <c r="D112" s="211"/>
      <c r="E112" s="16">
        <v>1</v>
      </c>
      <c r="F112" s="211">
        <v>1873300</v>
      </c>
      <c r="G112" s="293">
        <f t="shared" si="8"/>
        <v>1873300</v>
      </c>
      <c r="H112" s="3"/>
      <c r="I112" s="212"/>
      <c r="J112" s="3"/>
      <c r="K112" s="26"/>
      <c r="L112" s="290"/>
      <c r="M112" s="291"/>
      <c r="N112" s="291"/>
      <c r="O112" s="291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459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90"/>
      <c r="M113" s="291"/>
      <c r="N113" s="291"/>
      <c r="O113" s="291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460" t="s">
        <v>453</v>
      </c>
      <c r="C114" s="229" t="s">
        <v>504</v>
      </c>
      <c r="D114" s="211"/>
      <c r="E114" s="16">
        <v>2</v>
      </c>
      <c r="F114" s="211">
        <v>2332000</v>
      </c>
      <c r="G114" s="293">
        <f t="shared" si="8"/>
        <v>4664000</v>
      </c>
      <c r="H114" s="3"/>
      <c r="I114" s="212"/>
      <c r="J114" s="3"/>
      <c r="K114" s="26"/>
      <c r="L114" s="290"/>
      <c r="M114" s="291"/>
      <c r="N114" s="291"/>
      <c r="O114" s="291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475"/>
      <c r="C115" s="229" t="s">
        <v>505</v>
      </c>
      <c r="D115" s="211"/>
      <c r="E115" s="211">
        <v>1</v>
      </c>
      <c r="F115" s="211">
        <v>1496000</v>
      </c>
      <c r="G115" s="293">
        <f t="shared" si="8"/>
        <v>1496000</v>
      </c>
      <c r="H115" s="3"/>
      <c r="I115" s="212"/>
      <c r="J115" s="3"/>
      <c r="K115" s="26"/>
      <c r="L115" s="290"/>
      <c r="M115" s="291"/>
      <c r="N115" s="291"/>
      <c r="O115" s="291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475"/>
      <c r="C116" s="229" t="s">
        <v>501</v>
      </c>
      <c r="D116" s="211"/>
      <c r="E116" s="16">
        <v>1</v>
      </c>
      <c r="F116" s="211">
        <v>643500</v>
      </c>
      <c r="G116" s="293">
        <f t="shared" si="8"/>
        <v>643500</v>
      </c>
      <c r="H116" s="3"/>
      <c r="I116" s="212"/>
      <c r="J116" s="3"/>
      <c r="K116" s="26"/>
      <c r="L116" s="290"/>
      <c r="M116" s="291"/>
      <c r="N116" s="291"/>
      <c r="O116" s="291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475"/>
      <c r="C117" s="229" t="s">
        <v>502</v>
      </c>
      <c r="D117" s="211"/>
      <c r="E117" s="16">
        <v>1</v>
      </c>
      <c r="F117" s="211">
        <v>1155000</v>
      </c>
      <c r="G117" s="293">
        <f t="shared" si="8"/>
        <v>1155000</v>
      </c>
      <c r="H117" s="3"/>
      <c r="I117" s="212"/>
      <c r="J117" s="3"/>
      <c r="K117" s="26"/>
      <c r="L117" s="290"/>
      <c r="M117" s="291"/>
      <c r="N117" s="291"/>
      <c r="O117" s="291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475"/>
      <c r="C118" s="229" t="s">
        <v>503</v>
      </c>
      <c r="D118" s="211"/>
      <c r="E118" s="16">
        <v>1</v>
      </c>
      <c r="F118" s="211">
        <v>1925000</v>
      </c>
      <c r="G118" s="293">
        <f t="shared" si="8"/>
        <v>1925000</v>
      </c>
      <c r="H118" s="3"/>
      <c r="I118" s="212"/>
      <c r="J118" s="3"/>
      <c r="K118" s="26"/>
      <c r="L118" s="290"/>
      <c r="M118" s="291"/>
      <c r="N118" s="291"/>
      <c r="O118" s="291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461"/>
      <c r="C119" s="229"/>
      <c r="D119" s="211"/>
      <c r="E119" s="211"/>
      <c r="F119" s="211"/>
      <c r="G119" s="293"/>
      <c r="H119" s="3"/>
      <c r="I119" s="212"/>
      <c r="J119" s="3"/>
      <c r="K119" s="26"/>
      <c r="L119" s="290"/>
      <c r="M119" s="291"/>
      <c r="N119" s="291"/>
      <c r="O119" s="291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459" t="s">
        <v>454</v>
      </c>
      <c r="C120" s="229" t="s">
        <v>497</v>
      </c>
      <c r="D120" s="211"/>
      <c r="E120" s="16">
        <v>1</v>
      </c>
      <c r="F120" s="211">
        <v>964480</v>
      </c>
      <c r="G120" s="293">
        <f t="shared" si="8"/>
        <v>964480</v>
      </c>
      <c r="H120" s="3"/>
      <c r="I120" s="212"/>
      <c r="J120" s="3"/>
      <c r="K120" s="26"/>
      <c r="L120" s="290"/>
      <c r="M120" s="291"/>
      <c r="N120" s="291"/>
      <c r="O120" s="291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459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90"/>
      <c r="M121" s="291"/>
      <c r="N121" s="291"/>
      <c r="O121" s="291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459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90"/>
      <c r="M122" s="291"/>
      <c r="N122" s="291"/>
      <c r="O122" s="291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459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90"/>
      <c r="M123" s="291"/>
      <c r="N123" s="291"/>
      <c r="O123" s="291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459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90"/>
      <c r="M124" s="291"/>
      <c r="N124" s="291"/>
      <c r="O124" s="291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459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90"/>
      <c r="M125" s="291"/>
      <c r="N125" s="291"/>
      <c r="O125" s="291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365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SUM(G141,G154,G159,G184,G193,G198,G206,G212,G218,G227,G233,G251)</f>
        <v>1157914074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68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488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71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79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350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483" t="s">
        <v>22</v>
      </c>
      <c r="L135" s="484"/>
      <c r="M135" s="484"/>
      <c r="N135" s="484"/>
      <c r="O135" s="485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409</v>
      </c>
      <c r="C136" s="11" t="s">
        <v>410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3"/>
      <c r="L136" s="119"/>
      <c r="M136" s="119"/>
      <c r="N136" s="119"/>
      <c r="O136" s="119"/>
      <c r="P136" s="24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358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154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456" t="s">
        <v>356</v>
      </c>
      <c r="C138" s="11" t="s">
        <v>357</v>
      </c>
      <c r="D138" s="456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458"/>
      <c r="C139" s="11" t="s">
        <v>361</v>
      </c>
      <c r="D139" s="458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155</v>
      </c>
      <c r="C140" s="11" t="s">
        <v>352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156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20">
        <f>SUM(G132:G140)</f>
        <v>683000000</v>
      </c>
      <c r="H141" s="321" t="s">
        <v>472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497" t="s">
        <v>157</v>
      </c>
      <c r="L142" s="56" t="s">
        <v>158</v>
      </c>
      <c r="M142" s="56">
        <v>12000000</v>
      </c>
      <c r="N142" s="488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71"/>
      <c r="L143" s="11" t="s">
        <v>159</v>
      </c>
      <c r="M143" s="11">
        <v>100000000</v>
      </c>
      <c r="N143" s="479"/>
      <c r="O143" s="476" t="s">
        <v>160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68" t="s">
        <v>161</v>
      </c>
      <c r="L144" s="11" t="s">
        <v>162</v>
      </c>
      <c r="M144" s="11">
        <v>40000000</v>
      </c>
      <c r="N144" s="488" t="s">
        <v>163</v>
      </c>
      <c r="O144" s="477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481" t="s">
        <v>95</v>
      </c>
      <c r="C145" s="11" t="s">
        <v>164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71"/>
      <c r="L145" s="11" t="s">
        <v>165</v>
      </c>
      <c r="M145" s="11">
        <v>20000000</v>
      </c>
      <c r="N145" s="479"/>
      <c r="O145" s="477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79"/>
      <c r="C146" s="11" t="s">
        <v>166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167</v>
      </c>
      <c r="L146" s="56" t="s">
        <v>168</v>
      </c>
      <c r="M146" s="56">
        <v>4500000</v>
      </c>
      <c r="N146" s="3" t="s">
        <v>169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79"/>
      <c r="C147" s="293" t="s">
        <v>170</v>
      </c>
      <c r="D147" s="294"/>
      <c r="E147" s="294">
        <v>1</v>
      </c>
      <c r="F147" s="294">
        <f>486205+66667+120000</f>
        <v>672872</v>
      </c>
      <c r="G147" s="293">
        <f t="shared" si="14"/>
        <v>672872</v>
      </c>
      <c r="H147" s="486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79"/>
      <c r="C148" s="293" t="s">
        <v>171</v>
      </c>
      <c r="D148" s="294"/>
      <c r="E148" s="294">
        <v>1</v>
      </c>
      <c r="F148" s="294">
        <f>486205+66667+120000</f>
        <v>672872</v>
      </c>
      <c r="G148" s="293">
        <f t="shared" si="14"/>
        <v>672872</v>
      </c>
      <c r="H148" s="479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79"/>
      <c r="C149" s="216" t="s">
        <v>346</v>
      </c>
      <c r="D149" s="32"/>
      <c r="E149" s="31">
        <v>1</v>
      </c>
      <c r="F149" s="11">
        <f>6468000/25+46667+30000*3+1452600*2/25</f>
        <v>511595</v>
      </c>
      <c r="G149" s="11">
        <f t="shared" si="14"/>
        <v>511595</v>
      </c>
      <c r="H149" s="486" t="s">
        <v>535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79"/>
      <c r="C150" s="216" t="s">
        <v>347</v>
      </c>
      <c r="D150" s="32"/>
      <c r="E150" s="31">
        <v>1</v>
      </c>
      <c r="F150" s="11">
        <f>6468000/25+46667+30000*3+1452600*2/25</f>
        <v>511595</v>
      </c>
      <c r="G150" s="11">
        <f t="shared" si="14"/>
        <v>511595</v>
      </c>
      <c r="H150" s="479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79"/>
      <c r="C151" s="216" t="s">
        <v>512</v>
      </c>
      <c r="D151" s="242"/>
      <c r="E151" s="31">
        <v>1</v>
      </c>
      <c r="F151" s="11">
        <f>409734+51800+50000+50000</f>
        <v>561534</v>
      </c>
      <c r="G151" s="11">
        <f t="shared" si="14"/>
        <v>561534</v>
      </c>
      <c r="H151" s="337" t="s">
        <v>538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79"/>
      <c r="C152" s="11" t="s">
        <v>401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86" t="s">
        <v>536</v>
      </c>
      <c r="I152" s="4"/>
      <c r="J152" s="3"/>
      <c r="K152" s="489" t="s">
        <v>151</v>
      </c>
      <c r="L152" s="490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482"/>
      <c r="C153" s="3"/>
      <c r="D153" s="3"/>
      <c r="E153" s="3"/>
      <c r="F153" s="3"/>
      <c r="G153" s="3"/>
      <c r="H153" s="479"/>
      <c r="I153" s="4"/>
      <c r="J153" s="3"/>
      <c r="K153" s="57" t="s">
        <v>172</v>
      </c>
      <c r="L153" s="58">
        <f>500+400+300+200</f>
        <v>1400</v>
      </c>
      <c r="M153" s="478" t="s">
        <v>173</v>
      </c>
      <c r="N153" s="477"/>
      <c r="O153" s="477"/>
      <c r="P153" s="477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174</v>
      </c>
      <c r="L154" s="58">
        <f>80*10*4</f>
        <v>3200</v>
      </c>
      <c r="M154" s="478" t="s">
        <v>175</v>
      </c>
      <c r="N154" s="477"/>
      <c r="O154" s="477"/>
      <c r="P154" s="477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176</v>
      </c>
      <c r="L155" s="58">
        <v>2500</v>
      </c>
      <c r="M155" s="488" t="s">
        <v>177</v>
      </c>
      <c r="N155" s="477"/>
      <c r="O155" s="477"/>
      <c r="P155" s="477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178</v>
      </c>
      <c r="C156" s="3"/>
      <c r="D156" s="3"/>
      <c r="E156" s="3"/>
      <c r="F156" s="3"/>
      <c r="G156" s="3"/>
      <c r="H156" s="45"/>
      <c r="I156" s="4"/>
      <c r="J156" s="3"/>
      <c r="K156" s="58" t="s">
        <v>179</v>
      </c>
      <c r="L156" s="58">
        <f>20*30</f>
        <v>600</v>
      </c>
      <c r="M156" s="488" t="s">
        <v>180</v>
      </c>
      <c r="N156" s="477"/>
      <c r="O156" s="477"/>
      <c r="P156" s="477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181</v>
      </c>
      <c r="L157" s="58">
        <v>1300</v>
      </c>
      <c r="M157" s="478" t="s">
        <v>182</v>
      </c>
      <c r="N157" s="477"/>
      <c r="O157" s="477"/>
      <c r="P157" s="477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178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" si="15">E158*F158</f>
        <v>0</v>
      </c>
      <c r="H158" s="41"/>
      <c r="I158" s="4"/>
      <c r="J158" s="3"/>
      <c r="K158" s="59" t="s">
        <v>183</v>
      </c>
      <c r="L158" s="59">
        <f>SUM(L153:L157)</f>
        <v>9000</v>
      </c>
      <c r="M158" s="478" t="s">
        <v>184</v>
      </c>
      <c r="N158" s="477"/>
      <c r="O158" s="477"/>
      <c r="P158" s="477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15" t="s">
        <v>22</v>
      </c>
      <c r="C159" s="18"/>
      <c r="D159" s="18"/>
      <c r="E159" s="18"/>
      <c r="F159" s="29"/>
      <c r="G159" s="11">
        <f>SUM(G158)</f>
        <v>0</v>
      </c>
      <c r="H159" s="41"/>
      <c r="I159" s="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3"/>
      <c r="C160" s="3"/>
      <c r="D160" s="3"/>
      <c r="E160" s="3"/>
      <c r="F160" s="3"/>
      <c r="G160" s="3"/>
      <c r="H160" s="20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 t="s">
        <v>100</v>
      </c>
      <c r="C161" s="3"/>
      <c r="D161" s="3"/>
      <c r="E161" s="3"/>
      <c r="F161" s="3"/>
      <c r="G161" s="3"/>
      <c r="H161" s="45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11" t="s">
        <v>8</v>
      </c>
      <c r="C162" s="13" t="s">
        <v>28</v>
      </c>
      <c r="D162" s="18"/>
      <c r="E162" s="18"/>
      <c r="F162" s="29"/>
      <c r="G162" s="11" t="s">
        <v>13</v>
      </c>
      <c r="H162" s="30" t="s">
        <v>185</v>
      </c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468" t="s">
        <v>186</v>
      </c>
      <c r="C163" s="11"/>
      <c r="D163" s="3"/>
      <c r="E163" s="3"/>
      <c r="F163" s="3"/>
      <c r="G163" s="11"/>
      <c r="H163" s="30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69"/>
      <c r="C164" s="293" t="s">
        <v>187</v>
      </c>
      <c r="D164" s="294"/>
      <c r="E164" s="294">
        <v>1</v>
      </c>
      <c r="F164" s="294">
        <v>230000</v>
      </c>
      <c r="G164" s="293">
        <f t="shared" ref="G164:G183" si="16">E164*F164</f>
        <v>230000</v>
      </c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69"/>
      <c r="C165" s="3"/>
      <c r="D165" s="3"/>
      <c r="E165" s="3"/>
      <c r="F165" s="3"/>
      <c r="G165" s="11">
        <f t="shared" si="16"/>
        <v>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69"/>
      <c r="C166" s="295" t="s">
        <v>188</v>
      </c>
      <c r="D166" s="296"/>
      <c r="E166" s="296">
        <v>1</v>
      </c>
      <c r="F166" s="294">
        <v>230000</v>
      </c>
      <c r="G166" s="293">
        <f t="shared" si="16"/>
        <v>230000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70"/>
      <c r="C167" s="216" t="s">
        <v>342</v>
      </c>
      <c r="D167" s="241"/>
      <c r="E167" s="240">
        <v>1</v>
      </c>
      <c r="F167" s="27">
        <v>990000</v>
      </c>
      <c r="G167" s="11">
        <f t="shared" si="16"/>
        <v>990000</v>
      </c>
      <c r="H167" s="30" t="s">
        <v>343</v>
      </c>
      <c r="I167" s="212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470"/>
      <c r="C168" s="216" t="s">
        <v>344</v>
      </c>
      <c r="D168" s="241"/>
      <c r="E168" s="240">
        <v>1</v>
      </c>
      <c r="F168" s="27">
        <v>700000</v>
      </c>
      <c r="G168" s="11">
        <f t="shared" si="16"/>
        <v>700000</v>
      </c>
      <c r="H168" s="30" t="s">
        <v>345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469"/>
      <c r="C169" s="295" t="s">
        <v>349</v>
      </c>
      <c r="D169" s="297"/>
      <c r="E169" s="298">
        <v>20</v>
      </c>
      <c r="F169" s="293">
        <f>486205-0.5+66667</f>
        <v>552871.5</v>
      </c>
      <c r="G169" s="293">
        <f>E169*F169</f>
        <v>11057430</v>
      </c>
      <c r="H169" s="225" t="s">
        <v>348</v>
      </c>
      <c r="I169" s="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69"/>
      <c r="C170" s="216" t="s">
        <v>351</v>
      </c>
      <c r="D170" s="242"/>
      <c r="E170" s="31">
        <v>23</v>
      </c>
      <c r="F170" s="11">
        <f>(6468000/25)+46667+1452600*2/25</f>
        <v>421595</v>
      </c>
      <c r="G170" s="11">
        <f t="shared" si="16"/>
        <v>9696685</v>
      </c>
      <c r="H170" s="226" t="s">
        <v>537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69"/>
      <c r="C171" s="299" t="s">
        <v>190</v>
      </c>
      <c r="D171" s="300"/>
      <c r="E171" s="298">
        <v>20</v>
      </c>
      <c r="F171" s="293">
        <v>140000</v>
      </c>
      <c r="G171" s="293">
        <f t="shared" si="16"/>
        <v>2800000</v>
      </c>
      <c r="H171" s="227" t="s">
        <v>191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71"/>
      <c r="C172" s="12" t="s">
        <v>340</v>
      </c>
      <c r="D172" s="32"/>
      <c r="E172" s="31">
        <v>25</v>
      </c>
      <c r="F172" s="11">
        <v>350000</v>
      </c>
      <c r="G172" s="11">
        <f t="shared" si="16"/>
        <v>8750000</v>
      </c>
      <c r="H172" s="228" t="s">
        <v>355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72" t="s">
        <v>400</v>
      </c>
      <c r="C173" s="216" t="s">
        <v>405</v>
      </c>
      <c r="D173" s="242"/>
      <c r="E173" s="31">
        <v>0</v>
      </c>
      <c r="F173" s="11">
        <v>1957200</v>
      </c>
      <c r="G173" s="11">
        <f t="shared" si="16"/>
        <v>0</v>
      </c>
      <c r="H173" s="228"/>
      <c r="I173" s="212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473"/>
      <c r="C174" s="216" t="s">
        <v>406</v>
      </c>
      <c r="D174" s="242"/>
      <c r="E174" s="31">
        <v>0</v>
      </c>
      <c r="F174" s="11">
        <v>28000000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473"/>
      <c r="C175" s="338" t="s">
        <v>407</v>
      </c>
      <c r="D175" s="339"/>
      <c r="E175" s="340">
        <v>5</v>
      </c>
      <c r="F175" s="320">
        <f>11062500/5</f>
        <v>2212500</v>
      </c>
      <c r="G175" s="320">
        <f t="shared" si="16"/>
        <v>11062500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473"/>
      <c r="C176" s="216" t="s">
        <v>421</v>
      </c>
      <c r="D176" s="242"/>
      <c r="E176" s="31">
        <v>5</v>
      </c>
      <c r="F176" s="11">
        <f>128*1400*4</f>
        <v>716800</v>
      </c>
      <c r="G176" s="11">
        <f t="shared" si="16"/>
        <v>3584000</v>
      </c>
      <c r="H176" s="228" t="s">
        <v>513</v>
      </c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473"/>
      <c r="C177" s="338" t="s">
        <v>476</v>
      </c>
      <c r="D177" s="339"/>
      <c r="E177" s="340">
        <v>4</v>
      </c>
      <c r="F177" s="320">
        <f>504669</f>
        <v>504669</v>
      </c>
      <c r="G177" s="320">
        <f t="shared" si="16"/>
        <v>2018676</v>
      </c>
      <c r="H177" s="228" t="s">
        <v>477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473"/>
      <c r="C178" s="338" t="s">
        <v>476</v>
      </c>
      <c r="D178" s="339"/>
      <c r="E178" s="340">
        <v>2</v>
      </c>
      <c r="F178" s="320">
        <v>501199</v>
      </c>
      <c r="G178" s="320">
        <f>E178*F178</f>
        <v>1002398</v>
      </c>
      <c r="H178" s="228"/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474"/>
      <c r="C179" s="338" t="s">
        <v>478</v>
      </c>
      <c r="D179" s="339"/>
      <c r="E179" s="340">
        <v>3</v>
      </c>
      <c r="F179" s="320">
        <v>30279</v>
      </c>
      <c r="G179" s="320">
        <f>E179*F179</f>
        <v>90837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468" t="s">
        <v>192</v>
      </c>
      <c r="C180" s="11" t="s">
        <v>193</v>
      </c>
      <c r="D180" s="32"/>
      <c r="E180" s="27">
        <v>1</v>
      </c>
      <c r="F180" s="31">
        <v>20000000</v>
      </c>
      <c r="G180" s="11">
        <f t="shared" si="16"/>
        <v>20000000</v>
      </c>
      <c r="I180" s="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469"/>
      <c r="C181" s="14" t="s">
        <v>194</v>
      </c>
      <c r="D181" s="43"/>
      <c r="E181" s="27">
        <v>0</v>
      </c>
      <c r="F181" s="31">
        <v>1000000</v>
      </c>
      <c r="G181" s="11">
        <f t="shared" si="16"/>
        <v>0</v>
      </c>
      <c r="H181" s="486" t="s">
        <v>195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470"/>
      <c r="C182" s="301" t="s">
        <v>341</v>
      </c>
      <c r="D182" s="302"/>
      <c r="E182" s="294">
        <v>1</v>
      </c>
      <c r="F182" s="298">
        <v>516000</v>
      </c>
      <c r="G182" s="293">
        <f t="shared" si="16"/>
        <v>516000</v>
      </c>
      <c r="H182" s="486"/>
      <c r="I182" s="212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471"/>
      <c r="C183" s="11" t="s">
        <v>196</v>
      </c>
      <c r="D183" s="32"/>
      <c r="E183" s="27">
        <v>1</v>
      </c>
      <c r="F183" s="31">
        <v>10000000</v>
      </c>
      <c r="G183" s="11">
        <f t="shared" si="16"/>
        <v>10000000</v>
      </c>
      <c r="H183" s="479"/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15" t="s">
        <v>22</v>
      </c>
      <c r="C184" s="18"/>
      <c r="D184" s="18"/>
      <c r="E184" s="18"/>
      <c r="F184" s="29"/>
      <c r="G184" s="11">
        <f>SUM(G163:G183)</f>
        <v>82728526</v>
      </c>
      <c r="H184" s="479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3"/>
      <c r="C185" s="3"/>
      <c r="D185" s="3"/>
      <c r="E185" s="3"/>
      <c r="F185" s="3"/>
      <c r="G185" s="3"/>
      <c r="H185" s="3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3" t="s">
        <v>116</v>
      </c>
      <c r="C186" s="3"/>
      <c r="D186" s="3"/>
      <c r="E186" s="3"/>
      <c r="F186" s="3"/>
      <c r="G186" s="3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11" t="s">
        <v>8</v>
      </c>
      <c r="C187" s="15" t="s">
        <v>28</v>
      </c>
      <c r="D187" s="18"/>
      <c r="E187" s="18"/>
      <c r="F187" s="29"/>
      <c r="G187" s="11" t="s">
        <v>13</v>
      </c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2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468" t="s">
        <v>117</v>
      </c>
      <c r="C188" s="354" t="s">
        <v>118</v>
      </c>
      <c r="D188" s="355"/>
      <c r="E188" s="356">
        <v>500000</v>
      </c>
      <c r="F188" s="354">
        <v>2</v>
      </c>
      <c r="G188" s="354">
        <f t="shared" ref="G188:G192" si="17">E188*F188</f>
        <v>1000000</v>
      </c>
      <c r="H188" s="3" t="s">
        <v>527</v>
      </c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469"/>
      <c r="C189" s="11" t="s">
        <v>119</v>
      </c>
      <c r="D189" s="27"/>
      <c r="E189" s="31">
        <v>50000</v>
      </c>
      <c r="F189" s="11">
        <v>2</v>
      </c>
      <c r="G189" s="11">
        <f t="shared" si="17"/>
        <v>100000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70"/>
      <c r="C190" s="293" t="s">
        <v>451</v>
      </c>
      <c r="D190" s="294"/>
      <c r="E190" s="298">
        <v>371600</v>
      </c>
      <c r="F190" s="293">
        <v>1</v>
      </c>
      <c r="G190" s="293">
        <f t="shared" si="17"/>
        <v>371600</v>
      </c>
      <c r="H190" s="3"/>
      <c r="I190" s="212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70"/>
      <c r="C191" s="293" t="s">
        <v>479</v>
      </c>
      <c r="D191" s="294"/>
      <c r="E191" s="298">
        <v>52500</v>
      </c>
      <c r="F191" s="293">
        <v>1</v>
      </c>
      <c r="G191" s="293">
        <f t="shared" si="17"/>
        <v>52500</v>
      </c>
      <c r="H191" s="3"/>
      <c r="I191" s="21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471"/>
      <c r="C192" s="26" t="s">
        <v>120</v>
      </c>
      <c r="D192" s="35"/>
      <c r="E192" s="40">
        <v>0</v>
      </c>
      <c r="F192" s="26">
        <v>1</v>
      </c>
      <c r="G192" s="26">
        <f t="shared" si="17"/>
        <v>0</v>
      </c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15" t="s">
        <v>22</v>
      </c>
      <c r="C193" s="18"/>
      <c r="D193" s="18"/>
      <c r="E193" s="18"/>
      <c r="F193" s="29"/>
      <c r="G193" s="11">
        <f>SUM(G188:G192)</f>
        <v>1524100</v>
      </c>
      <c r="H193" s="3"/>
      <c r="I193" s="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3"/>
      <c r="C194" s="3"/>
      <c r="D194" s="3"/>
      <c r="E194" s="3"/>
      <c r="F194" s="3"/>
      <c r="G194" s="3"/>
      <c r="H194" s="3"/>
      <c r="I194" s="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3" t="s">
        <v>197</v>
      </c>
      <c r="C195" s="3"/>
      <c r="D195" s="3"/>
      <c r="E195" s="3"/>
      <c r="F195" s="3"/>
      <c r="G195" s="3"/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47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11" t="s">
        <v>8</v>
      </c>
      <c r="C196" s="15" t="s">
        <v>28</v>
      </c>
      <c r="D196" s="18"/>
      <c r="E196" s="18"/>
      <c r="F196" s="29"/>
      <c r="G196" s="11" t="s">
        <v>13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47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1" t="s">
        <v>197</v>
      </c>
      <c r="C197" s="28">
        <v>30000</v>
      </c>
      <c r="D197" s="42"/>
      <c r="E197" s="42"/>
      <c r="F197" s="29">
        <v>5</v>
      </c>
      <c r="G197" s="11">
        <f>C197*F197</f>
        <v>150000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47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15" t="s">
        <v>22</v>
      </c>
      <c r="C198" s="18"/>
      <c r="D198" s="18"/>
      <c r="E198" s="18"/>
      <c r="F198" s="29"/>
      <c r="G198" s="11">
        <f>G197</f>
        <v>150000</v>
      </c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47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/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3" t="s">
        <v>121</v>
      </c>
      <c r="C200" s="3"/>
      <c r="D200" s="3"/>
      <c r="E200" s="3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8</v>
      </c>
      <c r="C201" s="15" t="s">
        <v>28</v>
      </c>
      <c r="D201" s="18"/>
      <c r="E201" s="18"/>
      <c r="F201" s="29"/>
      <c r="G201" s="11" t="s">
        <v>13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2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1" t="s">
        <v>124</v>
      </c>
      <c r="C202" s="11" t="s">
        <v>198</v>
      </c>
      <c r="D202" s="27"/>
      <c r="E202" s="27">
        <v>180</v>
      </c>
      <c r="F202" s="11">
        <v>5000</v>
      </c>
      <c r="G202" s="11">
        <f t="shared" ref="G202:G205" si="18">E202*F202</f>
        <v>900000</v>
      </c>
      <c r="H202" s="8" t="s">
        <v>474</v>
      </c>
      <c r="I202" s="4"/>
      <c r="J202" s="3"/>
      <c r="K202" s="3"/>
      <c r="L202" s="3"/>
      <c r="M202" s="3"/>
      <c r="N202" s="3"/>
      <c r="O202" s="3"/>
      <c r="P202" s="3"/>
      <c r="Q202" s="3"/>
      <c r="R202" s="2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11" t="s">
        <v>199</v>
      </c>
      <c r="C203" s="11" t="s">
        <v>200</v>
      </c>
      <c r="D203" s="27"/>
      <c r="E203" s="27">
        <v>2</v>
      </c>
      <c r="F203" s="11">
        <v>50000</v>
      </c>
      <c r="G203" s="11">
        <f t="shared" si="18"/>
        <v>100000</v>
      </c>
      <c r="H203" s="3"/>
      <c r="I203" s="4"/>
      <c r="J203" s="3"/>
      <c r="K203" s="8"/>
      <c r="L203" s="487"/>
      <c r="M203" s="477"/>
      <c r="N203" s="477"/>
      <c r="O203" s="3"/>
      <c r="P203" s="3"/>
      <c r="Q203" s="3"/>
      <c r="R203" s="2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11" t="s">
        <v>201</v>
      </c>
      <c r="C204" s="11" t="s">
        <v>202</v>
      </c>
      <c r="D204" s="27"/>
      <c r="E204" s="27">
        <v>81</v>
      </c>
      <c r="F204" s="11">
        <v>109000</v>
      </c>
      <c r="G204" s="11">
        <f t="shared" si="18"/>
        <v>8829000</v>
      </c>
      <c r="H204" s="3"/>
      <c r="I204" s="4"/>
      <c r="J204" s="3"/>
      <c r="K204" s="8"/>
      <c r="L204" s="477"/>
      <c r="M204" s="477"/>
      <c r="N204" s="477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203</v>
      </c>
      <c r="C205" s="11" t="s">
        <v>204</v>
      </c>
      <c r="D205" s="27"/>
      <c r="E205" s="27">
        <v>61</v>
      </c>
      <c r="F205" s="11">
        <v>30000</v>
      </c>
      <c r="G205" s="11">
        <f t="shared" si="18"/>
        <v>1830000</v>
      </c>
      <c r="H205" s="30" t="s">
        <v>156</v>
      </c>
      <c r="I205" s="4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5" t="s">
        <v>22</v>
      </c>
      <c r="C206" s="18"/>
      <c r="D206" s="18"/>
      <c r="E206" s="18"/>
      <c r="F206" s="29"/>
      <c r="G206" s="11">
        <f>SUM(G202:G205)</f>
        <v>11659000</v>
      </c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3"/>
      <c r="C207" s="3"/>
      <c r="D207" s="3"/>
      <c r="E207" s="3"/>
      <c r="F207" s="3"/>
      <c r="G207" s="3"/>
      <c r="H207" s="3"/>
      <c r="I207" s="4"/>
      <c r="J207" s="3"/>
      <c r="K207" s="3"/>
      <c r="L207" s="3"/>
      <c r="M207" s="3"/>
      <c r="N207" s="3"/>
      <c r="O207" s="3"/>
      <c r="P207" s="3"/>
      <c r="Q207" s="3"/>
      <c r="R207" s="3"/>
      <c r="S207" s="2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3" t="s">
        <v>205</v>
      </c>
      <c r="C208" s="3"/>
      <c r="D208" s="3"/>
      <c r="E208" s="3"/>
      <c r="F208" s="3"/>
      <c r="G208" s="3"/>
      <c r="H208" s="3"/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2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8</v>
      </c>
      <c r="C209" s="15" t="s">
        <v>28</v>
      </c>
      <c r="D209" s="18"/>
      <c r="E209" s="18"/>
      <c r="F209" s="29"/>
      <c r="G209" s="11" t="s">
        <v>13</v>
      </c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2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1"/>
      <c r="C210" s="27" t="s">
        <v>206</v>
      </c>
      <c r="D210" s="27"/>
      <c r="E210" s="27">
        <v>5</v>
      </c>
      <c r="F210" s="11">
        <v>5000</v>
      </c>
      <c r="G210" s="11">
        <f t="shared" ref="G210:G211" si="19">E210*F210</f>
        <v>25000</v>
      </c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2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11"/>
      <c r="C211" s="294" t="s">
        <v>207</v>
      </c>
      <c r="D211" s="294"/>
      <c r="E211" s="294">
        <v>1</v>
      </c>
      <c r="F211" s="293">
        <v>2043000</v>
      </c>
      <c r="G211" s="293">
        <f t="shared" si="19"/>
        <v>2043000</v>
      </c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5" t="s">
        <v>22</v>
      </c>
      <c r="C212" s="18"/>
      <c r="D212" s="18"/>
      <c r="E212" s="18"/>
      <c r="F212" s="29"/>
      <c r="G212" s="11">
        <f>SUM(G210:G211)</f>
        <v>2068000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/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3" t="s">
        <v>208</v>
      </c>
      <c r="C214" s="3"/>
      <c r="D214" s="3"/>
      <c r="E214" s="3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 t="s">
        <v>8</v>
      </c>
      <c r="C215" s="15" t="s">
        <v>28</v>
      </c>
      <c r="D215" s="18"/>
      <c r="E215" s="18"/>
      <c r="F215" s="29"/>
      <c r="G215" s="11" t="s">
        <v>13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 t="s">
        <v>209</v>
      </c>
      <c r="C216" s="11" t="s">
        <v>210</v>
      </c>
      <c r="D216" s="27"/>
      <c r="E216" s="11">
        <v>81</v>
      </c>
      <c r="F216" s="11">
        <v>30000</v>
      </c>
      <c r="G216" s="11">
        <f>E216*F216+1000000</f>
        <v>3430000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57" t="s">
        <v>211</v>
      </c>
      <c r="C217" s="354" t="s">
        <v>212</v>
      </c>
      <c r="D217" s="354"/>
      <c r="E217" s="354">
        <v>42</v>
      </c>
      <c r="F217" s="354">
        <v>25900</v>
      </c>
      <c r="G217" s="354">
        <f>E217*F217</f>
        <v>1087800</v>
      </c>
      <c r="H217" s="8" t="s">
        <v>528</v>
      </c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15" t="s">
        <v>22</v>
      </c>
      <c r="C218" s="18"/>
      <c r="D218" s="18"/>
      <c r="E218" s="18"/>
      <c r="F218" s="29"/>
      <c r="G218" s="11">
        <f>SUM(G216:G217)</f>
        <v>4517800</v>
      </c>
      <c r="H218" s="8" t="s">
        <v>213</v>
      </c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/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08" t="s">
        <v>135</v>
      </c>
      <c r="C220" s="3"/>
      <c r="D220" s="3"/>
      <c r="E220" s="3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1" t="s">
        <v>8</v>
      </c>
      <c r="C221" s="28" t="s">
        <v>28</v>
      </c>
      <c r="D221" s="42"/>
      <c r="E221" s="42"/>
      <c r="F221" s="42"/>
      <c r="G221" s="11" t="s">
        <v>13</v>
      </c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293" t="s">
        <v>140</v>
      </c>
      <c r="C222" s="298">
        <f>R126</f>
        <v>151120240</v>
      </c>
      <c r="D222" s="294"/>
      <c r="E222" s="294"/>
      <c r="F222" s="294"/>
      <c r="G222" s="293">
        <f t="shared" ref="G222:G224" si="20">C222</f>
        <v>151120240</v>
      </c>
      <c r="H222" s="3" t="s">
        <v>214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7.25" customHeight="1">
      <c r="A223" s="3"/>
      <c r="B223" s="293" t="s">
        <v>142</v>
      </c>
      <c r="C223" s="303">
        <f>R127</f>
        <v>186772440</v>
      </c>
      <c r="D223" s="296"/>
      <c r="E223" s="296"/>
      <c r="F223" s="296"/>
      <c r="G223" s="295">
        <f t="shared" si="20"/>
        <v>186772440</v>
      </c>
      <c r="H223" s="3" t="s">
        <v>455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04" t="s">
        <v>158</v>
      </c>
      <c r="C224" s="305">
        <v>12743500</v>
      </c>
      <c r="D224" s="306"/>
      <c r="E224" s="306"/>
      <c r="F224" s="306"/>
      <c r="G224" s="307">
        <f t="shared" si="20"/>
        <v>12743500</v>
      </c>
      <c r="H224" s="220" t="s">
        <v>215</v>
      </c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11" t="s">
        <v>363</v>
      </c>
      <c r="C225" s="230">
        <v>0</v>
      </c>
      <c r="D225" s="292"/>
      <c r="E225" s="292"/>
      <c r="F225" s="292"/>
      <c r="G225" s="211">
        <f t="shared" ref="G225:G226" si="21">C225</f>
        <v>0</v>
      </c>
      <c r="H225" s="220"/>
      <c r="I225" s="212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11" t="s">
        <v>364</v>
      </c>
      <c r="C226" s="31">
        <v>0</v>
      </c>
      <c r="D226" s="27"/>
      <c r="E226" s="27"/>
      <c r="F226" s="27"/>
      <c r="G226" s="11">
        <f t="shared" si="21"/>
        <v>0</v>
      </c>
      <c r="H226" s="220"/>
      <c r="I226" s="212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15" t="s">
        <v>22</v>
      </c>
      <c r="C227" s="18"/>
      <c r="D227" s="18"/>
      <c r="E227" s="18"/>
      <c r="F227" s="29"/>
      <c r="G227" s="11">
        <f>SUM(G222:G226)</f>
        <v>350636180</v>
      </c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243"/>
      <c r="C228" s="243"/>
      <c r="D228" s="243"/>
      <c r="E228" s="243"/>
      <c r="F228" s="243"/>
      <c r="G228" s="243"/>
      <c r="H228" s="3"/>
      <c r="I228" s="21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3"/>
      <c r="B229" s="3" t="s">
        <v>105</v>
      </c>
      <c r="C229" s="3"/>
      <c r="D229" s="3"/>
      <c r="E229" s="3"/>
      <c r="F229" s="3"/>
      <c r="G229" s="3"/>
      <c r="H229" s="3"/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8" customHeight="1">
      <c r="A230" s="3"/>
      <c r="B230" s="11" t="s">
        <v>8</v>
      </c>
      <c r="C230" s="11" t="s">
        <v>28</v>
      </c>
      <c r="D230" s="11"/>
      <c r="E230" s="11"/>
      <c r="F230" s="11"/>
      <c r="G230" s="11"/>
      <c r="H230" s="3"/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7.25" customHeight="1">
      <c r="A231" s="3"/>
      <c r="B231" s="11" t="s">
        <v>108</v>
      </c>
      <c r="C231" s="11">
        <v>18480000</v>
      </c>
      <c r="D231" s="11"/>
      <c r="E231" s="11"/>
      <c r="F231" s="11"/>
      <c r="G231" s="11">
        <v>0</v>
      </c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>
      <c r="A232" s="8"/>
      <c r="B232" s="11" t="s">
        <v>113</v>
      </c>
      <c r="C232" s="11">
        <v>21120000</v>
      </c>
      <c r="D232" s="11"/>
      <c r="E232" s="11"/>
      <c r="F232" s="11"/>
      <c r="G232" s="11">
        <v>0</v>
      </c>
      <c r="H232" s="8">
        <v>0</v>
      </c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>
      <c r="A233" s="8"/>
      <c r="B233" s="483" t="s">
        <v>22</v>
      </c>
      <c r="C233" s="484"/>
      <c r="D233" s="484"/>
      <c r="E233" s="484"/>
      <c r="F233" s="485"/>
      <c r="G233" s="11">
        <f>SUM(G231,G232)</f>
        <v>0</v>
      </c>
      <c r="H233" s="8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>
      <c r="A234" s="3"/>
      <c r="B234" s="3"/>
      <c r="C234" s="3"/>
      <c r="D234" s="3"/>
      <c r="E234" s="3"/>
      <c r="F234" s="3"/>
      <c r="G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3"/>
      <c r="B235" s="3" t="s">
        <v>143</v>
      </c>
      <c r="C235" s="3"/>
      <c r="D235" s="3"/>
      <c r="E235" s="3"/>
      <c r="F235" s="3"/>
      <c r="G235" s="3"/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3"/>
      <c r="B236" s="216" t="s">
        <v>8</v>
      </c>
      <c r="C236" s="217" t="s">
        <v>28</v>
      </c>
      <c r="D236" s="266"/>
      <c r="E236" s="266"/>
      <c r="F236" s="267"/>
      <c r="G236" s="216" t="s">
        <v>13</v>
      </c>
      <c r="H236" s="3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3"/>
      <c r="B237" s="465" t="s">
        <v>216</v>
      </c>
      <c r="C237" s="307" t="s">
        <v>441</v>
      </c>
      <c r="D237" s="307"/>
      <c r="E237" s="307">
        <v>1</v>
      </c>
      <c r="F237" s="307">
        <v>290000</v>
      </c>
      <c r="G237" s="307">
        <f t="shared" ref="G237:G245" si="22">E237*F237</f>
        <v>290000</v>
      </c>
      <c r="H237" s="220" t="s">
        <v>220</v>
      </c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3"/>
      <c r="B238" s="466"/>
      <c r="C238" s="307" t="s">
        <v>442</v>
      </c>
      <c r="D238" s="307"/>
      <c r="E238" s="307">
        <v>1</v>
      </c>
      <c r="F238" s="307">
        <v>290000</v>
      </c>
      <c r="G238" s="307">
        <f t="shared" si="22"/>
        <v>290000</v>
      </c>
      <c r="H238" s="220"/>
      <c r="I238" s="212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466"/>
      <c r="C239" s="307" t="s">
        <v>443</v>
      </c>
      <c r="D239" s="307"/>
      <c r="E239" s="307">
        <v>1</v>
      </c>
      <c r="F239" s="307">
        <v>210000</v>
      </c>
      <c r="G239" s="307">
        <f t="shared" si="22"/>
        <v>210000</v>
      </c>
      <c r="H239" s="220"/>
      <c r="I239" s="212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467"/>
      <c r="C240" s="307" t="s">
        <v>444</v>
      </c>
      <c r="D240" s="307"/>
      <c r="E240" s="307">
        <v>1</v>
      </c>
      <c r="F240" s="307">
        <v>210000</v>
      </c>
      <c r="G240" s="307">
        <f t="shared" si="22"/>
        <v>210000</v>
      </c>
      <c r="H240" s="220"/>
      <c r="I240" s="212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462" t="s">
        <v>434</v>
      </c>
      <c r="C241" s="309" t="s">
        <v>435</v>
      </c>
      <c r="D241" s="309"/>
      <c r="E241" s="309">
        <v>1</v>
      </c>
      <c r="F241" s="309">
        <v>540000</v>
      </c>
      <c r="G241" s="309">
        <f t="shared" si="22"/>
        <v>540000</v>
      </c>
      <c r="H241" s="3"/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463"/>
      <c r="C242" s="293" t="s">
        <v>436</v>
      </c>
      <c r="D242" s="293"/>
      <c r="E242" s="293">
        <v>1</v>
      </c>
      <c r="F242" s="293">
        <v>540000</v>
      </c>
      <c r="G242" s="293">
        <f t="shared" si="22"/>
        <v>540000</v>
      </c>
      <c r="H242" s="3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463"/>
      <c r="C243" s="293" t="s">
        <v>437</v>
      </c>
      <c r="D243" s="293"/>
      <c r="E243" s="293">
        <v>1</v>
      </c>
      <c r="F243" s="293">
        <v>1260000</v>
      </c>
      <c r="G243" s="293">
        <f t="shared" si="22"/>
        <v>1260000</v>
      </c>
      <c r="H243" s="3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464"/>
      <c r="C244" s="293" t="s">
        <v>440</v>
      </c>
      <c r="D244" s="293"/>
      <c r="E244" s="293">
        <v>1</v>
      </c>
      <c r="F244" s="293">
        <v>1260000</v>
      </c>
      <c r="G244" s="293">
        <f t="shared" si="22"/>
        <v>1260000</v>
      </c>
      <c r="H244" s="3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309" t="s">
        <v>438</v>
      </c>
      <c r="C245" s="293" t="s">
        <v>439</v>
      </c>
      <c r="D245" s="293"/>
      <c r="E245" s="293">
        <v>1</v>
      </c>
      <c r="F245" s="293">
        <v>2700000</v>
      </c>
      <c r="G245" s="293">
        <f t="shared" si="22"/>
        <v>2700000</v>
      </c>
      <c r="H245" s="3"/>
      <c r="I245" s="2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456" t="s">
        <v>518</v>
      </c>
      <c r="C246" s="11"/>
      <c r="D246" s="11"/>
      <c r="E246" s="11"/>
      <c r="F246" s="11"/>
      <c r="G246" s="11"/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457"/>
      <c r="C247" s="11"/>
      <c r="D247" s="11"/>
      <c r="E247" s="11"/>
      <c r="F247" s="11"/>
      <c r="G247" s="11"/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457"/>
      <c r="C248" s="11"/>
      <c r="D248" s="11"/>
      <c r="E248" s="11"/>
      <c r="F248" s="11"/>
      <c r="G248" s="11"/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457"/>
      <c r="C249" s="11"/>
      <c r="D249" s="11"/>
      <c r="E249" s="11"/>
      <c r="F249" s="11"/>
      <c r="G249" s="11"/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458"/>
      <c r="C250" s="11"/>
      <c r="D250" s="11"/>
      <c r="E250" s="11"/>
      <c r="F250" s="11"/>
      <c r="G250" s="11">
        <v>11400000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11" t="s">
        <v>22</v>
      </c>
      <c r="C251" s="11"/>
      <c r="D251" s="11"/>
      <c r="E251" s="11"/>
      <c r="F251" s="11"/>
      <c r="G251" s="11">
        <f>SUM(G237:G250)</f>
        <v>18700000</v>
      </c>
      <c r="H251" s="3"/>
      <c r="I251" s="4"/>
      <c r="J251" s="487"/>
      <c r="K251" s="477"/>
      <c r="L251" s="477"/>
      <c r="M251" s="477"/>
      <c r="N251" s="477"/>
      <c r="O251" s="477"/>
      <c r="P251" s="477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23"/>
      <c r="C252" s="23"/>
      <c r="D252" s="23"/>
      <c r="E252" s="23"/>
      <c r="F252" s="23"/>
      <c r="G252" s="3"/>
      <c r="H252" s="3"/>
      <c r="I252" s="4"/>
      <c r="J252" s="477"/>
      <c r="K252" s="477"/>
      <c r="L252" s="477"/>
      <c r="M252" s="477"/>
      <c r="N252" s="477"/>
      <c r="O252" s="477"/>
      <c r="P252" s="477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3"/>
      <c r="C253" s="3"/>
      <c r="D253" s="3"/>
      <c r="E253" s="3"/>
      <c r="F253" s="3"/>
      <c r="G253" s="3"/>
      <c r="H253" s="3"/>
      <c r="I253" s="4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3" t="s">
        <v>221</v>
      </c>
      <c r="C254" s="3">
        <f>C2*0.05</f>
        <v>155600000</v>
      </c>
      <c r="D254" s="3"/>
      <c r="E254" s="3"/>
      <c r="F254" s="3"/>
      <c r="G254" s="3"/>
      <c r="H254" s="3"/>
      <c r="I254" s="4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3"/>
      <c r="C255" s="3"/>
      <c r="D255" s="3"/>
      <c r="E255" s="3"/>
      <c r="F255" s="3"/>
      <c r="G255" s="3"/>
      <c r="H255" s="3"/>
      <c r="I255" s="4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3"/>
      <c r="C256" s="3"/>
      <c r="D256" s="3"/>
      <c r="E256" s="3"/>
      <c r="F256" s="3"/>
      <c r="G256" s="3"/>
      <c r="H256" s="3"/>
      <c r="I256" s="4"/>
      <c r="J256" s="3"/>
      <c r="K256" s="23"/>
      <c r="L256" s="2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3"/>
      <c r="C257" s="3"/>
      <c r="D257" s="3"/>
      <c r="E257" s="3"/>
      <c r="F257" s="3"/>
      <c r="G257" s="3"/>
      <c r="H257" s="3"/>
      <c r="I257" s="2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3"/>
      <c r="C258" s="3"/>
      <c r="D258" s="3"/>
      <c r="E258" s="3"/>
      <c r="F258" s="3"/>
      <c r="G258" s="3"/>
      <c r="H258" s="3"/>
      <c r="I258" s="4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3"/>
      <c r="C259" s="3"/>
      <c r="D259" s="3"/>
      <c r="E259" s="3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2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23"/>
      <c r="D267" s="23"/>
      <c r="E267" s="23"/>
      <c r="F267" s="2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23"/>
      <c r="C270" s="23"/>
      <c r="D270" s="23"/>
      <c r="E270" s="23"/>
      <c r="F270" s="2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2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8.7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5" customHeight="1">
      <c r="B1064" s="3"/>
      <c r="C1064" s="3"/>
      <c r="D1064" s="3"/>
      <c r="E1064" s="3"/>
      <c r="F1064" s="3"/>
      <c r="G1064" s="3"/>
    </row>
    <row r="1065" spans="1:26" ht="15" customHeight="1">
      <c r="B1065" s="3"/>
      <c r="C1065" s="3"/>
      <c r="D1065" s="3"/>
      <c r="E1065" s="3"/>
      <c r="F1065" s="3"/>
      <c r="G1065" s="3"/>
    </row>
    <row r="1066" spans="1:26" ht="15" customHeight="1">
      <c r="B1066" s="3"/>
      <c r="C1066" s="3"/>
      <c r="D1066" s="3"/>
      <c r="E1066" s="3"/>
      <c r="F1066" s="3"/>
      <c r="G1066" s="3"/>
    </row>
    <row r="1067" spans="1:26" ht="15" customHeight="1">
      <c r="B1067" s="3"/>
      <c r="C1067" s="3"/>
      <c r="D1067" s="3"/>
      <c r="E1067" s="3"/>
      <c r="F1067" s="3"/>
      <c r="G1067" s="3"/>
    </row>
    <row r="1068" spans="1:26" ht="15" customHeight="1">
      <c r="B1068" s="3"/>
      <c r="C1068" s="3"/>
      <c r="D1068" s="3"/>
      <c r="E1068" s="3"/>
      <c r="F1068" s="3"/>
      <c r="G1068" s="3"/>
    </row>
  </sheetData>
  <mergeCells count="84"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  <mergeCell ref="B14:F14"/>
    <mergeCell ref="C17:F17"/>
    <mergeCell ref="B19:F19"/>
    <mergeCell ref="B28:B54"/>
    <mergeCell ref="B233:F233"/>
    <mergeCell ref="B138:B139"/>
    <mergeCell ref="D138:D139"/>
    <mergeCell ref="B145:B153"/>
    <mergeCell ref="B163:B172"/>
    <mergeCell ref="B180:B183"/>
    <mergeCell ref="B70:B78"/>
    <mergeCell ref="C22:F22"/>
    <mergeCell ref="B24:F24"/>
    <mergeCell ref="B109:B113"/>
    <mergeCell ref="B106:B107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J251:P252"/>
    <mergeCell ref="M157:P157"/>
    <mergeCell ref="M158:P158"/>
    <mergeCell ref="M154:P154"/>
    <mergeCell ref="M155:P155"/>
    <mergeCell ref="M156:P156"/>
    <mergeCell ref="K83:O83"/>
    <mergeCell ref="K73:K82"/>
    <mergeCell ref="K93:K95"/>
    <mergeCell ref="K54:O54"/>
    <mergeCell ref="K61:O61"/>
    <mergeCell ref="K65:K68"/>
    <mergeCell ref="K69:O69"/>
    <mergeCell ref="A1:H1"/>
    <mergeCell ref="J1:Q1"/>
    <mergeCell ref="B7:B13"/>
    <mergeCell ref="H7:H8"/>
    <mergeCell ref="K7:K11"/>
    <mergeCell ref="L11:O11"/>
    <mergeCell ref="K13:O13"/>
    <mergeCell ref="C13:F13"/>
    <mergeCell ref="K31:O31"/>
    <mergeCell ref="H35:H36"/>
    <mergeCell ref="H37:H38"/>
    <mergeCell ref="K41:O41"/>
    <mergeCell ref="K48:O48"/>
    <mergeCell ref="H41:H53"/>
    <mergeCell ref="H181:H184"/>
    <mergeCell ref="L203:N204"/>
    <mergeCell ref="B133:B134"/>
    <mergeCell ref="H152:H153"/>
    <mergeCell ref="H133:H134"/>
    <mergeCell ref="H147:H148"/>
    <mergeCell ref="H149:H150"/>
    <mergeCell ref="K152:L152"/>
    <mergeCell ref="M153:P153"/>
    <mergeCell ref="W85:Y85"/>
    <mergeCell ref="W86:Y86"/>
    <mergeCell ref="Q87:Q88"/>
    <mergeCell ref="R87:R88"/>
    <mergeCell ref="B88:B89"/>
    <mergeCell ref="K89:O89"/>
    <mergeCell ref="B246:B250"/>
    <mergeCell ref="B120:B125"/>
    <mergeCell ref="B80:B81"/>
    <mergeCell ref="B241:B244"/>
    <mergeCell ref="B237:B240"/>
    <mergeCell ref="B188:B192"/>
    <mergeCell ref="B173:B179"/>
    <mergeCell ref="B114:B119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63"/>
  <sheetViews>
    <sheetView zoomScaleNormal="100" workbookViewId="0">
      <pane ySplit="3" topLeftCell="A153" activePane="bottomLeft" state="frozen"/>
      <selection pane="bottomLeft" activeCell="E135" sqref="E135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34" t="s">
        <v>273</v>
      </c>
      <c r="B1" s="535"/>
      <c r="C1" s="535"/>
      <c r="D1" s="535"/>
      <c r="E1" s="535"/>
      <c r="F1" s="535"/>
      <c r="G1" s="535"/>
      <c r="H1" s="535"/>
      <c r="I1" s="535"/>
      <c r="J1" s="535"/>
      <c r="K1" s="535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7" t="s">
        <v>224</v>
      </c>
      <c r="AE1" s="247" t="s">
        <v>225</v>
      </c>
      <c r="AF1" s="247" t="s">
        <v>226</v>
      </c>
      <c r="AG1" s="247" t="s">
        <v>227</v>
      </c>
      <c r="AH1" s="247" t="s">
        <v>228</v>
      </c>
      <c r="AI1" s="247" t="s">
        <v>229</v>
      </c>
      <c r="AJ1" s="247" t="s">
        <v>230</v>
      </c>
      <c r="AK1" s="247" t="s">
        <v>231</v>
      </c>
      <c r="AL1" s="247" t="s">
        <v>232</v>
      </c>
      <c r="AM1" s="247" t="s">
        <v>233</v>
      </c>
      <c r="AN1" s="247" t="s">
        <v>234</v>
      </c>
      <c r="AO1" s="247" t="s">
        <v>235</v>
      </c>
      <c r="AP1" s="247" t="s">
        <v>236</v>
      </c>
      <c r="AQ1" s="247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6" t="s">
        <v>7</v>
      </c>
      <c r="Q2" s="485"/>
      <c r="R2" s="536" t="s">
        <v>240</v>
      </c>
      <c r="S2" s="485"/>
      <c r="T2" s="536" t="s">
        <v>31</v>
      </c>
      <c r="U2" s="485"/>
      <c r="V2" s="536" t="s">
        <v>72</v>
      </c>
      <c r="W2" s="485"/>
      <c r="X2" s="536" t="s">
        <v>84</v>
      </c>
      <c r="Y2" s="485"/>
      <c r="Z2" s="536" t="s">
        <v>241</v>
      </c>
      <c r="AA2" s="485"/>
      <c r="AD2" s="248">
        <f t="shared" ref="AD2:AO2" si="0">SUMIF($G4:$G184, AD1, $H4:$H184)</f>
        <v>14600000</v>
      </c>
      <c r="AE2" s="248">
        <f t="shared" si="0"/>
        <v>17381628</v>
      </c>
      <c r="AF2" s="248">
        <f t="shared" si="0"/>
        <v>75237443</v>
      </c>
      <c r="AG2" s="248">
        <f t="shared" si="0"/>
        <v>31017560</v>
      </c>
      <c r="AH2" s="248">
        <f t="shared" si="0"/>
        <v>425800124.92500001</v>
      </c>
      <c r="AI2" s="248">
        <f t="shared" si="0"/>
        <v>32766221.925000001</v>
      </c>
      <c r="AJ2" s="248">
        <f t="shared" si="0"/>
        <v>254763523.92500001</v>
      </c>
      <c r="AK2" s="248">
        <f t="shared" si="0"/>
        <v>228006017.92500001</v>
      </c>
      <c r="AL2" s="248">
        <f t="shared" si="0"/>
        <v>792562154.92499995</v>
      </c>
      <c r="AM2" s="248">
        <f t="shared" si="0"/>
        <v>54765083.924999997</v>
      </c>
      <c r="AN2" s="248">
        <f t="shared" si="0"/>
        <v>508365083.92500001</v>
      </c>
      <c r="AO2" s="248">
        <f t="shared" si="0"/>
        <v>433673083.92500001</v>
      </c>
      <c r="AP2" s="248">
        <f>SUM(AD2:AO2)</f>
        <v>2868937926.4000001</v>
      </c>
      <c r="AQ2" s="249">
        <f>$A$2-$AP$2</f>
        <v>87462073.599999905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51" t="s">
        <v>244</v>
      </c>
      <c r="E3" s="552"/>
      <c r="F3" s="553"/>
      <c r="G3" s="73" t="s">
        <v>274</v>
      </c>
      <c r="H3" s="75" t="s">
        <v>275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1.0010636958765846</v>
      </c>
      <c r="V3" s="80">
        <f>H68</f>
        <v>73075500</v>
      </c>
      <c r="W3" s="81">
        <f>K68</f>
        <v>0.67637762114782096</v>
      </c>
      <c r="X3" s="80">
        <f>H186</f>
        <v>1154988189</v>
      </c>
      <c r="Y3" s="81">
        <f>K186</f>
        <v>0.99747314151740762</v>
      </c>
      <c r="Z3" s="82">
        <f>H187</f>
        <v>2881049837.4000001</v>
      </c>
      <c r="AA3" s="83">
        <f>K187</f>
        <v>0.98746923390085017</v>
      </c>
      <c r="AD3" s="250">
        <f>AD2/$A$2</f>
        <v>4.9384386415911247E-3</v>
      </c>
      <c r="AE3" s="250">
        <f t="shared" ref="AE3:AO3" si="1">AE2/$A$2+AD3</f>
        <v>1.0817760790150184E-2</v>
      </c>
      <c r="AF3" s="250">
        <f t="shared" si="1"/>
        <v>3.6266767352185092E-2</v>
      </c>
      <c r="AG3" s="250">
        <f t="shared" si="1"/>
        <v>4.6758432891354354E-2</v>
      </c>
      <c r="AH3" s="250">
        <f t="shared" si="1"/>
        <v>0.19078499388614534</v>
      </c>
      <c r="AI3" s="250">
        <f t="shared" si="1"/>
        <v>0.20186814296103373</v>
      </c>
      <c r="AJ3" s="250">
        <f t="shared" si="1"/>
        <v>0.28804170672946833</v>
      </c>
      <c r="AK3" s="250">
        <f t="shared" si="1"/>
        <v>0.36516456491002575</v>
      </c>
      <c r="AL3" s="250">
        <f t="shared" si="1"/>
        <v>0.63324809722128261</v>
      </c>
      <c r="AM3" s="250">
        <f t="shared" si="1"/>
        <v>0.65177234425314567</v>
      </c>
      <c r="AN3" s="250">
        <f t="shared" si="1"/>
        <v>0.82372643839636039</v>
      </c>
      <c r="AO3" s="250">
        <f t="shared" si="1"/>
        <v>0.97041602164795016</v>
      </c>
      <c r="AP3" s="250">
        <f t="shared" ref="AP3:AQ3" si="2">AP2/$A$2</f>
        <v>0.97041602164795027</v>
      </c>
      <c r="AQ3" s="250">
        <f t="shared" si="2"/>
        <v>2.9583978352049758E-2</v>
      </c>
    </row>
    <row r="4" spans="1:43" ht="16.5" customHeight="1">
      <c r="A4" s="512" t="s">
        <v>7</v>
      </c>
      <c r="B4" s="513" t="s">
        <v>251</v>
      </c>
      <c r="C4" s="538">
        <f>예산!G14</f>
        <v>121138758.40000001</v>
      </c>
      <c r="D4" s="85" t="s">
        <v>15</v>
      </c>
      <c r="E4" s="549">
        <f>예산!G7</f>
        <v>5871208</v>
      </c>
      <c r="F4" s="485"/>
      <c r="G4" s="85" t="s">
        <v>225</v>
      </c>
      <c r="H4" s="86">
        <f>1192128+예산!E8</f>
        <v>2781628</v>
      </c>
      <c r="I4" s="87">
        <v>45776</v>
      </c>
      <c r="J4" s="85"/>
      <c r="K4" s="540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69"/>
      <c r="B5" s="469"/>
      <c r="C5" s="469"/>
      <c r="D5" s="236" t="s">
        <v>19</v>
      </c>
      <c r="E5" s="550">
        <f>예산!G8</f>
        <v>4768500</v>
      </c>
      <c r="F5" s="500"/>
      <c r="G5" s="85" t="s">
        <v>226</v>
      </c>
      <c r="H5" s="86">
        <f>예산!E7+예산!E8</f>
        <v>3405260</v>
      </c>
      <c r="I5" s="87"/>
      <c r="J5" s="85"/>
      <c r="K5" s="469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393</v>
      </c>
    </row>
    <row r="6" spans="1:43" ht="16.5" customHeight="1">
      <c r="A6" s="469"/>
      <c r="B6" s="469"/>
      <c r="C6" s="479"/>
      <c r="D6" s="238" t="s">
        <v>354</v>
      </c>
      <c r="E6" s="550">
        <f>예산!G9</f>
        <v>19608863.399999999</v>
      </c>
      <c r="F6" s="500"/>
      <c r="G6" s="235" t="s">
        <v>227</v>
      </c>
      <c r="H6" s="86">
        <f>SUM(예산!$E$7:$E$8)</f>
        <v>3405260</v>
      </c>
      <c r="I6" s="87"/>
      <c r="J6" s="85"/>
      <c r="K6" s="469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224</v>
      </c>
      <c r="AE6" s="64" t="s">
        <v>225</v>
      </c>
      <c r="AF6" s="64" t="s">
        <v>226</v>
      </c>
      <c r="AG6" s="64" t="s">
        <v>227</v>
      </c>
      <c r="AH6" s="64" t="s">
        <v>228</v>
      </c>
      <c r="AI6" s="64" t="s">
        <v>229</v>
      </c>
      <c r="AJ6" s="64" t="s">
        <v>230</v>
      </c>
      <c r="AK6" s="64" t="s">
        <v>231</v>
      </c>
      <c r="AL6" s="64" t="s">
        <v>232</v>
      </c>
      <c r="AM6" s="64" t="s">
        <v>233</v>
      </c>
      <c r="AN6" s="64" t="s">
        <v>234</v>
      </c>
      <c r="AO6" s="64" t="s">
        <v>235</v>
      </c>
      <c r="AP6" s="64" t="s">
        <v>236</v>
      </c>
    </row>
    <row r="7" spans="1:43" ht="16.5" customHeight="1">
      <c r="A7" s="469"/>
      <c r="B7" s="469"/>
      <c r="C7" s="479"/>
      <c r="D7" s="237" t="s">
        <v>332</v>
      </c>
      <c r="E7" s="539">
        <f>예산!G10</f>
        <v>37350216</v>
      </c>
      <c r="F7" s="496"/>
      <c r="G7" s="235" t="s">
        <v>228</v>
      </c>
      <c r="H7" s="86">
        <f>SUM(예산!$E$9:$E$10)</f>
        <v>7119884.9249999998</v>
      </c>
      <c r="I7" s="87"/>
      <c r="J7" s="85"/>
      <c r="K7" s="46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469"/>
      <c r="B8" s="469"/>
      <c r="C8" s="479"/>
      <c r="D8" s="237" t="s">
        <v>382</v>
      </c>
      <c r="E8" s="547">
        <f>예산!G11</f>
        <v>32681439</v>
      </c>
      <c r="F8" s="548"/>
      <c r="G8" s="235" t="s">
        <v>229</v>
      </c>
      <c r="H8" s="86">
        <f>SUM(예산!$E$9:$E$11)+1047560</f>
        <v>12836221.925000001</v>
      </c>
      <c r="I8" s="87"/>
      <c r="J8" s="85"/>
      <c r="K8" s="46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469"/>
      <c r="B9" s="469"/>
      <c r="C9" s="469"/>
      <c r="D9" s="237" t="s">
        <v>408</v>
      </c>
      <c r="E9" s="547">
        <f>예산!G12</f>
        <v>20858532</v>
      </c>
      <c r="F9" s="548"/>
      <c r="G9" s="85" t="s">
        <v>230</v>
      </c>
      <c r="H9" s="86">
        <f>SUM(예산!$E$9:$E$12)</f>
        <v>15265083.925000001</v>
      </c>
      <c r="I9" s="87"/>
      <c r="J9" s="85"/>
      <c r="K9" s="46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9.5168374816983897E-3</v>
      </c>
      <c r="AG9" s="84">
        <f t="shared" si="5"/>
        <v>1.0980966325036604E-2</v>
      </c>
      <c r="AH9" s="84">
        <f t="shared" si="5"/>
        <v>0.31522693997071743</v>
      </c>
      <c r="AI9" s="84">
        <f t="shared" si="5"/>
        <v>0.31522693997071743</v>
      </c>
      <c r="AJ9" s="84">
        <f t="shared" si="5"/>
        <v>0.31815519765739386</v>
      </c>
      <c r="AK9" s="84">
        <f t="shared" si="5"/>
        <v>0.48482869692532943</v>
      </c>
      <c r="AL9" s="84">
        <f t="shared" si="5"/>
        <v>0.51220790629575408</v>
      </c>
      <c r="AM9" s="84">
        <f t="shared" si="5"/>
        <v>0.52099267935578331</v>
      </c>
      <c r="AN9" s="84">
        <f t="shared" si="5"/>
        <v>0.52977745241581253</v>
      </c>
      <c r="AO9" s="84">
        <f t="shared" si="5"/>
        <v>0.98365739385065876</v>
      </c>
      <c r="AP9" s="84">
        <f>AP7/$A$2</f>
        <v>0.22724868082803409</v>
      </c>
    </row>
    <row r="10" spans="1:43" ht="16.5" customHeight="1">
      <c r="A10" s="469"/>
      <c r="B10" s="469"/>
      <c r="C10" s="469"/>
      <c r="D10" s="541"/>
      <c r="E10" s="542"/>
      <c r="F10" s="543"/>
      <c r="G10" s="85" t="s">
        <v>231</v>
      </c>
      <c r="H10" s="86">
        <f>SUM(예산!$E$9:$E$12)</f>
        <v>15265083.925000001</v>
      </c>
      <c r="I10" s="87"/>
      <c r="J10" s="85"/>
      <c r="K10" s="46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69"/>
      <c r="B11" s="469"/>
      <c r="C11" s="469"/>
      <c r="D11" s="541"/>
      <c r="E11" s="542"/>
      <c r="F11" s="543"/>
      <c r="G11" s="85" t="s">
        <v>232</v>
      </c>
      <c r="H11" s="86">
        <f>SUM(예산!$E$9:$E$12)</f>
        <v>15265083.925000001</v>
      </c>
      <c r="I11" s="87"/>
      <c r="J11" s="85"/>
      <c r="K11" s="46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69"/>
      <c r="B12" s="469"/>
      <c r="C12" s="469"/>
      <c r="D12" s="541"/>
      <c r="E12" s="542"/>
      <c r="F12" s="543"/>
      <c r="G12" s="85" t="s">
        <v>233</v>
      </c>
      <c r="H12" s="86">
        <f>SUM(예산!$E$9:$E$12)</f>
        <v>15265083.925000001</v>
      </c>
      <c r="I12" s="87"/>
      <c r="J12" s="85"/>
      <c r="K12" s="46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69"/>
      <c r="B13" s="469"/>
      <c r="C13" s="469"/>
      <c r="D13" s="541"/>
      <c r="E13" s="542"/>
      <c r="F13" s="543"/>
      <c r="G13" s="85" t="s">
        <v>234</v>
      </c>
      <c r="H13" s="86">
        <f>SUM(예산!$E$9:$E$12)</f>
        <v>15265083.925000001</v>
      </c>
      <c r="I13" s="87"/>
      <c r="J13" s="85"/>
      <c r="K13" s="46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69"/>
      <c r="B14" s="471"/>
      <c r="C14" s="471"/>
      <c r="D14" s="544"/>
      <c r="E14" s="545"/>
      <c r="F14" s="546"/>
      <c r="G14" s="85" t="s">
        <v>235</v>
      </c>
      <c r="H14" s="86">
        <f>SUM(예산!$E$9:$E$12)</f>
        <v>15265083.925000001</v>
      </c>
      <c r="I14" s="87"/>
      <c r="J14" s="85"/>
      <c r="K14" s="47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69"/>
      <c r="B15" s="501" t="s">
        <v>21</v>
      </c>
      <c r="C15" s="484"/>
      <c r="D15" s="485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69"/>
      <c r="B16" s="85" t="s">
        <v>26</v>
      </c>
      <c r="C16" s="92">
        <f>예산!G19</f>
        <v>93360000</v>
      </c>
      <c r="D16" s="85"/>
      <c r="E16" s="86"/>
      <c r="F16" s="85"/>
      <c r="G16" s="85" t="s">
        <v>235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1"/>
      <c r="B17" s="501" t="s">
        <v>21</v>
      </c>
      <c r="C17" s="484"/>
      <c r="D17" s="485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7" t="s">
        <v>253</v>
      </c>
      <c r="B18" s="484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37"/>
      <c r="J18" s="485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2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85" t="s">
        <v>224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9"/>
      <c r="B20" s="85"/>
      <c r="C20" s="103"/>
      <c r="D20" s="85"/>
      <c r="E20" s="86"/>
      <c r="F20" s="85"/>
      <c r="G20" s="85" t="s">
        <v>225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9"/>
      <c r="B21" s="85"/>
      <c r="C21" s="92"/>
      <c r="D21" s="85"/>
      <c r="E21" s="86"/>
      <c r="F21" s="85"/>
      <c r="G21" s="85" t="s">
        <v>226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9"/>
      <c r="B22" s="85"/>
      <c r="C22" s="92"/>
      <c r="D22" s="85"/>
      <c r="E22" s="86"/>
      <c r="F22" s="85"/>
      <c r="G22" s="85" t="s">
        <v>227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9"/>
      <c r="B23" s="85"/>
      <c r="C23" s="92"/>
      <c r="D23" s="85"/>
      <c r="E23" s="86"/>
      <c r="F23" s="85"/>
      <c r="G23" s="85" t="s">
        <v>228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9"/>
      <c r="B24" s="85"/>
      <c r="C24" s="92"/>
      <c r="D24" s="85"/>
      <c r="E24" s="86"/>
      <c r="F24" s="85"/>
      <c r="G24" s="85" t="s">
        <v>229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9"/>
      <c r="B25" s="85"/>
      <c r="C25" s="92"/>
      <c r="D25" s="85"/>
      <c r="E25" s="86"/>
      <c r="F25" s="85"/>
      <c r="G25" s="85" t="s">
        <v>230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9"/>
      <c r="B26" s="85"/>
      <c r="C26" s="92"/>
      <c r="D26" s="85"/>
      <c r="E26" s="86"/>
      <c r="F26" s="85"/>
      <c r="G26" s="85" t="s">
        <v>231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9"/>
      <c r="B27" s="85"/>
      <c r="C27" s="92"/>
      <c r="D27" s="85"/>
      <c r="E27" s="86"/>
      <c r="F27" s="85"/>
      <c r="G27" s="85" t="s">
        <v>232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9"/>
      <c r="B28" s="85"/>
      <c r="C28" s="92"/>
      <c r="D28" s="85"/>
      <c r="E28" s="86"/>
      <c r="F28" s="85"/>
      <c r="G28" s="85" t="s">
        <v>233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9"/>
      <c r="B29" s="85"/>
      <c r="C29" s="92"/>
      <c r="D29" s="85"/>
      <c r="E29" s="86"/>
      <c r="F29" s="85"/>
      <c r="G29" s="85" t="s">
        <v>234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71"/>
      <c r="B30" s="85"/>
      <c r="C30" s="105"/>
      <c r="D30" s="85"/>
      <c r="E30" s="86"/>
      <c r="F30" s="85"/>
      <c r="G30" s="85" t="s">
        <v>235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17" t="s">
        <v>254</v>
      </c>
      <c r="B31" s="484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37"/>
      <c r="J31" s="485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18" t="s">
        <v>31</v>
      </c>
      <c r="B32" s="513" t="s">
        <v>255</v>
      </c>
      <c r="C32" s="11" t="s">
        <v>46</v>
      </c>
      <c r="D32" s="85" t="s">
        <v>485</v>
      </c>
      <c r="E32" s="86">
        <f>예산!G69</f>
        <v>299970000</v>
      </c>
      <c r="F32" s="85"/>
      <c r="G32" s="85" t="s">
        <v>389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19"/>
      <c r="B33" s="531"/>
      <c r="C33" s="11"/>
      <c r="D33" s="85" t="s">
        <v>486</v>
      </c>
      <c r="E33" s="86">
        <f>+예산!G70</f>
        <v>203982190</v>
      </c>
      <c r="F33" s="85"/>
      <c r="G33" s="85" t="s">
        <v>389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19"/>
      <c r="B34" s="469"/>
      <c r="C34" s="11" t="s">
        <v>99</v>
      </c>
      <c r="D34" s="85"/>
      <c r="E34" s="86">
        <f>예산!G71</f>
        <v>29920000</v>
      </c>
      <c r="F34" s="85"/>
      <c r="G34" s="85" t="s">
        <v>372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19"/>
      <c r="B35" s="469"/>
      <c r="C35" s="11" t="s">
        <v>101</v>
      </c>
      <c r="D35" s="85"/>
      <c r="E35" s="86">
        <f>예산!G72</f>
        <v>97163000</v>
      </c>
      <c r="F35" s="85"/>
      <c r="G35" s="85" t="s">
        <v>389</v>
      </c>
      <c r="H35" s="104">
        <f t="shared" si="9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19"/>
      <c r="B36" s="469"/>
      <c r="C36" s="11" t="s">
        <v>103</v>
      </c>
      <c r="D36" s="85"/>
      <c r="E36" s="86">
        <f>예산!G73</f>
        <v>98474200</v>
      </c>
      <c r="F36" s="85"/>
      <c r="G36" s="85" t="s">
        <v>389</v>
      </c>
      <c r="H36" s="104">
        <f t="shared" si="9"/>
        <v>98474200</v>
      </c>
      <c r="I36" s="87"/>
      <c r="J36" s="85" t="s">
        <v>402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19"/>
      <c r="B37" s="470"/>
      <c r="C37" s="11" t="s">
        <v>337</v>
      </c>
      <c r="D37" s="85"/>
      <c r="E37" s="86">
        <v>352000000</v>
      </c>
      <c r="F37" s="85"/>
      <c r="G37" s="85" t="s">
        <v>378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19"/>
      <c r="B38" s="470"/>
      <c r="C38" s="11" t="s">
        <v>336</v>
      </c>
      <c r="D38" s="85"/>
      <c r="E38" s="86">
        <v>95000000</v>
      </c>
      <c r="F38" s="85"/>
      <c r="G38" s="85" t="s">
        <v>378</v>
      </c>
      <c r="H38" s="104">
        <f t="shared" si="9"/>
        <v>95000000</v>
      </c>
      <c r="I38" s="87"/>
      <c r="J38" s="85" t="s">
        <v>403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19"/>
      <c r="B39" s="470"/>
      <c r="C39" s="11" t="s">
        <v>375</v>
      </c>
      <c r="D39" s="85"/>
      <c r="E39" s="86">
        <v>42998000</v>
      </c>
      <c r="F39" s="85"/>
      <c r="G39" s="85" t="s">
        <v>373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19"/>
      <c r="B40" s="470"/>
      <c r="C40" s="11" t="s">
        <v>376</v>
      </c>
      <c r="D40" s="85"/>
      <c r="E40" s="86">
        <v>22000000</v>
      </c>
      <c r="F40" s="85"/>
      <c r="G40" s="85" t="s">
        <v>380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19"/>
      <c r="B41" s="471"/>
      <c r="C41" s="245" t="s">
        <v>377</v>
      </c>
      <c r="D41" s="85"/>
      <c r="E41" s="86">
        <v>8030000</v>
      </c>
      <c r="F41" s="85"/>
      <c r="G41" s="85" t="s">
        <v>398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19"/>
      <c r="B42" s="501" t="s">
        <v>21</v>
      </c>
      <c r="C42" s="484"/>
      <c r="D42" s="485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19"/>
      <c r="B43" s="513" t="s">
        <v>70</v>
      </c>
      <c r="C43" s="29" t="s">
        <v>107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19"/>
      <c r="B44" s="469"/>
      <c r="C44" s="11" t="s">
        <v>112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19"/>
      <c r="B45" s="471"/>
      <c r="C45" s="11" t="s">
        <v>114</v>
      </c>
      <c r="D45" s="85"/>
      <c r="E45" s="86">
        <f>예산!G89</f>
        <v>2000000</v>
      </c>
      <c r="F45" s="85"/>
      <c r="G45" s="85" t="s">
        <v>380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19"/>
      <c r="B46" s="515" t="s">
        <v>21</v>
      </c>
      <c r="C46" s="516"/>
      <c r="D46" s="500"/>
      <c r="E46" s="95"/>
      <c r="F46" s="279"/>
      <c r="G46" s="279"/>
      <c r="H46" s="95">
        <f>SUM(H43:H45)</f>
        <v>2000000</v>
      </c>
      <c r="I46" s="280"/>
      <c r="J46" s="279"/>
      <c r="K46" s="281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0"/>
      <c r="B47" s="282" t="s">
        <v>447</v>
      </c>
      <c r="C47" s="285" t="s">
        <v>446</v>
      </c>
      <c r="D47" s="268"/>
      <c r="E47" s="265">
        <v>150000</v>
      </c>
      <c r="F47" s="237"/>
      <c r="G47" s="237" t="s">
        <v>380</v>
      </c>
      <c r="H47" s="265">
        <v>150000</v>
      </c>
      <c r="I47" s="283"/>
      <c r="J47" s="237"/>
      <c r="K47" s="284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17" t="s">
        <v>256</v>
      </c>
      <c r="B48" s="490"/>
      <c r="C48" s="272">
        <f>예산!G66</f>
        <v>1250357390</v>
      </c>
      <c r="D48" s="273"/>
      <c r="E48" s="274"/>
      <c r="F48" s="275"/>
      <c r="G48" s="276"/>
      <c r="H48" s="277">
        <f>H42+H46+H47</f>
        <v>1251687390</v>
      </c>
      <c r="I48" s="514"/>
      <c r="J48" s="492"/>
      <c r="K48" s="278">
        <f>H48/C48</f>
        <v>1.0010636958765846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18" t="s">
        <v>72</v>
      </c>
      <c r="B49" s="513" t="s">
        <v>276</v>
      </c>
      <c r="C49" s="103" t="s">
        <v>258</v>
      </c>
      <c r="D49" s="85"/>
      <c r="E49" s="86">
        <f>예산!$G100</f>
        <v>3075509</v>
      </c>
      <c r="F49" s="85"/>
      <c r="G49" s="85" t="s">
        <v>226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19"/>
      <c r="B50" s="469"/>
      <c r="C50" s="103" t="s">
        <v>259</v>
      </c>
      <c r="D50" s="85"/>
      <c r="E50" s="86">
        <f>예산!$G104+예산!$G105</f>
        <v>9608500</v>
      </c>
      <c r="F50" s="85"/>
      <c r="G50" s="85" t="s">
        <v>227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19"/>
      <c r="B51" s="469"/>
      <c r="C51" s="92" t="s">
        <v>260</v>
      </c>
      <c r="D51" s="85"/>
      <c r="E51" s="86">
        <f>예산!$G108</f>
        <v>19250000</v>
      </c>
      <c r="F51" s="85"/>
      <c r="G51" s="85" t="s">
        <v>226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19"/>
      <c r="B52" s="471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19"/>
      <c r="B53" s="521" t="s">
        <v>261</v>
      </c>
      <c r="C53" s="509" t="s">
        <v>262</v>
      </c>
      <c r="D53" s="85"/>
      <c r="E53" s="86">
        <f>예산!$G106-10640000</f>
        <v>24825491</v>
      </c>
      <c r="F53" s="85"/>
      <c r="G53" s="85" t="s">
        <v>232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19"/>
      <c r="B54" s="522"/>
      <c r="C54" s="511"/>
      <c r="D54" s="85"/>
      <c r="E54" s="86">
        <v>10640000</v>
      </c>
      <c r="F54" s="85"/>
      <c r="G54" s="85" t="s">
        <v>372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19"/>
      <c r="B55" s="522"/>
      <c r="C55" s="524" t="s">
        <v>139</v>
      </c>
      <c r="D55" s="527" t="s">
        <v>491</v>
      </c>
      <c r="E55" s="86">
        <f>예산!$G109</f>
        <v>5676000</v>
      </c>
      <c r="F55" s="85"/>
      <c r="G55" s="85" t="s">
        <v>380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19"/>
      <c r="B56" s="522"/>
      <c r="C56" s="525"/>
      <c r="D56" s="528"/>
      <c r="E56" s="86"/>
      <c r="F56" s="85"/>
      <c r="G56" s="254"/>
      <c r="H56" s="86">
        <f>예산!$G110</f>
        <v>1531200</v>
      </c>
      <c r="I56" s="331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19"/>
      <c r="B57" s="522"/>
      <c r="C57" s="525"/>
      <c r="D57" s="528"/>
      <c r="E57" s="86"/>
      <c r="F57" s="85"/>
      <c r="G57" s="254"/>
      <c r="H57" s="86">
        <f>예산!$G111</f>
        <v>935000</v>
      </c>
      <c r="I57" s="331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19"/>
      <c r="B58" s="522"/>
      <c r="C58" s="525"/>
      <c r="D58" s="529"/>
      <c r="E58" s="86"/>
      <c r="F58" s="85"/>
      <c r="G58" s="254"/>
      <c r="H58" s="86">
        <f>예산!$G112</f>
        <v>1873300</v>
      </c>
      <c r="I58" s="331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19"/>
      <c r="B59" s="522"/>
      <c r="C59" s="525"/>
      <c r="D59" s="527" t="s">
        <v>492</v>
      </c>
      <c r="E59" s="86"/>
      <c r="F59" s="85"/>
      <c r="G59" s="254"/>
      <c r="H59" s="86">
        <f>예산!$G113</f>
        <v>0</v>
      </c>
      <c r="I59" s="331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19"/>
      <c r="B60" s="522"/>
      <c r="C60" s="525"/>
      <c r="D60" s="528"/>
      <c r="E60" s="86"/>
      <c r="F60" s="85"/>
      <c r="G60" s="254"/>
      <c r="H60" s="86">
        <f>예산!$G114</f>
        <v>4664000</v>
      </c>
      <c r="I60" s="331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19"/>
      <c r="B61" s="522"/>
      <c r="C61" s="525"/>
      <c r="D61" s="528"/>
      <c r="E61" s="86"/>
      <c r="F61" s="85"/>
      <c r="G61" s="254"/>
      <c r="H61" s="86">
        <f>예산!$G116</f>
        <v>643500</v>
      </c>
      <c r="I61" s="331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19"/>
      <c r="B62" s="522"/>
      <c r="C62" s="525"/>
      <c r="D62" s="528"/>
      <c r="E62" s="86"/>
      <c r="F62" s="85"/>
      <c r="G62" s="254"/>
      <c r="H62" s="86">
        <f>예산!$G117</f>
        <v>1155000</v>
      </c>
      <c r="I62" s="331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19"/>
      <c r="B63" s="522"/>
      <c r="C63" s="525"/>
      <c r="D63" s="529"/>
      <c r="E63" s="86"/>
      <c r="F63" s="85"/>
      <c r="G63" s="254"/>
      <c r="H63" s="86">
        <f>예산!$G118</f>
        <v>1925000</v>
      </c>
      <c r="I63" s="331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19"/>
      <c r="B64" s="522"/>
      <c r="C64" s="525"/>
      <c r="D64" s="527" t="s">
        <v>493</v>
      </c>
      <c r="E64" s="86"/>
      <c r="F64" s="85"/>
      <c r="G64" s="254"/>
      <c r="H64" s="86">
        <f>예산!$G120</f>
        <v>964480</v>
      </c>
      <c r="I64" s="331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19"/>
      <c r="B65" s="522"/>
      <c r="C65" s="525"/>
      <c r="D65" s="528"/>
      <c r="E65" s="86"/>
      <c r="F65" s="85"/>
      <c r="G65" s="254"/>
      <c r="H65" s="86">
        <f>예산!$G121</f>
        <v>0</v>
      </c>
      <c r="I65" s="331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19"/>
      <c r="B66" s="522"/>
      <c r="C66" s="525"/>
      <c r="D66" s="528"/>
      <c r="E66" s="86"/>
      <c r="F66" s="85"/>
      <c r="G66" s="254"/>
      <c r="H66" s="86">
        <f>예산!$G122</f>
        <v>0</v>
      </c>
      <c r="I66" s="331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20"/>
      <c r="B67" s="523"/>
      <c r="C67" s="526"/>
      <c r="D67" s="529"/>
      <c r="E67" s="86"/>
      <c r="F67" s="85"/>
      <c r="G67" s="254"/>
      <c r="H67" s="86">
        <f>예산!$G123</f>
        <v>0</v>
      </c>
      <c r="I67" s="331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04" t="s">
        <v>263</v>
      </c>
      <c r="B68" s="505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06"/>
      <c r="J68" s="507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12" t="s">
        <v>84</v>
      </c>
      <c r="B69" s="530" t="s">
        <v>264</v>
      </c>
      <c r="C69" s="103" t="s">
        <v>265</v>
      </c>
      <c r="D69" s="85" t="s">
        <v>266</v>
      </c>
      <c r="E69" s="86">
        <v>5500000</v>
      </c>
      <c r="F69" s="85"/>
      <c r="G69" s="85" t="s">
        <v>226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9"/>
      <c r="B70" s="531"/>
      <c r="C70" s="509" t="s">
        <v>369</v>
      </c>
      <c r="D70" s="85" t="s">
        <v>370</v>
      </c>
      <c r="E70" s="86">
        <v>5000000</v>
      </c>
      <c r="F70" s="85"/>
      <c r="G70" s="85" t="s">
        <v>372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69"/>
      <c r="B71" s="531"/>
      <c r="C71" s="510"/>
      <c r="D71" s="85" t="s">
        <v>394</v>
      </c>
      <c r="E71" s="86">
        <v>5000000</v>
      </c>
      <c r="F71" s="85"/>
      <c r="G71" s="85" t="s">
        <v>372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69"/>
      <c r="B72" s="531"/>
      <c r="C72" s="510"/>
      <c r="D72" s="85" t="s">
        <v>371</v>
      </c>
      <c r="E72" s="86">
        <v>800000</v>
      </c>
      <c r="F72" s="85"/>
      <c r="G72" s="85" t="s">
        <v>372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0"/>
      <c r="B73" s="531"/>
      <c r="C73" s="510"/>
      <c r="D73" s="85" t="s">
        <v>429</v>
      </c>
      <c r="E73" s="311">
        <v>2674000</v>
      </c>
      <c r="F73" s="85"/>
      <c r="G73" s="85" t="s">
        <v>373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0"/>
      <c r="B74" s="531"/>
      <c r="C74" s="510"/>
      <c r="D74" s="85" t="s">
        <v>430</v>
      </c>
      <c r="E74" s="311">
        <v>2914000</v>
      </c>
      <c r="F74" s="85"/>
      <c r="G74" s="85" t="s">
        <v>373</v>
      </c>
      <c r="H74" s="246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0"/>
      <c r="B75" s="531"/>
      <c r="C75" s="510"/>
      <c r="D75" s="85" t="s">
        <v>428</v>
      </c>
      <c r="E75" s="311">
        <v>4500000</v>
      </c>
      <c r="F75" s="85"/>
      <c r="G75" s="85" t="s">
        <v>373</v>
      </c>
      <c r="H75" s="246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0"/>
      <c r="B76" s="531"/>
      <c r="C76" s="510"/>
      <c r="D76" s="236" t="s">
        <v>427</v>
      </c>
      <c r="E76" s="315">
        <v>6000000</v>
      </c>
      <c r="F76" s="236"/>
      <c r="G76" s="236" t="s">
        <v>379</v>
      </c>
      <c r="H76" s="318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0"/>
      <c r="B77" s="531"/>
      <c r="C77" s="532"/>
      <c r="D77" s="237" t="s">
        <v>383</v>
      </c>
      <c r="E77" s="322">
        <v>6000000</v>
      </c>
      <c r="F77" s="237"/>
      <c r="G77" s="237" t="s">
        <v>378</v>
      </c>
      <c r="H77" s="265">
        <f>E77</f>
        <v>6000000</v>
      </c>
      <c r="I77" s="25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0"/>
      <c r="B78" s="531"/>
      <c r="C78" s="533"/>
      <c r="D78" s="263"/>
      <c r="E78" s="263"/>
      <c r="F78" s="263"/>
      <c r="G78" s="263"/>
      <c r="H78" s="263"/>
      <c r="I78" s="25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0"/>
      <c r="B79" s="531"/>
      <c r="C79" s="509" t="s">
        <v>381</v>
      </c>
      <c r="D79" s="319" t="s">
        <v>383</v>
      </c>
      <c r="E79" s="246">
        <v>3300000</v>
      </c>
      <c r="F79" s="319"/>
      <c r="G79" s="319" t="s">
        <v>372</v>
      </c>
      <c r="H79" s="246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0"/>
      <c r="B80" s="531"/>
      <c r="C80" s="510"/>
      <c r="D80" s="85" t="s">
        <v>367</v>
      </c>
      <c r="E80" s="86">
        <v>3300000</v>
      </c>
      <c r="F80" s="85"/>
      <c r="G80" s="85" t="s">
        <v>372</v>
      </c>
      <c r="H80" s="246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0"/>
      <c r="B81" s="531"/>
      <c r="C81" s="510"/>
      <c r="D81" s="85" t="s">
        <v>384</v>
      </c>
      <c r="E81" s="86">
        <v>800000</v>
      </c>
      <c r="F81" s="85"/>
      <c r="G81" s="85" t="s">
        <v>372</v>
      </c>
      <c r="H81" s="246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0"/>
      <c r="B82" s="531"/>
      <c r="C82" s="510"/>
      <c r="D82" s="85" t="s">
        <v>385</v>
      </c>
      <c r="E82" s="86">
        <v>2300000</v>
      </c>
      <c r="F82" s="85"/>
      <c r="G82" s="85" t="s">
        <v>372</v>
      </c>
      <c r="H82" s="246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0"/>
      <c r="B83" s="531"/>
      <c r="C83" s="511"/>
      <c r="D83" s="85" t="s">
        <v>386</v>
      </c>
      <c r="E83" s="86">
        <v>2300000</v>
      </c>
      <c r="F83" s="85"/>
      <c r="G83" s="85" t="s">
        <v>372</v>
      </c>
      <c r="H83" s="246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0"/>
      <c r="B84" s="531"/>
      <c r="C84" s="509" t="s">
        <v>431</v>
      </c>
      <c r="D84" s="85" t="s">
        <v>450</v>
      </c>
      <c r="E84" s="311">
        <f>600000*22</f>
        <v>13200000</v>
      </c>
      <c r="F84" s="85"/>
      <c r="G84" s="85" t="s">
        <v>389</v>
      </c>
      <c r="H84" s="246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0"/>
      <c r="B85" s="531"/>
      <c r="C85" s="510"/>
      <c r="D85" s="85" t="s">
        <v>432</v>
      </c>
      <c r="E85" s="311">
        <v>2000000</v>
      </c>
      <c r="F85" s="85"/>
      <c r="G85" s="85" t="s">
        <v>389</v>
      </c>
      <c r="H85" s="246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0"/>
      <c r="B86" s="531"/>
      <c r="C86" s="510"/>
      <c r="D86" s="85" t="s">
        <v>433</v>
      </c>
      <c r="E86" s="311">
        <f>2*1000000</f>
        <v>2000000</v>
      </c>
      <c r="F86" s="85"/>
      <c r="G86" s="85" t="s">
        <v>389</v>
      </c>
      <c r="H86" s="246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0"/>
      <c r="B87" s="531"/>
      <c r="C87" s="510"/>
      <c r="D87" s="85" t="s">
        <v>449</v>
      </c>
      <c r="E87" s="311">
        <f>3*500000</f>
        <v>1500000</v>
      </c>
      <c r="F87" s="85"/>
      <c r="G87" s="85" t="s">
        <v>389</v>
      </c>
      <c r="H87" s="246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0"/>
      <c r="B88" s="531"/>
      <c r="C88" s="511"/>
      <c r="D88" s="85" t="s">
        <v>459</v>
      </c>
      <c r="E88" s="311">
        <f>SUM(E84:E87)</f>
        <v>18700000</v>
      </c>
      <c r="F88" s="85"/>
      <c r="G88" s="85" t="s">
        <v>389</v>
      </c>
      <c r="H88" s="246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0"/>
      <c r="B89" s="508" t="s">
        <v>416</v>
      </c>
      <c r="C89" s="92" t="s">
        <v>417</v>
      </c>
      <c r="D89" s="85" t="s">
        <v>419</v>
      </c>
      <c r="E89" s="311">
        <f>14*1000000</f>
        <v>14000000</v>
      </c>
      <c r="F89" s="85"/>
      <c r="G89" s="85" t="s">
        <v>373</v>
      </c>
      <c r="H89" s="246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0"/>
      <c r="B90" s="508"/>
      <c r="C90" s="92" t="s">
        <v>418</v>
      </c>
      <c r="D90" s="85" t="s">
        <v>420</v>
      </c>
      <c r="E90" s="311">
        <f>67*1000000</f>
        <v>67000000</v>
      </c>
      <c r="F90" s="85"/>
      <c r="G90" s="85" t="s">
        <v>373</v>
      </c>
      <c r="H90" s="246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0"/>
      <c r="B91" s="508"/>
      <c r="C91" s="92"/>
      <c r="D91" s="85"/>
      <c r="E91" s="86"/>
      <c r="F91" s="85"/>
      <c r="G91" s="85"/>
      <c r="H91" s="24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9"/>
      <c r="B92" s="251"/>
      <c r="C92" s="92" t="s">
        <v>395</v>
      </c>
      <c r="D92" s="85" t="s">
        <v>396</v>
      </c>
      <c r="E92" s="86">
        <v>1000000</v>
      </c>
      <c r="F92" s="85"/>
      <c r="G92" s="85" t="s">
        <v>397</v>
      </c>
      <c r="H92" s="246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0"/>
      <c r="B93" s="244"/>
      <c r="C93" s="509" t="s">
        <v>399</v>
      </c>
      <c r="D93" s="85" t="s">
        <v>423</v>
      </c>
      <c r="E93" s="86">
        <v>1000000</v>
      </c>
      <c r="F93" s="85"/>
      <c r="G93" s="85" t="s">
        <v>373</v>
      </c>
      <c r="H93" s="246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0"/>
      <c r="B94" s="244"/>
      <c r="C94" s="510"/>
      <c r="D94" s="85" t="s">
        <v>424</v>
      </c>
      <c r="E94" s="86">
        <v>1000000</v>
      </c>
      <c r="F94" s="85"/>
      <c r="G94" s="85" t="s">
        <v>373</v>
      </c>
      <c r="H94" s="246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0"/>
      <c r="B95" s="244"/>
      <c r="C95" s="510"/>
      <c r="D95" s="85" t="s">
        <v>427</v>
      </c>
      <c r="E95" s="311">
        <v>6000000</v>
      </c>
      <c r="F95" s="85"/>
      <c r="G95" s="85" t="s">
        <v>373</v>
      </c>
      <c r="H95" s="246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0"/>
      <c r="B96" s="244"/>
      <c r="C96" s="510"/>
      <c r="D96" s="85" t="s">
        <v>383</v>
      </c>
      <c r="E96" s="311">
        <v>2000000</v>
      </c>
      <c r="F96" s="85"/>
      <c r="G96" s="85" t="s">
        <v>373</v>
      </c>
      <c r="H96" s="246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0"/>
      <c r="B97" s="244"/>
      <c r="C97" s="510"/>
      <c r="D97" s="85" t="s">
        <v>475</v>
      </c>
      <c r="E97" s="86">
        <v>2000000</v>
      </c>
      <c r="F97" s="85"/>
      <c r="G97" s="85" t="s">
        <v>373</v>
      </c>
      <c r="H97" s="246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0"/>
      <c r="B98" s="244"/>
      <c r="C98" s="511"/>
      <c r="D98" s="85"/>
      <c r="E98" s="86"/>
      <c r="F98" s="85"/>
      <c r="G98" s="85"/>
      <c r="H98" s="24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9"/>
      <c r="B99" s="513" t="s">
        <v>267</v>
      </c>
      <c r="C99" s="92"/>
      <c r="D99" s="85" t="s">
        <v>426</v>
      </c>
      <c r="E99" s="311">
        <v>6750000</v>
      </c>
      <c r="F99" s="85"/>
      <c r="G99" s="85" t="s">
        <v>373</v>
      </c>
      <c r="H99" s="246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9"/>
      <c r="B100" s="469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9"/>
      <c r="B101" s="469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9"/>
      <c r="B102" s="469"/>
      <c r="C102" s="92"/>
      <c r="D102" s="85">
        <v>4</v>
      </c>
      <c r="E102" s="86"/>
      <c r="F102" s="85"/>
      <c r="G102" s="85" t="s">
        <v>374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9"/>
      <c r="B103" s="471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9"/>
      <c r="B104" s="513" t="s">
        <v>144</v>
      </c>
      <c r="C104" s="92" t="s">
        <v>366</v>
      </c>
      <c r="D104" s="85" t="s">
        <v>367</v>
      </c>
      <c r="E104" s="86">
        <v>1000000</v>
      </c>
      <c r="F104" s="85"/>
      <c r="G104" s="85" t="s">
        <v>368</v>
      </c>
      <c r="H104" s="246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9"/>
      <c r="B105" s="469"/>
      <c r="C105" s="92"/>
      <c r="D105" s="85" t="s">
        <v>384</v>
      </c>
      <c r="E105" s="86">
        <v>2000000</v>
      </c>
      <c r="F105" s="85"/>
      <c r="G105" s="85" t="s">
        <v>380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9"/>
      <c r="B106" s="469"/>
      <c r="C106" s="92"/>
      <c r="D106" s="85" t="s">
        <v>425</v>
      </c>
      <c r="E106" s="86">
        <v>2000000</v>
      </c>
      <c r="F106" s="85"/>
      <c r="G106" s="85" t="s">
        <v>373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9"/>
      <c r="B107" s="471"/>
      <c r="C107" s="92"/>
      <c r="D107" s="85" t="s">
        <v>460</v>
      </c>
      <c r="E107" s="311">
        <v>2000000</v>
      </c>
      <c r="F107" s="85"/>
      <c r="G107" s="85" t="s">
        <v>373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9"/>
      <c r="B108" s="513" t="s">
        <v>268</v>
      </c>
      <c r="C108" s="92" t="s">
        <v>277</v>
      </c>
      <c r="D108" s="85" t="s">
        <v>278</v>
      </c>
      <c r="E108" s="86">
        <f>10000000*13+5000000*5+15000000*2</f>
        <v>185000000</v>
      </c>
      <c r="F108" s="85"/>
      <c r="G108" s="85" t="s">
        <v>372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9"/>
      <c r="B109" s="469"/>
      <c r="C109" s="92" t="s">
        <v>279</v>
      </c>
      <c r="D109" s="85" t="s">
        <v>280</v>
      </c>
      <c r="E109" s="311">
        <f>310000000</f>
        <v>310000000</v>
      </c>
      <c r="F109" s="85" t="s">
        <v>473</v>
      </c>
      <c r="G109" s="85" t="s">
        <v>235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9"/>
      <c r="B110" s="469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9"/>
      <c r="B111" s="469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9"/>
      <c r="B112" s="469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9"/>
      <c r="B113" s="471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9"/>
      <c r="B114" s="501" t="s">
        <v>21</v>
      </c>
      <c r="C114" s="484"/>
      <c r="D114" s="485"/>
      <c r="E114" s="88">
        <f>예산!G141</f>
        <v>683000000</v>
      </c>
      <c r="F114" s="94">
        <f>E114-215300000</f>
        <v>467700000</v>
      </c>
      <c r="G114" s="89"/>
      <c r="H114" s="88">
        <f>SUM(H69:H113)</f>
        <v>680838000</v>
      </c>
      <c r="I114" s="90"/>
      <c r="J114" s="89"/>
      <c r="K114" s="91">
        <f>H114/E114</f>
        <v>0.99683455344070282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9"/>
      <c r="B115" s="85" t="s">
        <v>94</v>
      </c>
      <c r="C115" s="11" t="s">
        <v>164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9"/>
      <c r="B116" s="85"/>
      <c r="C116" s="11" t="s">
        <v>166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9"/>
      <c r="B117" s="85"/>
      <c r="C117" s="11" t="s">
        <v>170</v>
      </c>
      <c r="D117" s="85"/>
      <c r="E117" s="86">
        <f>예산!$G147</f>
        <v>672872</v>
      </c>
      <c r="F117" s="85"/>
      <c r="G117" s="85" t="s">
        <v>226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9"/>
      <c r="B118" s="85"/>
      <c r="C118" s="11" t="s">
        <v>171</v>
      </c>
      <c r="D118" s="85"/>
      <c r="E118" s="86">
        <f>예산!$G148</f>
        <v>672872</v>
      </c>
      <c r="F118" s="85"/>
      <c r="G118" s="85" t="s">
        <v>226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9"/>
      <c r="B119" s="85"/>
      <c r="C119" s="11" t="s">
        <v>387</v>
      </c>
      <c r="D119" s="85"/>
      <c r="E119" s="86">
        <f>예산!$G149</f>
        <v>511595</v>
      </c>
      <c r="F119" s="85"/>
      <c r="G119" s="85" t="s">
        <v>389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9"/>
      <c r="B120" s="85"/>
      <c r="C120" s="11" t="s">
        <v>388</v>
      </c>
      <c r="D120" s="85"/>
      <c r="E120" s="86">
        <f>예산!$G150</f>
        <v>511595</v>
      </c>
      <c r="F120" s="85"/>
      <c r="G120" s="85" t="s">
        <v>389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9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69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69"/>
      <c r="B123" s="501" t="s">
        <v>21</v>
      </c>
      <c r="C123" s="484"/>
      <c r="D123" s="485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69"/>
      <c r="B124" s="85" t="s">
        <v>178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69"/>
      <c r="B125" s="501" t="s">
        <v>21</v>
      </c>
      <c r="C125" s="484"/>
      <c r="D125" s="485"/>
      <c r="E125" s="88">
        <f>예산!G159</f>
        <v>0</v>
      </c>
      <c r="F125" s="94"/>
      <c r="G125" s="89"/>
      <c r="H125" s="88">
        <f>H124</f>
        <v>0</v>
      </c>
      <c r="I125" s="90"/>
      <c r="J125" s="89"/>
      <c r="K125" s="91" t="e">
        <f>H125/E125</f>
        <v>#DIV/0!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69"/>
      <c r="B126" s="85" t="s">
        <v>269</v>
      </c>
      <c r="C126" s="11" t="s">
        <v>187</v>
      </c>
      <c r="D126" s="85"/>
      <c r="E126" s="86">
        <f>예산!$G164</f>
        <v>230000</v>
      </c>
      <c r="F126" s="85"/>
      <c r="G126" s="85" t="s">
        <v>226</v>
      </c>
      <c r="H126" s="86">
        <f>E126</f>
        <v>230000</v>
      </c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69"/>
      <c r="B127" s="85"/>
      <c r="C127" s="12" t="s">
        <v>188</v>
      </c>
      <c r="D127" s="85"/>
      <c r="E127" s="86">
        <f>예산!$G166</f>
        <v>230000</v>
      </c>
      <c r="F127" s="85"/>
      <c r="G127" s="85" t="s">
        <v>226</v>
      </c>
      <c r="H127" s="86">
        <f t="shared" ref="H127:H130" si="13">E127</f>
        <v>230000</v>
      </c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69"/>
      <c r="B128" s="85"/>
      <c r="C128" s="12" t="s">
        <v>189</v>
      </c>
      <c r="D128" s="85"/>
      <c r="E128" s="86">
        <f>예산!$G169</f>
        <v>11057430</v>
      </c>
      <c r="F128" s="85"/>
      <c r="G128" s="85" t="s">
        <v>226</v>
      </c>
      <c r="H128" s="86">
        <f t="shared" si="13"/>
        <v>11057430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69"/>
      <c r="B129" s="85"/>
      <c r="C129" s="12"/>
      <c r="D129" s="85"/>
      <c r="E129" s="86"/>
      <c r="F129" s="85"/>
      <c r="G129" s="85"/>
      <c r="H129" s="86"/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69"/>
      <c r="B130" s="85"/>
      <c r="C130" s="216" t="s">
        <v>190</v>
      </c>
      <c r="D130" s="236"/>
      <c r="E130" s="259">
        <f>예산!$G171</f>
        <v>2800000</v>
      </c>
      <c r="F130" s="236"/>
      <c r="G130" s="236" t="s">
        <v>226</v>
      </c>
      <c r="H130" s="259">
        <f t="shared" si="13"/>
        <v>2800000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69"/>
      <c r="B131" s="254"/>
      <c r="C131" s="263"/>
      <c r="D131" s="263"/>
      <c r="E131" s="263"/>
      <c r="F131" s="263"/>
      <c r="G131" s="263"/>
      <c r="H131" s="263"/>
      <c r="I131" s="25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70"/>
      <c r="B132" s="254"/>
      <c r="C132" s="263"/>
      <c r="D132" s="263"/>
      <c r="E132" s="263"/>
      <c r="F132" s="263"/>
      <c r="G132" s="263"/>
      <c r="H132" s="263"/>
      <c r="I132" s="25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70"/>
      <c r="B133" s="254"/>
      <c r="C133" s="263"/>
      <c r="D133" s="263"/>
      <c r="E133" s="263"/>
      <c r="F133" s="263"/>
      <c r="G133" s="263"/>
      <c r="H133" s="263"/>
      <c r="I133" s="25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70"/>
      <c r="B134" s="254"/>
      <c r="C134" s="263"/>
      <c r="D134" s="263"/>
      <c r="E134" s="263"/>
      <c r="F134" s="237"/>
      <c r="G134" s="237"/>
      <c r="H134" s="264"/>
      <c r="I134" s="257"/>
      <c r="J134" s="85" t="s">
        <v>404</v>
      </c>
      <c r="K134" s="93">
        <f>SUM(H126:H128,H130:H137,H117:H118,H146)/A2</f>
        <v>9.0039148964957388E-3</v>
      </c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70"/>
      <c r="B135" s="85"/>
      <c r="C135" s="405" t="s">
        <v>532</v>
      </c>
      <c r="D135" s="319"/>
      <c r="E135" s="258">
        <f>예산!$G172</f>
        <v>8750000</v>
      </c>
      <c r="F135" s="319"/>
      <c r="G135" s="319" t="s">
        <v>373</v>
      </c>
      <c r="H135" s="246">
        <f>E135</f>
        <v>8750000</v>
      </c>
      <c r="I135" s="25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70"/>
      <c r="B136" s="85"/>
      <c r="C136" s="11" t="s">
        <v>392</v>
      </c>
      <c r="D136" s="85"/>
      <c r="E136" s="120">
        <f>예산!F168</f>
        <v>700000</v>
      </c>
      <c r="F136" s="85"/>
      <c r="G136" s="85" t="s">
        <v>373</v>
      </c>
      <c r="H136" s="86">
        <f>E136</f>
        <v>700000</v>
      </c>
      <c r="I136" s="25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70"/>
      <c r="B137" s="85"/>
      <c r="C137" s="216" t="s">
        <v>391</v>
      </c>
      <c r="D137" s="236"/>
      <c r="E137" s="258">
        <f>예산!F167</f>
        <v>990000</v>
      </c>
      <c r="F137" s="236"/>
      <c r="G137" s="236" t="s">
        <v>373</v>
      </c>
      <c r="H137" s="259">
        <f>E137</f>
        <v>990000</v>
      </c>
      <c r="I137" s="25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70"/>
      <c r="B138" s="254"/>
      <c r="C138" s="407" t="s">
        <v>533</v>
      </c>
      <c r="D138" s="263"/>
      <c r="E138" s="408">
        <v>9373200</v>
      </c>
      <c r="F138" s="237"/>
      <c r="G138" s="237" t="s">
        <v>373</v>
      </c>
      <c r="H138" s="259">
        <f t="shared" ref="H138:H139" si="14">E138</f>
        <v>9373200</v>
      </c>
      <c r="I138" s="257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70"/>
      <c r="B139" s="254"/>
      <c r="C139" s="407" t="s">
        <v>534</v>
      </c>
      <c r="D139" s="263"/>
      <c r="E139" s="408">
        <v>545234</v>
      </c>
      <c r="F139" s="237"/>
      <c r="G139" s="237" t="s">
        <v>373</v>
      </c>
      <c r="H139" s="259">
        <f t="shared" si="14"/>
        <v>545234</v>
      </c>
      <c r="I139" s="25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70"/>
      <c r="B140" s="254"/>
      <c r="C140" s="263"/>
      <c r="D140" s="263"/>
      <c r="E140" s="263"/>
      <c r="F140" s="237"/>
      <c r="G140" s="237"/>
      <c r="H140" s="264"/>
      <c r="I140" s="257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70"/>
      <c r="B141" s="254"/>
      <c r="C141" s="263"/>
      <c r="D141" s="263"/>
      <c r="E141" s="263"/>
      <c r="F141" s="237"/>
      <c r="G141" s="237"/>
      <c r="H141" s="264"/>
      <c r="I141" s="25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70"/>
      <c r="B142" s="254"/>
      <c r="C142" s="263"/>
      <c r="D142" s="263"/>
      <c r="E142" s="263"/>
      <c r="F142" s="237"/>
      <c r="G142" s="237"/>
      <c r="H142" s="264"/>
      <c r="I142" s="25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69"/>
      <c r="B143" s="85"/>
      <c r="C143" s="211" t="s">
        <v>193</v>
      </c>
      <c r="D143" s="406"/>
      <c r="E143" s="264">
        <f>예산!$G180</f>
        <v>20000000</v>
      </c>
      <c r="F143" s="237"/>
      <c r="G143" s="237" t="s">
        <v>234</v>
      </c>
      <c r="H143" s="264">
        <f>E143</f>
        <v>20000000</v>
      </c>
      <c r="I143" s="257"/>
      <c r="J143" s="86">
        <f>SUM(H126:H128,H130:H137,H117:H118,H146)</f>
        <v>26619174</v>
      </c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69"/>
      <c r="B144" s="85"/>
      <c r="C144" s="14" t="s">
        <v>194</v>
      </c>
      <c r="D144" s="254"/>
      <c r="E144" s="264">
        <f>예산!$G181</f>
        <v>0</v>
      </c>
      <c r="F144" s="237"/>
      <c r="G144" s="237" t="s">
        <v>233</v>
      </c>
      <c r="H144" s="264">
        <f t="shared" ref="H144:H146" si="15">E144</f>
        <v>0</v>
      </c>
      <c r="I144" s="25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69"/>
      <c r="B145" s="85"/>
      <c r="C145" s="11" t="s">
        <v>196</v>
      </c>
      <c r="D145" s="254"/>
      <c r="E145" s="264">
        <f>예산!$G183</f>
        <v>10000000</v>
      </c>
      <c r="F145" s="237"/>
      <c r="G145" s="237" t="s">
        <v>234</v>
      </c>
      <c r="H145" s="264">
        <f t="shared" si="15"/>
        <v>10000000</v>
      </c>
      <c r="I145" s="25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69"/>
      <c r="B146" s="85"/>
      <c r="C146" s="92" t="s">
        <v>390</v>
      </c>
      <c r="D146" s="254"/>
      <c r="E146" s="265">
        <f>예산!G182</f>
        <v>516000</v>
      </c>
      <c r="F146" s="237"/>
      <c r="G146" s="237" t="s">
        <v>368</v>
      </c>
      <c r="H146" s="264">
        <f t="shared" si="15"/>
        <v>516000</v>
      </c>
      <c r="I146" s="25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69"/>
      <c r="B147" s="85"/>
      <c r="C147" s="216" t="s">
        <v>422</v>
      </c>
      <c r="D147" s="256"/>
      <c r="E147" s="263">
        <f>예산!G175</f>
        <v>11062500</v>
      </c>
      <c r="F147" s="263"/>
      <c r="G147" s="218" t="s">
        <v>373</v>
      </c>
      <c r="H147" s="263">
        <f>E147</f>
        <v>11062500</v>
      </c>
      <c r="I147" s="25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70"/>
      <c r="B148" s="254"/>
      <c r="C148" s="216" t="s">
        <v>421</v>
      </c>
      <c r="D148" s="256"/>
      <c r="E148" s="263">
        <f>예산!G176</f>
        <v>3584000</v>
      </c>
      <c r="F148" s="263"/>
      <c r="G148" s="218" t="s">
        <v>373</v>
      </c>
      <c r="H148" s="263">
        <f>E148</f>
        <v>3584000</v>
      </c>
      <c r="I148" s="25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70"/>
      <c r="B149" s="254"/>
      <c r="C149" s="266" t="s">
        <v>522</v>
      </c>
      <c r="D149" s="346"/>
      <c r="E149" s="255">
        <f>SUM(예산!G177:G179)</f>
        <v>3111911</v>
      </c>
      <c r="F149" s="255"/>
      <c r="G149" s="243"/>
      <c r="H149" s="263">
        <f>E149</f>
        <v>3111911</v>
      </c>
      <c r="I149" s="257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70"/>
      <c r="B150" s="254"/>
      <c r="C150" s="266"/>
      <c r="D150" s="346"/>
      <c r="E150" s="255"/>
      <c r="F150" s="255"/>
      <c r="G150" s="243"/>
      <c r="H150" s="255"/>
      <c r="I150" s="25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69"/>
      <c r="B151" s="501" t="s">
        <v>21</v>
      </c>
      <c r="C151" s="484"/>
      <c r="D151" s="485"/>
      <c r="E151" s="260">
        <f>예산!G184</f>
        <v>82728526</v>
      </c>
      <c r="F151" s="261"/>
      <c r="G151" s="262"/>
      <c r="H151" s="260">
        <f>SUM(H126:H150)</f>
        <v>82950275</v>
      </c>
      <c r="I151" s="90"/>
      <c r="J151" s="89"/>
      <c r="K151" s="91">
        <f>H151/E151</f>
        <v>1.0026804418103619</v>
      </c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69"/>
      <c r="B152" s="85" t="s">
        <v>116</v>
      </c>
      <c r="C152" s="11" t="s">
        <v>118</v>
      </c>
      <c r="D152" s="85"/>
      <c r="E152" s="86">
        <f>예산!$G188</f>
        <v>1000000</v>
      </c>
      <c r="F152" s="85"/>
      <c r="G152" s="85" t="s">
        <v>379</v>
      </c>
      <c r="H152" s="86">
        <f>예산!$G188</f>
        <v>1000000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69"/>
      <c r="B153" s="85"/>
      <c r="C153" s="11" t="s">
        <v>119</v>
      </c>
      <c r="D153" s="85"/>
      <c r="E153" s="86">
        <f>예산!$G189</f>
        <v>100000</v>
      </c>
      <c r="F153" s="85"/>
      <c r="G153" s="85" t="s">
        <v>379</v>
      </c>
      <c r="H153" s="86">
        <f>예산!$G189</f>
        <v>100000</v>
      </c>
      <c r="I153" s="87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69"/>
      <c r="B154" s="85"/>
      <c r="C154" s="26" t="s">
        <v>120</v>
      </c>
      <c r="D154" s="85"/>
      <c r="E154" s="86"/>
      <c r="F154" s="85"/>
      <c r="G154" s="85"/>
      <c r="H154" s="86"/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69"/>
      <c r="B155" s="85"/>
      <c r="C155" s="92"/>
      <c r="D155" s="85"/>
      <c r="E155" s="86"/>
      <c r="F155" s="85"/>
      <c r="G155" s="85"/>
      <c r="H155" s="86"/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69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69"/>
      <c r="B157" s="501" t="s">
        <v>21</v>
      </c>
      <c r="C157" s="484"/>
      <c r="D157" s="485"/>
      <c r="E157" s="88">
        <f>예산!G193</f>
        <v>1524100</v>
      </c>
      <c r="F157" s="94"/>
      <c r="G157" s="89"/>
      <c r="H157" s="88">
        <f>SUM(H152:H156)</f>
        <v>1100000</v>
      </c>
      <c r="I157" s="90"/>
      <c r="J157" s="89"/>
      <c r="K157" s="91">
        <f>H157/E157</f>
        <v>0.72173741880454034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69"/>
      <c r="B158" s="85" t="s">
        <v>197</v>
      </c>
      <c r="C158" s="92"/>
      <c r="D158" s="85"/>
      <c r="E158" s="86">
        <f>예산!$G197</f>
        <v>150000</v>
      </c>
      <c r="F158" s="85"/>
      <c r="G158" s="85" t="s">
        <v>235</v>
      </c>
      <c r="H158" s="86">
        <f>예산!$G197</f>
        <v>150000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69"/>
      <c r="B159" s="501" t="s">
        <v>21</v>
      </c>
      <c r="C159" s="484"/>
      <c r="D159" s="485"/>
      <c r="E159" s="88">
        <f>E158</f>
        <v>150000</v>
      </c>
      <c r="F159" s="94"/>
      <c r="G159" s="89"/>
      <c r="H159" s="88">
        <f>H158</f>
        <v>150000</v>
      </c>
      <c r="I159" s="90"/>
      <c r="J159" s="89"/>
      <c r="K159" s="91">
        <f>H159/E159</f>
        <v>1</v>
      </c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69"/>
      <c r="B160" s="85" t="s">
        <v>121</v>
      </c>
      <c r="C160" s="11" t="s">
        <v>124</v>
      </c>
      <c r="D160" s="11" t="s">
        <v>198</v>
      </c>
      <c r="E160" s="86">
        <f>예산!$G202</f>
        <v>900000</v>
      </c>
      <c r="F160" s="85"/>
      <c r="G160" s="85" t="s">
        <v>374</v>
      </c>
      <c r="H160" s="86">
        <f>예산!$G202</f>
        <v>900000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69"/>
      <c r="B161" s="85"/>
      <c r="C161" s="11" t="s">
        <v>199</v>
      </c>
      <c r="D161" s="11" t="s">
        <v>200</v>
      </c>
      <c r="E161" s="86">
        <f>예산!$G203</f>
        <v>100000</v>
      </c>
      <c r="F161" s="85"/>
      <c r="G161" s="85" t="s">
        <v>379</v>
      </c>
      <c r="H161" s="86">
        <f>예산!$G203</f>
        <v>100000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69"/>
      <c r="B162" s="85"/>
      <c r="C162" s="11" t="s">
        <v>201</v>
      </c>
      <c r="D162" s="11" t="s">
        <v>202</v>
      </c>
      <c r="E162" s="86">
        <f>예산!$G204</f>
        <v>8829000</v>
      </c>
      <c r="F162" s="85"/>
      <c r="G162" s="85" t="s">
        <v>389</v>
      </c>
      <c r="H162" s="86">
        <f>예산!$G204</f>
        <v>8829000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69"/>
      <c r="B163" s="85"/>
      <c r="C163" s="11" t="s">
        <v>203</v>
      </c>
      <c r="D163" s="11" t="s">
        <v>204</v>
      </c>
      <c r="E163" s="86">
        <f>예산!$G205</f>
        <v>1830000</v>
      </c>
      <c r="F163" s="85"/>
      <c r="G163" s="85" t="s">
        <v>374</v>
      </c>
      <c r="H163" s="86">
        <f>예산!$G205</f>
        <v>1830000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69"/>
      <c r="B164" s="85"/>
      <c r="C164" s="92"/>
      <c r="D164" s="85"/>
      <c r="E164" s="86"/>
      <c r="F164" s="85"/>
      <c r="G164" s="85"/>
      <c r="H164" s="86"/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69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69"/>
      <c r="B166" s="85"/>
      <c r="C166" s="92"/>
      <c r="D166" s="85"/>
      <c r="E166" s="86"/>
      <c r="F166" s="85"/>
      <c r="G166" s="85"/>
      <c r="H166" s="86"/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69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69"/>
      <c r="B168" s="501" t="s">
        <v>21</v>
      </c>
      <c r="C168" s="484"/>
      <c r="D168" s="485"/>
      <c r="E168" s="88">
        <f>예산!G206</f>
        <v>11659000</v>
      </c>
      <c r="F168" s="94"/>
      <c r="G168" s="89"/>
      <c r="H168" s="88">
        <f>SUM(H160:H167)</f>
        <v>11659000</v>
      </c>
      <c r="I168" s="90"/>
      <c r="J168" s="89"/>
      <c r="K168" s="91">
        <f>H168/E168</f>
        <v>1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69"/>
      <c r="B169" s="85" t="s">
        <v>270</v>
      </c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69"/>
      <c r="B170" s="85"/>
      <c r="C170" s="27" t="s">
        <v>206</v>
      </c>
      <c r="D170" s="85"/>
      <c r="E170" s="86">
        <f>예산!$G210</f>
        <v>25000</v>
      </c>
      <c r="F170" s="85"/>
      <c r="G170" s="85" t="s">
        <v>235</v>
      </c>
      <c r="H170" s="86">
        <f>예산!$G210</f>
        <v>25000</v>
      </c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69"/>
      <c r="B171" s="85"/>
      <c r="C171" s="27" t="s">
        <v>207</v>
      </c>
      <c r="D171" s="85"/>
      <c r="E171" s="86">
        <f>예산!$G211</f>
        <v>2043000</v>
      </c>
      <c r="F171" s="85"/>
      <c r="G171" s="85" t="s">
        <v>235</v>
      </c>
      <c r="H171" s="86">
        <f>예산!$G211</f>
        <v>2043000</v>
      </c>
      <c r="I171" s="87"/>
      <c r="J171" s="85"/>
      <c r="K171" s="93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69"/>
      <c r="B172" s="501" t="s">
        <v>21</v>
      </c>
      <c r="C172" s="484"/>
      <c r="D172" s="485"/>
      <c r="E172" s="88">
        <f>예산!G212</f>
        <v>2068000</v>
      </c>
      <c r="F172" s="94"/>
      <c r="G172" s="89"/>
      <c r="H172" s="88">
        <f>SUM(H169:H171)</f>
        <v>2068000</v>
      </c>
      <c r="I172" s="90"/>
      <c r="J172" s="89"/>
      <c r="K172" s="91">
        <f>H172/E172</f>
        <v>1</v>
      </c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69"/>
      <c r="B173" s="85" t="s">
        <v>208</v>
      </c>
      <c r="C173" s="11" t="s">
        <v>209</v>
      </c>
      <c r="D173" s="11" t="s">
        <v>210</v>
      </c>
      <c r="E173" s="86">
        <f>예산!$G216</f>
        <v>3430000</v>
      </c>
      <c r="F173" s="85"/>
      <c r="G173" s="85" t="s">
        <v>389</v>
      </c>
      <c r="H173" s="86">
        <f>예산!$G216</f>
        <v>3430000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69"/>
      <c r="B174" s="85"/>
      <c r="C174" s="26" t="s">
        <v>211</v>
      </c>
      <c r="D174" s="11" t="s">
        <v>212</v>
      </c>
      <c r="E174" s="86">
        <f>예산!$G217</f>
        <v>1087800</v>
      </c>
      <c r="F174" s="85"/>
      <c r="G174" s="85" t="s">
        <v>227</v>
      </c>
      <c r="H174" s="86">
        <f>예산!$G217</f>
        <v>1087800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69"/>
      <c r="B175" s="85"/>
      <c r="C175" s="92"/>
      <c r="D175" s="85"/>
      <c r="E175" s="86"/>
      <c r="F175" s="85"/>
      <c r="G175" s="85"/>
      <c r="H175" s="86"/>
      <c r="I175" s="87"/>
      <c r="J175" s="85"/>
      <c r="K175" s="93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69"/>
      <c r="B176" s="501" t="s">
        <v>21</v>
      </c>
      <c r="C176" s="484"/>
      <c r="D176" s="485"/>
      <c r="E176" s="88">
        <f>예산!G218</f>
        <v>4517800</v>
      </c>
      <c r="F176" s="94"/>
      <c r="G176" s="89"/>
      <c r="H176" s="88">
        <f>SUM(H173:H175)</f>
        <v>4517800</v>
      </c>
      <c r="I176" s="90"/>
      <c r="J176" s="89"/>
      <c r="K176" s="91">
        <f>H176/E176</f>
        <v>1</v>
      </c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69"/>
      <c r="B177" s="85" t="s">
        <v>135</v>
      </c>
      <c r="C177" s="92" t="s">
        <v>281</v>
      </c>
      <c r="D177" s="85"/>
      <c r="E177" s="86">
        <f>예산!$G222</f>
        <v>151120240</v>
      </c>
      <c r="F177" s="85"/>
      <c r="G177" s="85" t="s">
        <v>228</v>
      </c>
      <c r="H177" s="86">
        <f>예산!$G222</f>
        <v>151120240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69"/>
      <c r="B178" s="85"/>
      <c r="C178" s="92" t="s">
        <v>282</v>
      </c>
      <c r="D178" s="85"/>
      <c r="E178" s="86">
        <f>예산!$G223</f>
        <v>186772440</v>
      </c>
      <c r="F178" s="85"/>
      <c r="G178" s="85" t="s">
        <v>380</v>
      </c>
      <c r="H178" s="86">
        <f>예산!$G223</f>
        <v>186772440</v>
      </c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69"/>
      <c r="B179" s="85"/>
      <c r="C179" s="92" t="s">
        <v>158</v>
      </c>
      <c r="D179" s="85"/>
      <c r="E179" s="86">
        <f>예산!$G224</f>
        <v>12743500</v>
      </c>
      <c r="F179" s="85"/>
      <c r="G179" s="85" t="s">
        <v>226</v>
      </c>
      <c r="H179" s="86">
        <f>예산!$G224</f>
        <v>12743500</v>
      </c>
      <c r="I179" s="87"/>
      <c r="J179" s="85"/>
      <c r="K179" s="93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69"/>
      <c r="B180" s="501" t="s">
        <v>21</v>
      </c>
      <c r="C180" s="484"/>
      <c r="D180" s="485"/>
      <c r="E180" s="88">
        <f>예산!G227</f>
        <v>350636180</v>
      </c>
      <c r="F180" s="94"/>
      <c r="G180" s="89"/>
      <c r="H180" s="88">
        <f>SUM(H177:H179)</f>
        <v>350636180</v>
      </c>
      <c r="I180" s="90"/>
      <c r="J180" s="89"/>
      <c r="K180" s="91">
        <f>H180/E180</f>
        <v>1</v>
      </c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69"/>
      <c r="B181" s="85" t="s">
        <v>143</v>
      </c>
      <c r="C181" s="92" t="s">
        <v>219</v>
      </c>
      <c r="D181" s="85"/>
      <c r="E181" s="86"/>
      <c r="F181" s="85"/>
      <c r="G181" s="85" t="s">
        <v>228</v>
      </c>
      <c r="H181" s="86">
        <f>SUM(예산!$G$241:$G$244)</f>
        <v>3600000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69"/>
      <c r="B182" s="85"/>
      <c r="C182" s="11" t="s">
        <v>216</v>
      </c>
      <c r="D182" s="18" t="s">
        <v>217</v>
      </c>
      <c r="E182" s="86"/>
      <c r="F182" s="85"/>
      <c r="G182" s="85" t="s">
        <v>228</v>
      </c>
      <c r="H182" s="86">
        <f>SUM(예산!$G$237:$G$240)</f>
        <v>1000000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69"/>
      <c r="B183" s="85"/>
      <c r="C183" s="11" t="s">
        <v>438</v>
      </c>
      <c r="D183" s="18" t="s">
        <v>218</v>
      </c>
      <c r="E183" s="86"/>
      <c r="F183" s="85"/>
      <c r="G183" s="85" t="s">
        <v>228</v>
      </c>
      <c r="H183" s="86">
        <f>SUM(예산!G245)</f>
        <v>2700000</v>
      </c>
      <c r="I183" s="87"/>
      <c r="J183" s="85"/>
      <c r="K183" s="93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69"/>
      <c r="B184" s="85"/>
      <c r="C184" s="92" t="s">
        <v>518</v>
      </c>
      <c r="D184" s="85" t="s">
        <v>523</v>
      </c>
      <c r="E184" s="86">
        <f>예산!G250</f>
        <v>11400000</v>
      </c>
      <c r="F184" s="85"/>
      <c r="G184" s="85" t="s">
        <v>379</v>
      </c>
      <c r="H184" s="86">
        <f>E184</f>
        <v>11400000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71"/>
      <c r="B185" s="501" t="s">
        <v>21</v>
      </c>
      <c r="C185" s="484"/>
      <c r="D185" s="485"/>
      <c r="E185" s="88">
        <f>예산!G251</f>
        <v>18700000</v>
      </c>
      <c r="F185" s="94"/>
      <c r="G185" s="89"/>
      <c r="H185" s="95">
        <f>SUM(H181:H184)</f>
        <v>18700000</v>
      </c>
      <c r="I185" s="90"/>
      <c r="J185" s="89"/>
      <c r="K185" s="91">
        <f>H185/E185</f>
        <v>1</v>
      </c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02" t="s">
        <v>271</v>
      </c>
      <c r="B186" s="503"/>
      <c r="C186" s="96">
        <f>예산!G129</f>
        <v>1157914074</v>
      </c>
      <c r="D186" s="107"/>
      <c r="E186" s="108">
        <f>SUM(E185,E176,E172,E168,E159,E157,E151,E125,E123,E114,E180)</f>
        <v>1157914074</v>
      </c>
      <c r="F186" s="109">
        <f>SUM(E185,E180,E176,E172,E168,E159,E157,E151,E123,E125)</f>
        <v>474914074</v>
      </c>
      <c r="G186" s="110"/>
      <c r="H186" s="101">
        <f>SUM(H185,H180,H176,H172,H168,H159,H157,H151,H125,H123,H114)</f>
        <v>1154988189</v>
      </c>
      <c r="I186" s="499"/>
      <c r="J186" s="500"/>
      <c r="K186" s="102">
        <f t="shared" ref="K186:K187" si="16">H186/C186</f>
        <v>0.99747314151740762</v>
      </c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111" t="s">
        <v>272</v>
      </c>
      <c r="B187" s="112"/>
      <c r="C187" s="113">
        <f>SUM(C186,C68,C48,C31,C18)</f>
        <v>2917609722.4000001</v>
      </c>
      <c r="D187" s="112"/>
      <c r="E187" s="114"/>
      <c r="F187" s="112"/>
      <c r="G187" s="112"/>
      <c r="H187" s="115">
        <f>SUM(H186,H68,H48,H31,H18)</f>
        <v>2881049837.4000001</v>
      </c>
      <c r="I187" s="116"/>
      <c r="J187" s="112"/>
      <c r="K187" s="117">
        <f t="shared" si="16"/>
        <v>0.98746923390085017</v>
      </c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</sheetData>
  <mergeCells count="66"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B69:B88"/>
    <mergeCell ref="C84:C88"/>
    <mergeCell ref="C70:C78"/>
    <mergeCell ref="B185:D185"/>
    <mergeCell ref="B157:D157"/>
    <mergeCell ref="B151:D151"/>
    <mergeCell ref="B108:B113"/>
    <mergeCell ref="B104:B107"/>
    <mergeCell ref="C79:C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I186:J186"/>
    <mergeCell ref="B176:D176"/>
    <mergeCell ref="A186:B186"/>
    <mergeCell ref="A68:B68"/>
    <mergeCell ref="I68:J68"/>
    <mergeCell ref="B89:B91"/>
    <mergeCell ref="B172:D172"/>
    <mergeCell ref="B114:D114"/>
    <mergeCell ref="B123:D123"/>
    <mergeCell ref="B125:D125"/>
    <mergeCell ref="B159:D159"/>
    <mergeCell ref="B168:D168"/>
    <mergeCell ref="C93:C98"/>
    <mergeCell ref="A69:A185"/>
    <mergeCell ref="B99:B103"/>
    <mergeCell ref="B180:D180"/>
  </mergeCells>
  <phoneticPr fontId="27" type="noConversion"/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67" t="s">
        <v>287</v>
      </c>
      <c r="B1" s="568"/>
      <c r="C1" s="568"/>
      <c r="D1" s="568"/>
      <c r="E1" s="568"/>
      <c r="F1" s="568"/>
      <c r="G1" s="568"/>
      <c r="H1" s="568"/>
      <c r="I1" s="568"/>
      <c r="J1" s="568"/>
      <c r="K1" s="568"/>
    </row>
    <row r="2" spans="1:15" ht="17.25" customHeight="1">
      <c r="A2" s="569" t="s">
        <v>288</v>
      </c>
      <c r="B2" s="572" t="s">
        <v>289</v>
      </c>
      <c r="C2" s="573"/>
      <c r="D2" s="573"/>
      <c r="E2" s="573"/>
      <c r="F2" s="573"/>
      <c r="G2" s="574"/>
      <c r="H2" s="129" t="s">
        <v>290</v>
      </c>
      <c r="I2" s="576" t="s">
        <v>291</v>
      </c>
      <c r="J2" s="573"/>
      <c r="K2" s="577"/>
      <c r="M2" s="130"/>
    </row>
    <row r="3" spans="1:15" ht="16.5" customHeight="1">
      <c r="A3" s="570"/>
      <c r="B3" s="482"/>
      <c r="C3" s="575"/>
      <c r="D3" s="575"/>
      <c r="E3" s="575"/>
      <c r="F3" s="575"/>
      <c r="G3" s="561"/>
      <c r="H3" s="131" t="s">
        <v>292</v>
      </c>
      <c r="I3" s="482"/>
      <c r="J3" s="575"/>
      <c r="K3" s="578"/>
      <c r="M3" s="579" t="s">
        <v>293</v>
      </c>
    </row>
    <row r="4" spans="1:15" ht="16.5" customHeight="1">
      <c r="A4" s="570"/>
      <c r="B4" s="132" t="s">
        <v>294</v>
      </c>
      <c r="C4" s="580" t="s">
        <v>295</v>
      </c>
      <c r="D4" s="133" t="s">
        <v>296</v>
      </c>
      <c r="E4" s="580" t="s">
        <v>295</v>
      </c>
      <c r="F4" s="133" t="s">
        <v>297</v>
      </c>
      <c r="G4" s="133" t="s">
        <v>298</v>
      </c>
      <c r="H4" s="131" t="s">
        <v>299</v>
      </c>
      <c r="I4" s="134" t="s">
        <v>300</v>
      </c>
      <c r="J4" s="134" t="s">
        <v>301</v>
      </c>
      <c r="K4" s="135" t="s">
        <v>21</v>
      </c>
      <c r="M4" s="477"/>
    </row>
    <row r="5" spans="1:15" ht="16.5" customHeight="1">
      <c r="A5" s="571"/>
      <c r="B5" s="136" t="s">
        <v>302</v>
      </c>
      <c r="C5" s="471"/>
      <c r="D5" s="137" t="s">
        <v>303</v>
      </c>
      <c r="E5" s="471"/>
      <c r="F5" s="137" t="s">
        <v>304</v>
      </c>
      <c r="G5" s="137" t="s">
        <v>305</v>
      </c>
      <c r="H5" s="138"/>
      <c r="I5" s="139" t="s">
        <v>306</v>
      </c>
      <c r="J5" s="139" t="s">
        <v>307</v>
      </c>
      <c r="K5" s="140" t="s">
        <v>308</v>
      </c>
      <c r="M5" s="477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95.507754931457228</v>
      </c>
      <c r="I6" s="147"/>
      <c r="J6" s="148" t="s">
        <v>309</v>
      </c>
      <c r="K6" s="149"/>
      <c r="M6" s="477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5.9399776226571426</v>
      </c>
      <c r="I7" s="153"/>
      <c r="J7" s="148" t="s">
        <v>309</v>
      </c>
      <c r="K7" s="154"/>
      <c r="M7" s="477"/>
    </row>
    <row r="8" spans="1:15" ht="16.5" customHeight="1">
      <c r="A8" s="150" t="s">
        <v>240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5.7358704892406136</v>
      </c>
      <c r="I8" s="153"/>
      <c r="J8" s="148" t="s">
        <v>309</v>
      </c>
      <c r="K8" s="154"/>
    </row>
    <row r="9" spans="1:15" ht="16.5" customHeight="1">
      <c r="A9" s="150" t="s">
        <v>310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1250.3573899999999</v>
      </c>
      <c r="G9" s="152">
        <f t="shared" si="0"/>
        <v>1250.3573899999999</v>
      </c>
      <c r="H9" s="146">
        <f t="shared" si="1"/>
        <v>49.926906971529313</v>
      </c>
      <c r="I9" s="153"/>
      <c r="J9" s="148" t="s">
        <v>309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2.7840879233080957</v>
      </c>
      <c r="I10" s="153"/>
      <c r="J10" s="148" t="s">
        <v>309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1157.914074</v>
      </c>
      <c r="G11" s="158">
        <f t="shared" si="0"/>
        <v>1157.914074</v>
      </c>
      <c r="H11" s="146">
        <f t="shared" si="1"/>
        <v>30.586451178732897</v>
      </c>
      <c r="I11" s="159"/>
      <c r="J11" s="148" t="s">
        <v>309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2917.6097224</v>
      </c>
      <c r="G12" s="165">
        <f t="shared" si="2"/>
        <v>2917.6097224</v>
      </c>
      <c r="H12" s="166">
        <f t="shared" si="2"/>
        <v>94.973294185468063</v>
      </c>
      <c r="I12" s="167"/>
      <c r="J12" s="168" t="s">
        <v>309</v>
      </c>
      <c r="K12" s="169"/>
      <c r="O12" s="151">
        <v>49.97</v>
      </c>
    </row>
    <row r="13" spans="1:15" ht="16.5" customHeight="1">
      <c r="A13" s="141" t="s">
        <v>311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예산!C254/1000000</f>
        <v>155.6</v>
      </c>
      <c r="G13" s="171">
        <f t="shared" ref="G13:G14" si="3">F13</f>
        <v>155.6</v>
      </c>
      <c r="H13" s="146">
        <f>(SUM(B13,D13,F13,G13) / $C$17)*100</f>
        <v>5.0267058145319563</v>
      </c>
      <c r="I13" s="172"/>
      <c r="J13" s="173" t="s">
        <v>309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5.0267058145319563</v>
      </c>
      <c r="I14" s="167"/>
      <c r="J14" s="168" t="s">
        <v>309</v>
      </c>
      <c r="K14" s="169"/>
      <c r="O14" s="157">
        <v>30.58</v>
      </c>
    </row>
    <row r="15" spans="1:15" ht="16.5" customHeight="1">
      <c r="A15" s="175" t="s">
        <v>312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3073.2097223999999</v>
      </c>
      <c r="G15" s="179">
        <f t="shared" si="4"/>
        <v>3073.2097223999999</v>
      </c>
      <c r="H15" s="180">
        <f t="shared" si="4"/>
        <v>100.00000000000001</v>
      </c>
      <c r="I15" s="181"/>
      <c r="J15" s="182" t="s">
        <v>309</v>
      </c>
      <c r="K15" s="183"/>
    </row>
    <row r="16" spans="1:15" ht="16.5" customHeight="1">
      <c r="A16" s="184" t="s">
        <v>313</v>
      </c>
    </row>
    <row r="17" spans="1:26" ht="16.5" customHeight="1">
      <c r="A17" s="555" t="s">
        <v>314</v>
      </c>
      <c r="B17" s="477"/>
      <c r="C17" s="556">
        <f>SUM(B15,D15,F15,G15)</f>
        <v>14515.669444799998</v>
      </c>
      <c r="D17" s="477"/>
      <c r="E17" s="477"/>
      <c r="F17" s="477"/>
      <c r="G17" s="477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559" t="s">
        <v>8</v>
      </c>
      <c r="B20" s="560"/>
      <c r="C20" s="557" t="s">
        <v>315</v>
      </c>
      <c r="D20" s="557" t="s">
        <v>316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482"/>
      <c r="B21" s="561"/>
      <c r="C21" s="471"/>
      <c r="D21" s="471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554">
        <f>SUM(C22:D28)</f>
        <v>104005000</v>
      </c>
      <c r="H22" s="554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477"/>
      <c r="H23" s="477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557" t="s">
        <v>84</v>
      </c>
      <c r="B24" s="557" t="s">
        <v>317</v>
      </c>
      <c r="C24" s="565">
        <v>39000000</v>
      </c>
      <c r="D24" s="566"/>
      <c r="E24" s="186">
        <f t="shared" si="5"/>
        <v>39000000</v>
      </c>
      <c r="F24" s="554">
        <f>SUM(E24:E28)</f>
        <v>89205000</v>
      </c>
      <c r="G24" s="477"/>
      <c r="H24" s="477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69"/>
      <c r="B25" s="471"/>
      <c r="C25" s="471"/>
      <c r="D25" s="471"/>
      <c r="E25" s="186">
        <f t="shared" si="5"/>
        <v>0</v>
      </c>
      <c r="F25" s="477"/>
      <c r="G25" s="477"/>
      <c r="H25" s="477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69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477"/>
      <c r="G26" s="477"/>
      <c r="H26" s="477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69"/>
      <c r="B27" s="187" t="s">
        <v>208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477"/>
      <c r="G27" s="477"/>
      <c r="H27" s="477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71"/>
      <c r="B28" s="187" t="s">
        <v>178</v>
      </c>
      <c r="C28" s="188">
        <v>6000000</v>
      </c>
      <c r="D28" s="189"/>
      <c r="E28" s="186">
        <f t="shared" si="5"/>
        <v>6000000</v>
      </c>
      <c r="F28" s="477"/>
      <c r="G28" s="477"/>
      <c r="H28" s="477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558" t="s">
        <v>311</v>
      </c>
      <c r="B29" s="485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477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554" t="s">
        <v>22</v>
      </c>
      <c r="B31" s="477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562" t="s">
        <v>318</v>
      </c>
      <c r="B32" s="477"/>
      <c r="C32" s="194">
        <v>61800000</v>
      </c>
      <c r="D32" s="195">
        <f>37500000+13330000</f>
        <v>50830000</v>
      </c>
      <c r="E32" s="563" t="s">
        <v>319</v>
      </c>
      <c r="F32" s="477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564" t="s">
        <v>320</v>
      </c>
      <c r="B36" s="477"/>
      <c r="C36" s="477"/>
      <c r="D36" s="477"/>
      <c r="E36" s="477"/>
      <c r="F36" s="477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A1:K1"/>
    <mergeCell ref="A2:A5"/>
    <mergeCell ref="B2:G3"/>
    <mergeCell ref="I2:K3"/>
    <mergeCell ref="M3:M7"/>
    <mergeCell ref="C4:C5"/>
    <mergeCell ref="E4:E5"/>
    <mergeCell ref="A31:B31"/>
    <mergeCell ref="A32:B32"/>
    <mergeCell ref="E32:F32"/>
    <mergeCell ref="A36:F36"/>
    <mergeCell ref="A24:A28"/>
    <mergeCell ref="B24:B25"/>
    <mergeCell ref="C24:C25"/>
    <mergeCell ref="D24:D25"/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</mergeCells>
  <phoneticPr fontId="27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67" t="s">
        <v>321</v>
      </c>
      <c r="B1" s="568"/>
      <c r="C1" s="568"/>
      <c r="D1" s="568"/>
      <c r="E1" s="568"/>
      <c r="F1" s="568"/>
      <c r="G1" s="568"/>
      <c r="H1" s="568"/>
    </row>
    <row r="2" spans="1:8" ht="24.75" customHeight="1">
      <c r="A2" s="591" t="s">
        <v>288</v>
      </c>
      <c r="B2" s="574"/>
      <c r="C2" s="593" t="s">
        <v>322</v>
      </c>
      <c r="D2" s="129" t="s">
        <v>292</v>
      </c>
      <c r="E2" s="594" t="s">
        <v>295</v>
      </c>
      <c r="F2" s="595" t="s">
        <v>291</v>
      </c>
      <c r="G2" s="596"/>
      <c r="H2" s="597"/>
    </row>
    <row r="3" spans="1:8" ht="24.75" customHeight="1">
      <c r="A3" s="592"/>
      <c r="B3" s="561"/>
      <c r="C3" s="471"/>
      <c r="D3" s="137" t="s">
        <v>299</v>
      </c>
      <c r="E3" s="471"/>
      <c r="F3" s="196" t="s">
        <v>323</v>
      </c>
      <c r="G3" s="196" t="s">
        <v>324</v>
      </c>
      <c r="H3" s="197" t="s">
        <v>325</v>
      </c>
    </row>
    <row r="4" spans="1:8" ht="24.75" customHeight="1">
      <c r="A4" s="590" t="s">
        <v>7</v>
      </c>
      <c r="B4" s="170" t="s">
        <v>326</v>
      </c>
      <c r="C4" s="171">
        <f>예산!G14/1000000</f>
        <v>121.1387584</v>
      </c>
      <c r="D4" s="198">
        <f t="shared" ref="D4:D5" si="0">(C4/$C$27)*100</f>
        <v>3.9417667306283799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71"/>
      <c r="B5" s="170" t="s">
        <v>26</v>
      </c>
      <c r="C5" s="171">
        <f>예산!G19/1000000</f>
        <v>93.36</v>
      </c>
      <c r="D5" s="198">
        <f t="shared" si="0"/>
        <v>3.0378662191362324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582" t="s">
        <v>21</v>
      </c>
      <c r="B6" s="485"/>
      <c r="C6" s="165">
        <f>SUM(C4,C5)</f>
        <v>214.49875839999999</v>
      </c>
      <c r="D6" s="199">
        <f t="shared" ref="D6:F6" si="1">SUM(D4:D5)</f>
        <v>6.9796329497646123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240</v>
      </c>
      <c r="C7" s="171">
        <f>예산!G64/1000000</f>
        <v>186.8</v>
      </c>
      <c r="D7" s="202">
        <f>(C7/$C$27)*100</f>
        <v>6.0783355798484182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582" t="s">
        <v>21</v>
      </c>
      <c r="B8" s="485"/>
      <c r="C8" s="165">
        <f t="shared" ref="C8:D8" si="2">SUM(C7)</f>
        <v>186.8</v>
      </c>
      <c r="D8" s="199">
        <f t="shared" si="2"/>
        <v>6.0783355798484182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590" t="s">
        <v>327</v>
      </c>
      <c r="B9" s="201" t="s">
        <v>32</v>
      </c>
      <c r="C9" s="171">
        <f>예산!G82/1000000</f>
        <v>1248.3573899999999</v>
      </c>
      <c r="D9" s="202">
        <f t="shared" ref="D9:D23" si="3">(C9/$C$27)*100</f>
        <v>40.620637794452392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71"/>
      <c r="B10" s="170" t="s">
        <v>56</v>
      </c>
      <c r="C10" s="171">
        <f>예산!G90/1000000</f>
        <v>2</v>
      </c>
      <c r="D10" s="198">
        <f t="shared" si="3"/>
        <v>6.5078539398805313E-2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276</v>
      </c>
      <c r="B11" s="201" t="s">
        <v>73</v>
      </c>
      <c r="C11" s="171">
        <f>예산!G126/1000000</f>
        <v>108.0395</v>
      </c>
      <c r="D11" s="202">
        <f t="shared" si="3"/>
        <v>3.5155264286886139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590" t="s">
        <v>328</v>
      </c>
      <c r="B12" s="170" t="s">
        <v>86</v>
      </c>
      <c r="C12" s="171">
        <f>예산!G141/1000000</f>
        <v>683</v>
      </c>
      <c r="D12" s="198">
        <f t="shared" si="3"/>
        <v>22.224321204692018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70"/>
      <c r="B13" s="170" t="s">
        <v>94</v>
      </c>
      <c r="C13" s="171">
        <f>예산!G154/1000000</f>
        <v>2.9304679999999999</v>
      </c>
      <c r="D13" s="198">
        <f t="shared" si="3"/>
        <v>9.5355288597469112E-2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70"/>
      <c r="B14" s="170" t="s">
        <v>178</v>
      </c>
      <c r="C14" s="171">
        <f>예산!G159/1000000</f>
        <v>0</v>
      </c>
      <c r="D14" s="198">
        <f t="shared" si="3"/>
        <v>0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70"/>
      <c r="B15" s="170" t="s">
        <v>100</v>
      </c>
      <c r="C15" s="171">
        <f>예산!G184/1000000</f>
        <v>82.728526000000002</v>
      </c>
      <c r="D15" s="198">
        <f t="shared" si="3"/>
        <v>2.6919258193480458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70"/>
      <c r="B16" s="170" t="s">
        <v>105</v>
      </c>
      <c r="C16" s="171">
        <f>예산!G233/1000000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70"/>
      <c r="B17" s="170" t="s">
        <v>116</v>
      </c>
      <c r="C17" s="171">
        <f>예산!G193/1000000</f>
        <v>1.5241</v>
      </c>
      <c r="D17" s="198">
        <f t="shared" si="3"/>
        <v>4.9593100948859603E-2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70"/>
      <c r="B18" s="170" t="s">
        <v>197</v>
      </c>
      <c r="C18" s="171">
        <f>예산!G198/1000000</f>
        <v>0.15</v>
      </c>
      <c r="D18" s="198">
        <f t="shared" si="3"/>
        <v>4.880890454910399E-3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70"/>
      <c r="B19" s="170" t="s">
        <v>121</v>
      </c>
      <c r="C19" s="171">
        <f>예산!G206/1000000</f>
        <v>11.659000000000001</v>
      </c>
      <c r="D19" s="198">
        <f t="shared" si="3"/>
        <v>0.37937534542533569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70"/>
      <c r="B20" s="170" t="s">
        <v>329</v>
      </c>
      <c r="C20" s="171">
        <f>예산!G212/1000000</f>
        <v>2.0680000000000001</v>
      </c>
      <c r="D20" s="198">
        <f t="shared" si="3"/>
        <v>6.7291209738364707E-2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70"/>
      <c r="B21" s="170" t="s">
        <v>135</v>
      </c>
      <c r="C21" s="171">
        <f>예산!G227/1000000</f>
        <v>350.63618000000002</v>
      </c>
      <c r="D21" s="198">
        <f t="shared" si="3"/>
        <v>11.409445227388298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70"/>
      <c r="B22" s="170" t="s">
        <v>208</v>
      </c>
      <c r="C22" s="171">
        <f>예산!G218/1000000</f>
        <v>4.5178000000000003</v>
      </c>
      <c r="D22" s="198">
        <f t="shared" si="3"/>
        <v>0.14700591264796137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71"/>
      <c r="B23" s="170" t="s">
        <v>143</v>
      </c>
      <c r="C23" s="171">
        <f>예산!G251/1000000</f>
        <v>18.7</v>
      </c>
      <c r="D23" s="198">
        <f t="shared" si="3"/>
        <v>0.60848434337882973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582" t="s">
        <v>21</v>
      </c>
      <c r="B24" s="485"/>
      <c r="C24" s="165">
        <f t="shared" ref="C24:F24" si="4">SUM(C9:C23)</f>
        <v>2516.3109640000002</v>
      </c>
      <c r="D24" s="199">
        <f t="shared" si="4"/>
        <v>81.878921105159904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583" t="s">
        <v>311</v>
      </c>
      <c r="B25" s="485"/>
      <c r="C25" s="171">
        <f>예산!C254/1000000</f>
        <v>155.6</v>
      </c>
      <c r="D25" s="198">
        <f>(C25/$C$27)*100</f>
        <v>5.0631103652270539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582" t="s">
        <v>21</v>
      </c>
      <c r="B26" s="485"/>
      <c r="C26" s="165">
        <f t="shared" ref="C26:D26" si="5">SUM(C25)</f>
        <v>155.6</v>
      </c>
      <c r="D26" s="199">
        <f t="shared" si="5"/>
        <v>5.0631103652270539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584" t="s">
        <v>312</v>
      </c>
      <c r="B27" s="585"/>
      <c r="C27" s="179">
        <f t="shared" ref="C27:D27" si="6">SUM(C6,C8,C24,C26)</f>
        <v>3073.2097224000004</v>
      </c>
      <c r="D27" s="205">
        <f t="shared" si="6"/>
        <v>100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313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581" t="s">
        <v>8</v>
      </c>
      <c r="B30" s="485"/>
      <c r="C30" s="207" t="s">
        <v>330</v>
      </c>
      <c r="D30" s="207" t="s">
        <v>331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555">
        <f>SUM(E31:E37)</f>
        <v>88875000</v>
      </c>
    </row>
    <row r="32" spans="1:8" ht="54.75" customHeight="1">
      <c r="A32" s="586" t="s">
        <v>31</v>
      </c>
      <c r="B32" s="587"/>
      <c r="C32" s="588">
        <v>2000000</v>
      </c>
      <c r="D32" s="588">
        <v>0</v>
      </c>
      <c r="E32" s="589">
        <f>SUM(C32:D33)</f>
        <v>2000000</v>
      </c>
      <c r="G32" s="477"/>
    </row>
    <row r="33" spans="1:7" ht="16.5" customHeight="1">
      <c r="A33" s="471"/>
      <c r="B33" s="471"/>
      <c r="C33" s="471"/>
      <c r="D33" s="471"/>
      <c r="E33" s="479"/>
      <c r="G33" s="477"/>
    </row>
    <row r="34" spans="1:7" ht="16.5" customHeight="1">
      <c r="A34" s="586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555">
        <f>SUM(E34:E37)</f>
        <v>74875000</v>
      </c>
      <c r="G34" s="477"/>
    </row>
    <row r="35" spans="1:7" ht="16.5" customHeight="1">
      <c r="A35" s="469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477"/>
      <c r="G35" s="477"/>
    </row>
    <row r="36" spans="1:7" ht="16.5" customHeight="1">
      <c r="A36" s="469"/>
      <c r="B36" s="208" t="s">
        <v>208</v>
      </c>
      <c r="C36" s="210">
        <v>1000000</v>
      </c>
      <c r="D36" s="210">
        <v>17000000</v>
      </c>
      <c r="E36" s="63">
        <f t="shared" si="7"/>
        <v>18000000</v>
      </c>
      <c r="F36" s="477"/>
      <c r="G36" s="477"/>
    </row>
    <row r="37" spans="1:7" ht="16.5" customHeight="1">
      <c r="A37" s="471"/>
      <c r="B37" s="208" t="s">
        <v>178</v>
      </c>
      <c r="C37" s="210">
        <v>4500000</v>
      </c>
      <c r="D37" s="210">
        <v>0</v>
      </c>
      <c r="E37" s="63">
        <f t="shared" si="7"/>
        <v>4500000</v>
      </c>
      <c r="F37" s="477"/>
      <c r="G37" s="477"/>
    </row>
    <row r="38" spans="1:7" ht="16.5" customHeight="1">
      <c r="A38" s="581" t="s">
        <v>311</v>
      </c>
      <c r="B38" s="485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1:H1"/>
    <mergeCell ref="A2:B3"/>
    <mergeCell ref="C2:C3"/>
    <mergeCell ref="E2:E3"/>
    <mergeCell ref="F2:H2"/>
    <mergeCell ref="A4:A5"/>
    <mergeCell ref="A6:B6"/>
    <mergeCell ref="A8:B8"/>
    <mergeCell ref="A9:A10"/>
    <mergeCell ref="A12:A23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38:B38"/>
    <mergeCell ref="A24:B24"/>
    <mergeCell ref="A25:B25"/>
    <mergeCell ref="A26:B26"/>
    <mergeCell ref="A27:B27"/>
  </mergeCells>
  <phoneticPr fontId="27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20"/>
  <sheetViews>
    <sheetView workbookViewId="0">
      <pane ySplit="3" topLeftCell="A4" activePane="bottomLeft" state="frozen"/>
      <selection pane="bottomLeft" activeCell="H15" sqref="H15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48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04" t="s">
        <v>411</v>
      </c>
      <c r="B1" s="477"/>
      <c r="C1" s="477"/>
      <c r="D1" s="477"/>
      <c r="E1" s="477"/>
      <c r="F1" s="477"/>
      <c r="G1" s="477"/>
      <c r="H1" s="477"/>
      <c r="I1" s="477"/>
      <c r="J1" s="477"/>
      <c r="K1" s="47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223</v>
      </c>
      <c r="AD1" s="64" t="s">
        <v>224</v>
      </c>
      <c r="AE1" s="64" t="s">
        <v>225</v>
      </c>
      <c r="AF1" s="64" t="s">
        <v>226</v>
      </c>
      <c r="AG1" s="64" t="s">
        <v>227</v>
      </c>
      <c r="AH1" s="64" t="s">
        <v>228</v>
      </c>
      <c r="AI1" s="64" t="s">
        <v>229</v>
      </c>
      <c r="AJ1" s="64" t="s">
        <v>230</v>
      </c>
      <c r="AK1" s="64" t="s">
        <v>231</v>
      </c>
      <c r="AL1" s="64" t="s">
        <v>232</v>
      </c>
      <c r="AM1" s="64" t="s">
        <v>233</v>
      </c>
      <c r="AN1" s="64" t="s">
        <v>234</v>
      </c>
      <c r="AO1" s="64" t="s">
        <v>235</v>
      </c>
      <c r="AP1" s="64" t="s">
        <v>236</v>
      </c>
      <c r="AQ1" s="64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6" t="s">
        <v>7</v>
      </c>
      <c r="Q2" s="485"/>
      <c r="R2" s="536" t="s">
        <v>240</v>
      </c>
      <c r="S2" s="485"/>
      <c r="T2" s="536" t="s">
        <v>31</v>
      </c>
      <c r="U2" s="485"/>
      <c r="V2" s="536" t="s">
        <v>72</v>
      </c>
      <c r="W2" s="485"/>
      <c r="X2" s="536" t="s">
        <v>84</v>
      </c>
      <c r="Y2" s="485"/>
      <c r="Z2" s="536" t="s">
        <v>241</v>
      </c>
      <c r="AA2" s="485"/>
      <c r="AD2" s="70">
        <f t="shared" ref="AD2:AO2" si="0">SUMIF($G4:$G168, AD1, $H4:$H168)</f>
        <v>14600000</v>
      </c>
      <c r="AE2" s="70">
        <f t="shared" si="0"/>
        <v>17381628</v>
      </c>
      <c r="AF2" s="70">
        <f t="shared" si="0"/>
        <v>75237443</v>
      </c>
      <c r="AG2" s="70">
        <f t="shared" si="0"/>
        <v>31017560</v>
      </c>
      <c r="AH2" s="70">
        <f t="shared" si="0"/>
        <v>425800124.92500001</v>
      </c>
      <c r="AI2" s="70">
        <f t="shared" si="0"/>
        <v>34766221.924999997</v>
      </c>
      <c r="AJ2" s="70">
        <f t="shared" si="0"/>
        <v>294111523.92500001</v>
      </c>
      <c r="AK2" s="70">
        <f t="shared" si="0"/>
        <v>864580663.92499995</v>
      </c>
      <c r="AL2" s="70">
        <f t="shared" si="0"/>
        <v>63120574.924999997</v>
      </c>
      <c r="AM2" s="70">
        <f t="shared" si="0"/>
        <v>45661768.924999997</v>
      </c>
      <c r="AN2" s="70">
        <f t="shared" si="0"/>
        <v>139065083.92500001</v>
      </c>
      <c r="AO2" s="70">
        <f t="shared" si="0"/>
        <v>673863083.92499995</v>
      </c>
      <c r="AP2" s="70">
        <f>SUM(AD2:AO2)</f>
        <v>2679205677.3999996</v>
      </c>
      <c r="AQ2" s="71">
        <f>$A$2-$AP$2</f>
        <v>277194322.60000038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51" t="s">
        <v>244</v>
      </c>
      <c r="E3" s="552"/>
      <c r="F3" s="553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179000000</v>
      </c>
      <c r="S3" s="81">
        <f>K31</f>
        <v>0.95824411134903642</v>
      </c>
      <c r="T3" s="80">
        <f>H46</f>
        <v>1229537390</v>
      </c>
      <c r="U3" s="81">
        <f>K46</f>
        <v>0.98334876078910527</v>
      </c>
      <c r="V3" s="80">
        <f>H66</f>
        <v>73075500</v>
      </c>
      <c r="W3" s="81">
        <f>K66</f>
        <v>0.67637762114782096</v>
      </c>
      <c r="X3" s="80">
        <f>H143</f>
        <v>8829000</v>
      </c>
      <c r="Y3" s="81">
        <f>K143</f>
        <v>0</v>
      </c>
      <c r="Z3" s="82">
        <f>H144</f>
        <v>1830000</v>
      </c>
      <c r="AA3" s="83">
        <f>K144</f>
        <v>0</v>
      </c>
      <c r="AD3" s="84">
        <f t="shared" ref="AD3:AQ3" si="1">AD2/$A$2</f>
        <v>4.9384386415911247E-3</v>
      </c>
      <c r="AE3" s="84">
        <f t="shared" si="1"/>
        <v>5.8793221485590585E-3</v>
      </c>
      <c r="AF3" s="84">
        <f t="shared" si="1"/>
        <v>2.5449006562034908E-2</v>
      </c>
      <c r="AG3" s="84">
        <f t="shared" si="1"/>
        <v>1.049166553916926E-2</v>
      </c>
      <c r="AH3" s="84">
        <f t="shared" si="1"/>
        <v>0.14402656099479097</v>
      </c>
      <c r="AI3" s="84">
        <f t="shared" si="1"/>
        <v>1.1759647518941955E-2</v>
      </c>
      <c r="AJ3" s="84">
        <f t="shared" si="1"/>
        <v>9.9482994156744692E-2</v>
      </c>
      <c r="AK3" s="84">
        <f t="shared" si="1"/>
        <v>0.29244373695203624</v>
      </c>
      <c r="AL3" s="84">
        <f t="shared" si="1"/>
        <v>2.1350485362264915E-2</v>
      </c>
      <c r="AM3" s="84">
        <f t="shared" si="1"/>
        <v>1.5445057815248273E-2</v>
      </c>
      <c r="AN3" s="84">
        <f t="shared" si="1"/>
        <v>4.7038656448721419E-2</v>
      </c>
      <c r="AO3" s="84">
        <f t="shared" si="1"/>
        <v>0.22793366389020428</v>
      </c>
      <c r="AP3" s="84">
        <f t="shared" si="1"/>
        <v>0.90623923603030698</v>
      </c>
      <c r="AQ3" s="84">
        <f t="shared" si="1"/>
        <v>9.3760763969693003E-2</v>
      </c>
    </row>
    <row r="4" spans="1:43" ht="16.5" customHeight="1">
      <c r="A4" s="512" t="s">
        <v>7</v>
      </c>
      <c r="B4" s="513" t="s">
        <v>251</v>
      </c>
      <c r="C4" s="538">
        <f>예산!G14</f>
        <v>121138758.40000001</v>
      </c>
      <c r="D4" s="85" t="s">
        <v>15</v>
      </c>
      <c r="E4" s="549">
        <f>예산!G7</f>
        <v>5871208</v>
      </c>
      <c r="F4" s="485"/>
      <c r="G4" s="310" t="s">
        <v>225</v>
      </c>
      <c r="H4" s="311">
        <f>1192128+예산!E8</f>
        <v>2781628</v>
      </c>
      <c r="I4" s="87">
        <v>45776</v>
      </c>
      <c r="J4" s="85"/>
      <c r="K4" s="540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69"/>
      <c r="B5" s="469"/>
      <c r="C5" s="469"/>
      <c r="D5" s="85" t="s">
        <v>19</v>
      </c>
      <c r="E5" s="549">
        <f>예산!G8</f>
        <v>4768500</v>
      </c>
      <c r="F5" s="485"/>
      <c r="G5" s="310" t="s">
        <v>226</v>
      </c>
      <c r="H5" s="311">
        <f>예산!E7+예산!E8</f>
        <v>3405260</v>
      </c>
      <c r="I5" s="87"/>
      <c r="J5" s="85"/>
      <c r="K5" s="469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69"/>
      <c r="B6" s="469"/>
      <c r="C6" s="469"/>
      <c r="D6" s="85" t="s">
        <v>252</v>
      </c>
      <c r="E6" s="549">
        <f>예산!G10</f>
        <v>37350216</v>
      </c>
      <c r="F6" s="485"/>
      <c r="G6" s="310" t="s">
        <v>227</v>
      </c>
      <c r="H6" s="311">
        <f>SUM(예산!$E$7:$E$8)</f>
        <v>3405260</v>
      </c>
      <c r="I6" s="87"/>
      <c r="J6" s="85"/>
      <c r="K6" s="469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69"/>
      <c r="B7" s="469"/>
      <c r="C7" s="469"/>
      <c r="D7" s="85" t="s">
        <v>252</v>
      </c>
      <c r="E7" s="549">
        <f>예산!G11</f>
        <v>32681439</v>
      </c>
      <c r="F7" s="485"/>
      <c r="G7" s="310" t="s">
        <v>228</v>
      </c>
      <c r="H7" s="311">
        <f>SUM(예산!$E$9:$E$10)</f>
        <v>7119884.9249999998</v>
      </c>
      <c r="I7" s="87"/>
      <c r="J7" s="85"/>
      <c r="K7" s="46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69"/>
      <c r="B8" s="469"/>
      <c r="C8" s="469"/>
      <c r="D8" s="601"/>
      <c r="E8" s="602"/>
      <c r="F8" s="560"/>
      <c r="G8" s="310" t="s">
        <v>229</v>
      </c>
      <c r="H8" s="311">
        <f>SUM(예산!$E$9:$E$11)+1047560</f>
        <v>12836221.925000001</v>
      </c>
      <c r="I8" s="87"/>
      <c r="J8" s="85"/>
      <c r="K8" s="46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69"/>
      <c r="B9" s="469"/>
      <c r="C9" s="469"/>
      <c r="D9" s="479"/>
      <c r="E9" s="477"/>
      <c r="F9" s="603"/>
      <c r="G9" s="310" t="s">
        <v>230</v>
      </c>
      <c r="H9" s="311">
        <f>SUM(예산!$E$9:$E$12)</f>
        <v>15265083.925000001</v>
      </c>
      <c r="I9" s="87"/>
      <c r="J9" s="85"/>
      <c r="K9" s="46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69"/>
      <c r="B10" s="469"/>
      <c r="C10" s="469"/>
      <c r="D10" s="479"/>
      <c r="E10" s="477"/>
      <c r="F10" s="603"/>
      <c r="G10" s="85" t="s">
        <v>231</v>
      </c>
      <c r="H10" s="86">
        <f>SUM(예산!$E$9:$E$12)</f>
        <v>15265083.925000001</v>
      </c>
      <c r="I10" s="87"/>
      <c r="J10" s="85"/>
      <c r="K10" s="46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69"/>
      <c r="B11" s="469"/>
      <c r="C11" s="469"/>
      <c r="D11" s="479"/>
      <c r="E11" s="477"/>
      <c r="F11" s="603"/>
      <c r="G11" s="85" t="s">
        <v>232</v>
      </c>
      <c r="H11" s="86">
        <f>SUM(예산!$E$9:$E$12)</f>
        <v>15265083.925000001</v>
      </c>
      <c r="I11" s="87"/>
      <c r="J11" s="85"/>
      <c r="K11" s="46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69"/>
      <c r="B12" s="469"/>
      <c r="C12" s="469"/>
      <c r="D12" s="479"/>
      <c r="E12" s="477"/>
      <c r="F12" s="603"/>
      <c r="G12" s="85" t="s">
        <v>233</v>
      </c>
      <c r="H12" s="86">
        <f>SUM(예산!$E$9:$E$12)</f>
        <v>15265083.925000001</v>
      </c>
      <c r="I12" s="87"/>
      <c r="J12" s="85"/>
      <c r="K12" s="46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69"/>
      <c r="B13" s="469"/>
      <c r="C13" s="469"/>
      <c r="D13" s="479"/>
      <c r="E13" s="477"/>
      <c r="F13" s="603"/>
      <c r="G13" s="85" t="s">
        <v>378</v>
      </c>
      <c r="H13" s="86">
        <f>SUM(예산!$E$9:$E$12)</f>
        <v>15265083.925000001</v>
      </c>
      <c r="I13" s="87"/>
      <c r="J13" s="85"/>
      <c r="K13" s="46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69"/>
      <c r="B14" s="471"/>
      <c r="C14" s="471"/>
      <c r="D14" s="482"/>
      <c r="E14" s="575"/>
      <c r="F14" s="561"/>
      <c r="G14" s="85" t="s">
        <v>374</v>
      </c>
      <c r="H14" s="86">
        <f>SUM(예산!$E$9:$E$12)</f>
        <v>15265083.925000001</v>
      </c>
      <c r="I14" s="87"/>
      <c r="J14" s="85"/>
      <c r="K14" s="47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69"/>
      <c r="B15" s="501" t="s">
        <v>21</v>
      </c>
      <c r="C15" s="484"/>
      <c r="D15" s="485"/>
      <c r="E15" s="88">
        <f>SUM(E4:E14)</f>
        <v>80671363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69"/>
      <c r="B16" s="85" t="s">
        <v>26</v>
      </c>
      <c r="C16" s="92">
        <f>예산!G19</f>
        <v>93360000</v>
      </c>
      <c r="D16" s="85"/>
      <c r="E16" s="86"/>
      <c r="F16" s="85"/>
      <c r="G16" s="85"/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1"/>
      <c r="B17" s="501" t="s">
        <v>21</v>
      </c>
      <c r="C17" s="484"/>
      <c r="D17" s="485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7" t="s">
        <v>253</v>
      </c>
      <c r="B18" s="484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37"/>
      <c r="J18" s="485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2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310" t="s">
        <v>224</v>
      </c>
      <c r="H19" s="312">
        <f t="shared" ref="H19:H21" si="2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9"/>
      <c r="B20" s="85"/>
      <c r="C20" s="103"/>
      <c r="D20" s="85"/>
      <c r="E20" s="86"/>
      <c r="F20" s="85"/>
      <c r="G20" s="310" t="s">
        <v>225</v>
      </c>
      <c r="H20" s="312">
        <f t="shared" si="2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9"/>
      <c r="B21" s="85"/>
      <c r="C21" s="92"/>
      <c r="D21" s="85"/>
      <c r="E21" s="86"/>
      <c r="F21" s="85"/>
      <c r="G21" s="310" t="s">
        <v>226</v>
      </c>
      <c r="H21" s="312">
        <f t="shared" si="2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9"/>
      <c r="B22" s="85"/>
      <c r="C22" s="92"/>
      <c r="D22" s="85"/>
      <c r="E22" s="86"/>
      <c r="F22" s="85"/>
      <c r="G22" s="310" t="s">
        <v>227</v>
      </c>
      <c r="H22" s="312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9"/>
      <c r="B23" s="85"/>
      <c r="C23" s="92"/>
      <c r="D23" s="85"/>
      <c r="E23" s="86"/>
      <c r="F23" s="85"/>
      <c r="G23" s="310" t="s">
        <v>228</v>
      </c>
      <c r="H23" s="312">
        <f t="shared" ref="H23:H24" si="3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9"/>
      <c r="B24" s="85"/>
      <c r="C24" s="92"/>
      <c r="D24" s="85"/>
      <c r="E24" s="86"/>
      <c r="F24" s="85"/>
      <c r="G24" s="310" t="s">
        <v>229</v>
      </c>
      <c r="H24" s="312">
        <f t="shared" si="3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9"/>
      <c r="B25" s="85"/>
      <c r="C25" s="92"/>
      <c r="D25" s="85"/>
      <c r="E25" s="86"/>
      <c r="F25" s="85"/>
      <c r="G25" s="310" t="s">
        <v>230</v>
      </c>
      <c r="H25" s="312">
        <f>1300000*4+900000*16</f>
        <v>19600000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9"/>
      <c r="B26" s="85"/>
      <c r="C26" s="92"/>
      <c r="D26" s="85"/>
      <c r="E26" s="86"/>
      <c r="F26" s="85"/>
      <c r="G26" s="85" t="s">
        <v>231</v>
      </c>
      <c r="H26" s="104">
        <f>1300000*4+900000*16</f>
        <v>19600000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9"/>
      <c r="B27" s="85"/>
      <c r="C27" s="92"/>
      <c r="D27" s="85"/>
      <c r="E27" s="86"/>
      <c r="F27" s="85"/>
      <c r="G27" s="85" t="s">
        <v>232</v>
      </c>
      <c r="H27" s="104">
        <f>1300000*4+900000*16</f>
        <v>19600000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9"/>
      <c r="B28" s="85"/>
      <c r="C28" s="92"/>
      <c r="D28" s="85"/>
      <c r="E28" s="86"/>
      <c r="F28" s="85"/>
      <c r="G28" s="85" t="s">
        <v>233</v>
      </c>
      <c r="H28" s="104">
        <f>1300000*4+900000*16</f>
        <v>19600000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9"/>
      <c r="B29" s="85"/>
      <c r="C29" s="92"/>
      <c r="D29" s="85"/>
      <c r="E29" s="86"/>
      <c r="F29" s="85"/>
      <c r="G29" s="85" t="s">
        <v>234</v>
      </c>
      <c r="H29" s="104">
        <f>1300000*4+900000*4</f>
        <v>8800000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71"/>
      <c r="B30" s="85"/>
      <c r="C30" s="105"/>
      <c r="D30" s="85"/>
      <c r="E30" s="86"/>
      <c r="F30" s="85"/>
      <c r="G30" s="85" t="s">
        <v>235</v>
      </c>
      <c r="H30" s="104">
        <f>1300000*4+900000*4</f>
        <v>8800000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17" t="s">
        <v>254</v>
      </c>
      <c r="B31" s="484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179000000</v>
      </c>
      <c r="I31" s="537"/>
      <c r="J31" s="485"/>
      <c r="K31" s="102">
        <f>H31/C31</f>
        <v>0.95824411134903642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12" t="s">
        <v>31</v>
      </c>
      <c r="B32" s="513" t="s">
        <v>255</v>
      </c>
      <c r="C32" s="11" t="s">
        <v>46</v>
      </c>
      <c r="D32" s="85"/>
      <c r="E32" s="86">
        <f>예산!G69+예산!G70</f>
        <v>503952190</v>
      </c>
      <c r="F32" s="85"/>
      <c r="G32" s="85" t="s">
        <v>373</v>
      </c>
      <c r="H32" s="104">
        <f>E32</f>
        <v>503952190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69"/>
      <c r="B33" s="469"/>
      <c r="C33" s="11" t="s">
        <v>99</v>
      </c>
      <c r="D33" s="85"/>
      <c r="E33" s="86">
        <f>예산!G71</f>
        <v>29920000</v>
      </c>
      <c r="F33" s="85"/>
      <c r="G33" s="310" t="s">
        <v>372</v>
      </c>
      <c r="H33" s="312">
        <f t="shared" ref="H33:H40" si="4">E33</f>
        <v>29920000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69"/>
      <c r="B34" s="469"/>
      <c r="C34" s="11" t="s">
        <v>101</v>
      </c>
      <c r="D34" s="85"/>
      <c r="E34" s="86">
        <f>예산!G72</f>
        <v>97163000</v>
      </c>
      <c r="F34" s="85"/>
      <c r="G34" s="85" t="s">
        <v>373</v>
      </c>
      <c r="H34" s="104">
        <f t="shared" si="4"/>
        <v>97163000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69"/>
      <c r="B35" s="469"/>
      <c r="C35" s="11" t="s">
        <v>103</v>
      </c>
      <c r="D35" s="85"/>
      <c r="E35" s="86">
        <f>예산!G73</f>
        <v>98474200</v>
      </c>
      <c r="F35" s="85"/>
      <c r="G35" s="85" t="s">
        <v>373</v>
      </c>
      <c r="H35" s="104">
        <f t="shared" si="4"/>
        <v>98474200</v>
      </c>
      <c r="I35" s="87"/>
      <c r="J35" s="85" t="s">
        <v>402</v>
      </c>
      <c r="K35" s="93">
        <f>SUM(H32:H35,H39:H40)/A2</f>
        <v>0.25691360776620215</v>
      </c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70"/>
      <c r="B36" s="470"/>
      <c r="C36" s="11" t="s">
        <v>337</v>
      </c>
      <c r="D36" s="85"/>
      <c r="E36" s="86">
        <v>340000000</v>
      </c>
      <c r="F36" s="85"/>
      <c r="G36" s="85" t="s">
        <v>374</v>
      </c>
      <c r="H36" s="86">
        <v>340000000</v>
      </c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70"/>
      <c r="B37" s="470"/>
      <c r="C37" s="11" t="s">
        <v>336</v>
      </c>
      <c r="D37" s="85"/>
      <c r="E37" s="86">
        <v>85000000</v>
      </c>
      <c r="F37" s="85"/>
      <c r="G37" s="85" t="s">
        <v>378</v>
      </c>
      <c r="H37" s="104">
        <f t="shared" si="4"/>
        <v>85000000</v>
      </c>
      <c r="I37" s="87"/>
      <c r="J37" s="85" t="s">
        <v>403</v>
      </c>
      <c r="K37" s="93">
        <f>SUM(H36:H38)/A2</f>
        <v>0.15829995941009337</v>
      </c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70"/>
      <c r="B38" s="470"/>
      <c r="C38" s="11" t="s">
        <v>375</v>
      </c>
      <c r="D38" s="85"/>
      <c r="E38" s="86">
        <v>42998000</v>
      </c>
      <c r="F38" s="85"/>
      <c r="G38" s="310" t="s">
        <v>380</v>
      </c>
      <c r="H38" s="312">
        <f t="shared" si="4"/>
        <v>42998000</v>
      </c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70"/>
      <c r="B39" s="470"/>
      <c r="C39" s="11" t="s">
        <v>376</v>
      </c>
      <c r="D39" s="85"/>
      <c r="E39" s="86">
        <v>22000000</v>
      </c>
      <c r="F39" s="85"/>
      <c r="G39" s="310" t="s">
        <v>380</v>
      </c>
      <c r="H39" s="312">
        <f t="shared" si="4"/>
        <v>22000000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69"/>
      <c r="B40" s="471"/>
      <c r="C40" s="245" t="s">
        <v>377</v>
      </c>
      <c r="D40" s="85"/>
      <c r="E40" s="86">
        <v>8030000</v>
      </c>
      <c r="F40" s="85"/>
      <c r="G40" s="310" t="s">
        <v>398</v>
      </c>
      <c r="H40" s="312">
        <f t="shared" si="4"/>
        <v>8030000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69"/>
      <c r="B41" s="501" t="s">
        <v>21</v>
      </c>
      <c r="C41" s="484"/>
      <c r="D41" s="485"/>
      <c r="E41" s="88"/>
      <c r="F41" s="94"/>
      <c r="G41" s="89"/>
      <c r="H41" s="88">
        <f>SUM(H32:H40)</f>
        <v>1227537390</v>
      </c>
      <c r="I41" s="90"/>
      <c r="J41" s="89"/>
      <c r="K41" s="91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69"/>
      <c r="B42" s="513" t="s">
        <v>70</v>
      </c>
      <c r="C42" s="29" t="s">
        <v>107</v>
      </c>
      <c r="D42" s="85"/>
      <c r="E42" s="86">
        <f>예산!G87</f>
        <v>0</v>
      </c>
      <c r="F42" s="85"/>
      <c r="G42" s="85" t="s">
        <v>235</v>
      </c>
      <c r="H42" s="86"/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69"/>
      <c r="B43" s="469"/>
      <c r="C43" s="11" t="s">
        <v>112</v>
      </c>
      <c r="D43" s="85"/>
      <c r="E43" s="86">
        <f>예산!G88</f>
        <v>0</v>
      </c>
      <c r="F43" s="85"/>
      <c r="G43" s="85" t="s">
        <v>235</v>
      </c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69"/>
      <c r="B44" s="471"/>
      <c r="C44" s="11" t="s">
        <v>114</v>
      </c>
      <c r="D44" s="85"/>
      <c r="E44" s="86">
        <f>예산!G89</f>
        <v>2000000</v>
      </c>
      <c r="F44" s="85"/>
      <c r="G44" s="85" t="s">
        <v>235</v>
      </c>
      <c r="H44" s="86">
        <f t="shared" ref="H44" si="5">E44</f>
        <v>2000000</v>
      </c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71"/>
      <c r="B45" s="501" t="s">
        <v>21</v>
      </c>
      <c r="C45" s="484"/>
      <c r="D45" s="485"/>
      <c r="E45" s="88"/>
      <c r="F45" s="89"/>
      <c r="G45" s="89"/>
      <c r="H45" s="95">
        <f>SUM(H42:H44)</f>
        <v>2000000</v>
      </c>
      <c r="I45" s="90"/>
      <c r="J45" s="89"/>
      <c r="K45" s="91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 thickBot="1">
      <c r="A46" s="517" t="s">
        <v>256</v>
      </c>
      <c r="B46" s="484"/>
      <c r="C46" s="96">
        <f>예산!G66</f>
        <v>1250357390</v>
      </c>
      <c r="D46" s="97"/>
      <c r="E46" s="98"/>
      <c r="F46" s="99"/>
      <c r="G46" s="100"/>
      <c r="H46" s="101">
        <f>H41+H45</f>
        <v>1229537390</v>
      </c>
      <c r="I46" s="537"/>
      <c r="J46" s="485"/>
      <c r="K46" s="102">
        <f>H46/C46</f>
        <v>0.98334876078910527</v>
      </c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18" t="s">
        <v>72</v>
      </c>
      <c r="B47" s="513" t="s">
        <v>276</v>
      </c>
      <c r="C47" s="103" t="s">
        <v>258</v>
      </c>
      <c r="D47" s="85"/>
      <c r="E47" s="86">
        <f>예산!$G100</f>
        <v>3075509</v>
      </c>
      <c r="F47" s="85"/>
      <c r="G47" s="310" t="s">
        <v>226</v>
      </c>
      <c r="H47" s="311">
        <f>예산!$G100</f>
        <v>3075509</v>
      </c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19"/>
      <c r="B48" s="469"/>
      <c r="C48" s="103" t="s">
        <v>259</v>
      </c>
      <c r="D48" s="85"/>
      <c r="E48" s="86">
        <f>예산!$G104+예산!$G105</f>
        <v>9608500</v>
      </c>
      <c r="F48" s="85"/>
      <c r="G48" s="310" t="s">
        <v>227</v>
      </c>
      <c r="H48" s="311">
        <f>예산!$G104+예산!$G105</f>
        <v>9608500</v>
      </c>
      <c r="I48" s="87"/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19"/>
      <c r="B49" s="469"/>
      <c r="C49" s="92" t="s">
        <v>260</v>
      </c>
      <c r="D49" s="85"/>
      <c r="E49" s="86">
        <f>예산!$G108</f>
        <v>19250000</v>
      </c>
      <c r="F49" s="85"/>
      <c r="G49" s="310" t="s">
        <v>226</v>
      </c>
      <c r="H49" s="311">
        <f>예산!$G108</f>
        <v>19250000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19"/>
      <c r="B50" s="471"/>
      <c r="C50" s="9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19"/>
      <c r="B51" s="521" t="s">
        <v>261</v>
      </c>
      <c r="C51" s="509" t="s">
        <v>262</v>
      </c>
      <c r="D51" s="85"/>
      <c r="E51" s="86">
        <f>예산!$G106-10640000</f>
        <v>24825491</v>
      </c>
      <c r="F51" s="85"/>
      <c r="G51" s="85" t="s">
        <v>232</v>
      </c>
      <c r="H51" s="86">
        <f>E51</f>
        <v>24825491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19"/>
      <c r="B52" s="522"/>
      <c r="C52" s="511"/>
      <c r="D52" s="85"/>
      <c r="E52" s="86">
        <v>10640000</v>
      </c>
      <c r="F52" s="85"/>
      <c r="G52" s="310" t="s">
        <v>372</v>
      </c>
      <c r="H52" s="315">
        <f>E52</f>
        <v>10640000</v>
      </c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19"/>
      <c r="B53" s="522"/>
      <c r="C53" s="524" t="s">
        <v>139</v>
      </c>
      <c r="D53" s="85"/>
      <c r="E53" s="86">
        <f>예산!$G109</f>
        <v>5676000</v>
      </c>
      <c r="F53" s="85"/>
      <c r="G53" s="254" t="s">
        <v>380</v>
      </c>
      <c r="H53" s="265">
        <f>예산!$G109</f>
        <v>5676000</v>
      </c>
      <c r="I53" s="317"/>
      <c r="J53" s="236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19"/>
      <c r="B54" s="522"/>
      <c r="C54" s="525"/>
      <c r="D54" s="235"/>
      <c r="E54" s="86"/>
      <c r="F54" s="85"/>
      <c r="G54" s="254"/>
      <c r="H54" s="265"/>
      <c r="I54" s="283"/>
      <c r="J54" s="237"/>
      <c r="K54" s="316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19"/>
      <c r="B55" s="522"/>
      <c r="C55" s="525"/>
      <c r="D55" s="235"/>
      <c r="E55" s="86"/>
      <c r="F55" s="85"/>
      <c r="G55" s="254"/>
      <c r="H55" s="265"/>
      <c r="I55" s="283"/>
      <c r="J55" s="237"/>
      <c r="K55" s="316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19"/>
      <c r="B56" s="522"/>
      <c r="C56" s="525"/>
      <c r="D56" s="235"/>
      <c r="E56" s="86"/>
      <c r="F56" s="85"/>
      <c r="G56" s="254"/>
      <c r="H56" s="265"/>
      <c r="I56" s="283"/>
      <c r="J56" s="237"/>
      <c r="K56" s="316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19"/>
      <c r="B57" s="522"/>
      <c r="C57" s="525"/>
      <c r="D57" s="235"/>
      <c r="E57" s="86"/>
      <c r="F57" s="85"/>
      <c r="G57" s="254"/>
      <c r="H57" s="265"/>
      <c r="I57" s="283"/>
      <c r="J57" s="237"/>
      <c r="K57" s="316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19"/>
      <c r="B58" s="522"/>
      <c r="C58" s="525"/>
      <c r="D58" s="235"/>
      <c r="E58" s="86"/>
      <c r="F58" s="85"/>
      <c r="G58" s="254"/>
      <c r="H58" s="265"/>
      <c r="I58" s="283"/>
      <c r="J58" s="237"/>
      <c r="K58" s="316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19"/>
      <c r="B59" s="522"/>
      <c r="C59" s="525"/>
      <c r="D59" s="235"/>
      <c r="E59" s="86"/>
      <c r="F59" s="85"/>
      <c r="G59" s="254"/>
      <c r="H59" s="265"/>
      <c r="I59" s="283"/>
      <c r="J59" s="237"/>
      <c r="K59" s="316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19"/>
      <c r="B60" s="522"/>
      <c r="C60" s="525"/>
      <c r="D60" s="235"/>
      <c r="E60" s="86"/>
      <c r="F60" s="85"/>
      <c r="G60" s="254"/>
      <c r="H60" s="265"/>
      <c r="I60" s="283"/>
      <c r="J60" s="237"/>
      <c r="K60" s="316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19"/>
      <c r="B61" s="522"/>
      <c r="C61" s="525"/>
      <c r="D61" s="235"/>
      <c r="E61" s="86"/>
      <c r="F61" s="85"/>
      <c r="G61" s="254"/>
      <c r="H61" s="265"/>
      <c r="I61" s="283"/>
      <c r="J61" s="237"/>
      <c r="K61" s="316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19"/>
      <c r="B62" s="522"/>
      <c r="C62" s="525"/>
      <c r="D62" s="235"/>
      <c r="E62" s="86"/>
      <c r="F62" s="85"/>
      <c r="G62" s="254"/>
      <c r="H62" s="265"/>
      <c r="I62" s="283"/>
      <c r="J62" s="237"/>
      <c r="K62" s="316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19"/>
      <c r="B63" s="522"/>
      <c r="C63" s="525"/>
      <c r="D63" s="235"/>
      <c r="E63" s="86"/>
      <c r="F63" s="85"/>
      <c r="G63" s="254"/>
      <c r="H63" s="265"/>
      <c r="I63" s="283"/>
      <c r="J63" s="237"/>
      <c r="K63" s="316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19"/>
      <c r="B64" s="522"/>
      <c r="C64" s="525"/>
      <c r="D64" s="235"/>
      <c r="E64" s="86"/>
      <c r="F64" s="85"/>
      <c r="G64" s="254"/>
      <c r="H64" s="265"/>
      <c r="I64" s="283"/>
      <c r="J64" s="237"/>
      <c r="K64" s="316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 thickBot="1">
      <c r="A65" s="520"/>
      <c r="B65" s="523"/>
      <c r="C65" s="526"/>
      <c r="D65" s="235"/>
      <c r="E65" s="86"/>
      <c r="F65" s="85"/>
      <c r="G65" s="254"/>
      <c r="H65" s="265"/>
      <c r="I65" s="283"/>
      <c r="J65" s="237"/>
      <c r="K65" s="316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 thickBot="1">
      <c r="A66" s="517" t="s">
        <v>263</v>
      </c>
      <c r="B66" s="484"/>
      <c r="C66" s="96">
        <f>예산!G97</f>
        <v>108039500</v>
      </c>
      <c r="D66" s="97"/>
      <c r="E66" s="98"/>
      <c r="F66" s="99"/>
      <c r="G66" s="100"/>
      <c r="H66" s="277">
        <f>SUM(H47:H53)</f>
        <v>73075500</v>
      </c>
      <c r="I66" s="514"/>
      <c r="J66" s="492"/>
      <c r="K66" s="102">
        <f>H66/C66</f>
        <v>0.67637762114782096</v>
      </c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12" t="s">
        <v>84</v>
      </c>
      <c r="B67" s="530" t="s">
        <v>264</v>
      </c>
      <c r="C67" s="103" t="s">
        <v>265</v>
      </c>
      <c r="D67" s="85" t="s">
        <v>266</v>
      </c>
      <c r="E67" s="86">
        <v>5500000</v>
      </c>
      <c r="F67" s="85"/>
      <c r="G67" s="310" t="s">
        <v>226</v>
      </c>
      <c r="H67" s="312">
        <f>E67</f>
        <v>5500000</v>
      </c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69"/>
      <c r="B68" s="531"/>
      <c r="C68" s="509" t="s">
        <v>369</v>
      </c>
      <c r="D68" s="85" t="s">
        <v>370</v>
      </c>
      <c r="E68" s="86">
        <v>5000000</v>
      </c>
      <c r="F68" s="85"/>
      <c r="G68" s="310" t="s">
        <v>372</v>
      </c>
      <c r="H68" s="312">
        <f>E68</f>
        <v>5000000</v>
      </c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69"/>
      <c r="B69" s="531"/>
      <c r="C69" s="510"/>
      <c r="D69" s="85" t="s">
        <v>394</v>
      </c>
      <c r="E69" s="86">
        <v>5000000</v>
      </c>
      <c r="F69" s="85"/>
      <c r="G69" s="310" t="s">
        <v>372</v>
      </c>
      <c r="H69" s="312">
        <f>E69</f>
        <v>5000000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9"/>
      <c r="B70" s="531"/>
      <c r="C70" s="510"/>
      <c r="D70" s="85" t="s">
        <v>371</v>
      </c>
      <c r="E70" s="86">
        <v>800000</v>
      </c>
      <c r="F70" s="85"/>
      <c r="G70" s="310" t="s">
        <v>372</v>
      </c>
      <c r="H70" s="312">
        <f>E70</f>
        <v>800000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0"/>
      <c r="B71" s="531"/>
      <c r="C71" s="510"/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0"/>
      <c r="B72" s="531"/>
      <c r="C72" s="510"/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0"/>
      <c r="B73" s="531"/>
      <c r="C73" s="510"/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0"/>
      <c r="B74" s="531"/>
      <c r="C74" s="511"/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0"/>
      <c r="B75" s="531"/>
      <c r="C75" s="509" t="s">
        <v>381</v>
      </c>
      <c r="D75" s="85" t="s">
        <v>383</v>
      </c>
      <c r="E75" s="86">
        <v>3300000</v>
      </c>
      <c r="F75" s="85"/>
      <c r="G75" s="310" t="s">
        <v>372</v>
      </c>
      <c r="H75" s="313">
        <f t="shared" ref="H75:H81" si="6">E75</f>
        <v>3300000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0"/>
      <c r="B76" s="531"/>
      <c r="C76" s="510"/>
      <c r="D76" s="85" t="s">
        <v>367</v>
      </c>
      <c r="E76" s="86">
        <v>3300000</v>
      </c>
      <c r="F76" s="85"/>
      <c r="G76" s="310" t="s">
        <v>372</v>
      </c>
      <c r="H76" s="313">
        <f t="shared" si="6"/>
        <v>3300000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0"/>
      <c r="B77" s="531"/>
      <c r="C77" s="510"/>
      <c r="D77" s="85" t="s">
        <v>384</v>
      </c>
      <c r="E77" s="86">
        <v>800000</v>
      </c>
      <c r="F77" s="85"/>
      <c r="G77" s="310" t="s">
        <v>372</v>
      </c>
      <c r="H77" s="313">
        <f t="shared" si="6"/>
        <v>800000</v>
      </c>
      <c r="I77" s="8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0"/>
      <c r="B78" s="531"/>
      <c r="C78" s="510"/>
      <c r="D78" s="85" t="s">
        <v>385</v>
      </c>
      <c r="E78" s="86">
        <v>2300000</v>
      </c>
      <c r="F78" s="85"/>
      <c r="G78" s="310" t="s">
        <v>372</v>
      </c>
      <c r="H78" s="313">
        <f t="shared" si="6"/>
        <v>2300000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0"/>
      <c r="B79" s="531"/>
      <c r="C79" s="511"/>
      <c r="D79" s="85" t="s">
        <v>386</v>
      </c>
      <c r="E79" s="86">
        <v>2300000</v>
      </c>
      <c r="F79" s="85"/>
      <c r="G79" s="310" t="s">
        <v>372</v>
      </c>
      <c r="H79" s="313">
        <f t="shared" si="6"/>
        <v>2300000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0"/>
      <c r="B80" s="508" t="s">
        <v>416</v>
      </c>
      <c r="C80" s="92" t="s">
        <v>417</v>
      </c>
      <c r="D80" s="85" t="s">
        <v>419</v>
      </c>
      <c r="E80" s="86">
        <v>14000000</v>
      </c>
      <c r="F80" s="85"/>
      <c r="G80" s="85" t="s">
        <v>373</v>
      </c>
      <c r="H80" s="246">
        <f t="shared" si="6"/>
        <v>14000000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0"/>
      <c r="B81" s="508"/>
      <c r="C81" s="92" t="s">
        <v>418</v>
      </c>
      <c r="D81" s="85" t="s">
        <v>420</v>
      </c>
      <c r="E81" s="86">
        <v>67000000</v>
      </c>
      <c r="F81" s="85"/>
      <c r="G81" s="85" t="s">
        <v>373</v>
      </c>
      <c r="H81" s="246">
        <f t="shared" si="6"/>
        <v>67000000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0"/>
      <c r="B82" s="508"/>
      <c r="C82" s="92"/>
      <c r="D82" s="85"/>
      <c r="E82" s="86"/>
      <c r="F82" s="85"/>
      <c r="G82" s="85"/>
      <c r="H82" s="24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69"/>
      <c r="B83" s="251"/>
      <c r="C83" s="92" t="s">
        <v>395</v>
      </c>
      <c r="D83" s="85" t="s">
        <v>396</v>
      </c>
      <c r="E83" s="86">
        <v>1000000</v>
      </c>
      <c r="F83" s="85"/>
      <c r="G83" s="310" t="s">
        <v>397</v>
      </c>
      <c r="H83" s="313">
        <f>E83</f>
        <v>1000000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0"/>
      <c r="B84" s="244"/>
      <c r="C84" s="509" t="s">
        <v>399</v>
      </c>
      <c r="D84" s="85" t="s">
        <v>423</v>
      </c>
      <c r="E84" s="86">
        <v>1000000</v>
      </c>
      <c r="F84" s="85"/>
      <c r="G84" s="310" t="s">
        <v>398</v>
      </c>
      <c r="H84" s="313">
        <f>E84</f>
        <v>1000000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0"/>
      <c r="B85" s="244"/>
      <c r="C85" s="510"/>
      <c r="D85" s="85" t="s">
        <v>424</v>
      </c>
      <c r="E85" s="86">
        <v>1000000</v>
      </c>
      <c r="F85" s="85"/>
      <c r="G85" s="310" t="s">
        <v>398</v>
      </c>
      <c r="H85" s="313">
        <f>E85</f>
        <v>1000000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0"/>
      <c r="B86" s="244"/>
      <c r="C86" s="510"/>
      <c r="D86" s="85">
        <v>3</v>
      </c>
      <c r="E86" s="86">
        <v>2000000</v>
      </c>
      <c r="F86" s="85"/>
      <c r="G86" s="85"/>
      <c r="H86" s="246"/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0"/>
      <c r="B87" s="244"/>
      <c r="C87" s="510"/>
      <c r="D87" s="85"/>
      <c r="E87" s="86">
        <v>2000000</v>
      </c>
      <c r="F87" s="85"/>
      <c r="G87" s="85"/>
      <c r="H87" s="246"/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0"/>
      <c r="B88" s="244"/>
      <c r="C88" s="510"/>
      <c r="D88" s="85"/>
      <c r="E88" s="86">
        <v>2000000</v>
      </c>
      <c r="F88" s="85"/>
      <c r="G88" s="85"/>
      <c r="H88" s="246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0"/>
      <c r="B89" s="244"/>
      <c r="C89" s="511"/>
      <c r="D89" s="85"/>
      <c r="E89" s="86"/>
      <c r="F89" s="85"/>
      <c r="G89" s="85"/>
      <c r="H89" s="246"/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69"/>
      <c r="B90" s="513" t="s">
        <v>267</v>
      </c>
      <c r="C90" s="92"/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69"/>
      <c r="B91" s="469"/>
      <c r="C91" s="92"/>
      <c r="D91" s="85">
        <v>2</v>
      </c>
      <c r="E91" s="86">
        <v>5000000</v>
      </c>
      <c r="F91" s="85"/>
      <c r="G91" s="85"/>
      <c r="H91" s="8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9"/>
      <c r="B92" s="469"/>
      <c r="C92" s="92"/>
      <c r="D92" s="85">
        <v>3</v>
      </c>
      <c r="E92" s="86">
        <v>2500000</v>
      </c>
      <c r="F92" s="85"/>
      <c r="G92" s="85"/>
      <c r="H92" s="86"/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69"/>
      <c r="B93" s="469"/>
      <c r="C93" s="92"/>
      <c r="D93" s="85">
        <v>4</v>
      </c>
      <c r="E93" s="86">
        <v>7500000</v>
      </c>
      <c r="F93" s="85"/>
      <c r="G93" s="85"/>
      <c r="H93" s="86"/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69"/>
      <c r="B94" s="471"/>
      <c r="C94" s="92"/>
      <c r="D94" s="85"/>
      <c r="E94" s="86"/>
      <c r="F94" s="85"/>
      <c r="G94" s="85"/>
      <c r="H94" s="86"/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69"/>
      <c r="B95" s="513" t="s">
        <v>144</v>
      </c>
      <c r="C95" s="92" t="s">
        <v>366</v>
      </c>
      <c r="D95" s="85" t="s">
        <v>367</v>
      </c>
      <c r="E95" s="86">
        <v>1000000</v>
      </c>
      <c r="F95" s="85"/>
      <c r="G95" s="310" t="s">
        <v>368</v>
      </c>
      <c r="H95" s="313">
        <f t="shared" ref="H95:H97" si="7">E95</f>
        <v>1000000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69"/>
      <c r="B96" s="469"/>
      <c r="C96" s="92"/>
      <c r="D96" s="85" t="s">
        <v>384</v>
      </c>
      <c r="E96" s="86">
        <v>1800000</v>
      </c>
      <c r="F96" s="85"/>
      <c r="G96" s="310" t="s">
        <v>380</v>
      </c>
      <c r="H96" s="311">
        <f t="shared" si="7"/>
        <v>1800000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69"/>
      <c r="B97" s="469"/>
      <c r="C97" s="92"/>
      <c r="D97" s="85" t="s">
        <v>425</v>
      </c>
      <c r="E97" s="86">
        <v>2000000</v>
      </c>
      <c r="F97" s="85"/>
      <c r="G97" s="85" t="s">
        <v>373</v>
      </c>
      <c r="H97" s="86">
        <f t="shared" si="7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69"/>
      <c r="B98" s="471"/>
      <c r="C98" s="92"/>
      <c r="D98" s="85">
        <v>3</v>
      </c>
      <c r="E98" s="86">
        <v>1000000</v>
      </c>
      <c r="F98" s="85"/>
      <c r="G98" s="85"/>
      <c r="H98" s="8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9"/>
      <c r="B99" s="513" t="s">
        <v>268</v>
      </c>
      <c r="C99" s="92" t="s">
        <v>277</v>
      </c>
      <c r="D99" s="85" t="s">
        <v>278</v>
      </c>
      <c r="E99" s="86">
        <f>10000000*13+5000000*5+15000000*2</f>
        <v>185000000</v>
      </c>
      <c r="F99" s="85"/>
      <c r="G99" s="310" t="s">
        <v>372</v>
      </c>
      <c r="H99" s="311">
        <f>E99</f>
        <v>185000000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9"/>
      <c r="B100" s="469"/>
      <c r="C100" s="92" t="s">
        <v>279</v>
      </c>
      <c r="D100" s="85" t="s">
        <v>280</v>
      </c>
      <c r="E100" s="86">
        <f>8000000*41</f>
        <v>328000000</v>
      </c>
      <c r="F100" s="85"/>
      <c r="G100" s="85" t="s">
        <v>235</v>
      </c>
      <c r="H100" s="86">
        <f>예산!G140-'3차년도 사업비 소진현황 (지출)'!H99</f>
        <v>303000000</v>
      </c>
      <c r="I100" s="87"/>
      <c r="J100" s="85"/>
      <c r="K100" s="93">
        <f>H100/A2</f>
        <v>0.10248951427411716</v>
      </c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9"/>
      <c r="B101" s="469"/>
      <c r="C101" s="92"/>
      <c r="D101" s="85"/>
      <c r="E101" s="86"/>
      <c r="F101" s="85"/>
      <c r="G101" s="85"/>
      <c r="H101" s="86"/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9"/>
      <c r="B102" s="469"/>
      <c r="C102" s="92"/>
      <c r="D102" s="85"/>
      <c r="E102" s="86"/>
      <c r="F102" s="85"/>
      <c r="G102" s="85"/>
      <c r="H102" s="86"/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9"/>
      <c r="B103" s="469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9"/>
      <c r="B104" s="471"/>
      <c r="C104" s="92"/>
      <c r="D104" s="85"/>
      <c r="E104" s="86"/>
      <c r="F104" s="85"/>
      <c r="G104" s="85"/>
      <c r="H104" s="86"/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9"/>
      <c r="B105" s="501" t="s">
        <v>21</v>
      </c>
      <c r="C105" s="484"/>
      <c r="D105" s="485"/>
      <c r="E105" s="88">
        <f>예산!G141</f>
        <v>683000000</v>
      </c>
      <c r="F105" s="94">
        <f>E105-215300000</f>
        <v>467700000</v>
      </c>
      <c r="G105" s="89"/>
      <c r="H105" s="88">
        <f>SUM(H67:H104)</f>
        <v>605100000</v>
      </c>
      <c r="I105" s="90"/>
      <c r="J105" s="89"/>
      <c r="K105" s="91">
        <f>H105/E105</f>
        <v>0.88594436310395319</v>
      </c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9"/>
      <c r="B106" s="85" t="s">
        <v>94</v>
      </c>
      <c r="C106" s="11" t="s">
        <v>164</v>
      </c>
      <c r="D106" s="85"/>
      <c r="E106" s="86">
        <f>예산!$G145</f>
        <v>0</v>
      </c>
      <c r="F106" s="85"/>
      <c r="G106" s="85" t="s">
        <v>235</v>
      </c>
      <c r="H106" s="86">
        <f>예산!$G145</f>
        <v>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9"/>
      <c r="B107" s="85"/>
      <c r="C107" s="11" t="s">
        <v>166</v>
      </c>
      <c r="D107" s="85"/>
      <c r="E107" s="86">
        <f>예산!$G146</f>
        <v>0</v>
      </c>
      <c r="F107" s="85"/>
      <c r="G107" s="85" t="s">
        <v>235</v>
      </c>
      <c r="H107" s="86">
        <f>예산!$G146</f>
        <v>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9"/>
      <c r="B108" s="85"/>
      <c r="C108" s="11" t="s">
        <v>170</v>
      </c>
      <c r="D108" s="85"/>
      <c r="E108" s="86">
        <f>예산!$G147</f>
        <v>672872</v>
      </c>
      <c r="F108" s="85"/>
      <c r="G108" s="310" t="s">
        <v>226</v>
      </c>
      <c r="H108" s="311">
        <f>예산!$G147</f>
        <v>672872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9"/>
      <c r="B109" s="85"/>
      <c r="C109" s="11" t="s">
        <v>171</v>
      </c>
      <c r="D109" s="85"/>
      <c r="E109" s="86">
        <f>예산!$G148</f>
        <v>672872</v>
      </c>
      <c r="F109" s="85"/>
      <c r="G109" s="310" t="s">
        <v>226</v>
      </c>
      <c r="H109" s="311">
        <f>예산!$G148</f>
        <v>672872</v>
      </c>
      <c r="I109" s="87"/>
      <c r="J109" s="85"/>
      <c r="K109" s="93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9"/>
      <c r="B110" s="85"/>
      <c r="C110" s="11" t="s">
        <v>387</v>
      </c>
      <c r="D110" s="85"/>
      <c r="E110" s="86">
        <f>예산!$G149</f>
        <v>511595</v>
      </c>
      <c r="F110" s="85"/>
      <c r="G110" s="85" t="s">
        <v>373</v>
      </c>
      <c r="H110" s="86">
        <f>예산!$G149</f>
        <v>511595</v>
      </c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9"/>
      <c r="B111" s="85"/>
      <c r="C111" s="11" t="s">
        <v>388</v>
      </c>
      <c r="D111" s="85"/>
      <c r="E111" s="86">
        <f>예산!$G150</f>
        <v>511595</v>
      </c>
      <c r="F111" s="85"/>
      <c r="G111" s="85" t="s">
        <v>373</v>
      </c>
      <c r="H111" s="86">
        <f>예산!$G150</f>
        <v>511595</v>
      </c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9"/>
      <c r="B112" s="8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9"/>
      <c r="B113" s="8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9"/>
      <c r="B114" s="501" t="s">
        <v>21</v>
      </c>
      <c r="C114" s="484"/>
      <c r="D114" s="485"/>
      <c r="E114" s="88">
        <f>예산!G154</f>
        <v>2930468</v>
      </c>
      <c r="F114" s="94"/>
      <c r="G114" s="89"/>
      <c r="H114" s="88">
        <f>SUM(H106:H113)</f>
        <v>2368934</v>
      </c>
      <c r="I114" s="90"/>
      <c r="J114" s="89"/>
      <c r="K114" s="91">
        <f>H114/E114</f>
        <v>0.80838077740483771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9"/>
      <c r="B115" s="85" t="s">
        <v>178</v>
      </c>
      <c r="C115" s="92"/>
      <c r="D115" s="85"/>
      <c r="E115" s="86">
        <f>예산!$G158</f>
        <v>0</v>
      </c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9"/>
      <c r="B116" s="501" t="s">
        <v>21</v>
      </c>
      <c r="C116" s="484"/>
      <c r="D116" s="485"/>
      <c r="E116" s="88">
        <f>예산!G159</f>
        <v>0</v>
      </c>
      <c r="F116" s="94"/>
      <c r="G116" s="89"/>
      <c r="H116" s="88">
        <f>H115</f>
        <v>0</v>
      </c>
      <c r="I116" s="90"/>
      <c r="J116" s="89"/>
      <c r="K116" s="91" t="e">
        <f>H116/E116</f>
        <v>#DIV/0!</v>
      </c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9"/>
      <c r="B117" s="85" t="s">
        <v>269</v>
      </c>
      <c r="C117" s="11" t="s">
        <v>187</v>
      </c>
      <c r="D117" s="85"/>
      <c r="E117" s="86">
        <f>예산!$G164</f>
        <v>230000</v>
      </c>
      <c r="F117" s="85"/>
      <c r="G117" s="310" t="s">
        <v>226</v>
      </c>
      <c r="H117" s="311">
        <f>E117</f>
        <v>230000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9"/>
      <c r="B118" s="85"/>
      <c r="C118" s="12" t="s">
        <v>188</v>
      </c>
      <c r="D118" s="85"/>
      <c r="E118" s="86">
        <f>예산!$G166</f>
        <v>230000</v>
      </c>
      <c r="F118" s="85"/>
      <c r="G118" s="310" t="s">
        <v>226</v>
      </c>
      <c r="H118" s="311">
        <f t="shared" ref="H118:H124" si="8">E118</f>
        <v>230000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9"/>
      <c r="B119" s="85"/>
      <c r="C119" s="12" t="s">
        <v>189</v>
      </c>
      <c r="D119" s="85"/>
      <c r="E119" s="86">
        <f>예산!$G169</f>
        <v>11057430</v>
      </c>
      <c r="F119" s="85"/>
      <c r="G119" s="310" t="s">
        <v>226</v>
      </c>
      <c r="H119" s="311">
        <f t="shared" si="8"/>
        <v>11057430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9"/>
      <c r="B120" s="85"/>
      <c r="C120" s="12" t="s">
        <v>415</v>
      </c>
      <c r="D120" s="85"/>
      <c r="E120" s="86">
        <f>예산!$G170</f>
        <v>9696685</v>
      </c>
      <c r="F120" s="85"/>
      <c r="G120" s="85" t="s">
        <v>379</v>
      </c>
      <c r="H120" s="86">
        <f t="shared" si="8"/>
        <v>9696685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9"/>
      <c r="B121" s="85"/>
      <c r="C121" s="12" t="s">
        <v>190</v>
      </c>
      <c r="D121" s="85"/>
      <c r="E121" s="86">
        <f>예산!$G171</f>
        <v>2800000</v>
      </c>
      <c r="F121" s="85"/>
      <c r="G121" s="310" t="s">
        <v>226</v>
      </c>
      <c r="H121" s="311">
        <f t="shared" si="8"/>
        <v>2800000</v>
      </c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69"/>
      <c r="B122" s="85"/>
      <c r="C122" s="12" t="s">
        <v>412</v>
      </c>
      <c r="D122" s="85"/>
      <c r="E122" s="120">
        <f>예산!$G172</f>
        <v>8750000</v>
      </c>
      <c r="F122" s="85"/>
      <c r="G122" s="85" t="s">
        <v>373</v>
      </c>
      <c r="H122" s="86">
        <f t="shared" si="8"/>
        <v>8750000</v>
      </c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70"/>
      <c r="B123" s="85"/>
      <c r="C123" s="11" t="s">
        <v>414</v>
      </c>
      <c r="D123" s="85"/>
      <c r="E123" s="120">
        <f>예산!F168</f>
        <v>700000</v>
      </c>
      <c r="F123" s="85"/>
      <c r="G123" s="85" t="s">
        <v>373</v>
      </c>
      <c r="H123" s="86">
        <f t="shared" si="8"/>
        <v>700000</v>
      </c>
      <c r="I123" s="87"/>
      <c r="J123" s="85"/>
      <c r="K123" s="93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70"/>
      <c r="B124" s="85"/>
      <c r="C124" s="11" t="s">
        <v>413</v>
      </c>
      <c r="D124" s="85"/>
      <c r="E124" s="120">
        <f>예산!F167</f>
        <v>990000</v>
      </c>
      <c r="F124" s="85"/>
      <c r="G124" s="85" t="s">
        <v>373</v>
      </c>
      <c r="H124" s="86">
        <f t="shared" si="8"/>
        <v>990000</v>
      </c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70"/>
      <c r="B125" s="85"/>
      <c r="F125" s="85"/>
      <c r="G125" s="85"/>
      <c r="H125" s="120"/>
      <c r="I125" s="87"/>
      <c r="J125" s="85" t="s">
        <v>404</v>
      </c>
      <c r="K125" s="93">
        <f>SUM(H117:H119,H121:H124,H108:H109,H129)/A2</f>
        <v>9.0039148964957388E-3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69"/>
      <c r="B126" s="85"/>
      <c r="C126" s="11" t="s">
        <v>193</v>
      </c>
      <c r="D126" s="85"/>
      <c r="E126" s="120">
        <f>예산!$G180</f>
        <v>20000000</v>
      </c>
      <c r="F126" s="85"/>
      <c r="G126" s="85" t="s">
        <v>234</v>
      </c>
      <c r="H126" s="120">
        <f>E126</f>
        <v>20000000</v>
      </c>
      <c r="I126" s="87"/>
      <c r="J126" s="86">
        <f>SUM(H117:H119,H121:H124,H108:H109,H129)</f>
        <v>26619174</v>
      </c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69"/>
      <c r="B127" s="85"/>
      <c r="C127" s="14" t="s">
        <v>194</v>
      </c>
      <c r="D127" s="85"/>
      <c r="E127" s="120">
        <f>예산!$G181</f>
        <v>0</v>
      </c>
      <c r="F127" s="85"/>
      <c r="G127" s="85"/>
      <c r="H127" s="120"/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69"/>
      <c r="B128" s="85"/>
      <c r="C128" s="11" t="s">
        <v>196</v>
      </c>
      <c r="D128" s="85"/>
      <c r="E128" s="120">
        <f>예산!$G183</f>
        <v>10000000</v>
      </c>
      <c r="F128" s="85"/>
      <c r="G128" s="85" t="s">
        <v>234</v>
      </c>
      <c r="H128" s="120">
        <f t="shared" ref="H128:H129" si="9">E128</f>
        <v>10000000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69"/>
      <c r="B129" s="85"/>
      <c r="C129" s="92" t="s">
        <v>390</v>
      </c>
      <c r="D129" s="85"/>
      <c r="E129" s="86">
        <f>예산!G182</f>
        <v>516000</v>
      </c>
      <c r="F129" s="85"/>
      <c r="G129" s="310" t="s">
        <v>368</v>
      </c>
      <c r="H129" s="314">
        <f t="shared" si="9"/>
        <v>516000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69"/>
      <c r="C130" s="216" t="s">
        <v>407</v>
      </c>
      <c r="D130" s="31"/>
      <c r="E130">
        <v>20000000</v>
      </c>
      <c r="G130" s="11" t="s">
        <v>373</v>
      </c>
      <c r="H130">
        <v>20000000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70"/>
      <c r="C131" s="216" t="s">
        <v>421</v>
      </c>
      <c r="D131" s="31"/>
      <c r="E131">
        <v>6734000</v>
      </c>
      <c r="G131" s="11" t="s">
        <v>373</v>
      </c>
      <c r="H131">
        <v>6734000</v>
      </c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69"/>
      <c r="B132" s="598" t="s">
        <v>21</v>
      </c>
      <c r="C132" s="599"/>
      <c r="D132" s="600"/>
      <c r="E132" s="88">
        <f>예산!G184</f>
        <v>82728526</v>
      </c>
      <c r="F132" s="94"/>
      <c r="G132" s="89"/>
      <c r="H132" s="88">
        <f>SUM(H117:H130)</f>
        <v>84970115</v>
      </c>
      <c r="I132" s="90"/>
      <c r="J132" s="89"/>
      <c r="K132" s="91">
        <f>H132/E132</f>
        <v>1.0270957202839561</v>
      </c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69"/>
      <c r="B133" s="85" t="s">
        <v>116</v>
      </c>
      <c r="C133" s="11" t="s">
        <v>118</v>
      </c>
      <c r="D133" s="85"/>
      <c r="E133" s="86">
        <f>예산!$G188</f>
        <v>1000000</v>
      </c>
      <c r="F133" s="85"/>
      <c r="G133" s="85" t="s">
        <v>379</v>
      </c>
      <c r="H133" s="86">
        <f>예산!$G188</f>
        <v>1000000</v>
      </c>
      <c r="I133" s="8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69"/>
      <c r="B134" s="85"/>
      <c r="C134" s="11" t="s">
        <v>119</v>
      </c>
      <c r="D134" s="85"/>
      <c r="E134" s="86">
        <f>예산!$G189</f>
        <v>100000</v>
      </c>
      <c r="F134" s="85"/>
      <c r="G134" s="85" t="s">
        <v>379</v>
      </c>
      <c r="H134" s="86">
        <f>예산!$G189</f>
        <v>100000</v>
      </c>
      <c r="I134" s="87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69"/>
      <c r="B135" s="85"/>
      <c r="C135" s="26" t="s">
        <v>120</v>
      </c>
      <c r="D135" s="85"/>
      <c r="E135" s="86"/>
      <c r="F135" s="85"/>
      <c r="G135" s="85"/>
      <c r="H135" s="86"/>
      <c r="I135" s="8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69"/>
      <c r="B136" s="85"/>
      <c r="C136" s="92"/>
      <c r="D136" s="85"/>
      <c r="E136" s="86"/>
      <c r="F136" s="85"/>
      <c r="G136" s="85"/>
      <c r="H136" s="86"/>
      <c r="I136" s="8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69"/>
      <c r="B137" s="85"/>
      <c r="C137" s="92"/>
      <c r="D137" s="85"/>
      <c r="E137" s="86"/>
      <c r="F137" s="85"/>
      <c r="G137" s="85"/>
      <c r="H137" s="86"/>
      <c r="I137" s="8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69"/>
      <c r="B138" s="501" t="s">
        <v>21</v>
      </c>
      <c r="C138" s="484"/>
      <c r="D138" s="485"/>
      <c r="E138" s="88">
        <f>예산!G193</f>
        <v>1524100</v>
      </c>
      <c r="F138" s="94"/>
      <c r="G138" s="89"/>
      <c r="H138" s="88">
        <f>SUM(H133:H137)</f>
        <v>1100000</v>
      </c>
      <c r="I138" s="90"/>
      <c r="J138" s="89"/>
      <c r="K138" s="91">
        <f>H138/E138</f>
        <v>0.72173741880454034</v>
      </c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69"/>
      <c r="B139" s="85" t="s">
        <v>197</v>
      </c>
      <c r="C139" s="92"/>
      <c r="D139" s="85"/>
      <c r="E139" s="86">
        <f>예산!$G197</f>
        <v>150000</v>
      </c>
      <c r="F139" s="85"/>
      <c r="G139" s="85"/>
      <c r="H139" s="86"/>
      <c r="I139" s="8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69"/>
      <c r="B140" s="501" t="s">
        <v>21</v>
      </c>
      <c r="C140" s="484"/>
      <c r="D140" s="485"/>
      <c r="E140" s="88">
        <f>E139</f>
        <v>150000</v>
      </c>
      <c r="F140" s="94"/>
      <c r="G140" s="89"/>
      <c r="H140" s="88">
        <f>H139</f>
        <v>0</v>
      </c>
      <c r="I140" s="90"/>
      <c r="J140" s="89"/>
      <c r="K140" s="91">
        <f>H140/E140</f>
        <v>0</v>
      </c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69"/>
      <c r="B141" s="85" t="s">
        <v>121</v>
      </c>
      <c r="C141" s="11" t="s">
        <v>124</v>
      </c>
      <c r="D141" s="11" t="s">
        <v>198</v>
      </c>
      <c r="E141" s="86">
        <f>예산!$G202</f>
        <v>900000</v>
      </c>
      <c r="F141" s="85"/>
      <c r="G141" s="85" t="s">
        <v>374</v>
      </c>
      <c r="H141" s="86">
        <f>예산!$G202</f>
        <v>900000</v>
      </c>
      <c r="I141" s="8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69"/>
      <c r="B142" s="85"/>
      <c r="C142" s="11" t="s">
        <v>199</v>
      </c>
      <c r="D142" s="11" t="s">
        <v>200</v>
      </c>
      <c r="E142" s="86">
        <f>예산!$G203</f>
        <v>100000</v>
      </c>
      <c r="F142" s="85"/>
      <c r="G142" s="85" t="s">
        <v>373</v>
      </c>
      <c r="H142" s="86">
        <f>예산!$G203</f>
        <v>100000</v>
      </c>
      <c r="I142" s="8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69"/>
      <c r="B143" s="85"/>
      <c r="C143" s="11" t="s">
        <v>201</v>
      </c>
      <c r="D143" s="11" t="s">
        <v>202</v>
      </c>
      <c r="E143" s="86">
        <f>예산!$G204</f>
        <v>8829000</v>
      </c>
      <c r="F143" s="85"/>
      <c r="G143" s="85" t="s">
        <v>373</v>
      </c>
      <c r="H143" s="86">
        <f>예산!$G204</f>
        <v>8829000</v>
      </c>
      <c r="I143" s="87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69"/>
      <c r="B144" s="85"/>
      <c r="C144" s="11" t="s">
        <v>203</v>
      </c>
      <c r="D144" s="11" t="s">
        <v>204</v>
      </c>
      <c r="E144" s="86">
        <f>예산!$G205</f>
        <v>1830000</v>
      </c>
      <c r="F144" s="85"/>
      <c r="G144" s="85" t="s">
        <v>374</v>
      </c>
      <c r="H144" s="86">
        <f>예산!$G205</f>
        <v>1830000</v>
      </c>
      <c r="I144" s="8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69"/>
      <c r="B145" s="85"/>
      <c r="C145" s="92"/>
      <c r="D145" s="85"/>
      <c r="E145" s="86"/>
      <c r="F145" s="85"/>
      <c r="G145" s="85"/>
      <c r="H145" s="86"/>
      <c r="I145" s="8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69"/>
      <c r="B146" s="85"/>
      <c r="C146" s="92"/>
      <c r="D146" s="85"/>
      <c r="E146" s="86"/>
      <c r="F146" s="85"/>
      <c r="G146" s="85"/>
      <c r="H146" s="86"/>
      <c r="I146" s="8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69"/>
      <c r="B147" s="85"/>
      <c r="C147" s="92"/>
      <c r="D147" s="85"/>
      <c r="E147" s="86"/>
      <c r="F147" s="85"/>
      <c r="G147" s="85"/>
      <c r="H147" s="86"/>
      <c r="I147" s="8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69"/>
      <c r="B148" s="85"/>
      <c r="C148" s="92"/>
      <c r="D148" s="85"/>
      <c r="E148" s="86"/>
      <c r="F148" s="85"/>
      <c r="G148" s="85"/>
      <c r="H148" s="86"/>
      <c r="I148" s="8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69"/>
      <c r="B149" s="501" t="s">
        <v>21</v>
      </c>
      <c r="C149" s="484"/>
      <c r="D149" s="485"/>
      <c r="E149" s="88">
        <f>예산!G206</f>
        <v>11659000</v>
      </c>
      <c r="F149" s="94"/>
      <c r="G149" s="89"/>
      <c r="H149" s="88">
        <f>SUM(H141:H148)</f>
        <v>11659000</v>
      </c>
      <c r="I149" s="90"/>
      <c r="J149" s="89"/>
      <c r="K149" s="91">
        <f>H149/E149</f>
        <v>1</v>
      </c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69"/>
      <c r="B150" s="85" t="s">
        <v>270</v>
      </c>
      <c r="C150" s="92"/>
      <c r="D150" s="85"/>
      <c r="E150" s="86"/>
      <c r="F150" s="85"/>
      <c r="G150" s="85"/>
      <c r="H150" s="86"/>
      <c r="I150" s="8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69"/>
      <c r="B151" s="85"/>
      <c r="C151" s="27" t="s">
        <v>206</v>
      </c>
      <c r="D151" s="85"/>
      <c r="E151" s="86">
        <f>예산!$G210</f>
        <v>25000</v>
      </c>
      <c r="F151" s="85"/>
      <c r="G151" s="85" t="s">
        <v>235</v>
      </c>
      <c r="H151" s="86">
        <f>예산!$G210</f>
        <v>25000</v>
      </c>
      <c r="I151" s="87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69"/>
      <c r="B152" s="85"/>
      <c r="C152" s="27" t="s">
        <v>207</v>
      </c>
      <c r="D152" s="85"/>
      <c r="E152" s="86">
        <f>예산!$G211</f>
        <v>2043000</v>
      </c>
      <c r="F152" s="85"/>
      <c r="G152" s="85" t="s">
        <v>235</v>
      </c>
      <c r="H152" s="86">
        <f>예산!$G211</f>
        <v>2043000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69"/>
      <c r="B153" s="501" t="s">
        <v>21</v>
      </c>
      <c r="C153" s="484"/>
      <c r="D153" s="485"/>
      <c r="E153" s="88">
        <f>예산!G212</f>
        <v>2068000</v>
      </c>
      <c r="F153" s="94"/>
      <c r="G153" s="89"/>
      <c r="H153" s="88">
        <f>SUM(H150:H152)</f>
        <v>2068000</v>
      </c>
      <c r="I153" s="90"/>
      <c r="J153" s="89"/>
      <c r="K153" s="91">
        <f>H153/E153</f>
        <v>1</v>
      </c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69"/>
      <c r="B154" s="85" t="s">
        <v>208</v>
      </c>
      <c r="C154" s="11" t="s">
        <v>209</v>
      </c>
      <c r="D154" s="11" t="s">
        <v>210</v>
      </c>
      <c r="E154" s="86">
        <f>예산!$G216</f>
        <v>3430000</v>
      </c>
      <c r="F154" s="85"/>
      <c r="G154" s="85" t="s">
        <v>389</v>
      </c>
      <c r="H154" s="86">
        <f>예산!$G216</f>
        <v>3430000</v>
      </c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69"/>
      <c r="B155" s="85"/>
      <c r="C155" s="26" t="s">
        <v>211</v>
      </c>
      <c r="D155" s="11" t="s">
        <v>212</v>
      </c>
      <c r="E155" s="86">
        <f>예산!$G217</f>
        <v>1087800</v>
      </c>
      <c r="F155" s="85"/>
      <c r="G155" s="310" t="s">
        <v>227</v>
      </c>
      <c r="H155" s="311">
        <f>예산!$G217</f>
        <v>1087800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69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69"/>
      <c r="B157" s="501" t="s">
        <v>21</v>
      </c>
      <c r="C157" s="484"/>
      <c r="D157" s="485"/>
      <c r="E157" s="88">
        <f>예산!G218</f>
        <v>4517800</v>
      </c>
      <c r="F157" s="94"/>
      <c r="G157" s="89"/>
      <c r="H157" s="88">
        <f>SUM(H154:H156)</f>
        <v>4517800</v>
      </c>
      <c r="I157" s="90"/>
      <c r="J157" s="89"/>
      <c r="K157" s="91">
        <f>H157/E157</f>
        <v>1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69"/>
      <c r="B158" s="85" t="s">
        <v>135</v>
      </c>
      <c r="C158" s="92" t="s">
        <v>281</v>
      </c>
      <c r="D158" s="85"/>
      <c r="E158" s="86">
        <f>예산!$G222</f>
        <v>151120240</v>
      </c>
      <c r="F158" s="85"/>
      <c r="G158" s="310" t="s">
        <v>228</v>
      </c>
      <c r="H158" s="311">
        <f>예산!$G222</f>
        <v>151120240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69"/>
      <c r="B159" s="85"/>
      <c r="C159" s="92" t="s">
        <v>282</v>
      </c>
      <c r="D159" s="85"/>
      <c r="E159" s="86">
        <f>예산!$G223</f>
        <v>186772440</v>
      </c>
      <c r="F159" s="85"/>
      <c r="G159" s="310" t="s">
        <v>380</v>
      </c>
      <c r="H159" s="311">
        <f>예산!$G223</f>
        <v>186772440</v>
      </c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69"/>
      <c r="B160" s="85"/>
      <c r="C160" s="92" t="s">
        <v>158</v>
      </c>
      <c r="D160" s="85"/>
      <c r="E160" s="86">
        <f>예산!$G224</f>
        <v>12743500</v>
      </c>
      <c r="F160" s="85"/>
      <c r="G160" s="310" t="s">
        <v>226</v>
      </c>
      <c r="H160" s="311">
        <f>예산!$G224</f>
        <v>12743500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69"/>
      <c r="B161" s="501" t="s">
        <v>21</v>
      </c>
      <c r="C161" s="484"/>
      <c r="D161" s="485"/>
      <c r="E161" s="88">
        <f>예산!G227</f>
        <v>350636180</v>
      </c>
      <c r="F161" s="94"/>
      <c r="G161" s="89"/>
      <c r="H161" s="88">
        <f>SUM(H158:H160)</f>
        <v>350636180</v>
      </c>
      <c r="I161" s="90"/>
      <c r="J161" s="89"/>
      <c r="K161" s="91">
        <f>H161/E161</f>
        <v>1</v>
      </c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69"/>
      <c r="B162" s="85" t="s">
        <v>143</v>
      </c>
      <c r="C162" s="92" t="s">
        <v>219</v>
      </c>
      <c r="D162" s="85"/>
      <c r="E162" s="86"/>
      <c r="F162" s="85"/>
      <c r="G162" s="310" t="s">
        <v>228</v>
      </c>
      <c r="H162" s="311">
        <f>SUM(예산!$G$241:$G$244)</f>
        <v>3600000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69"/>
      <c r="B163" s="85"/>
      <c r="C163" s="11" t="s">
        <v>216</v>
      </c>
      <c r="D163" s="18" t="s">
        <v>217</v>
      </c>
      <c r="E163" s="86"/>
      <c r="F163" s="85"/>
      <c r="G163" s="310" t="s">
        <v>228</v>
      </c>
      <c r="H163" s="311">
        <f>SUM(예산!$G$237:$G$240)</f>
        <v>1000000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69"/>
      <c r="B164" s="85"/>
      <c r="C164" s="11" t="s">
        <v>438</v>
      </c>
      <c r="D164" s="18" t="s">
        <v>218</v>
      </c>
      <c r="E164" s="86"/>
      <c r="F164" s="85"/>
      <c r="G164" s="310" t="s">
        <v>228</v>
      </c>
      <c r="H164" s="311">
        <v>2700000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69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 thickBot="1">
      <c r="A166" s="471"/>
      <c r="B166" s="501" t="s">
        <v>21</v>
      </c>
      <c r="C166" s="484"/>
      <c r="D166" s="485"/>
      <c r="E166" s="88">
        <f>예산!G251</f>
        <v>18700000</v>
      </c>
      <c r="F166" s="94"/>
      <c r="G166" s="89"/>
      <c r="H166" s="95">
        <f>SUM(H162:H165)</f>
        <v>7300000</v>
      </c>
      <c r="I166" s="90"/>
      <c r="J166" s="89"/>
      <c r="K166" s="91">
        <f>H166/E166</f>
        <v>0.39037433155080214</v>
      </c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 thickBot="1">
      <c r="A167" s="502" t="s">
        <v>271</v>
      </c>
      <c r="B167" s="503"/>
      <c r="C167" s="96">
        <f>예산!G129</f>
        <v>1157914074</v>
      </c>
      <c r="D167" s="107"/>
      <c r="E167" s="108">
        <f>SUM(E166,E157,E153,E149,E140,E138,E132,E116,E114,E105)</f>
        <v>807277894</v>
      </c>
      <c r="F167" s="109"/>
      <c r="G167" s="110"/>
      <c r="H167" s="101">
        <f>SUM(H166,H161,H157,H153,H149,H140,H138,H132,H116,H114,H105)</f>
        <v>1069720029</v>
      </c>
      <c r="I167" s="499"/>
      <c r="J167" s="500"/>
      <c r="K167" s="102">
        <f t="shared" ref="K167:K168" si="10">H167/C167</f>
        <v>0.92383368768000651</v>
      </c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 thickBot="1">
      <c r="A168" s="111" t="s">
        <v>272</v>
      </c>
      <c r="B168" s="112"/>
      <c r="C168" s="113">
        <f>SUM(C167,C66,C46,C31,C18)</f>
        <v>2917609722.4000001</v>
      </c>
      <c r="D168" s="112"/>
      <c r="E168" s="114"/>
      <c r="F168" s="112"/>
      <c r="G168" s="112"/>
      <c r="H168" s="115">
        <f>SUM(H167,H66,H46,H31,H18)</f>
        <v>2765831677.4000001</v>
      </c>
      <c r="I168" s="116"/>
      <c r="J168" s="112"/>
      <c r="K168" s="117">
        <f t="shared" si="10"/>
        <v>0.94797863338789923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</sheetData>
  <mergeCells count="60">
    <mergeCell ref="E7:F7"/>
    <mergeCell ref="D8:F14"/>
    <mergeCell ref="K4:K14"/>
    <mergeCell ref="D3:F3"/>
    <mergeCell ref="A1:K1"/>
    <mergeCell ref="E4:F4"/>
    <mergeCell ref="E5:F5"/>
    <mergeCell ref="X2:Y2"/>
    <mergeCell ref="Z2:AA2"/>
    <mergeCell ref="E6:F6"/>
    <mergeCell ref="P2:Q2"/>
    <mergeCell ref="R2:S2"/>
    <mergeCell ref="T2:U2"/>
    <mergeCell ref="V2:W2"/>
    <mergeCell ref="B15:D15"/>
    <mergeCell ref="B17:D17"/>
    <mergeCell ref="A18:B18"/>
    <mergeCell ref="A19:A30"/>
    <mergeCell ref="A31:B31"/>
    <mergeCell ref="A4:A17"/>
    <mergeCell ref="B4:B14"/>
    <mergeCell ref="C4:C14"/>
    <mergeCell ref="A66:B66"/>
    <mergeCell ref="I66:J66"/>
    <mergeCell ref="A32:A45"/>
    <mergeCell ref="A46:B46"/>
    <mergeCell ref="B47:B50"/>
    <mergeCell ref="I46:J46"/>
    <mergeCell ref="B45:D45"/>
    <mergeCell ref="C51:C52"/>
    <mergeCell ref="A47:A65"/>
    <mergeCell ref="B51:B65"/>
    <mergeCell ref="C53:C65"/>
    <mergeCell ref="I31:J31"/>
    <mergeCell ref="I18:J18"/>
    <mergeCell ref="B32:B40"/>
    <mergeCell ref="B41:D41"/>
    <mergeCell ref="B42:B44"/>
    <mergeCell ref="A167:B167"/>
    <mergeCell ref="I167:J167"/>
    <mergeCell ref="A67:A166"/>
    <mergeCell ref="C68:C74"/>
    <mergeCell ref="C75:C79"/>
    <mergeCell ref="C84:C89"/>
    <mergeCell ref="B90:B94"/>
    <mergeCell ref="B95:B98"/>
    <mergeCell ref="B99:B104"/>
    <mergeCell ref="B105:D105"/>
    <mergeCell ref="B114:D114"/>
    <mergeCell ref="B116:D116"/>
    <mergeCell ref="B132:D132"/>
    <mergeCell ref="B138:D138"/>
    <mergeCell ref="B140:D140"/>
    <mergeCell ref="B149:D149"/>
    <mergeCell ref="B67:B79"/>
    <mergeCell ref="B80:B82"/>
    <mergeCell ref="B157:D157"/>
    <mergeCell ref="B161:D161"/>
    <mergeCell ref="B166:D166"/>
    <mergeCell ref="B153:D153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04" t="s">
        <v>283</v>
      </c>
      <c r="B1" s="477"/>
      <c r="C1" s="477"/>
      <c r="D1" s="477"/>
      <c r="E1" s="477"/>
      <c r="F1" s="477"/>
      <c r="G1" s="477"/>
      <c r="H1" s="477"/>
      <c r="I1" s="477"/>
      <c r="J1" s="477"/>
      <c r="K1" s="47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121" t="s">
        <v>239</v>
      </c>
      <c r="P2" s="607" t="s">
        <v>7</v>
      </c>
      <c r="Q2" s="485"/>
      <c r="R2" s="536" t="s">
        <v>240</v>
      </c>
      <c r="S2" s="485"/>
      <c r="T2" s="607" t="s">
        <v>31</v>
      </c>
      <c r="U2" s="485"/>
      <c r="V2" s="607" t="s">
        <v>72</v>
      </c>
      <c r="W2" s="485"/>
      <c r="X2" s="607" t="s">
        <v>84</v>
      </c>
      <c r="Y2" s="485"/>
      <c r="Z2" s="607" t="s">
        <v>241</v>
      </c>
      <c r="AA2" s="485"/>
    </row>
    <row r="3" spans="1:27" ht="16.5" customHeight="1">
      <c r="A3" s="72" t="s">
        <v>242</v>
      </c>
      <c r="B3" s="73" t="s">
        <v>243</v>
      </c>
      <c r="C3" s="74" t="s">
        <v>0</v>
      </c>
      <c r="D3" s="551" t="s">
        <v>244</v>
      </c>
      <c r="E3" s="552"/>
      <c r="F3" s="553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122" t="s">
        <v>250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12" t="s">
        <v>7</v>
      </c>
      <c r="B4" s="513" t="s">
        <v>251</v>
      </c>
      <c r="C4" s="538">
        <f>예산!P5</f>
        <v>4028892</v>
      </c>
      <c r="D4" s="85" t="s">
        <v>15</v>
      </c>
      <c r="E4" s="549">
        <f>예산!P7</f>
        <v>2439392</v>
      </c>
      <c r="F4" s="485"/>
      <c r="G4" s="85" t="s">
        <v>224</v>
      </c>
      <c r="H4" s="86">
        <f>예산!N7+예산!N8</f>
        <v>3405260</v>
      </c>
      <c r="I4" s="87">
        <v>45776</v>
      </c>
      <c r="J4" s="85"/>
      <c r="K4" s="540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69"/>
      <c r="B5" s="469"/>
      <c r="C5" s="469"/>
      <c r="D5" s="85" t="s">
        <v>19</v>
      </c>
      <c r="E5" s="549">
        <f>예산!P8</f>
        <v>1589500</v>
      </c>
      <c r="F5" s="485"/>
      <c r="G5" s="85" t="s">
        <v>225</v>
      </c>
      <c r="H5" s="86">
        <f>예산!N7-1192128</f>
        <v>623632</v>
      </c>
      <c r="I5" s="87"/>
      <c r="J5" s="85"/>
      <c r="K5" s="469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69"/>
      <c r="B6" s="469"/>
      <c r="C6" s="469"/>
      <c r="D6" s="85" t="s">
        <v>252</v>
      </c>
      <c r="E6" s="549"/>
      <c r="F6" s="485"/>
      <c r="G6" s="85"/>
      <c r="H6" s="86"/>
      <c r="I6" s="87"/>
      <c r="J6" s="85"/>
      <c r="K6" s="469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69"/>
      <c r="B7" s="469"/>
      <c r="C7" s="469"/>
      <c r="D7" s="85" t="s">
        <v>252</v>
      </c>
      <c r="E7" s="549"/>
      <c r="F7" s="485"/>
      <c r="G7" s="85"/>
      <c r="H7" s="86"/>
      <c r="I7" s="87"/>
      <c r="J7" s="85"/>
      <c r="K7" s="46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69"/>
      <c r="B8" s="469"/>
      <c r="C8" s="469"/>
      <c r="D8" s="601"/>
      <c r="E8" s="602"/>
      <c r="F8" s="560"/>
      <c r="G8" s="85"/>
      <c r="H8" s="86"/>
      <c r="I8" s="87"/>
      <c r="J8" s="85"/>
      <c r="K8" s="46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69"/>
      <c r="B9" s="469"/>
      <c r="C9" s="469"/>
      <c r="D9" s="479"/>
      <c r="E9" s="477"/>
      <c r="F9" s="603"/>
      <c r="G9" s="85"/>
      <c r="H9" s="86"/>
      <c r="I9" s="87"/>
      <c r="J9" s="85"/>
      <c r="K9" s="46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69"/>
      <c r="B10" s="469"/>
      <c r="C10" s="469"/>
      <c r="D10" s="479"/>
      <c r="E10" s="477"/>
      <c r="F10" s="603"/>
      <c r="G10" s="85"/>
      <c r="H10" s="86"/>
      <c r="I10" s="87"/>
      <c r="J10" s="85"/>
      <c r="K10" s="46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69"/>
      <c r="B11" s="469"/>
      <c r="C11" s="469"/>
      <c r="D11" s="479"/>
      <c r="E11" s="477"/>
      <c r="F11" s="603"/>
      <c r="G11" s="85"/>
      <c r="H11" s="86"/>
      <c r="I11" s="87"/>
      <c r="J11" s="85"/>
      <c r="K11" s="46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69"/>
      <c r="B12" s="469"/>
      <c r="C12" s="469"/>
      <c r="D12" s="479"/>
      <c r="E12" s="477"/>
      <c r="F12" s="603"/>
      <c r="G12" s="85"/>
      <c r="H12" s="86"/>
      <c r="I12" s="87"/>
      <c r="J12" s="85"/>
      <c r="K12" s="46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69"/>
      <c r="B13" s="469"/>
      <c r="C13" s="469"/>
      <c r="D13" s="479"/>
      <c r="E13" s="477"/>
      <c r="F13" s="603"/>
      <c r="G13" s="85"/>
      <c r="H13" s="86"/>
      <c r="I13" s="87"/>
      <c r="J13" s="85"/>
      <c r="K13" s="46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69"/>
      <c r="B14" s="471"/>
      <c r="C14" s="471"/>
      <c r="D14" s="482"/>
      <c r="E14" s="575"/>
      <c r="F14" s="561"/>
      <c r="G14" s="85"/>
      <c r="H14" s="86"/>
      <c r="I14" s="87"/>
      <c r="J14" s="85"/>
      <c r="K14" s="47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69"/>
      <c r="B15" s="501" t="s">
        <v>21</v>
      </c>
      <c r="C15" s="484"/>
      <c r="D15" s="485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69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1"/>
      <c r="B17" s="501" t="s">
        <v>21</v>
      </c>
      <c r="C17" s="484"/>
      <c r="D17" s="485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7" t="s">
        <v>253</v>
      </c>
      <c r="B18" s="484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37"/>
      <c r="J18" s="485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2" t="s">
        <v>240</v>
      </c>
      <c r="B19" s="513" t="s">
        <v>240</v>
      </c>
      <c r="C19" s="605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9"/>
      <c r="B20" s="469"/>
      <c r="C20" s="469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9"/>
      <c r="B21" s="469"/>
      <c r="C21" s="469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9"/>
      <c r="B22" s="469"/>
      <c r="C22" s="469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9"/>
      <c r="B23" s="469"/>
      <c r="C23" s="469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9"/>
      <c r="B24" s="469"/>
      <c r="C24" s="469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9"/>
      <c r="B25" s="469"/>
      <c r="C25" s="469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9"/>
      <c r="B26" s="469"/>
      <c r="C26" s="469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9"/>
      <c r="B27" s="469"/>
      <c r="C27" s="469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9"/>
      <c r="B28" s="469"/>
      <c r="C28" s="469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71"/>
      <c r="B29" s="471"/>
      <c r="C29" s="606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17" t="s">
        <v>254</v>
      </c>
      <c r="B30" s="484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37"/>
      <c r="J30" s="485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12" t="s">
        <v>31</v>
      </c>
      <c r="B31" s="513" t="s">
        <v>255</v>
      </c>
      <c r="C31" s="605">
        <f>예산!P26</f>
        <v>282398210</v>
      </c>
      <c r="D31" s="85" t="s">
        <v>284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69"/>
      <c r="B32" s="469"/>
      <c r="C32" s="469"/>
      <c r="D32" s="85" t="s">
        <v>285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69"/>
      <c r="B33" s="469"/>
      <c r="C33" s="469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69"/>
      <c r="B34" s="469"/>
      <c r="C34" s="469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69"/>
      <c r="B35" s="471"/>
      <c r="C35" s="471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69"/>
      <c r="B36" s="501" t="s">
        <v>21</v>
      </c>
      <c r="C36" s="484"/>
      <c r="D36" s="485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69"/>
      <c r="B37" s="513" t="s">
        <v>70</v>
      </c>
      <c r="C37" s="538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69"/>
      <c r="B38" s="469"/>
      <c r="C38" s="469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69"/>
      <c r="B39" s="471"/>
      <c r="C39" s="471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71"/>
      <c r="B40" s="501" t="s">
        <v>21</v>
      </c>
      <c r="C40" s="484"/>
      <c r="D40" s="485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17" t="s">
        <v>256</v>
      </c>
      <c r="B41" s="484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37"/>
      <c r="J41" s="485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12" t="s">
        <v>72</v>
      </c>
      <c r="B42" s="513" t="s">
        <v>257</v>
      </c>
      <c r="C42" s="605">
        <f>예산!P53</f>
        <v>1144000</v>
      </c>
      <c r="D42" s="85" t="s">
        <v>258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69"/>
      <c r="B43" s="469"/>
      <c r="C43" s="469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69"/>
      <c r="B44" s="469"/>
      <c r="C44" s="469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69"/>
      <c r="B45" s="471"/>
      <c r="C45" s="471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69"/>
      <c r="B46" s="513" t="s">
        <v>261</v>
      </c>
      <c r="C46" s="538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71"/>
      <c r="B47" s="471"/>
      <c r="C47" s="606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17" t="s">
        <v>263</v>
      </c>
      <c r="B48" s="484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37"/>
      <c r="J48" s="485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12" t="s">
        <v>84</v>
      </c>
      <c r="B49" s="513" t="s">
        <v>94</v>
      </c>
      <c r="C49" s="538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69"/>
      <c r="B50" s="469"/>
      <c r="C50" s="469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69"/>
      <c r="B51" s="469"/>
      <c r="C51" s="469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69"/>
      <c r="B52" s="469"/>
      <c r="C52" s="469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69"/>
      <c r="B53" s="469"/>
      <c r="C53" s="469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69"/>
      <c r="B54" s="469"/>
      <c r="C54" s="469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69"/>
      <c r="B55" s="469"/>
      <c r="C55" s="469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69"/>
      <c r="B56" s="471"/>
      <c r="C56" s="471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69"/>
      <c r="B57" s="501" t="s">
        <v>21</v>
      </c>
      <c r="C57" s="484"/>
      <c r="D57" s="485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69"/>
      <c r="B58" s="85" t="s">
        <v>121</v>
      </c>
      <c r="C58" s="92">
        <f>예산!P102</f>
        <v>150000</v>
      </c>
      <c r="D58" s="85" t="s">
        <v>286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69"/>
      <c r="B59" s="501" t="s">
        <v>21</v>
      </c>
      <c r="C59" s="484"/>
      <c r="D59" s="485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69"/>
      <c r="B60" s="513" t="s">
        <v>135</v>
      </c>
      <c r="C60" s="538">
        <f>예산!P128</f>
        <v>157759520</v>
      </c>
      <c r="D60" s="85" t="s">
        <v>281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69"/>
      <c r="B61" s="469"/>
      <c r="C61" s="469"/>
      <c r="D61" s="85" t="s">
        <v>282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69"/>
      <c r="B62" s="469"/>
      <c r="C62" s="469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69"/>
      <c r="B63" s="469"/>
      <c r="C63" s="469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69"/>
      <c r="B64" s="469"/>
      <c r="C64" s="469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69"/>
      <c r="B65" s="469"/>
      <c r="C65" s="469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69"/>
      <c r="B66" s="469"/>
      <c r="C66" s="469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69"/>
      <c r="B67" s="469"/>
      <c r="C67" s="469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69"/>
      <c r="B68" s="469"/>
      <c r="C68" s="469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69"/>
      <c r="B69" s="469"/>
      <c r="C69" s="469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9"/>
      <c r="B70" s="471"/>
      <c r="C70" s="471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69"/>
      <c r="B71" s="501" t="s">
        <v>21</v>
      </c>
      <c r="C71" s="484"/>
      <c r="D71" s="485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69"/>
      <c r="B72" s="513" t="s">
        <v>116</v>
      </c>
      <c r="C72" s="538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69"/>
      <c r="B73" s="469"/>
      <c r="C73" s="469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69"/>
      <c r="B74" s="469"/>
      <c r="C74" s="469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69"/>
      <c r="B75" s="469"/>
      <c r="C75" s="469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69"/>
      <c r="B76" s="471"/>
      <c r="C76" s="471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69"/>
      <c r="B77" s="501" t="s">
        <v>21</v>
      </c>
      <c r="C77" s="484"/>
      <c r="D77" s="485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69"/>
      <c r="B78" s="513" t="s">
        <v>105</v>
      </c>
      <c r="C78" s="538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69"/>
      <c r="B79" s="469"/>
      <c r="C79" s="469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69"/>
      <c r="B80" s="469"/>
      <c r="C80" s="469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69"/>
      <c r="B81" s="469"/>
      <c r="C81" s="469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69"/>
      <c r="B82" s="469"/>
      <c r="C82" s="469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69"/>
      <c r="B83" s="469"/>
      <c r="C83" s="469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69"/>
      <c r="B84" s="469"/>
      <c r="C84" s="469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69"/>
      <c r="B85" s="471"/>
      <c r="C85" s="471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69"/>
      <c r="B86" s="501" t="s">
        <v>21</v>
      </c>
      <c r="C86" s="484"/>
      <c r="D86" s="485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69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499"/>
      <c r="J87" s="500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69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69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69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69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9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69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69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69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69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69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69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9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9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9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9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9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9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9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9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9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9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9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9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9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9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9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9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9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9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9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9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9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9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71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271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272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  <mergeCell ref="I87:J87"/>
    <mergeCell ref="B49:B56"/>
    <mergeCell ref="C49:C56"/>
    <mergeCell ref="B57:D57"/>
    <mergeCell ref="B59:D59"/>
    <mergeCell ref="B60:B70"/>
    <mergeCell ref="C60:C70"/>
    <mergeCell ref="B71:D71"/>
    <mergeCell ref="A1:K1"/>
    <mergeCell ref="P2:Q2"/>
    <mergeCell ref="R2:S2"/>
    <mergeCell ref="T2:U2"/>
    <mergeCell ref="V2:W2"/>
    <mergeCell ref="X2:Y2"/>
    <mergeCell ref="Z2:AA2"/>
    <mergeCell ref="E6:F6"/>
    <mergeCell ref="E7:F7"/>
    <mergeCell ref="D8:F14"/>
    <mergeCell ref="K4:K14"/>
    <mergeCell ref="B15:D15"/>
    <mergeCell ref="D3:F3"/>
    <mergeCell ref="A4:A17"/>
    <mergeCell ref="B4:B14"/>
    <mergeCell ref="C4:C14"/>
    <mergeCell ref="E4:F4"/>
    <mergeCell ref="E5:F5"/>
    <mergeCell ref="B17:D17"/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</mergeCells>
  <phoneticPr fontId="27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3차년도 전체요약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2025-11-10T10:51:24Z</dcterms:modified>
</cp:coreProperties>
</file>